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7795" windowHeight="12840"/>
  </bookViews>
  <sheets>
    <sheet name="Scan2VK" sheetId="1" r:id="rId1"/>
    <sheet name="VKnames" sheetId="5" r:id="rId2"/>
    <sheet name="Scan2VKFlags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BA195" i="1" l="1"/>
  <c r="AZ195" i="1"/>
  <c r="AY195" i="1"/>
  <c r="AX195" i="1"/>
  <c r="AW195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BA194" i="1"/>
  <c r="AZ194" i="1"/>
  <c r="AY194" i="1"/>
  <c r="AX194" i="1"/>
  <c r="AW194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BA193" i="1"/>
  <c r="AZ193" i="1"/>
  <c r="AY193" i="1"/>
  <c r="AX193" i="1"/>
  <c r="AW193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BA192" i="1"/>
  <c r="AZ192" i="1"/>
  <c r="AY192" i="1"/>
  <c r="AX192" i="1"/>
  <c r="AW192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BA191" i="1"/>
  <c r="AZ191" i="1"/>
  <c r="AY191" i="1"/>
  <c r="AX191" i="1"/>
  <c r="AW191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BA190" i="1"/>
  <c r="AZ190" i="1"/>
  <c r="AY190" i="1"/>
  <c r="AX190" i="1"/>
  <c r="AW190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BA189" i="1"/>
  <c r="AZ189" i="1"/>
  <c r="AY189" i="1"/>
  <c r="AX189" i="1"/>
  <c r="AW189" i="1"/>
  <c r="AV189" i="1"/>
  <c r="AU189" i="1"/>
  <c r="AT189" i="1"/>
  <c r="AS189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BA188" i="1"/>
  <c r="AZ188" i="1"/>
  <c r="AY188" i="1"/>
  <c r="AX188" i="1"/>
  <c r="AW188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BA187" i="1"/>
  <c r="AZ187" i="1"/>
  <c r="AY187" i="1"/>
  <c r="AX187" i="1"/>
  <c r="AW187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BA186" i="1"/>
  <c r="AZ186" i="1"/>
  <c r="AY186" i="1"/>
  <c r="AX186" i="1"/>
  <c r="AW186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BA185" i="1"/>
  <c r="AZ185" i="1"/>
  <c r="AY185" i="1"/>
  <c r="AX185" i="1"/>
  <c r="AW185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BA184" i="1"/>
  <c r="AZ184" i="1"/>
  <c r="AY184" i="1"/>
  <c r="AX184" i="1"/>
  <c r="AW184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BA183" i="1"/>
  <c r="AZ183" i="1"/>
  <c r="AY183" i="1"/>
  <c r="AX183" i="1"/>
  <c r="AW183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BA182" i="1"/>
  <c r="AZ182" i="1"/>
  <c r="AY182" i="1"/>
  <c r="AX182" i="1"/>
  <c r="AW182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BA181" i="1"/>
  <c r="AZ181" i="1"/>
  <c r="AY181" i="1"/>
  <c r="AX181" i="1"/>
  <c r="AW181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BA180" i="1"/>
  <c r="AZ180" i="1"/>
  <c r="AY180" i="1"/>
  <c r="AX180" i="1"/>
  <c r="AW180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BA179" i="1"/>
  <c r="AZ179" i="1"/>
  <c r="AY179" i="1"/>
  <c r="AX179" i="1"/>
  <c r="AW179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BA178" i="1"/>
  <c r="AZ178" i="1"/>
  <c r="AY178" i="1"/>
  <c r="AX178" i="1"/>
  <c r="AW178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BA177" i="1"/>
  <c r="AZ177" i="1"/>
  <c r="AY177" i="1"/>
  <c r="AX177" i="1"/>
  <c r="AW177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BA176" i="1"/>
  <c r="AZ176" i="1"/>
  <c r="AY176" i="1"/>
  <c r="AX176" i="1"/>
  <c r="AW176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BA175" i="1"/>
  <c r="AZ175" i="1"/>
  <c r="AY175" i="1"/>
  <c r="AX175" i="1"/>
  <c r="AW175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BA174" i="1"/>
  <c r="AZ174" i="1"/>
  <c r="AY174" i="1"/>
  <c r="AX174" i="1"/>
  <c r="AW174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BA173" i="1"/>
  <c r="AZ173" i="1"/>
  <c r="AY173" i="1"/>
  <c r="AX173" i="1"/>
  <c r="AW173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BA172" i="1"/>
  <c r="AZ172" i="1"/>
  <c r="AY172" i="1"/>
  <c r="AX172" i="1"/>
  <c r="AW172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BA171" i="1"/>
  <c r="AZ171" i="1"/>
  <c r="AY171" i="1"/>
  <c r="AX171" i="1"/>
  <c r="AW171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BA170" i="1"/>
  <c r="AZ170" i="1"/>
  <c r="AY170" i="1"/>
  <c r="AX170" i="1"/>
  <c r="AW170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BA169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BA168" i="1"/>
  <c r="AZ168" i="1"/>
  <c r="AY168" i="1"/>
  <c r="AX168" i="1"/>
  <c r="AW168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BA167" i="1"/>
  <c r="AZ167" i="1"/>
  <c r="AY167" i="1"/>
  <c r="AX167" i="1"/>
  <c r="AW167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BA166" i="1"/>
  <c r="AZ166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BA165" i="1"/>
  <c r="AZ165" i="1"/>
  <c r="AY165" i="1"/>
  <c r="AX165" i="1"/>
  <c r="AW165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BA164" i="1"/>
  <c r="AZ164" i="1"/>
  <c r="AY164" i="1"/>
  <c r="AX164" i="1"/>
  <c r="AW164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BA163" i="1"/>
  <c r="AZ163" i="1"/>
  <c r="AY163" i="1"/>
  <c r="AX163" i="1"/>
  <c r="AW163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BA162" i="1"/>
  <c r="AZ162" i="1"/>
  <c r="AY162" i="1"/>
  <c r="AX162" i="1"/>
  <c r="AW162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BA161" i="1"/>
  <c r="AZ161" i="1"/>
  <c r="AY161" i="1"/>
  <c r="AX161" i="1"/>
  <c r="AW161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BA160" i="1"/>
  <c r="AZ160" i="1"/>
  <c r="AY160" i="1"/>
  <c r="AX160" i="1"/>
  <c r="AW160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BA159" i="1"/>
  <c r="AZ159" i="1"/>
  <c r="AY159" i="1"/>
  <c r="AX159" i="1"/>
  <c r="AW159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BA154" i="1"/>
  <c r="AZ154" i="1"/>
  <c r="AY154" i="1"/>
  <c r="AX154" i="1"/>
  <c r="AW154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BA153" i="1"/>
  <c r="AZ153" i="1"/>
  <c r="AY153" i="1"/>
  <c r="AX153" i="1"/>
  <c r="AW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BA149" i="1"/>
  <c r="AZ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BA148" i="1"/>
  <c r="AZ148" i="1"/>
  <c r="AY148" i="1"/>
  <c r="AX148" i="1"/>
  <c r="AW148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BA147" i="1"/>
  <c r="AZ147" i="1"/>
  <c r="AY147" i="1"/>
  <c r="AX147" i="1"/>
  <c r="AW147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BA146" i="1"/>
  <c r="AZ146" i="1"/>
  <c r="AY146" i="1"/>
  <c r="AX146" i="1"/>
  <c r="AW146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BA145" i="1"/>
  <c r="AZ145" i="1"/>
  <c r="AY145" i="1"/>
  <c r="AX145" i="1"/>
  <c r="AW145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BA144" i="1"/>
  <c r="AZ144" i="1"/>
  <c r="AY144" i="1"/>
  <c r="AX144" i="1"/>
  <c r="AW144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BA143" i="1"/>
  <c r="AZ143" i="1"/>
  <c r="AY143" i="1"/>
  <c r="AX143" i="1"/>
  <c r="AW143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BA142" i="1"/>
  <c r="AZ142" i="1"/>
  <c r="AY142" i="1"/>
  <c r="AX142" i="1"/>
  <c r="AW142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BA141" i="1"/>
  <c r="AZ141" i="1"/>
  <c r="AY141" i="1"/>
  <c r="AX141" i="1"/>
  <c r="AW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BA139" i="1"/>
  <c r="AZ139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BA138" i="1"/>
  <c r="AZ138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BA136" i="1"/>
  <c r="AZ136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BA134" i="1"/>
  <c r="AZ134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BA127" i="1"/>
  <c r="AZ127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BA126" i="1"/>
  <c r="AZ126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BA124" i="1"/>
  <c r="AZ124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BA123" i="1"/>
  <c r="AZ123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BA118" i="1"/>
  <c r="AZ118" i="1"/>
  <c r="AY118" i="1"/>
  <c r="AX118" i="1"/>
  <c r="AW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BA117" i="1"/>
  <c r="AZ117" i="1"/>
  <c r="AY117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BA111" i="1"/>
  <c r="AZ111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BA110" i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BA107" i="1"/>
  <c r="AZ107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BA91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BA87" i="1"/>
  <c r="AZ87" i="1"/>
  <c r="AY87" i="1"/>
  <c r="AX87" i="1"/>
  <c r="AW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2" i="6"/>
  <c r="B1" i="6"/>
  <c r="A3080" i="5" l="1"/>
  <c r="A3081" i="5"/>
  <c r="A3082" i="5"/>
  <c r="A3083" i="5"/>
  <c r="A3084" i="5"/>
  <c r="A3094" i="5"/>
  <c r="A3095" i="5"/>
  <c r="A3096" i="5"/>
  <c r="A3097" i="5"/>
  <c r="A3098" i="5"/>
  <c r="A3099" i="5"/>
  <c r="A3100" i="5"/>
  <c r="A3101" i="5"/>
  <c r="A3102" i="5"/>
  <c r="A2886" i="5"/>
  <c r="A2887" i="5"/>
  <c r="A2888" i="5"/>
  <c r="A2889" i="5"/>
  <c r="A2890" i="5"/>
  <c r="A2900" i="5"/>
  <c r="A2901" i="5"/>
  <c r="A2902" i="5"/>
  <c r="A2903" i="5"/>
  <c r="A2904" i="5"/>
  <c r="A2905" i="5"/>
  <c r="A2906" i="5"/>
  <c r="A2907" i="5"/>
  <c r="A2908" i="5"/>
  <c r="A2692" i="5"/>
  <c r="A2693" i="5"/>
  <c r="A2694" i="5"/>
  <c r="A2695" i="5"/>
  <c r="A2696" i="5"/>
  <c r="A2706" i="5"/>
  <c r="A2707" i="5"/>
  <c r="A2708" i="5"/>
  <c r="A2709" i="5"/>
  <c r="A2710" i="5"/>
  <c r="A2711" i="5"/>
  <c r="A2712" i="5"/>
  <c r="A2713" i="5"/>
  <c r="A2714" i="5"/>
  <c r="A2498" i="5"/>
  <c r="A2499" i="5"/>
  <c r="A2500" i="5"/>
  <c r="A2501" i="5"/>
  <c r="A2502" i="5"/>
  <c r="A2512" i="5"/>
  <c r="A2513" i="5"/>
  <c r="A2514" i="5"/>
  <c r="A2515" i="5"/>
  <c r="A2516" i="5"/>
  <c r="A2517" i="5"/>
  <c r="A2518" i="5"/>
  <c r="A2519" i="5"/>
  <c r="A2520" i="5"/>
  <c r="A2304" i="5"/>
  <c r="A2305" i="5"/>
  <c r="A2306" i="5"/>
  <c r="A2307" i="5"/>
  <c r="A2308" i="5"/>
  <c r="A2318" i="5"/>
  <c r="A2319" i="5"/>
  <c r="A2320" i="5"/>
  <c r="A2321" i="5"/>
  <c r="A2322" i="5"/>
  <c r="A2323" i="5"/>
  <c r="A2324" i="5"/>
  <c r="A2325" i="5"/>
  <c r="A2326" i="5"/>
  <c r="A2110" i="5"/>
  <c r="A2111" i="5"/>
  <c r="A2112" i="5"/>
  <c r="A2113" i="5"/>
  <c r="A2114" i="5"/>
  <c r="A2124" i="5"/>
  <c r="A2125" i="5"/>
  <c r="A2126" i="5"/>
  <c r="A2127" i="5"/>
  <c r="A2128" i="5"/>
  <c r="A2129" i="5"/>
  <c r="A2130" i="5"/>
  <c r="A2131" i="5"/>
  <c r="A2132" i="5"/>
  <c r="A1916" i="5"/>
  <c r="A1917" i="5"/>
  <c r="A1918" i="5"/>
  <c r="A1919" i="5"/>
  <c r="A1920" i="5"/>
  <c r="A1930" i="5"/>
  <c r="A1931" i="5"/>
  <c r="A1932" i="5"/>
  <c r="A1933" i="5"/>
  <c r="A1934" i="5"/>
  <c r="A1935" i="5"/>
  <c r="A1936" i="5"/>
  <c r="A1937" i="5"/>
  <c r="A1938" i="5"/>
  <c r="A1722" i="5"/>
  <c r="A1723" i="5"/>
  <c r="A1724" i="5"/>
  <c r="A1725" i="5"/>
  <c r="A1726" i="5"/>
  <c r="A1736" i="5"/>
  <c r="A1737" i="5"/>
  <c r="A1738" i="5"/>
  <c r="A1739" i="5"/>
  <c r="A1740" i="5"/>
  <c r="A1741" i="5"/>
  <c r="A1742" i="5"/>
  <c r="A1743" i="5"/>
  <c r="A1744" i="5"/>
  <c r="A1528" i="5"/>
  <c r="A1529" i="5"/>
  <c r="A1530" i="5"/>
  <c r="A1531" i="5"/>
  <c r="A1532" i="5"/>
  <c r="A1542" i="5"/>
  <c r="A1543" i="5"/>
  <c r="A1544" i="5"/>
  <c r="A1545" i="5"/>
  <c r="A1546" i="5"/>
  <c r="A1547" i="5"/>
  <c r="A1548" i="5"/>
  <c r="A1549" i="5"/>
  <c r="A1550" i="5"/>
  <c r="A1334" i="5"/>
  <c r="A1335" i="5"/>
  <c r="A1336" i="5"/>
  <c r="A1337" i="5"/>
  <c r="A1338" i="5"/>
  <c r="A1348" i="5"/>
  <c r="A1349" i="5"/>
  <c r="A1350" i="5"/>
  <c r="A1351" i="5"/>
  <c r="A1352" i="5"/>
  <c r="A1353" i="5"/>
  <c r="A1354" i="5"/>
  <c r="A1355" i="5"/>
  <c r="A1356" i="5"/>
  <c r="A1140" i="5"/>
  <c r="A1141" i="5"/>
  <c r="A1142" i="5"/>
  <c r="A1143" i="5"/>
  <c r="A1144" i="5"/>
  <c r="A1154" i="5"/>
  <c r="A1155" i="5"/>
  <c r="A1156" i="5"/>
  <c r="A1157" i="5"/>
  <c r="A1158" i="5"/>
  <c r="A1159" i="5"/>
  <c r="A1160" i="5"/>
  <c r="A1161" i="5"/>
  <c r="A1162" i="5"/>
  <c r="A1116" i="5"/>
  <c r="A1117" i="5"/>
  <c r="A1118" i="5"/>
  <c r="A1119" i="5"/>
  <c r="A1120" i="5"/>
  <c r="A922" i="5"/>
  <c r="A923" i="5"/>
  <c r="A924" i="5"/>
  <c r="A925" i="5"/>
  <c r="A926" i="5"/>
  <c r="A946" i="5"/>
  <c r="A947" i="5"/>
  <c r="A948" i="5"/>
  <c r="A949" i="5"/>
  <c r="A950" i="5"/>
  <c r="A960" i="5"/>
  <c r="A961" i="5"/>
  <c r="A962" i="5"/>
  <c r="A963" i="5"/>
  <c r="A964" i="5"/>
  <c r="A965" i="5"/>
  <c r="A966" i="5"/>
  <c r="A967" i="5"/>
  <c r="A968" i="5"/>
  <c r="A728" i="5"/>
  <c r="A729" i="5"/>
  <c r="A730" i="5"/>
  <c r="A731" i="5"/>
  <c r="A732" i="5"/>
  <c r="A752" i="5"/>
  <c r="A753" i="5"/>
  <c r="A754" i="5"/>
  <c r="A755" i="5"/>
  <c r="A756" i="5"/>
  <c r="A766" i="5"/>
  <c r="A767" i="5"/>
  <c r="A768" i="5"/>
  <c r="A769" i="5"/>
  <c r="A770" i="5"/>
  <c r="A771" i="5"/>
  <c r="A772" i="5"/>
  <c r="A773" i="5"/>
  <c r="A774" i="5"/>
  <c r="A534" i="5"/>
  <c r="A535" i="5"/>
  <c r="A536" i="5"/>
  <c r="A537" i="5"/>
  <c r="A538" i="5"/>
  <c r="A558" i="5"/>
  <c r="A559" i="5"/>
  <c r="A560" i="5"/>
  <c r="A561" i="5"/>
  <c r="A562" i="5"/>
  <c r="A572" i="5"/>
  <c r="A573" i="5"/>
  <c r="A574" i="5"/>
  <c r="A575" i="5"/>
  <c r="A576" i="5"/>
  <c r="A577" i="5"/>
  <c r="A578" i="5"/>
  <c r="A579" i="5"/>
  <c r="A580" i="5"/>
  <c r="A340" i="5"/>
  <c r="A341" i="5"/>
  <c r="A342" i="5"/>
  <c r="A343" i="5"/>
  <c r="A344" i="5"/>
  <c r="A364" i="5"/>
  <c r="A365" i="5"/>
  <c r="A366" i="5"/>
  <c r="A367" i="5"/>
  <c r="A368" i="5"/>
  <c r="A378" i="5"/>
  <c r="A379" i="5"/>
  <c r="A380" i="5"/>
  <c r="A381" i="5"/>
  <c r="A382" i="5"/>
  <c r="A383" i="5"/>
  <c r="A384" i="5"/>
  <c r="A385" i="5"/>
  <c r="A386" i="5"/>
  <c r="A146" i="5"/>
  <c r="A147" i="5"/>
  <c r="A148" i="5"/>
  <c r="A149" i="5"/>
  <c r="A150" i="5"/>
  <c r="A170" i="5"/>
  <c r="A171" i="5"/>
  <c r="A172" i="5"/>
  <c r="A173" i="5"/>
  <c r="A174" i="5"/>
  <c r="A184" i="5"/>
  <c r="A185" i="5"/>
  <c r="A186" i="5"/>
  <c r="A187" i="5"/>
  <c r="A188" i="5"/>
  <c r="A189" i="5"/>
  <c r="A190" i="5"/>
  <c r="A191" i="5"/>
  <c r="A192" i="5"/>
  <c r="AE146" i="1"/>
  <c r="AE147" i="1"/>
  <c r="AE148" i="1"/>
  <c r="AE149" i="1"/>
  <c r="AE150" i="1"/>
  <c r="AE170" i="1"/>
  <c r="AE171" i="1"/>
  <c r="AE172" i="1"/>
  <c r="AE173" i="1"/>
  <c r="AE174" i="1"/>
  <c r="AE184" i="1"/>
  <c r="AE185" i="1"/>
  <c r="AE186" i="1"/>
  <c r="AE187" i="1"/>
  <c r="AE188" i="1"/>
  <c r="AE189" i="1"/>
  <c r="AE190" i="1"/>
  <c r="AE191" i="1"/>
  <c r="AE192" i="1"/>
  <c r="BA1" i="1"/>
  <c r="AZ1" i="1"/>
  <c r="AY1" i="1"/>
  <c r="AA150" i="1"/>
  <c r="S148" i="1"/>
  <c r="AC130" i="1"/>
  <c r="D130" i="1"/>
  <c r="AC19" i="1"/>
  <c r="AC83" i="1"/>
  <c r="AC153" i="1"/>
  <c r="AC95" i="1"/>
  <c r="AC25" i="1"/>
  <c r="AC122" i="1"/>
  <c r="AC44" i="1"/>
  <c r="AC108" i="1"/>
  <c r="AC178" i="1"/>
  <c r="AC173" i="1"/>
  <c r="AC41" i="1"/>
  <c r="AC114" i="1"/>
  <c r="AC45" i="1"/>
  <c r="AC109" i="1"/>
  <c r="AC179" i="1"/>
  <c r="AC189" i="1"/>
  <c r="AC97" i="1"/>
  <c r="AC176" i="1"/>
  <c r="AC62" i="1"/>
  <c r="AC126" i="1"/>
  <c r="AC7" i="1"/>
  <c r="AC48" i="1"/>
  <c r="AC113" i="1"/>
  <c r="AC168" i="1"/>
  <c r="AA51" i="1"/>
  <c r="AA115" i="1"/>
  <c r="AA193" i="1"/>
  <c r="AA60" i="1"/>
  <c r="AA124" i="1"/>
  <c r="AA5" i="1"/>
  <c r="AA69" i="1"/>
  <c r="AA134" i="1"/>
  <c r="AA14" i="1"/>
  <c r="AA78" i="1"/>
  <c r="AA143" i="1"/>
  <c r="AA31" i="1"/>
  <c r="AA103" i="1"/>
  <c r="AA173" i="1"/>
  <c r="AA72" i="1"/>
  <c r="AA56" i="1"/>
  <c r="AA73" i="1"/>
  <c r="AA106" i="1"/>
  <c r="AA174" i="1"/>
  <c r="AA57" i="1"/>
  <c r="AA122" i="1"/>
  <c r="AA34" i="1"/>
  <c r="W133" i="1"/>
  <c r="AC73" i="1"/>
  <c r="AC8" i="1"/>
  <c r="AC6" i="1"/>
  <c r="AC135" i="1"/>
  <c r="AC39" i="1"/>
  <c r="AC151" i="1"/>
  <c r="AA59" i="1"/>
  <c r="AA123" i="1"/>
  <c r="AA4" i="1"/>
  <c r="AA133" i="1"/>
  <c r="AA13" i="1"/>
  <c r="AA77" i="1"/>
  <c r="AA22" i="1"/>
  <c r="AA86" i="1"/>
  <c r="AA164" i="1"/>
  <c r="AA111" i="1"/>
  <c r="AA189" i="1"/>
  <c r="AA80" i="1"/>
  <c r="AA105" i="1"/>
  <c r="AA192" i="1"/>
  <c r="AA89" i="1"/>
  <c r="AA66" i="1"/>
  <c r="W134" i="1"/>
  <c r="AA104" i="1"/>
  <c r="AA18" i="1"/>
  <c r="AA98" i="1"/>
  <c r="K146" i="1"/>
  <c r="G130" i="1"/>
  <c r="AC32" i="1"/>
  <c r="AC68" i="1"/>
  <c r="AC96" i="1"/>
  <c r="AC134" i="1"/>
  <c r="AC22" i="1"/>
  <c r="AC103" i="1"/>
  <c r="AA11" i="1"/>
  <c r="AA20" i="1"/>
  <c r="AA29" i="1"/>
  <c r="AA38" i="1"/>
  <c r="AA55" i="1"/>
  <c r="AA120" i="1"/>
  <c r="AA191" i="1"/>
  <c r="AA33" i="1"/>
  <c r="AD151" i="1"/>
  <c r="AA146" i="1"/>
  <c r="AA151" i="1"/>
  <c r="S147" i="1"/>
  <c r="W146" i="1"/>
  <c r="AD130" i="1"/>
  <c r="K130" i="1"/>
  <c r="E130" i="1"/>
  <c r="AD117" i="1"/>
  <c r="AD179" i="1"/>
  <c r="AD127" i="1"/>
  <c r="AD6" i="1"/>
  <c r="AD95" i="1"/>
  <c r="AD42" i="1"/>
  <c r="AC27" i="1"/>
  <c r="AC91" i="1"/>
  <c r="AC161" i="1"/>
  <c r="AC127" i="1"/>
  <c r="AC57" i="1"/>
  <c r="AC160" i="1"/>
  <c r="AC52" i="1"/>
  <c r="AC116" i="1"/>
  <c r="AC186" i="1"/>
  <c r="AC24" i="1"/>
  <c r="AC152" i="1"/>
  <c r="AC53" i="1"/>
  <c r="AC117" i="1"/>
  <c r="AC187" i="1"/>
  <c r="AC129" i="1"/>
  <c r="AC70" i="1"/>
  <c r="AC80" i="1"/>
  <c r="AC2" i="1"/>
  <c r="AA68" i="1"/>
  <c r="AA142" i="1"/>
  <c r="AA39" i="1"/>
  <c r="AA88" i="1"/>
  <c r="AA139" i="1"/>
  <c r="AA159" i="1"/>
  <c r="AD153" i="1"/>
  <c r="AA138" i="1"/>
  <c r="AA182" i="1"/>
  <c r="AA147" i="1"/>
  <c r="AA153" i="1"/>
  <c r="L130" i="1"/>
  <c r="AD122" i="1"/>
  <c r="AC43" i="1"/>
  <c r="AC177" i="1"/>
  <c r="AC4" i="1"/>
  <c r="AC23" i="1"/>
  <c r="AC5" i="1"/>
  <c r="AC15" i="1"/>
  <c r="AC191" i="1"/>
  <c r="AC156" i="1"/>
  <c r="AC34" i="1"/>
  <c r="AA140" i="1"/>
  <c r="AA162" i="1"/>
  <c r="AA171" i="1"/>
  <c r="AA180" i="1"/>
  <c r="AA24" i="1"/>
  <c r="AA167" i="1"/>
  <c r="AA158" i="1"/>
  <c r="K150" i="1"/>
  <c r="AA154" i="1"/>
  <c r="AA152" i="1"/>
  <c r="W149" i="1"/>
  <c r="W150" i="1"/>
  <c r="AC147" i="1"/>
  <c r="AA130" i="1"/>
  <c r="M130" i="1"/>
  <c r="F130" i="1"/>
  <c r="AD68" i="1"/>
  <c r="AD5" i="1"/>
  <c r="AD135" i="1"/>
  <c r="AD29" i="1"/>
  <c r="AD22" i="1"/>
  <c r="AD8" i="1"/>
  <c r="AD39" i="1"/>
  <c r="AD103" i="1"/>
  <c r="AC35" i="1"/>
  <c r="AC99" i="1"/>
  <c r="AC169" i="1"/>
  <c r="AC165" i="1"/>
  <c r="AC89" i="1"/>
  <c r="AC192" i="1"/>
  <c r="AC60" i="1"/>
  <c r="AC124" i="1"/>
  <c r="AC194" i="1"/>
  <c r="AC64" i="1"/>
  <c r="AC105" i="1"/>
  <c r="AC184" i="1"/>
  <c r="AC61" i="1"/>
  <c r="AC125" i="1"/>
  <c r="AC195" i="1"/>
  <c r="AC72" i="1"/>
  <c r="AC159" i="1"/>
  <c r="AC14" i="1"/>
  <c r="AC78" i="1"/>
  <c r="AC143" i="1"/>
  <c r="AC71" i="1"/>
  <c r="AC112" i="1"/>
  <c r="AC183" i="1"/>
  <c r="AA3" i="1"/>
  <c r="AA67" i="1"/>
  <c r="AA132" i="1"/>
  <c r="AA12" i="1"/>
  <c r="AA76" i="1"/>
  <c r="AA141" i="1"/>
  <c r="AA21" i="1"/>
  <c r="AA85" i="1"/>
  <c r="AA163" i="1"/>
  <c r="AA30" i="1"/>
  <c r="AA94" i="1"/>
  <c r="AA172" i="1"/>
  <c r="AA47" i="1"/>
  <c r="AA119" i="1"/>
  <c r="AA8" i="1"/>
  <c r="AA96" i="1"/>
  <c r="AA168" i="1"/>
  <c r="AA121" i="1"/>
  <c r="AD161" i="1"/>
  <c r="P146" i="1"/>
  <c r="Y146" i="1"/>
  <c r="W130" i="1"/>
  <c r="AD43" i="1"/>
  <c r="AD45" i="1"/>
  <c r="AD129" i="1"/>
  <c r="AD41" i="1"/>
  <c r="AC107" i="1"/>
  <c r="AC121" i="1"/>
  <c r="AC133" i="1"/>
  <c r="AC138" i="1"/>
  <c r="AC69" i="1"/>
  <c r="AC104" i="1"/>
  <c r="AC86" i="1"/>
  <c r="AC145" i="1"/>
  <c r="AA75" i="1"/>
  <c r="AA84" i="1"/>
  <c r="AA93" i="1"/>
  <c r="AA102" i="1"/>
  <c r="AA127" i="1"/>
  <c r="AA112" i="1"/>
  <c r="AA50" i="1"/>
  <c r="AA131" i="1"/>
  <c r="M146" i="1"/>
  <c r="AA148" i="1"/>
  <c r="U147" i="1"/>
  <c r="Y130" i="1"/>
  <c r="I130" i="1"/>
  <c r="AD97" i="1"/>
  <c r="AD104" i="1"/>
  <c r="AD192" i="1"/>
  <c r="AD2" i="1"/>
  <c r="AC123" i="1"/>
  <c r="AC88" i="1"/>
  <c r="AC20" i="1"/>
  <c r="AC154" i="1"/>
  <c r="AC158" i="1"/>
  <c r="AC21" i="1"/>
  <c r="AC155" i="1"/>
  <c r="AC174" i="1"/>
  <c r="AC38" i="1"/>
  <c r="AC172" i="1"/>
  <c r="AC9" i="1"/>
  <c r="AA27" i="1"/>
  <c r="AA169" i="1"/>
  <c r="AA100" i="1"/>
  <c r="AA45" i="1"/>
  <c r="AA187" i="1"/>
  <c r="AA118" i="1"/>
  <c r="AA79" i="1"/>
  <c r="AA40" i="1"/>
  <c r="AA145" i="1"/>
  <c r="AA49" i="1"/>
  <c r="AA26" i="1"/>
  <c r="AA65" i="1"/>
  <c r="T148" i="1"/>
  <c r="K148" i="1"/>
  <c r="AA156" i="1"/>
  <c r="AC146" i="1"/>
  <c r="S130" i="1"/>
  <c r="AD108" i="1"/>
  <c r="AD121" i="1"/>
  <c r="AD189" i="1"/>
  <c r="AD7" i="1"/>
  <c r="AD32" i="1"/>
  <c r="AC3" i="1"/>
  <c r="AC132" i="1"/>
  <c r="AC120" i="1"/>
  <c r="AC28" i="1"/>
  <c r="AC162" i="1"/>
  <c r="AC182" i="1"/>
  <c r="AC29" i="1"/>
  <c r="AC163" i="1"/>
  <c r="AC33" i="1"/>
  <c r="AC46" i="1"/>
  <c r="AC180" i="1"/>
  <c r="AC49" i="1"/>
  <c r="AA35" i="1"/>
  <c r="AA177" i="1"/>
  <c r="AA108" i="1"/>
  <c r="AA53" i="1"/>
  <c r="AA195" i="1"/>
  <c r="AA126" i="1"/>
  <c r="AA87" i="1"/>
  <c r="AA48" i="1"/>
  <c r="AA9" i="1"/>
  <c r="AA81" i="1"/>
  <c r="AA58" i="1"/>
  <c r="AA166" i="1"/>
  <c r="U148" i="1"/>
  <c r="Q146" i="1"/>
  <c r="W147" i="1"/>
  <c r="O130" i="1"/>
  <c r="AD20" i="1"/>
  <c r="AD53" i="1"/>
  <c r="AD173" i="1"/>
  <c r="AD78" i="1"/>
  <c r="AD49" i="1"/>
  <c r="AD105" i="1"/>
  <c r="AC59" i="1"/>
  <c r="AC193" i="1"/>
  <c r="AC10" i="1"/>
  <c r="AC84" i="1"/>
  <c r="AC79" i="1"/>
  <c r="AC26" i="1"/>
  <c r="AC85" i="1"/>
  <c r="AC87" i="1"/>
  <c r="AC66" i="1"/>
  <c r="AC102" i="1"/>
  <c r="AC181" i="1"/>
  <c r="AC74" i="1"/>
  <c r="AA91" i="1"/>
  <c r="AA36" i="1"/>
  <c r="AA178" i="1"/>
  <c r="AA109" i="1"/>
  <c r="AA54" i="1"/>
  <c r="AA7" i="1"/>
  <c r="AA144" i="1"/>
  <c r="AA71" i="1"/>
  <c r="AA10" i="1"/>
  <c r="AA114" i="1"/>
  <c r="AA129" i="1"/>
  <c r="AD155" i="1"/>
  <c r="P150" i="1"/>
  <c r="L148" i="1"/>
  <c r="AC148" i="1"/>
  <c r="H130" i="1"/>
  <c r="AD70" i="1"/>
  <c r="AD10" i="1"/>
  <c r="AD114" i="1"/>
  <c r="AD138" i="1"/>
  <c r="AC140" i="1"/>
  <c r="AC90" i="1"/>
  <c r="AC47" i="1"/>
  <c r="AC13" i="1"/>
  <c r="AC119" i="1"/>
  <c r="AC54" i="1"/>
  <c r="AC40" i="1"/>
  <c r="AA83" i="1"/>
  <c r="AA92" i="1"/>
  <c r="AA117" i="1"/>
  <c r="AA135" i="1"/>
  <c r="AA165" i="1"/>
  <c r="AA190" i="1"/>
  <c r="AA176" i="1"/>
  <c r="AD143" i="1"/>
  <c r="Q148" i="1"/>
  <c r="S150" i="1"/>
  <c r="AD119" i="1"/>
  <c r="AD15" i="1"/>
  <c r="AC185" i="1"/>
  <c r="AC12" i="1"/>
  <c r="AC37" i="1"/>
  <c r="AC157" i="1"/>
  <c r="AC190" i="1"/>
  <c r="AA99" i="1"/>
  <c r="AA125" i="1"/>
  <c r="AA188" i="1"/>
  <c r="AA32" i="1"/>
  <c r="AA90" i="1"/>
  <c r="M150" i="1"/>
  <c r="U150" i="1"/>
  <c r="AD84" i="1"/>
  <c r="AD109" i="1"/>
  <c r="AC31" i="1"/>
  <c r="AC36" i="1"/>
  <c r="AC77" i="1"/>
  <c r="AC137" i="1"/>
  <c r="AC81" i="1"/>
  <c r="AA107" i="1"/>
  <c r="AA179" i="1"/>
  <c r="AA64" i="1"/>
  <c r="AA74" i="1"/>
  <c r="AD165" i="1"/>
  <c r="X149" i="1"/>
  <c r="AD48" i="1"/>
  <c r="AD126" i="1"/>
  <c r="AC11" i="1"/>
  <c r="AC63" i="1"/>
  <c r="AC93" i="1"/>
  <c r="AC118" i="1"/>
  <c r="AA161" i="1"/>
  <c r="AA6" i="1"/>
  <c r="AA137" i="1"/>
  <c r="AA160" i="1"/>
  <c r="P130" i="1"/>
  <c r="AD28" i="1"/>
  <c r="AD81" i="1"/>
  <c r="AC167" i="1"/>
  <c r="AC171" i="1"/>
  <c r="AA44" i="1"/>
  <c r="AA128" i="1"/>
  <c r="AA2" i="1"/>
  <c r="S149" i="1"/>
  <c r="AD12" i="1"/>
  <c r="AD182" i="1"/>
  <c r="AC50" i="1"/>
  <c r="AC30" i="1"/>
  <c r="AA101" i="1"/>
  <c r="AA25" i="1"/>
  <c r="K149" i="1"/>
  <c r="AC149" i="1"/>
  <c r="AD44" i="1"/>
  <c r="AD61" i="1"/>
  <c r="AC111" i="1"/>
  <c r="AC94" i="1"/>
  <c r="AA116" i="1"/>
  <c r="AA42" i="1"/>
  <c r="Q150" i="1"/>
  <c r="AD149" i="1"/>
  <c r="AD184" i="1"/>
  <c r="AC136" i="1"/>
  <c r="AC110" i="1"/>
  <c r="AA170" i="1"/>
  <c r="AA15" i="1"/>
  <c r="AA97" i="1"/>
  <c r="O150" i="1"/>
  <c r="K147" i="1"/>
  <c r="X130" i="1"/>
  <c r="AD116" i="1"/>
  <c r="AD62" i="1"/>
  <c r="AD71" i="1"/>
  <c r="AC76" i="1"/>
  <c r="AC65" i="1"/>
  <c r="AC42" i="1"/>
  <c r="AA186" i="1"/>
  <c r="AA23" i="1"/>
  <c r="AA17" i="1"/>
  <c r="AD160" i="1"/>
  <c r="AD140" i="1"/>
  <c r="AD72" i="1"/>
  <c r="AC75" i="1"/>
  <c r="AC58" i="1"/>
  <c r="AA19" i="1"/>
  <c r="AA61" i="1"/>
  <c r="AA175" i="1"/>
  <c r="AD157" i="1"/>
  <c r="AC150" i="1"/>
  <c r="AD14" i="1"/>
  <c r="AD73" i="1"/>
  <c r="AC170" i="1"/>
  <c r="AC16" i="1"/>
  <c r="AA110" i="1"/>
  <c r="AD134" i="1"/>
  <c r="AC128" i="1"/>
  <c r="AC139" i="1"/>
  <c r="AA136" i="1"/>
  <c r="Q130" i="1"/>
  <c r="AD113" i="1"/>
  <c r="AC55" i="1"/>
  <c r="AA52" i="1"/>
  <c r="AA41" i="1"/>
  <c r="AA155" i="1"/>
  <c r="X147" i="1"/>
  <c r="U130" i="1"/>
  <c r="AD75" i="1"/>
  <c r="AD37" i="1"/>
  <c r="AD65" i="1"/>
  <c r="AD102" i="1"/>
  <c r="AD24" i="1"/>
  <c r="AD79" i="1"/>
  <c r="AC51" i="1"/>
  <c r="AC56" i="1"/>
  <c r="AC92" i="1"/>
  <c r="AC17" i="1"/>
  <c r="AC101" i="1"/>
  <c r="AC18" i="1"/>
  <c r="AC164" i="1"/>
  <c r="AC106" i="1"/>
  <c r="AA185" i="1"/>
  <c r="AA194" i="1"/>
  <c r="AA46" i="1"/>
  <c r="AA63" i="1"/>
  <c r="AA181" i="1"/>
  <c r="AA113" i="1"/>
  <c r="AA183" i="1"/>
  <c r="AD152" i="1"/>
  <c r="N149" i="1"/>
  <c r="AA149" i="1"/>
  <c r="Y147" i="1"/>
  <c r="N130" i="1"/>
  <c r="AD69" i="1"/>
  <c r="AD183" i="1"/>
  <c r="AD118" i="1"/>
  <c r="AD17" i="1"/>
  <c r="AD136" i="1"/>
  <c r="AC67" i="1"/>
  <c r="AC166" i="1"/>
  <c r="AC100" i="1"/>
  <c r="AC175" i="1"/>
  <c r="AC142" i="1"/>
  <c r="AC98" i="1"/>
  <c r="AC188" i="1"/>
  <c r="AC131" i="1"/>
  <c r="AA28" i="1"/>
  <c r="AA37" i="1"/>
  <c r="AA62" i="1"/>
  <c r="AA95" i="1"/>
  <c r="AA16" i="1"/>
  <c r="AA82" i="1"/>
  <c r="AA184" i="1"/>
  <c r="AD163" i="1"/>
  <c r="Q147" i="1"/>
  <c r="S146" i="1"/>
  <c r="W148" i="1"/>
  <c r="AD85" i="1"/>
  <c r="AD64" i="1"/>
  <c r="AC141" i="1"/>
  <c r="AC144" i="1"/>
  <c r="AA70" i="1"/>
  <c r="L146" i="1"/>
  <c r="AD124" i="1"/>
  <c r="AC115" i="1"/>
  <c r="AC82" i="1"/>
  <c r="AA43" i="1"/>
  <c r="AA157" i="1"/>
  <c r="AD168" i="1"/>
  <c r="AD19" i="1"/>
  <c r="AD83" i="1"/>
  <c r="AD25" i="1"/>
  <c r="AD178" i="1"/>
  <c r="AD176" i="1"/>
  <c r="N146" i="1"/>
  <c r="O146" i="1"/>
  <c r="AD96" i="1"/>
  <c r="T147" i="1"/>
  <c r="X146" i="1"/>
  <c r="AD27" i="1"/>
  <c r="AD91" i="1"/>
  <c r="AD57" i="1"/>
  <c r="AD52" i="1"/>
  <c r="AD186" i="1"/>
  <c r="AD187" i="1"/>
  <c r="AD80" i="1"/>
  <c r="AD177" i="1"/>
  <c r="AD4" i="1"/>
  <c r="AD23" i="1"/>
  <c r="AD191" i="1"/>
  <c r="AD156" i="1"/>
  <c r="AD34" i="1"/>
  <c r="L150" i="1"/>
  <c r="N150" i="1"/>
  <c r="Y149" i="1"/>
  <c r="X150" i="1"/>
  <c r="AD147" i="1"/>
  <c r="AD35" i="1"/>
  <c r="AD99" i="1"/>
  <c r="AD169" i="1"/>
  <c r="AD89" i="1"/>
  <c r="AD60" i="1"/>
  <c r="AD194" i="1"/>
  <c r="AD125" i="1"/>
  <c r="AD195" i="1"/>
  <c r="AD159" i="1"/>
  <c r="AD112" i="1"/>
  <c r="AD107" i="1"/>
  <c r="AD133" i="1"/>
  <c r="AD86" i="1"/>
  <c r="AD145" i="1"/>
  <c r="AD123" i="1"/>
  <c r="AD88" i="1"/>
  <c r="AD154" i="1"/>
  <c r="AD158" i="1"/>
  <c r="AD21" i="1"/>
  <c r="AD174" i="1"/>
  <c r="AD38" i="1"/>
  <c r="AD172" i="1"/>
  <c r="AD9" i="1"/>
  <c r="M148" i="1"/>
  <c r="P148" i="1"/>
  <c r="N148" i="1"/>
  <c r="O148" i="1"/>
  <c r="AD146" i="1"/>
  <c r="T130" i="1"/>
  <c r="AD3" i="1"/>
  <c r="AD132" i="1"/>
  <c r="AD120" i="1"/>
  <c r="AD162" i="1"/>
  <c r="AD33" i="1"/>
  <c r="AD46" i="1"/>
  <c r="AD180" i="1"/>
  <c r="AD59" i="1"/>
  <c r="AD193" i="1"/>
  <c r="AD26" i="1"/>
  <c r="AD87" i="1"/>
  <c r="AD66" i="1"/>
  <c r="AD181" i="1"/>
  <c r="AD74" i="1"/>
  <c r="AD148" i="1"/>
  <c r="AD90" i="1"/>
  <c r="AD47" i="1"/>
  <c r="AD13" i="1"/>
  <c r="AD54" i="1"/>
  <c r="AD40" i="1"/>
  <c r="T150" i="1"/>
  <c r="AD185" i="1"/>
  <c r="AD190" i="1"/>
  <c r="AD31" i="1"/>
  <c r="AD36" i="1"/>
  <c r="AD77" i="1"/>
  <c r="AD137" i="1"/>
  <c r="AD11" i="1"/>
  <c r="AD63" i="1"/>
  <c r="AD93" i="1"/>
  <c r="AD167" i="1"/>
  <c r="AD171" i="1"/>
  <c r="U149" i="1"/>
  <c r="T149" i="1"/>
  <c r="AD50" i="1"/>
  <c r="AD30" i="1"/>
  <c r="Q149" i="1"/>
  <c r="O149" i="1"/>
  <c r="P149" i="1"/>
  <c r="L149" i="1"/>
  <c r="M149" i="1"/>
  <c r="AD111" i="1"/>
  <c r="AD94" i="1"/>
  <c r="AD110" i="1"/>
  <c r="P147" i="1"/>
  <c r="O147" i="1"/>
  <c r="L147" i="1"/>
  <c r="M147" i="1"/>
  <c r="N147" i="1"/>
  <c r="AD76" i="1"/>
  <c r="AD58" i="1"/>
  <c r="AD150" i="1"/>
  <c r="AD170" i="1"/>
  <c r="AD16" i="1"/>
  <c r="AD128" i="1"/>
  <c r="AD139" i="1"/>
  <c r="AD55" i="1"/>
  <c r="AD51" i="1"/>
  <c r="AD56" i="1"/>
  <c r="AD92" i="1"/>
  <c r="AD101" i="1"/>
  <c r="AD18" i="1"/>
  <c r="AD164" i="1"/>
  <c r="AD106" i="1"/>
  <c r="AD67" i="1"/>
  <c r="AD166" i="1"/>
  <c r="AD100" i="1"/>
  <c r="AD175" i="1"/>
  <c r="AD142" i="1"/>
  <c r="AD98" i="1"/>
  <c r="AD188" i="1"/>
  <c r="AD131" i="1"/>
  <c r="U146" i="1"/>
  <c r="T146" i="1"/>
  <c r="X148" i="1"/>
  <c r="AD141" i="1"/>
  <c r="AD144" i="1"/>
  <c r="AD115" i="1"/>
  <c r="AD82" i="1"/>
  <c r="A4156" i="5" l="1"/>
  <c r="A4189" i="5"/>
  <c r="A4218" i="5"/>
  <c r="A4215" i="5"/>
  <c r="A3446" i="5"/>
  <c r="A2862" i="5"/>
  <c r="A3056" i="5"/>
  <c r="A4205" i="5"/>
  <c r="A4262" i="5"/>
  <c r="A4172" i="5"/>
  <c r="A4216" i="5"/>
  <c r="A4249" i="5"/>
  <c r="A4174" i="5"/>
  <c r="A4240" i="5"/>
  <c r="A4141" i="5"/>
  <c r="A4180" i="5"/>
  <c r="A4238" i="5"/>
  <c r="A4092" i="5"/>
  <c r="A4175" i="5"/>
  <c r="A4166" i="5"/>
  <c r="A4130" i="5"/>
  <c r="A4125" i="5"/>
  <c r="A4129" i="5"/>
  <c r="A4213" i="5"/>
  <c r="A4202" i="5"/>
  <c r="A4090" i="5"/>
  <c r="A4244" i="5"/>
  <c r="A4224" i="5"/>
  <c r="A4132" i="5"/>
  <c r="A4150" i="5"/>
  <c r="A1893" i="5"/>
  <c r="A1699" i="5"/>
  <c r="A1505" i="5"/>
  <c r="A2087" i="5"/>
  <c r="A2281" i="5"/>
  <c r="A4184" i="5"/>
  <c r="A4168" i="5"/>
  <c r="A4185" i="5"/>
  <c r="A1701" i="5"/>
  <c r="A1507" i="5"/>
  <c r="A2283" i="5"/>
  <c r="A2089" i="5"/>
  <c r="A2477" i="5"/>
  <c r="A4104" i="5"/>
  <c r="A4124" i="5"/>
  <c r="A2865" i="5"/>
  <c r="A3059" i="5"/>
  <c r="A4245" i="5"/>
  <c r="A4241" i="5"/>
  <c r="A4167" i="5"/>
  <c r="A4137" i="5"/>
  <c r="A4085" i="5"/>
  <c r="A4211" i="5"/>
  <c r="A4151" i="5"/>
  <c r="A4110" i="5"/>
  <c r="A4105" i="5"/>
  <c r="A4264" i="5"/>
  <c r="A4259" i="5"/>
  <c r="A2866" i="5"/>
  <c r="A4114" i="5"/>
  <c r="A4128" i="5"/>
  <c r="A4087" i="5"/>
  <c r="A4121" i="5"/>
  <c r="A4164" i="5"/>
  <c r="A4222" i="5"/>
  <c r="A4148" i="5"/>
  <c r="A4255" i="5"/>
  <c r="A4140" i="5"/>
  <c r="A4161" i="5"/>
  <c r="A4100" i="5"/>
  <c r="A4267" i="5"/>
  <c r="A4133" i="5"/>
  <c r="A4254" i="5"/>
  <c r="A4120" i="5"/>
  <c r="A4107" i="5"/>
  <c r="A4236" i="5"/>
  <c r="A4194" i="5"/>
  <c r="A4206" i="5"/>
  <c r="A4077" i="5"/>
  <c r="A2846" i="5"/>
  <c r="A4220" i="5"/>
  <c r="A2088" i="5"/>
  <c r="A1894" i="5"/>
  <c r="A2282" i="5"/>
  <c r="A1700" i="5"/>
  <c r="A4083" i="5"/>
  <c r="A4246" i="5"/>
  <c r="A4112" i="5"/>
  <c r="A4248" i="5"/>
  <c r="A4095" i="5"/>
  <c r="A4232" i="5"/>
  <c r="A4228" i="5"/>
  <c r="A4162" i="5"/>
  <c r="A4197" i="5"/>
  <c r="A4219" i="5"/>
  <c r="A4160" i="5"/>
  <c r="A4207" i="5"/>
  <c r="A4181" i="5"/>
  <c r="A4186" i="5"/>
  <c r="A4233" i="5"/>
  <c r="A4269" i="5"/>
  <c r="A4199" i="5"/>
  <c r="A4268" i="5"/>
  <c r="A4134" i="5"/>
  <c r="A4163" i="5"/>
  <c r="A4243" i="5"/>
  <c r="A4173" i="5"/>
  <c r="A4109" i="5"/>
  <c r="A4221" i="5"/>
  <c r="A3448" i="5"/>
  <c r="A3641" i="5"/>
  <c r="A1896" i="5"/>
  <c r="A1508" i="5"/>
  <c r="A4108" i="5"/>
  <c r="A4230" i="5"/>
  <c r="A4265" i="5"/>
  <c r="A4097" i="5"/>
  <c r="A4078" i="5"/>
  <c r="A4251" i="5"/>
  <c r="A4154" i="5"/>
  <c r="A4261" i="5"/>
  <c r="A4260" i="5"/>
  <c r="A4126" i="5"/>
  <c r="A4131" i="5"/>
  <c r="A4165" i="5"/>
  <c r="A4101" i="5"/>
  <c r="A3444" i="5"/>
  <c r="A2863" i="5"/>
  <c r="A4170" i="5"/>
  <c r="A2086" i="5"/>
  <c r="A1892" i="5"/>
  <c r="A4250" i="5"/>
  <c r="A4252" i="5"/>
  <c r="A4099" i="5"/>
  <c r="A4157" i="5"/>
  <c r="A4093" i="5"/>
  <c r="A4242" i="5"/>
  <c r="A3843" i="5"/>
  <c r="A3729" i="5"/>
  <c r="A3962" i="5"/>
  <c r="A3995" i="5"/>
  <c r="A4198" i="5"/>
  <c r="A1504" i="5"/>
  <c r="A3756" i="5"/>
  <c r="A4024" i="5"/>
  <c r="A4021" i="5"/>
  <c r="A4138" i="5"/>
  <c r="A4159" i="5"/>
  <c r="A3252" i="5"/>
  <c r="A2668" i="5"/>
  <c r="A2475" i="5"/>
  <c r="A4237" i="5"/>
  <c r="A3870" i="5"/>
  <c r="A3768" i="5"/>
  <c r="A3702" i="5"/>
  <c r="A3781" i="5"/>
  <c r="A3748" i="5"/>
  <c r="A3723" i="5"/>
  <c r="A3714" i="5"/>
  <c r="A4011" i="5"/>
  <c r="A4068" i="5"/>
  <c r="A3978" i="5"/>
  <c r="A4022" i="5"/>
  <c r="A4055" i="5"/>
  <c r="A3980" i="5"/>
  <c r="A4046" i="5"/>
  <c r="A3947" i="5"/>
  <c r="A4210" i="5"/>
  <c r="A4091" i="5"/>
  <c r="A4192" i="5"/>
  <c r="A4257" i="5"/>
  <c r="A4143" i="5"/>
  <c r="A1876" i="5"/>
  <c r="A3639" i="5"/>
  <c r="A3835" i="5"/>
  <c r="A1895" i="5"/>
  <c r="A4226" i="5"/>
  <c r="A3869" i="5"/>
  <c r="A3799" i="5"/>
  <c r="A3867" i="5"/>
  <c r="A3749" i="5"/>
  <c r="A3732" i="5"/>
  <c r="A3880" i="5"/>
  <c r="A3871" i="5"/>
  <c r="A3986" i="5"/>
  <c r="A4044" i="5"/>
  <c r="A3898" i="5"/>
  <c r="A3981" i="5"/>
  <c r="A3897" i="5"/>
  <c r="A3972" i="5"/>
  <c r="A3936" i="5"/>
  <c r="A3931" i="5"/>
  <c r="A4153" i="5"/>
  <c r="A4098" i="5"/>
  <c r="A4176" i="5"/>
  <c r="A4139" i="5"/>
  <c r="A4111" i="5"/>
  <c r="A4149" i="5"/>
  <c r="A3040" i="5"/>
  <c r="A3445" i="5"/>
  <c r="A3841" i="5"/>
  <c r="A3727" i="5"/>
  <c r="A3738" i="5"/>
  <c r="A3935" i="5"/>
  <c r="A4187" i="5"/>
  <c r="A2458" i="5"/>
  <c r="A3822" i="5"/>
  <c r="A4019" i="5"/>
  <c r="A4008" i="5"/>
  <c r="A4208" i="5"/>
  <c r="A3796" i="5"/>
  <c r="A3896" i="5"/>
  <c r="A4050" i="5"/>
  <c r="A4147" i="5"/>
  <c r="A4088" i="5"/>
  <c r="A4030" i="5"/>
  <c r="A4231" i="5"/>
  <c r="A3861" i="5"/>
  <c r="A3747" i="5"/>
  <c r="A3705" i="5"/>
  <c r="A3938" i="5"/>
  <c r="A3955" i="5"/>
  <c r="A4146" i="5"/>
  <c r="A4214" i="5"/>
  <c r="A4234" i="5"/>
  <c r="A3703" i="5"/>
  <c r="A3709" i="5"/>
  <c r="A3872" i="5"/>
  <c r="A3922" i="5"/>
  <c r="A3945" i="5"/>
  <c r="A3956" i="5"/>
  <c r="A4145" i="5"/>
  <c r="A4136" i="5"/>
  <c r="A4190" i="5"/>
  <c r="A3428" i="5"/>
  <c r="A1311" i="5"/>
  <c r="A2090" i="5"/>
  <c r="A3783" i="5"/>
  <c r="A3701" i="5"/>
  <c r="A3856" i="5"/>
  <c r="A3990" i="5"/>
  <c r="A4016" i="5"/>
  <c r="A4258" i="5"/>
  <c r="A4223" i="5"/>
  <c r="A2478" i="5"/>
  <c r="A3728" i="5"/>
  <c r="A3802" i="5"/>
  <c r="A3974" i="5"/>
  <c r="A3991" i="5"/>
  <c r="A4135" i="5"/>
  <c r="A4118" i="5"/>
  <c r="A4029" i="5"/>
  <c r="A1313" i="5"/>
  <c r="A3711" i="5"/>
  <c r="A3787" i="5"/>
  <c r="A3910" i="5"/>
  <c r="A3930" i="5"/>
  <c r="A4256" i="5"/>
  <c r="A4086" i="5"/>
  <c r="A2671" i="5"/>
  <c r="A3688" i="5"/>
  <c r="A3814" i="5"/>
  <c r="A3730" i="5"/>
  <c r="A4051" i="5"/>
  <c r="A4047" i="5"/>
  <c r="A4155" i="5"/>
  <c r="A4102" i="5"/>
  <c r="A2264" i="5"/>
  <c r="A3846" i="5"/>
  <c r="A3823" i="5"/>
  <c r="A3692" i="5"/>
  <c r="A3847" i="5"/>
  <c r="A3998" i="5"/>
  <c r="A3973" i="5"/>
  <c r="A3943" i="5"/>
  <c r="A3891" i="5"/>
  <c r="A4200" i="5"/>
  <c r="A4122" i="5"/>
  <c r="A3447" i="5"/>
  <c r="A4239" i="5"/>
  <c r="A3760" i="5"/>
  <c r="A3750" i="5"/>
  <c r="A3865" i="5"/>
  <c r="A3793" i="5"/>
  <c r="A3961" i="5"/>
  <c r="A4017" i="5"/>
  <c r="A3957" i="5"/>
  <c r="A3916" i="5"/>
  <c r="A3911" i="5"/>
  <c r="A4183" i="5"/>
  <c r="A4158" i="5"/>
  <c r="A3060" i="5"/>
  <c r="A1702" i="5"/>
  <c r="A3776" i="5"/>
  <c r="A3718" i="5"/>
  <c r="A3874" i="5"/>
  <c r="A3811" i="5"/>
  <c r="A3785" i="5"/>
  <c r="A4070" i="5"/>
  <c r="A4037" i="5"/>
  <c r="A3917" i="5"/>
  <c r="A3892" i="5"/>
  <c r="A4065" i="5"/>
  <c r="A4089" i="5"/>
  <c r="A4193" i="5"/>
  <c r="A2672" i="5"/>
  <c r="A2476" i="5"/>
  <c r="A4217" i="5"/>
  <c r="A3862" i="5"/>
  <c r="A3876" i="5"/>
  <c r="A3851" i="5"/>
  <c r="A3821" i="5"/>
  <c r="A3803" i="5"/>
  <c r="A3778" i="5"/>
  <c r="A3769" i="5"/>
  <c r="A3920" i="5"/>
  <c r="A3934" i="5"/>
  <c r="A3999" i="5"/>
  <c r="A3893" i="5"/>
  <c r="A3927" i="5"/>
  <c r="A3970" i="5"/>
  <c r="A4020" i="5"/>
  <c r="A4212" i="5"/>
  <c r="A4188" i="5"/>
  <c r="A4084" i="5"/>
  <c r="A4144" i="5"/>
  <c r="A4028" i="5"/>
  <c r="A1506" i="5"/>
  <c r="A2284" i="5"/>
  <c r="A4229" i="5"/>
  <c r="A3815" i="5"/>
  <c r="A3800" i="5"/>
  <c r="A3696" i="5"/>
  <c r="A3757" i="5"/>
  <c r="A3830" i="5"/>
  <c r="A3693" i="5"/>
  <c r="A3740" i="5"/>
  <c r="A3795" i="5"/>
  <c r="A3864" i="5"/>
  <c r="A3722" i="5"/>
  <c r="A3777" i="5"/>
  <c r="A3954" i="5"/>
  <c r="A4061" i="5"/>
  <c r="A3982" i="5"/>
  <c r="A3946" i="5"/>
  <c r="A3967" i="5"/>
  <c r="A3965" i="5"/>
  <c r="A3906" i="5"/>
  <c r="A3959" i="5"/>
  <c r="A3964" i="5"/>
  <c r="A3890" i="5"/>
  <c r="A4073" i="5"/>
  <c r="A3939" i="5"/>
  <c r="A4179" i="5"/>
  <c r="A4123" i="5"/>
  <c r="A4152" i="5"/>
  <c r="A4247" i="5"/>
  <c r="A4127" i="5"/>
  <c r="A4094" i="5"/>
  <c r="A2070" i="5"/>
  <c r="A3251" i="5"/>
  <c r="A2474" i="5"/>
  <c r="A3058" i="5"/>
  <c r="A3852" i="5"/>
  <c r="A3744" i="5"/>
  <c r="A3767" i="5"/>
  <c r="A3695" i="5"/>
  <c r="A3734" i="5"/>
  <c r="A3773" i="5"/>
  <c r="A3812" i="5"/>
  <c r="A3881" i="5"/>
  <c r="A3739" i="5"/>
  <c r="A3794" i="5"/>
  <c r="A3863" i="5"/>
  <c r="A3721" i="5"/>
  <c r="A3929" i="5"/>
  <c r="A4060" i="5"/>
  <c r="A3926" i="5"/>
  <c r="A3913" i="5"/>
  <c r="A4043" i="5"/>
  <c r="A3909" i="5"/>
  <c r="A4062" i="5"/>
  <c r="A4042" i="5"/>
  <c r="A3908" i="5"/>
  <c r="A4000" i="5"/>
  <c r="A4012" i="5"/>
  <c r="A3883" i="5"/>
  <c r="A4106" i="5"/>
  <c r="A4081" i="5"/>
  <c r="A4263" i="5"/>
  <c r="A4195" i="5"/>
  <c r="A4182" i="5"/>
  <c r="A2652" i="5"/>
  <c r="A4026" i="5"/>
  <c r="A3842" i="5"/>
  <c r="A1312" i="5"/>
  <c r="A2864" i="5"/>
  <c r="A3751" i="5"/>
  <c r="A3712" i="5"/>
  <c r="A3735" i="5"/>
  <c r="A3831" i="5"/>
  <c r="A3726" i="5"/>
  <c r="A3765" i="5"/>
  <c r="A3804" i="5"/>
  <c r="A3873" i="5"/>
  <c r="A3731" i="5"/>
  <c r="A3786" i="5"/>
  <c r="A3855" i="5"/>
  <c r="A3713" i="5"/>
  <c r="A3889" i="5"/>
  <c r="A4052" i="5"/>
  <c r="A3918" i="5"/>
  <c r="A4054" i="5"/>
  <c r="A4035" i="5"/>
  <c r="A3901" i="5"/>
  <c r="A4038" i="5"/>
  <c r="A4034" i="5"/>
  <c r="A3900" i="5"/>
  <c r="A3968" i="5"/>
  <c r="A4003" i="5"/>
  <c r="A4076" i="5"/>
  <c r="A4266" i="5"/>
  <c r="A4178" i="5"/>
  <c r="A4171" i="5"/>
  <c r="A3622" i="5"/>
  <c r="A3057" i="5"/>
  <c r="A3834" i="5"/>
  <c r="A1698" i="5"/>
  <c r="A3817" i="5"/>
  <c r="A3736" i="5"/>
  <c r="A3798" i="5"/>
  <c r="A3813" i="5"/>
  <c r="A3788" i="5"/>
  <c r="A3779" i="5"/>
  <c r="A3770" i="5"/>
  <c r="A3761" i="5"/>
  <c r="A4025" i="5"/>
  <c r="A3966" i="5"/>
  <c r="A3984" i="5"/>
  <c r="A3949" i="5"/>
  <c r="A4018" i="5"/>
  <c r="A4013" i="5"/>
  <c r="A4001" i="5"/>
  <c r="A3987" i="5"/>
  <c r="A4115" i="5"/>
  <c r="A4203" i="5"/>
  <c r="A4119" i="5"/>
  <c r="A4117" i="5"/>
  <c r="A3234" i="5"/>
  <c r="A3638" i="5"/>
  <c r="A2280" i="5"/>
  <c r="A4235" i="5"/>
  <c r="A3807" i="5"/>
  <c r="A3854" i="5"/>
  <c r="A3782" i="5"/>
  <c r="A3694" i="5"/>
  <c r="A3805" i="5"/>
  <c r="A3733" i="5"/>
  <c r="A3858" i="5"/>
  <c r="A3780" i="5"/>
  <c r="A3716" i="5"/>
  <c r="A3849" i="5"/>
  <c r="A3771" i="5"/>
  <c r="A3707" i="5"/>
  <c r="A3827" i="5"/>
  <c r="A3762" i="5"/>
  <c r="A3698" i="5"/>
  <c r="A3818" i="5"/>
  <c r="A3753" i="5"/>
  <c r="A3689" i="5"/>
  <c r="A4063" i="5"/>
  <c r="A3992" i="5"/>
  <c r="A3951" i="5"/>
  <c r="A4023" i="5"/>
  <c r="A3958" i="5"/>
  <c r="A3894" i="5"/>
  <c r="A4039" i="5"/>
  <c r="A3952" i="5"/>
  <c r="A4075" i="5"/>
  <c r="A4005" i="5"/>
  <c r="A3941" i="5"/>
  <c r="A4064" i="5"/>
  <c r="A3985" i="5"/>
  <c r="A3944" i="5"/>
  <c r="A4074" i="5"/>
  <c r="A4004" i="5"/>
  <c r="A3940" i="5"/>
  <c r="A4072" i="5"/>
  <c r="A3969" i="5"/>
  <c r="A4045" i="5"/>
  <c r="A4049" i="5"/>
  <c r="A3979" i="5"/>
  <c r="A3915" i="5"/>
  <c r="A4177" i="5"/>
  <c r="A4113" i="5"/>
  <c r="A4082" i="5"/>
  <c r="A4096" i="5"/>
  <c r="A4103" i="5"/>
  <c r="A4209" i="5"/>
  <c r="A4079" i="5"/>
  <c r="A4142" i="5"/>
  <c r="A1682" i="5"/>
  <c r="A3816" i="5"/>
  <c r="A4027" i="5"/>
  <c r="A3254" i="5"/>
  <c r="A3253" i="5"/>
  <c r="A3838" i="5"/>
  <c r="A3840" i="5"/>
  <c r="A1314" i="5"/>
  <c r="A3844" i="5"/>
  <c r="A3853" i="5"/>
  <c r="A3710" i="5"/>
  <c r="A3866" i="5"/>
  <c r="A3857" i="5"/>
  <c r="A3848" i="5"/>
  <c r="A3826" i="5"/>
  <c r="A3914" i="5"/>
  <c r="A4036" i="5"/>
  <c r="A4071" i="5"/>
  <c r="A3895" i="5"/>
  <c r="A3885" i="5"/>
  <c r="A3903" i="5"/>
  <c r="A3884" i="5"/>
  <c r="A4057" i="5"/>
  <c r="A3923" i="5"/>
  <c r="A4196" i="5"/>
  <c r="A1488" i="5"/>
  <c r="A3839" i="5"/>
  <c r="A3833" i="5"/>
  <c r="A3868" i="5"/>
  <c r="A3824" i="5"/>
  <c r="A4227" i="5"/>
  <c r="A3845" i="5"/>
  <c r="A3825" i="5"/>
  <c r="A3774" i="5"/>
  <c r="A3725" i="5"/>
  <c r="A3828" i="5"/>
  <c r="A3754" i="5"/>
  <c r="A3882" i="5"/>
  <c r="A3960" i="5"/>
  <c r="A3950" i="5"/>
  <c r="A4009" i="5"/>
  <c r="A4067" i="5"/>
  <c r="A3997" i="5"/>
  <c r="A3933" i="5"/>
  <c r="A4032" i="5"/>
  <c r="A3904" i="5"/>
  <c r="A4066" i="5"/>
  <c r="A3996" i="5"/>
  <c r="A3932" i="5"/>
  <c r="A4040" i="5"/>
  <c r="A3937" i="5"/>
  <c r="A4007" i="5"/>
  <c r="A4041" i="5"/>
  <c r="A3971" i="5"/>
  <c r="A3907" i="5"/>
  <c r="A4116" i="5"/>
  <c r="A4169" i="5"/>
  <c r="A4080" i="5"/>
  <c r="A4201" i="5"/>
  <c r="A4253" i="5"/>
  <c r="A4191" i="5"/>
  <c r="A1294" i="5"/>
  <c r="A4204" i="5"/>
  <c r="A3250" i="5"/>
  <c r="A2669" i="5"/>
  <c r="A3837" i="5"/>
  <c r="A3832" i="5"/>
  <c r="A4225" i="5"/>
  <c r="A3719" i="5"/>
  <c r="A3877" i="5"/>
  <c r="A3806" i="5"/>
  <c r="A3741" i="5"/>
  <c r="A3724" i="5"/>
  <c r="A3715" i="5"/>
  <c r="A3706" i="5"/>
  <c r="A3697" i="5"/>
  <c r="A3983" i="5"/>
  <c r="A3902" i="5"/>
  <c r="A4014" i="5"/>
  <c r="A3976" i="5"/>
  <c r="A3948" i="5"/>
  <c r="A3912" i="5"/>
  <c r="A1310" i="5"/>
  <c r="A3784" i="5"/>
  <c r="A3704" i="5"/>
  <c r="A3790" i="5"/>
  <c r="A3238" i="5"/>
  <c r="A3752" i="5"/>
  <c r="A3775" i="5"/>
  <c r="A3878" i="5"/>
  <c r="A3791" i="5"/>
  <c r="A3766" i="5"/>
  <c r="A3875" i="5"/>
  <c r="A3797" i="5"/>
  <c r="A3850" i="5"/>
  <c r="A3772" i="5"/>
  <c r="A3708" i="5"/>
  <c r="A3763" i="5"/>
  <c r="A3699" i="5"/>
  <c r="A3819" i="5"/>
  <c r="A3690" i="5"/>
  <c r="A3809" i="5"/>
  <c r="A3745" i="5"/>
  <c r="A4031" i="5"/>
  <c r="A3919" i="5"/>
  <c r="A4015" i="5"/>
  <c r="A3886" i="5"/>
  <c r="A3888" i="5"/>
  <c r="A3953" i="5"/>
  <c r="A3237" i="5"/>
  <c r="A3720" i="5"/>
  <c r="A3808" i="5"/>
  <c r="A3743" i="5"/>
  <c r="A3860" i="5"/>
  <c r="A3792" i="5"/>
  <c r="A3759" i="5"/>
  <c r="A3742" i="5"/>
  <c r="A3758" i="5"/>
  <c r="A3859" i="5"/>
  <c r="A3789" i="5"/>
  <c r="A3717" i="5"/>
  <c r="A3829" i="5"/>
  <c r="A3764" i="5"/>
  <c r="A3700" i="5"/>
  <c r="A3820" i="5"/>
  <c r="A3755" i="5"/>
  <c r="A3691" i="5"/>
  <c r="A3810" i="5"/>
  <c r="A3746" i="5"/>
  <c r="A3879" i="5"/>
  <c r="A3801" i="5"/>
  <c r="A3737" i="5"/>
  <c r="A4048" i="5"/>
  <c r="A3993" i="5"/>
  <c r="A3928" i="5"/>
  <c r="A3887" i="5"/>
  <c r="A4006" i="5"/>
  <c r="A3942" i="5"/>
  <c r="A4056" i="5"/>
  <c r="A3977" i="5"/>
  <c r="A4069" i="5"/>
  <c r="A4059" i="5"/>
  <c r="A3989" i="5"/>
  <c r="A3925" i="5"/>
  <c r="A3994" i="5"/>
  <c r="A3921" i="5"/>
  <c r="A4053" i="5"/>
  <c r="A4058" i="5"/>
  <c r="A3988" i="5"/>
  <c r="A3924" i="5"/>
  <c r="A4002" i="5"/>
  <c r="A3905" i="5"/>
  <c r="A3975" i="5"/>
  <c r="A4033" i="5"/>
  <c r="A3963" i="5"/>
  <c r="A3899" i="5"/>
  <c r="A130" i="5"/>
  <c r="A4010" i="5"/>
  <c r="A2670" i="5"/>
  <c r="A3836" i="5"/>
  <c r="A1100" i="5"/>
  <c r="A906" i="5"/>
  <c r="A712" i="5"/>
  <c r="A518" i="5"/>
  <c r="A324" i="5"/>
  <c r="AE130" i="1"/>
  <c r="AW1" i="1"/>
  <c r="AX1" i="1"/>
  <c r="AV1" i="1"/>
  <c r="AT1" i="1"/>
  <c r="AU1" i="1"/>
  <c r="AS1" i="1"/>
  <c r="AM1" i="1"/>
  <c r="AN1" i="1"/>
  <c r="AO1" i="1"/>
  <c r="AP1" i="1"/>
  <c r="AQ1" i="1"/>
  <c r="AR1" i="1"/>
  <c r="AL1" i="1"/>
  <c r="AG1" i="1"/>
  <c r="AH1" i="1"/>
  <c r="AI1" i="1"/>
  <c r="AJ1" i="1"/>
  <c r="AK1" i="1"/>
  <c r="AF1" i="1"/>
  <c r="B2" i="1"/>
  <c r="A3" i="1"/>
  <c r="Y150" i="1"/>
  <c r="X103" i="1"/>
  <c r="X104" i="1"/>
  <c r="Y133" i="1"/>
  <c r="X121" i="1"/>
  <c r="Y118" i="1"/>
  <c r="Y134" i="1"/>
  <c r="X118" i="1"/>
  <c r="W43" i="1"/>
  <c r="W107" i="1"/>
  <c r="W177" i="1"/>
  <c r="W44" i="1"/>
  <c r="W108" i="1"/>
  <c r="W186" i="1"/>
  <c r="W53" i="1"/>
  <c r="W117" i="1"/>
  <c r="W195" i="1"/>
  <c r="W96" i="1"/>
  <c r="W113" i="1"/>
  <c r="W184" i="1"/>
  <c r="W129" i="1"/>
  <c r="W6" i="1"/>
  <c r="W70" i="1"/>
  <c r="W188" i="1"/>
  <c r="W34" i="1"/>
  <c r="W31" i="1"/>
  <c r="W95" i="1"/>
  <c r="W165" i="1"/>
  <c r="W48" i="1"/>
  <c r="W41" i="1"/>
  <c r="W90" i="1"/>
  <c r="T31" i="1"/>
  <c r="T71" i="1"/>
  <c r="T103" i="1"/>
  <c r="T161" i="1"/>
  <c r="T72" i="1"/>
  <c r="T145" i="1"/>
  <c r="T143" i="1"/>
  <c r="U164" i="1"/>
  <c r="U55" i="1"/>
  <c r="U87" i="1"/>
  <c r="U123" i="1"/>
  <c r="T48" i="1"/>
  <c r="T116" i="1"/>
  <c r="T163" i="1"/>
  <c r="U20" i="1"/>
  <c r="U64" i="1"/>
  <c r="U96" i="1"/>
  <c r="U128" i="1"/>
  <c r="T17" i="1"/>
  <c r="T61" i="1"/>
  <c r="T93" i="1"/>
  <c r="T106" i="1"/>
  <c r="U106" i="1"/>
  <c r="U49" i="1"/>
  <c r="U81" i="1"/>
  <c r="U113" i="1"/>
  <c r="U163" i="1"/>
  <c r="T54" i="1"/>
  <c r="T90" i="1"/>
  <c r="U50" i="1"/>
  <c r="S11" i="1"/>
  <c r="S75" i="1"/>
  <c r="S140" i="1"/>
  <c r="S28" i="1"/>
  <c r="S92" i="1"/>
  <c r="S162" i="1"/>
  <c r="S45" i="1"/>
  <c r="S117" i="1"/>
  <c r="S46" i="1"/>
  <c r="S177" i="1"/>
  <c r="S111" i="1"/>
  <c r="S72" i="1"/>
  <c r="S57" i="1"/>
  <c r="S98" i="1"/>
  <c r="S38" i="1"/>
  <c r="S194" i="1"/>
  <c r="S136" i="1"/>
  <c r="S96" i="1"/>
  <c r="S89" i="1"/>
  <c r="S166" i="1"/>
  <c r="S48" i="1"/>
  <c r="S74" i="1"/>
  <c r="K161" i="1"/>
  <c r="K167" i="1"/>
  <c r="K139" i="1"/>
  <c r="L161" i="1"/>
  <c r="O134" i="1"/>
  <c r="K155" i="1"/>
  <c r="P167" i="1"/>
  <c r="M139" i="1"/>
  <c r="P155" i="1"/>
  <c r="Q194" i="1"/>
  <c r="K134" i="1"/>
  <c r="N139" i="1"/>
  <c r="N167" i="1"/>
  <c r="O145" i="1"/>
  <c r="M194" i="1"/>
  <c r="F162" i="1"/>
  <c r="D154" i="1"/>
  <c r="H154" i="1"/>
  <c r="D141" i="1"/>
  <c r="D151" i="1"/>
  <c r="D162" i="1"/>
  <c r="E141" i="1"/>
  <c r="K59" i="1"/>
  <c r="K123" i="1"/>
  <c r="K60" i="1"/>
  <c r="K124" i="1"/>
  <c r="K61" i="1"/>
  <c r="K125" i="1"/>
  <c r="K62" i="1"/>
  <c r="K126" i="1"/>
  <c r="K63" i="1"/>
  <c r="K127" i="1"/>
  <c r="K88" i="1"/>
  <c r="K121" i="1"/>
  <c r="K73" i="1"/>
  <c r="K25" i="1"/>
  <c r="K41" i="1"/>
  <c r="K131" i="1"/>
  <c r="P97" i="1"/>
  <c r="Q41" i="1"/>
  <c r="M63" i="1"/>
  <c r="Q73" i="1"/>
  <c r="P28" i="1"/>
  <c r="P60" i="1"/>
  <c r="L29" i="1"/>
  <c r="L61" i="1"/>
  <c r="O43" i="1"/>
  <c r="O126" i="1"/>
  <c r="N125" i="1"/>
  <c r="M93" i="1"/>
  <c r="O121" i="1"/>
  <c r="O73" i="1"/>
  <c r="N41" i="1"/>
  <c r="P62" i="1"/>
  <c r="L97" i="1"/>
  <c r="Q88" i="1"/>
  <c r="Q28" i="1"/>
  <c r="P88" i="1"/>
  <c r="L117" i="1"/>
  <c r="N131" i="1"/>
  <c r="M45" i="1"/>
  <c r="O97" i="1"/>
  <c r="P131" i="1"/>
  <c r="P92" i="1"/>
  <c r="N94" i="1"/>
  <c r="F43" i="1"/>
  <c r="E15" i="1"/>
  <c r="E90" i="1"/>
  <c r="F89" i="1"/>
  <c r="F15" i="1"/>
  <c r="D11" i="1"/>
  <c r="D75" i="1"/>
  <c r="D12" i="1"/>
  <c r="D76" i="1"/>
  <c r="D13" i="1"/>
  <c r="D77" i="1"/>
  <c r="D22" i="1"/>
  <c r="D102" i="1"/>
  <c r="D111" i="1"/>
  <c r="D96" i="1"/>
  <c r="D89" i="1"/>
  <c r="D82" i="1"/>
  <c r="D126" i="1"/>
  <c r="D119" i="1"/>
  <c r="D17" i="1"/>
  <c r="D18" i="1"/>
  <c r="Q167" i="1"/>
  <c r="H11" i="1"/>
  <c r="E76" i="1"/>
  <c r="F13" i="1"/>
  <c r="G82" i="1"/>
  <c r="E126" i="1"/>
  <c r="H17" i="1"/>
  <c r="E18" i="1"/>
  <c r="T11" i="1"/>
  <c r="T140" i="1"/>
  <c r="T177" i="1"/>
  <c r="T136" i="1"/>
  <c r="X165" i="1"/>
  <c r="X188" i="1"/>
  <c r="X195" i="1"/>
  <c r="Y148" i="1"/>
  <c r="X15" i="1"/>
  <c r="X177" i="1"/>
  <c r="X128" i="1"/>
  <c r="Y70" i="1"/>
  <c r="Y43" i="1"/>
  <c r="Y111" i="1"/>
  <c r="Y28" i="1"/>
  <c r="X92" i="1"/>
  <c r="Y151" i="1"/>
  <c r="X126" i="1"/>
  <c r="W123" i="1"/>
  <c r="W60" i="1"/>
  <c r="W5" i="1"/>
  <c r="W142" i="1"/>
  <c r="W137" i="1"/>
  <c r="W64" i="1"/>
  <c r="W22" i="1"/>
  <c r="W158" i="1"/>
  <c r="W47" i="1"/>
  <c r="W181" i="1"/>
  <c r="W105" i="1"/>
  <c r="T47" i="1"/>
  <c r="T111" i="1"/>
  <c r="T88" i="1"/>
  <c r="U18" i="1"/>
  <c r="U63" i="1"/>
  <c r="U144" i="1"/>
  <c r="T133" i="1"/>
  <c r="U28" i="1"/>
  <c r="U104" i="1"/>
  <c r="T25" i="1"/>
  <c r="T101" i="1"/>
  <c r="U156" i="1"/>
  <c r="U89" i="1"/>
  <c r="T18" i="1"/>
  <c r="T98" i="1"/>
  <c r="S27" i="1"/>
  <c r="S91" i="1"/>
  <c r="S44" i="1"/>
  <c r="S183" i="1"/>
  <c r="S142" i="1"/>
  <c r="S23" i="1"/>
  <c r="S104" i="1"/>
  <c r="S181" i="1"/>
  <c r="S31" i="1"/>
  <c r="S128" i="1"/>
  <c r="S151" i="1"/>
  <c r="S131" i="1"/>
  <c r="K132" i="1"/>
  <c r="K182" i="1"/>
  <c r="N142" i="1"/>
  <c r="L139" i="1"/>
  <c r="K176" i="1"/>
  <c r="P142" i="1"/>
  <c r="P176" i="1"/>
  <c r="Q142" i="1"/>
  <c r="D136" i="1"/>
  <c r="I136" i="1"/>
  <c r="D175" i="1"/>
  <c r="K11" i="1"/>
  <c r="K12" i="1"/>
  <c r="K13" i="1"/>
  <c r="K77" i="1"/>
  <c r="K78" i="1"/>
  <c r="K79" i="1"/>
  <c r="K112" i="1"/>
  <c r="K129" i="1"/>
  <c r="K10" i="1"/>
  <c r="L15" i="1"/>
  <c r="L79" i="1"/>
  <c r="N100" i="1"/>
  <c r="P121" i="1"/>
  <c r="O12" i="1"/>
  <c r="Q97" i="1"/>
  <c r="L42" i="1"/>
  <c r="N63" i="1"/>
  <c r="N10" i="1"/>
  <c r="O129" i="1"/>
  <c r="M41" i="1"/>
  <c r="O25" i="1"/>
  <c r="N25" i="1"/>
  <c r="P100" i="1"/>
  <c r="M60" i="1"/>
  <c r="Q115" i="1"/>
  <c r="N77" i="1"/>
  <c r="P99" i="1"/>
  <c r="H89" i="1"/>
  <c r="H29" i="1"/>
  <c r="I88" i="1"/>
  <c r="D91" i="1"/>
  <c r="D92" i="1"/>
  <c r="D93" i="1"/>
  <c r="D7" i="1"/>
  <c r="D128" i="1"/>
  <c r="D114" i="1"/>
  <c r="D40" i="1"/>
  <c r="D58" i="1"/>
  <c r="I141" i="1"/>
  <c r="I151" i="1"/>
  <c r="E175" i="1"/>
  <c r="G11" i="1"/>
  <c r="E92" i="1"/>
  <c r="E13" i="1"/>
  <c r="X43" i="1"/>
  <c r="X107" i="1"/>
  <c r="Y181" i="1"/>
  <c r="Y44" i="1"/>
  <c r="Y145" i="1"/>
  <c r="X93" i="1"/>
  <c r="Y107" i="1"/>
  <c r="Y108" i="1"/>
  <c r="X134" i="1"/>
  <c r="Y126" i="1"/>
  <c r="X28" i="1"/>
  <c r="Y137" i="1"/>
  <c r="Y41" i="1"/>
  <c r="Y105" i="1"/>
  <c r="X90" i="1"/>
  <c r="W51" i="1"/>
  <c r="W115" i="1"/>
  <c r="W185" i="1"/>
  <c r="W52" i="1"/>
  <c r="W116" i="1"/>
  <c r="W194" i="1"/>
  <c r="W61" i="1"/>
  <c r="W125" i="1"/>
  <c r="W94" i="1"/>
  <c r="W112" i="1"/>
  <c r="W138" i="1"/>
  <c r="W78" i="1"/>
  <c r="W167" i="1"/>
  <c r="W14" i="1"/>
  <c r="W86" i="1"/>
  <c r="W88" i="1"/>
  <c r="W66" i="1"/>
  <c r="W39" i="1"/>
  <c r="W103" i="1"/>
  <c r="W173" i="1"/>
  <c r="W56" i="1"/>
  <c r="W73" i="1"/>
  <c r="W122" i="1"/>
  <c r="T43" i="1"/>
  <c r="T75" i="1"/>
  <c r="T107" i="1"/>
  <c r="T165" i="1"/>
  <c r="T80" i="1"/>
  <c r="T158" i="1"/>
  <c r="T164" i="1"/>
  <c r="U19" i="1"/>
  <c r="U59" i="1"/>
  <c r="U91" i="1"/>
  <c r="U127" i="1"/>
  <c r="T60" i="1"/>
  <c r="T124" i="1"/>
  <c r="T110" i="1"/>
  <c r="U24" i="1"/>
  <c r="U68" i="1"/>
  <c r="U100" i="1"/>
  <c r="U133" i="1"/>
  <c r="T21" i="1"/>
  <c r="T65" i="1"/>
  <c r="T97" i="1"/>
  <c r="T122" i="1"/>
  <c r="U122" i="1"/>
  <c r="U53" i="1"/>
  <c r="U85" i="1"/>
  <c r="U117" i="1"/>
  <c r="U167" i="1"/>
  <c r="T58" i="1"/>
  <c r="T94" i="1"/>
  <c r="U66" i="1"/>
  <c r="S19" i="1"/>
  <c r="S83" i="1"/>
  <c r="S153" i="1"/>
  <c r="S36" i="1"/>
  <c r="S100" i="1"/>
  <c r="S175" i="1"/>
  <c r="S53" i="1"/>
  <c r="S125" i="1"/>
  <c r="S62" i="1"/>
  <c r="S7" i="1"/>
  <c r="S127" i="1"/>
  <c r="S88" i="1"/>
  <c r="S81" i="1"/>
  <c r="S139" i="1"/>
  <c r="S54" i="1"/>
  <c r="S15" i="1"/>
  <c r="S157" i="1"/>
  <c r="S112" i="1"/>
  <c r="S121" i="1"/>
  <c r="S97" i="1"/>
  <c r="S179" i="1"/>
  <c r="S106" i="1"/>
  <c r="K169" i="1"/>
  <c r="M169" i="1"/>
  <c r="K168" i="1"/>
  <c r="K138" i="1"/>
  <c r="L168" i="1"/>
  <c r="Q161" i="1"/>
  <c r="K175" i="1"/>
  <c r="K158" i="1"/>
  <c r="O175" i="1"/>
  <c r="O138" i="1"/>
  <c r="K183" i="1"/>
  <c r="Q155" i="1"/>
  <c r="M167" i="1"/>
  <c r="O168" i="1"/>
  <c r="P168" i="1"/>
  <c r="L155" i="1"/>
  <c r="D132" i="1"/>
  <c r="D165" i="1"/>
  <c r="I162" i="1"/>
  <c r="D158" i="1"/>
  <c r="D139" i="1"/>
  <c r="D156" i="1"/>
  <c r="D168" i="1"/>
  <c r="E156" i="1"/>
  <c r="D179" i="1"/>
  <c r="H136" i="1"/>
  <c r="D163" i="1"/>
  <c r="E151" i="1"/>
  <c r="D166" i="1"/>
  <c r="G151" i="1"/>
  <c r="K3" i="1"/>
  <c r="K67" i="1"/>
  <c r="K4" i="1"/>
  <c r="K68" i="1"/>
  <c r="K5" i="1"/>
  <c r="K69" i="1"/>
  <c r="K6" i="1"/>
  <c r="K70" i="1"/>
  <c r="K7" i="1"/>
  <c r="K71" i="1"/>
  <c r="K8" i="1"/>
  <c r="K104" i="1"/>
  <c r="K18" i="1"/>
  <c r="K97" i="1"/>
  <c r="K57" i="1"/>
  <c r="K105" i="1"/>
  <c r="L3" i="1"/>
  <c r="P13" i="1"/>
  <c r="P45" i="1"/>
  <c r="L67" i="1"/>
  <c r="P77" i="1"/>
  <c r="N88" i="1"/>
  <c r="L99" i="1"/>
  <c r="Q117" i="1"/>
  <c r="M11" i="1"/>
  <c r="M43" i="1"/>
  <c r="O96" i="1"/>
  <c r="P8" i="1"/>
  <c r="L62" i="1"/>
  <c r="L41" i="1"/>
  <c r="N62" i="1"/>
  <c r="L73" i="1"/>
  <c r="O3" i="1"/>
  <c r="O67" i="1"/>
  <c r="L100" i="1"/>
  <c r="N114" i="1"/>
  <c r="L131" i="1"/>
  <c r="Q62" i="1"/>
  <c r="O113" i="1"/>
  <c r="Q59" i="1"/>
  <c r="Q94" i="1"/>
  <c r="M125" i="1"/>
  <c r="Q123" i="1"/>
  <c r="L129" i="1"/>
  <c r="M104" i="1"/>
  <c r="M10" i="1"/>
  <c r="P104" i="1"/>
  <c r="M5" i="1"/>
  <c r="M69" i="1"/>
  <c r="Q104" i="1"/>
  <c r="L8" i="1"/>
  <c r="L112" i="1"/>
  <c r="N61" i="1"/>
  <c r="L121" i="1"/>
  <c r="Q92" i="1"/>
  <c r="Q42" i="1"/>
  <c r="M112" i="1"/>
  <c r="I15" i="1"/>
  <c r="E88" i="1"/>
  <c r="G29" i="1"/>
  <c r="I90" i="1"/>
  <c r="I29" i="1"/>
  <c r="E28" i="1"/>
  <c r="D19" i="1"/>
  <c r="D83" i="1"/>
  <c r="D20" i="1"/>
  <c r="D84" i="1"/>
  <c r="D21" i="1"/>
  <c r="D85" i="1"/>
  <c r="D30" i="1"/>
  <c r="D118" i="1"/>
  <c r="D127" i="1"/>
  <c r="D112" i="1"/>
  <c r="D105" i="1"/>
  <c r="D98" i="1"/>
  <c r="D15" i="1"/>
  <c r="D16" i="1"/>
  <c r="D33" i="1"/>
  <c r="D42" i="1"/>
  <c r="I158" i="1"/>
  <c r="H168" i="1"/>
  <c r="H141" i="1"/>
  <c r="F179" i="1"/>
  <c r="F151" i="1"/>
  <c r="F166" i="1"/>
  <c r="I11" i="1"/>
  <c r="E19" i="1"/>
  <c r="I83" i="1"/>
  <c r="E91" i="1"/>
  <c r="E20" i="1"/>
  <c r="I76" i="1"/>
  <c r="F92" i="1"/>
  <c r="G13" i="1"/>
  <c r="I77" i="1"/>
  <c r="G85" i="1"/>
  <c r="E22" i="1"/>
  <c r="G30" i="1"/>
  <c r="E102" i="1"/>
  <c r="H118" i="1"/>
  <c r="F111" i="1"/>
  <c r="E127" i="1"/>
  <c r="I96" i="1"/>
  <c r="F112" i="1"/>
  <c r="E82" i="1"/>
  <c r="H114" i="1"/>
  <c r="H126" i="1"/>
  <c r="H16" i="1"/>
  <c r="G17" i="1"/>
  <c r="F18" i="1"/>
  <c r="U7" i="1"/>
  <c r="T38" i="1"/>
  <c r="U131" i="1"/>
  <c r="Y167" i="1"/>
  <c r="Y173" i="1"/>
  <c r="X47" i="1"/>
  <c r="X111" i="1"/>
  <c r="Y56" i="1"/>
  <c r="X105" i="1"/>
  <c r="Y116" i="1"/>
  <c r="Y14" i="1"/>
  <c r="Y52" i="1"/>
  <c r="Y42" i="1"/>
  <c r="Y45" i="1"/>
  <c r="Y109" i="1"/>
  <c r="X94" i="1"/>
  <c r="W59" i="1"/>
  <c r="W193" i="1"/>
  <c r="W124" i="1"/>
  <c r="W69" i="1"/>
  <c r="W126" i="1"/>
  <c r="W175" i="1"/>
  <c r="W191" i="1"/>
  <c r="W102" i="1"/>
  <c r="W98" i="1"/>
  <c r="W111" i="1"/>
  <c r="W80" i="1"/>
  <c r="W160" i="1"/>
  <c r="T79" i="1"/>
  <c r="T16" i="1"/>
  <c r="T166" i="1"/>
  <c r="U23" i="1"/>
  <c r="U95" i="1"/>
  <c r="T68" i="1"/>
  <c r="T156" i="1"/>
  <c r="U72" i="1"/>
  <c r="U145" i="1"/>
  <c r="T69" i="1"/>
  <c r="T160" i="1"/>
  <c r="U57" i="1"/>
  <c r="U121" i="1"/>
  <c r="T62" i="1"/>
  <c r="U74" i="1"/>
  <c r="S161" i="1"/>
  <c r="S108" i="1"/>
  <c r="S61" i="1"/>
  <c r="S78" i="1"/>
  <c r="S144" i="1"/>
  <c r="S113" i="1"/>
  <c r="S70" i="1"/>
  <c r="S178" i="1"/>
  <c r="S159" i="1"/>
  <c r="S25" i="1"/>
  <c r="L169" i="1"/>
  <c r="K180" i="1"/>
  <c r="L193" i="1"/>
  <c r="M158" i="1"/>
  <c r="O132" i="1"/>
  <c r="K157" i="1"/>
  <c r="O182" i="1"/>
  <c r="P139" i="1"/>
  <c r="N157" i="1"/>
  <c r="D169" i="1"/>
  <c r="D183" i="1"/>
  <c r="D138" i="1"/>
  <c r="D180" i="1"/>
  <c r="E154" i="1"/>
  <c r="K75" i="1"/>
  <c r="K76" i="1"/>
  <c r="K14" i="1"/>
  <c r="K15" i="1"/>
  <c r="K24" i="1"/>
  <c r="K50" i="1"/>
  <c r="K81" i="1"/>
  <c r="N4" i="1"/>
  <c r="P25" i="1"/>
  <c r="N68" i="1"/>
  <c r="M123" i="1"/>
  <c r="L10" i="1"/>
  <c r="N42" i="1"/>
  <c r="P63" i="1"/>
  <c r="M6" i="1"/>
  <c r="M4" i="1"/>
  <c r="O62" i="1"/>
  <c r="Q96" i="1"/>
  <c r="P126" i="1"/>
  <c r="L4" i="1"/>
  <c r="Q126" i="1"/>
  <c r="Q12" i="1"/>
  <c r="L92" i="1"/>
  <c r="M29" i="1"/>
  <c r="Q71" i="1"/>
  <c r="Q50" i="1"/>
  <c r="Q131" i="1"/>
  <c r="Q18" i="1"/>
  <c r="M114" i="1"/>
  <c r="H28" i="1"/>
  <c r="F42" i="1"/>
  <c r="H42" i="1"/>
  <c r="D27" i="1"/>
  <c r="D28" i="1"/>
  <c r="D29" i="1"/>
  <c r="D38" i="1"/>
  <c r="D8" i="1"/>
  <c r="D121" i="1"/>
  <c r="D23" i="1"/>
  <c r="D49" i="1"/>
  <c r="E168" i="1"/>
  <c r="G163" i="1"/>
  <c r="Q180" i="1"/>
  <c r="Q158" i="1"/>
  <c r="Q183" i="1"/>
  <c r="Q157" i="1"/>
  <c r="G20" i="1"/>
  <c r="H76" i="1"/>
  <c r="X87" i="1"/>
  <c r="X119" i="1"/>
  <c r="X193" i="1"/>
  <c r="Y80" i="1"/>
  <c r="X129" i="1"/>
  <c r="Y98" i="1"/>
  <c r="Y51" i="1"/>
  <c r="Y119" i="1"/>
  <c r="X112" i="1"/>
  <c r="Y48" i="1"/>
  <c r="X73" i="1"/>
  <c r="X44" i="1"/>
  <c r="X120" i="1"/>
  <c r="X113" i="1"/>
  <c r="Y78" i="1"/>
  <c r="Y53" i="1"/>
  <c r="Y117" i="1"/>
  <c r="X6" i="1"/>
  <c r="X70" i="1"/>
  <c r="X102" i="1"/>
  <c r="W11" i="1"/>
  <c r="W75" i="1"/>
  <c r="W140" i="1"/>
  <c r="W12" i="1"/>
  <c r="W76" i="1"/>
  <c r="W154" i="1"/>
  <c r="W21" i="1"/>
  <c r="W85" i="1"/>
  <c r="W163" i="1"/>
  <c r="W164" i="1"/>
  <c r="W190" i="1"/>
  <c r="W50" i="1"/>
  <c r="W166" i="1"/>
  <c r="W74" i="1"/>
  <c r="W38" i="1"/>
  <c r="W118" i="1"/>
  <c r="W57" i="1"/>
  <c r="W168" i="1"/>
  <c r="W63" i="1"/>
  <c r="W127" i="1"/>
  <c r="W8" i="1"/>
  <c r="W120" i="1"/>
  <c r="W183" i="1"/>
  <c r="W2" i="1"/>
  <c r="T55" i="1"/>
  <c r="T87" i="1"/>
  <c r="T123" i="1"/>
  <c r="T44" i="1"/>
  <c r="T104" i="1"/>
  <c r="T125" i="1"/>
  <c r="U94" i="1"/>
  <c r="U31" i="1"/>
  <c r="U71" i="1"/>
  <c r="U103" i="1"/>
  <c r="U161" i="1"/>
  <c r="T84" i="1"/>
  <c r="T162" i="1"/>
  <c r="U78" i="1"/>
  <c r="U48" i="1"/>
  <c r="U80" i="1"/>
  <c r="U112" i="1"/>
  <c r="U158" i="1"/>
  <c r="T45" i="1"/>
  <c r="T77" i="1"/>
  <c r="T109" i="1"/>
  <c r="U46" i="1"/>
  <c r="U21" i="1"/>
  <c r="U65" i="1"/>
  <c r="U97" i="1"/>
  <c r="U129" i="1"/>
  <c r="T26" i="1"/>
  <c r="T70" i="1"/>
  <c r="T114" i="1"/>
  <c r="U102" i="1"/>
  <c r="S43" i="1"/>
  <c r="S107" i="1"/>
  <c r="S182" i="1"/>
  <c r="S60" i="1"/>
  <c r="S124" i="1"/>
  <c r="S13" i="1"/>
  <c r="S85" i="1"/>
  <c r="S163" i="1"/>
  <c r="S110" i="1"/>
  <c r="S55" i="1"/>
  <c r="S195" i="1"/>
  <c r="S137" i="1"/>
  <c r="S180" i="1"/>
  <c r="S134" i="1"/>
  <c r="S102" i="1"/>
  <c r="S71" i="1"/>
  <c r="S24" i="1"/>
  <c r="S9" i="1"/>
  <c r="S50" i="1"/>
  <c r="S58" i="1"/>
  <c r="S105" i="1"/>
  <c r="S2" i="1"/>
  <c r="D195" i="1"/>
  <c r="K140" i="1"/>
  <c r="N194" i="1"/>
  <c r="Q169" i="1"/>
  <c r="K152" i="1"/>
  <c r="L182" i="1"/>
  <c r="O142" i="1"/>
  <c r="O193" i="1"/>
  <c r="K133" i="1"/>
  <c r="O133" i="1"/>
  <c r="N161" i="1"/>
  <c r="L180" i="1"/>
  <c r="K164" i="1"/>
  <c r="K193" i="1"/>
  <c r="Q134" i="1"/>
  <c r="L145" i="1"/>
  <c r="P175" i="1"/>
  <c r="Q193" i="1"/>
  <c r="P140" i="1"/>
  <c r="L157" i="1"/>
  <c r="N145" i="1"/>
  <c r="L194" i="1"/>
  <c r="M164" i="1"/>
  <c r="D144" i="1"/>
  <c r="D182" i="1"/>
  <c r="D194" i="1"/>
  <c r="I169" i="1"/>
  <c r="E158" i="1"/>
  <c r="F144" i="1"/>
  <c r="D160" i="1"/>
  <c r="G169" i="1"/>
  <c r="I156" i="1"/>
  <c r="F156" i="1"/>
  <c r="D167" i="1"/>
  <c r="H182" i="1"/>
  <c r="G139" i="1"/>
  <c r="I165" i="1"/>
  <c r="F138" i="1"/>
  <c r="E162" i="1"/>
  <c r="K27" i="1"/>
  <c r="K91" i="1"/>
  <c r="K28" i="1"/>
  <c r="K92" i="1"/>
  <c r="K29" i="1"/>
  <c r="K93" i="1"/>
  <c r="K30" i="1"/>
  <c r="K94" i="1"/>
  <c r="K31" i="1"/>
  <c r="K95" i="1"/>
  <c r="K48" i="1"/>
  <c r="K9" i="1"/>
  <c r="K16" i="1"/>
  <c r="K58" i="1"/>
  <c r="K34" i="1"/>
  <c r="K74" i="1"/>
  <c r="L7" i="1"/>
  <c r="N28" i="1"/>
  <c r="N60" i="1"/>
  <c r="L71" i="1"/>
  <c r="P81" i="1"/>
  <c r="N92" i="1"/>
  <c r="P113" i="1"/>
  <c r="N124" i="1"/>
  <c r="O4" i="1"/>
  <c r="M15" i="1"/>
  <c r="Q25" i="1"/>
  <c r="Q57" i="1"/>
  <c r="O68" i="1"/>
  <c r="M79" i="1"/>
  <c r="O100" i="1"/>
  <c r="O124" i="1"/>
  <c r="P12" i="1"/>
  <c r="L34" i="1"/>
  <c r="P76" i="1"/>
  <c r="L13" i="1"/>
  <c r="N34" i="1"/>
  <c r="L45" i="1"/>
  <c r="L77" i="1"/>
  <c r="O11" i="1"/>
  <c r="O75" i="1"/>
  <c r="N91" i="1"/>
  <c r="N105" i="1"/>
  <c r="M127" i="1"/>
  <c r="Q3" i="1"/>
  <c r="M25" i="1"/>
  <c r="Q67" i="1"/>
  <c r="M100" i="1"/>
  <c r="O114" i="1"/>
  <c r="O41" i="1"/>
  <c r="M97" i="1"/>
  <c r="N9" i="1"/>
  <c r="P30" i="1"/>
  <c r="N73" i="1"/>
  <c r="L104" i="1"/>
  <c r="M12" i="1"/>
  <c r="M76" i="1"/>
  <c r="M117" i="1"/>
  <c r="M18" i="1"/>
  <c r="Q60" i="1"/>
  <c r="M81" i="1"/>
  <c r="P95" i="1"/>
  <c r="L124" i="1"/>
  <c r="M13" i="1"/>
  <c r="O34" i="1"/>
  <c r="L126" i="1"/>
  <c r="O69" i="1"/>
  <c r="N129" i="1"/>
  <c r="M96" i="1"/>
  <c r="Q34" i="1"/>
  <c r="O5" i="1"/>
  <c r="L96" i="1"/>
  <c r="P42" i="1"/>
  <c r="O61" i="1"/>
  <c r="M126" i="1"/>
  <c r="O79" i="1"/>
  <c r="Q74" i="1"/>
  <c r="N13" i="1"/>
  <c r="O45" i="1"/>
  <c r="E43" i="1"/>
  <c r="I41" i="1"/>
  <c r="H88" i="1"/>
  <c r="G90" i="1"/>
  <c r="G15" i="1"/>
  <c r="E41" i="1"/>
  <c r="D43" i="1"/>
  <c r="D107" i="1"/>
  <c r="D44" i="1"/>
  <c r="D108" i="1"/>
  <c r="D45" i="1"/>
  <c r="D109" i="1"/>
  <c r="D54" i="1"/>
  <c r="D47" i="1"/>
  <c r="D32" i="1"/>
  <c r="D25" i="1"/>
  <c r="D26" i="1"/>
  <c r="D14" i="1"/>
  <c r="D55" i="1"/>
  <c r="D72" i="1"/>
  <c r="D81" i="1"/>
  <c r="D90" i="1"/>
  <c r="G183" i="1"/>
  <c r="H139" i="1"/>
  <c r="H160" i="1"/>
  <c r="F141" i="1"/>
  <c r="I138" i="1"/>
  <c r="I163" i="1"/>
  <c r="E180" i="1"/>
  <c r="G175" i="1"/>
  <c r="O155" i="1"/>
  <c r="N175" i="1"/>
  <c r="P158" i="1"/>
  <c r="M183" i="1"/>
  <c r="O157" i="1"/>
  <c r="H156" i="1"/>
  <c r="E11" i="1"/>
  <c r="G27" i="1"/>
  <c r="I75" i="1"/>
  <c r="E83" i="1"/>
  <c r="F12" i="1"/>
  <c r="H20" i="1"/>
  <c r="F44" i="1"/>
  <c r="E84" i="1"/>
  <c r="H92" i="1"/>
  <c r="G108" i="1"/>
  <c r="H21" i="1"/>
  <c r="G77" i="1"/>
  <c r="I93" i="1"/>
  <c r="G22" i="1"/>
  <c r="I38" i="1"/>
  <c r="G102" i="1"/>
  <c r="H7" i="1"/>
  <c r="E111" i="1"/>
  <c r="G8" i="1"/>
  <c r="E96" i="1"/>
  <c r="H128" i="1"/>
  <c r="E105" i="1"/>
  <c r="H121" i="1"/>
  <c r="I26" i="1"/>
  <c r="G98" i="1"/>
  <c r="F114" i="1"/>
  <c r="E14" i="1"/>
  <c r="H23" i="1"/>
  <c r="H119" i="1"/>
  <c r="I40" i="1"/>
  <c r="I33" i="1"/>
  <c r="H81" i="1"/>
  <c r="I58" i="1"/>
  <c r="T153" i="1"/>
  <c r="T151" i="1"/>
  <c r="T195" i="1"/>
  <c r="T139" i="1"/>
  <c r="T194" i="1"/>
  <c r="U2" i="1"/>
  <c r="X175" i="1"/>
  <c r="X185" i="1"/>
  <c r="Y184" i="1"/>
  <c r="X183" i="1"/>
  <c r="X59" i="1"/>
  <c r="X123" i="1"/>
  <c r="Y103" i="1"/>
  <c r="X76" i="1"/>
  <c r="Y8" i="1"/>
  <c r="Y92" i="1"/>
  <c r="X45" i="1"/>
  <c r="X151" i="1"/>
  <c r="Y114" i="1"/>
  <c r="Y87" i="1"/>
  <c r="Y127" i="1"/>
  <c r="X124" i="1"/>
  <c r="Y60" i="1"/>
  <c r="X85" i="1"/>
  <c r="Y66" i="1"/>
  <c r="X12" i="1"/>
  <c r="X48" i="1"/>
  <c r="X137" i="1"/>
  <c r="Y88" i="1"/>
  <c r="X29" i="1"/>
  <c r="X125" i="1"/>
  <c r="Y94" i="1"/>
  <c r="Y57" i="1"/>
  <c r="Y121" i="1"/>
  <c r="X42" i="1"/>
  <c r="X74" i="1"/>
  <c r="X106" i="1"/>
  <c r="X152" i="1"/>
  <c r="Y90" i="1"/>
  <c r="W19" i="1"/>
  <c r="W83" i="1"/>
  <c r="W153" i="1"/>
  <c r="W20" i="1"/>
  <c r="W84" i="1"/>
  <c r="W162" i="1"/>
  <c r="W29" i="1"/>
  <c r="W93" i="1"/>
  <c r="W171" i="1"/>
  <c r="W180" i="1"/>
  <c r="W33" i="1"/>
  <c r="W82" i="1"/>
  <c r="W17" i="1"/>
  <c r="W106" i="1"/>
  <c r="W46" i="1"/>
  <c r="W135" i="1"/>
  <c r="W89" i="1"/>
  <c r="W7" i="1"/>
  <c r="W71" i="1"/>
  <c r="W136" i="1"/>
  <c r="W16" i="1"/>
  <c r="W145" i="1"/>
  <c r="W10" i="1"/>
  <c r="T19" i="1"/>
  <c r="T59" i="1"/>
  <c r="T91" i="1"/>
  <c r="T127" i="1"/>
  <c r="T52" i="1"/>
  <c r="T112" i="1"/>
  <c r="T155" i="1"/>
  <c r="U110" i="1"/>
  <c r="U43" i="1"/>
  <c r="U75" i="1"/>
  <c r="U107" i="1"/>
  <c r="U165" i="1"/>
  <c r="T92" i="1"/>
  <c r="T183" i="1"/>
  <c r="U98" i="1"/>
  <c r="U52" i="1"/>
  <c r="U84" i="1"/>
  <c r="U116" i="1"/>
  <c r="U162" i="1"/>
  <c r="T49" i="1"/>
  <c r="T81" i="1"/>
  <c r="T121" i="1"/>
  <c r="U54" i="1"/>
  <c r="U25" i="1"/>
  <c r="U69" i="1"/>
  <c r="U101" i="1"/>
  <c r="U134" i="1"/>
  <c r="T30" i="1"/>
  <c r="T74" i="1"/>
  <c r="T126" i="1"/>
  <c r="U118" i="1"/>
  <c r="S51" i="1"/>
  <c r="S115" i="1"/>
  <c r="X63" i="1"/>
  <c r="X181" i="1"/>
  <c r="Y47" i="1"/>
  <c r="Y177" i="1"/>
  <c r="Y194" i="1"/>
  <c r="X194" i="1"/>
  <c r="X138" i="1"/>
  <c r="Y129" i="1"/>
  <c r="X78" i="1"/>
  <c r="W99" i="1"/>
  <c r="W92" i="1"/>
  <c r="W77" i="1"/>
  <c r="W72" i="1"/>
  <c r="W65" i="1"/>
  <c r="W110" i="1"/>
  <c r="W23" i="1"/>
  <c r="W24" i="1"/>
  <c r="W192" i="1"/>
  <c r="T99" i="1"/>
  <c r="T120" i="1"/>
  <c r="U27" i="1"/>
  <c r="U119" i="1"/>
  <c r="T113" i="1"/>
  <c r="U76" i="1"/>
  <c r="U183" i="1"/>
  <c r="T129" i="1"/>
  <c r="U61" i="1"/>
  <c r="U159" i="1"/>
  <c r="U22" i="1"/>
  <c r="S99" i="1"/>
  <c r="S68" i="1"/>
  <c r="S21" i="1"/>
  <c r="S193" i="1"/>
  <c r="S63" i="1"/>
  <c r="S158" i="1"/>
  <c r="S176" i="1"/>
  <c r="S87" i="1"/>
  <c r="S33" i="1"/>
  <c r="S90" i="1"/>
  <c r="K195" i="1"/>
  <c r="M142" i="1"/>
  <c r="K154" i="1"/>
  <c r="N193" i="1"/>
  <c r="P194" i="1"/>
  <c r="P134" i="1"/>
  <c r="K166" i="1"/>
  <c r="M166" i="1"/>
  <c r="K136" i="1"/>
  <c r="P132" i="1"/>
  <c r="Q168" i="1"/>
  <c r="G136" i="1"/>
  <c r="G132" i="1"/>
  <c r="F132" i="1"/>
  <c r="D142" i="1"/>
  <c r="F168" i="1"/>
  <c r="E167" i="1"/>
  <c r="H194" i="1"/>
  <c r="K35" i="1"/>
  <c r="K36" i="1"/>
  <c r="K37" i="1"/>
  <c r="K38" i="1"/>
  <c r="K39" i="1"/>
  <c r="K56" i="1"/>
  <c r="K96" i="1"/>
  <c r="K66" i="1"/>
  <c r="N8" i="1"/>
  <c r="P29" i="1"/>
  <c r="P93" i="1"/>
  <c r="L115" i="1"/>
  <c r="Q5" i="1"/>
  <c r="M27" i="1"/>
  <c r="O48" i="1"/>
  <c r="Q69" i="1"/>
  <c r="M91" i="1"/>
  <c r="O112" i="1"/>
  <c r="L14" i="1"/>
  <c r="N35" i="1"/>
  <c r="P56" i="1"/>
  <c r="P3" i="1"/>
  <c r="L25" i="1"/>
  <c r="P67" i="1"/>
  <c r="M14" i="1"/>
  <c r="Q56" i="1"/>
  <c r="L93" i="1"/>
  <c r="N121" i="1"/>
  <c r="Q30" i="1"/>
  <c r="N79" i="1"/>
  <c r="Q27" i="1"/>
  <c r="O70" i="1"/>
  <c r="L12" i="1"/>
  <c r="P91" i="1"/>
  <c r="O125" i="1"/>
  <c r="O63" i="1"/>
  <c r="N97" i="1"/>
  <c r="Q125" i="1"/>
  <c r="M37" i="1"/>
  <c r="Q79" i="1"/>
  <c r="O117" i="1"/>
  <c r="P18" i="1"/>
  <c r="P74" i="1"/>
  <c r="L24" i="1"/>
  <c r="G89" i="1"/>
  <c r="F90" i="1"/>
  <c r="H15" i="1"/>
  <c r="D51" i="1"/>
  <c r="D52" i="1"/>
  <c r="D53" i="1"/>
  <c r="D70" i="1"/>
  <c r="D48" i="1"/>
  <c r="D34" i="1"/>
  <c r="D71" i="1"/>
  <c r="D97" i="1"/>
  <c r="G154" i="1"/>
  <c r="E139" i="1"/>
  <c r="H138" i="1"/>
  <c r="H163" i="1"/>
  <c r="H166" i="1"/>
  <c r="M155" i="1"/>
  <c r="N166" i="1"/>
  <c r="N183" i="1"/>
  <c r="F27" i="1"/>
  <c r="H91" i="1"/>
  <c r="G12" i="1"/>
  <c r="I44" i="1"/>
  <c r="F21" i="1"/>
  <c r="I53" i="1"/>
  <c r="F93" i="1"/>
  <c r="E38" i="1"/>
  <c r="H54" i="1"/>
  <c r="F118" i="1"/>
  <c r="H47" i="1"/>
  <c r="G127" i="1"/>
  <c r="I32" i="1"/>
  <c r="I112" i="1"/>
  <c r="G121" i="1"/>
  <c r="E34" i="1"/>
  <c r="E114" i="1"/>
  <c r="F14" i="1"/>
  <c r="E71" i="1"/>
  <c r="E119" i="1"/>
  <c r="F40" i="1"/>
  <c r="E33" i="1"/>
  <c r="G18" i="1"/>
  <c r="U115" i="1"/>
  <c r="U36" i="1"/>
  <c r="T181" i="1"/>
  <c r="U179" i="1"/>
  <c r="Y142" i="1"/>
  <c r="X167" i="1"/>
  <c r="Y175" i="1"/>
  <c r="Y192" i="1"/>
  <c r="U153" i="1"/>
  <c r="X142" i="1"/>
  <c r="Y165" i="1"/>
  <c r="X192" i="1"/>
  <c r="G58" i="1"/>
  <c r="T176" i="1"/>
  <c r="U177" i="1"/>
  <c r="G84" i="1"/>
  <c r="H22" i="1"/>
  <c r="E7" i="1"/>
  <c r="H8" i="1"/>
  <c r="I25" i="1"/>
  <c r="F82" i="1"/>
  <c r="G126" i="1"/>
  <c r="I81" i="1"/>
  <c r="T7" i="1"/>
  <c r="U9" i="1"/>
  <c r="X19" i="1"/>
  <c r="X21" i="1"/>
  <c r="X109" i="1"/>
  <c r="Y93" i="1"/>
  <c r="W4" i="1"/>
  <c r="W121" i="1"/>
  <c r="T24" i="1"/>
  <c r="U16" i="1"/>
  <c r="U105" i="1"/>
  <c r="S133" i="1"/>
  <c r="S10" i="1"/>
  <c r="S129" i="1"/>
  <c r="L152" i="1"/>
  <c r="L134" i="1"/>
  <c r="F182" i="1"/>
  <c r="G156" i="1"/>
  <c r="K100" i="1"/>
  <c r="K33" i="1"/>
  <c r="N104" i="1"/>
  <c r="M59" i="1"/>
  <c r="P24" i="1"/>
  <c r="P35" i="1"/>
  <c r="L78" i="1"/>
  <c r="O6" i="1"/>
  <c r="P10" i="1"/>
  <c r="Q127" i="1"/>
  <c r="G43" i="1"/>
  <c r="D116" i="1"/>
  <c r="D88" i="1"/>
  <c r="H179" i="1"/>
  <c r="M175" i="1"/>
  <c r="I51" i="1"/>
  <c r="F70" i="1"/>
  <c r="H111" i="1"/>
  <c r="I128" i="1"/>
  <c r="F126" i="1"/>
  <c r="I72" i="1"/>
  <c r="G81" i="1"/>
  <c r="U142" i="1"/>
  <c r="T13" i="1"/>
  <c r="T33" i="1"/>
  <c r="X57" i="1"/>
  <c r="X64" i="1"/>
  <c r="X46" i="1"/>
  <c r="W13" i="1"/>
  <c r="W144" i="1"/>
  <c r="U62" i="1"/>
  <c r="U124" i="1"/>
  <c r="T78" i="1"/>
  <c r="S135" i="1"/>
  <c r="S64" i="1"/>
  <c r="K159" i="1"/>
  <c r="N152" i="1"/>
  <c r="D157" i="1"/>
  <c r="D152" i="1"/>
  <c r="H132" i="1"/>
  <c r="K110" i="1"/>
  <c r="K114" i="1"/>
  <c r="M39" i="1"/>
  <c r="P4" i="1"/>
  <c r="P68" i="1"/>
  <c r="N58" i="1"/>
  <c r="M88" i="1"/>
  <c r="O18" i="1"/>
  <c r="Q99" i="1"/>
  <c r="K2" i="1"/>
  <c r="D124" i="1"/>
  <c r="D86" i="1"/>
  <c r="F175" i="1"/>
  <c r="I19" i="1"/>
  <c r="H108" i="1"/>
  <c r="H85" i="1"/>
  <c r="G111" i="1"/>
  <c r="G128" i="1"/>
  <c r="Y123" i="1"/>
  <c r="Y59" i="1"/>
  <c r="X13" i="1"/>
  <c r="X16" i="1"/>
  <c r="Y64" i="1"/>
  <c r="Y61" i="1"/>
  <c r="X82" i="1"/>
  <c r="Y106" i="1"/>
  <c r="W132" i="1"/>
  <c r="W100" i="1"/>
  <c r="W101" i="1"/>
  <c r="W174" i="1"/>
  <c r="W97" i="1"/>
  <c r="W156" i="1"/>
  <c r="W55" i="1"/>
  <c r="W40" i="1"/>
  <c r="T23" i="1"/>
  <c r="T119" i="1"/>
  <c r="T128" i="1"/>
  <c r="U47" i="1"/>
  <c r="U157" i="1"/>
  <c r="T134" i="1"/>
  <c r="U88" i="1"/>
  <c r="T29" i="1"/>
  <c r="T159" i="1"/>
  <c r="U73" i="1"/>
  <c r="T22" i="1"/>
  <c r="U26" i="1"/>
  <c r="S123" i="1"/>
  <c r="S76" i="1"/>
  <c r="S29" i="1"/>
  <c r="S14" i="1"/>
  <c r="S79" i="1"/>
  <c r="S17" i="1"/>
  <c r="S6" i="1"/>
  <c r="S103" i="1"/>
  <c r="S49" i="1"/>
  <c r="S122" i="1"/>
  <c r="L195" i="1"/>
  <c r="P145" i="1"/>
  <c r="L132" i="1"/>
  <c r="O194" i="1"/>
  <c r="K142" i="1"/>
  <c r="K137" i="1"/>
  <c r="L167" i="1"/>
  <c r="P169" i="1"/>
  <c r="L137" i="1"/>
  <c r="O161" i="1"/>
  <c r="Q133" i="1"/>
  <c r="N158" i="1"/>
  <c r="H162" i="1"/>
  <c r="E194" i="1"/>
  <c r="H169" i="1"/>
  <c r="E142" i="1"/>
  <c r="G168" i="1"/>
  <c r="K43" i="1"/>
  <c r="K44" i="1"/>
  <c r="K45" i="1"/>
  <c r="K46" i="1"/>
  <c r="K47" i="1"/>
  <c r="K64" i="1"/>
  <c r="K17" i="1"/>
  <c r="K90" i="1"/>
  <c r="P9" i="1"/>
  <c r="L31" i="1"/>
  <c r="P73" i="1"/>
  <c r="L95" i="1"/>
  <c r="M7" i="1"/>
  <c r="O28" i="1"/>
  <c r="M71" i="1"/>
  <c r="O92" i="1"/>
  <c r="Q113" i="1"/>
  <c r="N15" i="1"/>
  <c r="P36" i="1"/>
  <c r="L58" i="1"/>
  <c r="L5" i="1"/>
  <c r="P47" i="1"/>
  <c r="L69" i="1"/>
  <c r="Q16" i="1"/>
  <c r="O59" i="1"/>
  <c r="P94" i="1"/>
  <c r="N123" i="1"/>
  <c r="Q38" i="1"/>
  <c r="M94" i="1"/>
  <c r="O30" i="1"/>
  <c r="M73" i="1"/>
  <c r="P123" i="1"/>
  <c r="P14" i="1"/>
  <c r="N57" i="1"/>
  <c r="N93" i="1"/>
  <c r="M28" i="1"/>
  <c r="M131" i="1"/>
  <c r="M66" i="1"/>
  <c r="N99" i="1"/>
  <c r="N127" i="1"/>
  <c r="Q39" i="1"/>
  <c r="N29" i="1"/>
  <c r="Q10" i="1"/>
  <c r="P34" i="1"/>
  <c r="I28" i="1"/>
  <c r="F29" i="1"/>
  <c r="H43" i="1"/>
  <c r="D59" i="1"/>
  <c r="D60" i="1"/>
  <c r="D61" i="1"/>
  <c r="D78" i="1"/>
  <c r="D64" i="1"/>
  <c r="D50" i="1"/>
  <c r="D87" i="1"/>
  <c r="D113" i="1"/>
  <c r="I154" i="1"/>
  <c r="G142" i="1"/>
  <c r="F167" i="1"/>
  <c r="E166" i="1"/>
  <c r="O176" i="1"/>
  <c r="Q166" i="1"/>
  <c r="L183" i="1"/>
  <c r="E27" i="1"/>
  <c r="I91" i="1"/>
  <c r="I12" i="1"/>
  <c r="H44" i="1"/>
  <c r="F76" i="1"/>
  <c r="G124" i="1"/>
  <c r="G21" i="1"/>
  <c r="G53" i="1"/>
  <c r="H77" i="1"/>
  <c r="G93" i="1"/>
  <c r="H38" i="1"/>
  <c r="E70" i="1"/>
  <c r="G7" i="1"/>
  <c r="G47" i="1"/>
  <c r="I127" i="1"/>
  <c r="G32" i="1"/>
  <c r="E64" i="1"/>
  <c r="G112" i="1"/>
  <c r="F25" i="1"/>
  <c r="H34" i="1"/>
  <c r="I82" i="1"/>
  <c r="I114" i="1"/>
  <c r="I71" i="1"/>
  <c r="G119" i="1"/>
  <c r="F33" i="1"/>
  <c r="H58" i="1"/>
  <c r="U175" i="1"/>
  <c r="T131" i="1"/>
  <c r="Y156" i="1"/>
  <c r="X190" i="1"/>
  <c r="I113" i="1"/>
  <c r="U38" i="1"/>
  <c r="T2" i="1"/>
  <c r="X160" i="1"/>
  <c r="Y195" i="1"/>
  <c r="Q138" i="1"/>
  <c r="H52" i="1"/>
  <c r="G70" i="1"/>
  <c r="F128" i="1"/>
  <c r="E86" i="1"/>
  <c r="I16" i="1"/>
  <c r="G33" i="1"/>
  <c r="U140" i="1"/>
  <c r="U194" i="1"/>
  <c r="X158" i="1"/>
  <c r="Y191" i="1"/>
  <c r="X88" i="1"/>
  <c r="X34" i="1"/>
  <c r="W178" i="1"/>
  <c r="W176" i="1"/>
  <c r="T63" i="1"/>
  <c r="T76" i="1"/>
  <c r="U90" i="1"/>
  <c r="S4" i="1"/>
  <c r="S16" i="1"/>
  <c r="S40" i="1"/>
  <c r="K151" i="1"/>
  <c r="Q139" i="1"/>
  <c r="L142" i="1"/>
  <c r="N180" i="1"/>
  <c r="H157" i="1"/>
  <c r="K99" i="1"/>
  <c r="K103" i="1"/>
  <c r="K106" i="1"/>
  <c r="Q37" i="1"/>
  <c r="N3" i="1"/>
  <c r="N14" i="1"/>
  <c r="O35" i="1"/>
  <c r="M90" i="1"/>
  <c r="L76" i="1"/>
  <c r="M42" i="1"/>
  <c r="O58" i="1"/>
  <c r="N110" i="1"/>
  <c r="E89" i="1"/>
  <c r="D41" i="1"/>
  <c r="D106" i="1"/>
  <c r="Q164" i="1"/>
  <c r="G75" i="1"/>
  <c r="G60" i="1"/>
  <c r="I45" i="1"/>
  <c r="H102" i="1"/>
  <c r="F8" i="1"/>
  <c r="E98" i="1"/>
  <c r="H55" i="1"/>
  <c r="F58" i="1"/>
  <c r="T182" i="1"/>
  <c r="U15" i="1"/>
  <c r="X96" i="1"/>
  <c r="Y34" i="1"/>
  <c r="Y97" i="1"/>
  <c r="W28" i="1"/>
  <c r="W30" i="1"/>
  <c r="T67" i="1"/>
  <c r="T100" i="1"/>
  <c r="U109" i="1"/>
  <c r="S141" i="1"/>
  <c r="S42" i="1"/>
  <c r="S167" i="1"/>
  <c r="Q152" i="1"/>
  <c r="P138" i="1"/>
  <c r="I157" i="1"/>
  <c r="K108" i="1"/>
  <c r="K65" i="1"/>
  <c r="P41" i="1"/>
  <c r="L127" i="1"/>
  <c r="M103" i="1"/>
  <c r="P15" i="1"/>
  <c r="M38" i="1"/>
  <c r="P114" i="1"/>
  <c r="L36" i="1"/>
  <c r="O131" i="1"/>
  <c r="N5" i="1"/>
  <c r="F88" i="1"/>
  <c r="D125" i="1"/>
  <c r="D122" i="1"/>
  <c r="O164" i="1"/>
  <c r="F75" i="1"/>
  <c r="F60" i="1"/>
  <c r="H45" i="1"/>
  <c r="I109" i="1"/>
  <c r="I78" i="1"/>
  <c r="G96" i="1"/>
  <c r="G26" i="1"/>
  <c r="X83" i="1"/>
  <c r="Y132" i="1"/>
  <c r="Y104" i="1"/>
  <c r="Y86" i="1"/>
  <c r="Y63" i="1"/>
  <c r="X133" i="1"/>
  <c r="X61" i="1"/>
  <c r="X20" i="1"/>
  <c r="Y100" i="1"/>
  <c r="Y65" i="1"/>
  <c r="X14" i="1"/>
  <c r="X98" i="1"/>
  <c r="Y122" i="1"/>
  <c r="W161" i="1"/>
  <c r="W141" i="1"/>
  <c r="W109" i="1"/>
  <c r="W49" i="1"/>
  <c r="W26" i="1"/>
  <c r="W172" i="1"/>
  <c r="W79" i="1"/>
  <c r="W104" i="1"/>
  <c r="T27" i="1"/>
  <c r="T144" i="1"/>
  <c r="T117" i="1"/>
  <c r="U51" i="1"/>
  <c r="T20" i="1"/>
  <c r="U58" i="1"/>
  <c r="U92" i="1"/>
  <c r="T53" i="1"/>
  <c r="U30" i="1"/>
  <c r="U77" i="1"/>
  <c r="T46" i="1"/>
  <c r="U86" i="1"/>
  <c r="S132" i="1"/>
  <c r="S84" i="1"/>
  <c r="S37" i="1"/>
  <c r="S30" i="1"/>
  <c r="S95" i="1"/>
  <c r="S41" i="1"/>
  <c r="S22" i="1"/>
  <c r="S119" i="1"/>
  <c r="S65" i="1"/>
  <c r="S168" i="1"/>
  <c r="M195" i="1"/>
  <c r="K153" i="1"/>
  <c r="N134" i="1"/>
  <c r="M132" i="1"/>
  <c r="O151" i="1"/>
  <c r="L138" i="1"/>
  <c r="M168" i="1"/>
  <c r="M138" i="1"/>
  <c r="K165" i="1"/>
  <c r="K135" i="1"/>
  <c r="L165" i="1"/>
  <c r="K163" i="1"/>
  <c r="P180" i="1"/>
  <c r="E132" i="1"/>
  <c r="G157" i="1"/>
  <c r="D135" i="1"/>
  <c r="D164" i="1"/>
  <c r="D137" i="1"/>
  <c r="H144" i="1"/>
  <c r="D176" i="1"/>
  <c r="E176" i="1"/>
  <c r="G138" i="1"/>
  <c r="K51" i="1"/>
  <c r="K52" i="1"/>
  <c r="K53" i="1"/>
  <c r="K54" i="1"/>
  <c r="K55" i="1"/>
  <c r="K80" i="1"/>
  <c r="K49" i="1"/>
  <c r="K72" i="1"/>
  <c r="L11" i="1"/>
  <c r="P53" i="1"/>
  <c r="L75" i="1"/>
  <c r="N96" i="1"/>
  <c r="P117" i="1"/>
  <c r="O8" i="1"/>
  <c r="Q29" i="1"/>
  <c r="M51" i="1"/>
  <c r="O72" i="1"/>
  <c r="Q93" i="1"/>
  <c r="M115" i="1"/>
  <c r="P16" i="1"/>
  <c r="L38" i="1"/>
  <c r="N59" i="1"/>
  <c r="N6" i="1"/>
  <c r="P27" i="1"/>
  <c r="L49" i="1"/>
  <c r="N70" i="1"/>
  <c r="M62" i="1"/>
  <c r="P96" i="1"/>
  <c r="L125" i="1"/>
  <c r="Q46" i="1"/>
  <c r="O99" i="1"/>
  <c r="M33" i="1"/>
  <c r="Q75" i="1"/>
  <c r="O105" i="1"/>
  <c r="M113" i="1"/>
  <c r="N17" i="1"/>
  <c r="L60" i="1"/>
  <c r="N95" i="1"/>
  <c r="M36" i="1"/>
  <c r="M77" i="1"/>
  <c r="Q68" i="1"/>
  <c r="O42" i="1"/>
  <c r="M92" i="1"/>
  <c r="O94" i="1"/>
  <c r="L64" i="1"/>
  <c r="Q124" i="1"/>
  <c r="N45" i="1"/>
  <c r="H41" i="1"/>
  <c r="E42" i="1"/>
  <c r="G88" i="1"/>
  <c r="D67" i="1"/>
  <c r="D68" i="1"/>
  <c r="D69" i="1"/>
  <c r="D94" i="1"/>
  <c r="D80" i="1"/>
  <c r="D66" i="1"/>
  <c r="D103" i="1"/>
  <c r="D129" i="1"/>
  <c r="F154" i="1"/>
  <c r="G137" i="1"/>
  <c r="I142" i="1"/>
  <c r="I167" i="1"/>
  <c r="I166" i="1"/>
  <c r="N176" i="1"/>
  <c r="O166" i="1"/>
  <c r="N136" i="1"/>
  <c r="P165" i="1"/>
  <c r="O163" i="1"/>
  <c r="Q159" i="1"/>
  <c r="I67" i="1"/>
  <c r="G91" i="1"/>
  <c r="H12" i="1"/>
  <c r="G52" i="1"/>
  <c r="G76" i="1"/>
  <c r="I124" i="1"/>
  <c r="E21" i="1"/>
  <c r="E53" i="1"/>
  <c r="F77" i="1"/>
  <c r="E93" i="1"/>
  <c r="I22" i="1"/>
  <c r="G38" i="1"/>
  <c r="I70" i="1"/>
  <c r="G94" i="1"/>
  <c r="F7" i="1"/>
  <c r="I8" i="1"/>
  <c r="H32" i="1"/>
  <c r="G80" i="1"/>
  <c r="E112" i="1"/>
  <c r="E25" i="1"/>
  <c r="H50" i="1"/>
  <c r="H82" i="1"/>
  <c r="I126" i="1"/>
  <c r="F87" i="1"/>
  <c r="I119" i="1"/>
  <c r="H33" i="1"/>
  <c r="F81" i="1"/>
  <c r="E106" i="1"/>
  <c r="T132" i="1"/>
  <c r="U180" i="1"/>
  <c r="Y158" i="1"/>
  <c r="X184" i="1"/>
  <c r="F11" i="1"/>
  <c r="I20" i="1"/>
  <c r="F38" i="1"/>
  <c r="H80" i="1"/>
  <c r="F105" i="1"/>
  <c r="G55" i="1"/>
  <c r="E58" i="1"/>
  <c r="U195" i="1"/>
  <c r="T180" i="1"/>
  <c r="Y153" i="1"/>
  <c r="X99" i="1"/>
  <c r="Y152" i="1"/>
  <c r="X60" i="1"/>
  <c r="Y135" i="1"/>
  <c r="W27" i="1"/>
  <c r="W18" i="1"/>
  <c r="W119" i="1"/>
  <c r="T118" i="1"/>
  <c r="U120" i="1"/>
  <c r="T66" i="1"/>
  <c r="S93" i="1"/>
  <c r="S126" i="1"/>
  <c r="E195" i="1"/>
  <c r="M152" i="1"/>
  <c r="Q176" i="1"/>
  <c r="F142" i="1"/>
  <c r="K101" i="1"/>
  <c r="K98" i="1"/>
  <c r="P61" i="1"/>
  <c r="O16" i="1"/>
  <c r="Q101" i="1"/>
  <c r="N67" i="1"/>
  <c r="N78" i="1"/>
  <c r="L106" i="1"/>
  <c r="N33" i="1"/>
  <c r="M124" i="1"/>
  <c r="Q15" i="1"/>
  <c r="Q66" i="1"/>
  <c r="D115" i="1"/>
  <c r="D117" i="1"/>
  <c r="D62" i="1"/>
  <c r="I164" i="1"/>
  <c r="I175" i="1"/>
  <c r="H19" i="1"/>
  <c r="I108" i="1"/>
  <c r="F85" i="1"/>
  <c r="F80" i="1"/>
  <c r="H26" i="1"/>
  <c r="I86" i="1"/>
  <c r="F16" i="1"/>
  <c r="E129" i="1"/>
  <c r="T10" i="1"/>
  <c r="X191" i="1"/>
  <c r="X115" i="1"/>
  <c r="Y95" i="1"/>
  <c r="X41" i="1"/>
  <c r="W114" i="1"/>
  <c r="W151" i="1"/>
  <c r="U83" i="1"/>
  <c r="T85" i="1"/>
  <c r="S35" i="1"/>
  <c r="S101" i="1"/>
  <c r="S143" i="1"/>
  <c r="F195" i="1"/>
  <c r="N153" i="1"/>
  <c r="K178" i="1"/>
  <c r="P182" i="1"/>
  <c r="G162" i="1"/>
  <c r="F194" i="1"/>
  <c r="K107" i="1"/>
  <c r="K111" i="1"/>
  <c r="P105" i="1"/>
  <c r="O60" i="1"/>
  <c r="N47" i="1"/>
  <c r="P79" i="1"/>
  <c r="O95" i="1"/>
  <c r="O78" i="1"/>
  <c r="Q44" i="1"/>
  <c r="M61" i="1"/>
  <c r="P124" i="1"/>
  <c r="L48" i="1"/>
  <c r="D123" i="1"/>
  <c r="D57" i="1"/>
  <c r="D104" i="1"/>
  <c r="E179" i="1"/>
  <c r="L175" i="1"/>
  <c r="G51" i="1"/>
  <c r="I13" i="1"/>
  <c r="H125" i="1"/>
  <c r="F102" i="1"/>
  <c r="E8" i="1"/>
  <c r="E57" i="1"/>
  <c r="I98" i="1"/>
  <c r="X95" i="1"/>
  <c r="X56" i="1"/>
  <c r="Y120" i="1"/>
  <c r="Y79" i="1"/>
  <c r="X145" i="1"/>
  <c r="X97" i="1"/>
  <c r="X40" i="1"/>
  <c r="Y112" i="1"/>
  <c r="Y110" i="1"/>
  <c r="X18" i="1"/>
  <c r="X110" i="1"/>
  <c r="W3" i="1"/>
  <c r="W169" i="1"/>
  <c r="W170" i="1"/>
  <c r="W155" i="1"/>
  <c r="W81" i="1"/>
  <c r="W139" i="1"/>
  <c r="W25" i="1"/>
  <c r="W87" i="1"/>
  <c r="W182" i="1"/>
  <c r="T51" i="1"/>
  <c r="T157" i="1"/>
  <c r="T167" i="1"/>
  <c r="U67" i="1"/>
  <c r="T28" i="1"/>
  <c r="U114" i="1"/>
  <c r="U108" i="1"/>
  <c r="T57" i="1"/>
  <c r="U70" i="1"/>
  <c r="U93" i="1"/>
  <c r="T50" i="1"/>
  <c r="U160" i="1"/>
  <c r="S169" i="1"/>
  <c r="S116" i="1"/>
  <c r="S77" i="1"/>
  <c r="S94" i="1"/>
  <c r="S165" i="1"/>
  <c r="S138" i="1"/>
  <c r="S86" i="1"/>
  <c r="S8" i="1"/>
  <c r="S18" i="1"/>
  <c r="S73" i="1"/>
  <c r="Q195" i="1"/>
  <c r="M193" i="1"/>
  <c r="Q145" i="1"/>
  <c r="M140" i="1"/>
  <c r="Q182" i="1"/>
  <c r="K145" i="1"/>
  <c r="K179" i="1"/>
  <c r="O167" i="1"/>
  <c r="K144" i="1"/>
  <c r="O169" i="1"/>
  <c r="O139" i="1"/>
  <c r="K177" i="1"/>
  <c r="D140" i="1"/>
  <c r="G182" i="1"/>
  <c r="D143" i="1"/>
  <c r="D177" i="1"/>
  <c r="D155" i="1"/>
  <c r="K83" i="1"/>
  <c r="K84" i="1"/>
  <c r="K85" i="1"/>
  <c r="K86" i="1"/>
  <c r="K87" i="1"/>
  <c r="K128" i="1"/>
  <c r="K26" i="1"/>
  <c r="K42" i="1"/>
  <c r="N16" i="1"/>
  <c r="P37" i="1"/>
  <c r="L59" i="1"/>
  <c r="N80" i="1"/>
  <c r="P101" i="1"/>
  <c r="L123" i="1"/>
  <c r="Q13" i="1"/>
  <c r="M35" i="1"/>
  <c r="O56" i="1"/>
  <c r="Q77" i="1"/>
  <c r="M99" i="1"/>
  <c r="Q121" i="1"/>
  <c r="N43" i="1"/>
  <c r="P64" i="1"/>
  <c r="P11" i="1"/>
  <c r="L33" i="1"/>
  <c r="N54" i="1"/>
  <c r="P75" i="1"/>
  <c r="M30" i="1"/>
  <c r="Q72" i="1"/>
  <c r="P103" i="1"/>
  <c r="O123" i="1"/>
  <c r="P78" i="1"/>
  <c r="O127" i="1"/>
  <c r="Q43" i="1"/>
  <c r="M84" i="1"/>
  <c r="Q112" i="1"/>
  <c r="O33" i="1"/>
  <c r="O74" i="1"/>
  <c r="L28" i="1"/>
  <c r="P70" i="1"/>
  <c r="M68" i="1"/>
  <c r="M110" i="1"/>
  <c r="Q36" i="1"/>
  <c r="Q78" i="1"/>
  <c r="L108" i="1"/>
  <c r="O10" i="1"/>
  <c r="M53" i="1"/>
  <c r="P106" i="1"/>
  <c r="O81" i="1"/>
  <c r="O77" i="1"/>
  <c r="L105" i="1"/>
  <c r="M64" i="1"/>
  <c r="P127" i="1"/>
  <c r="E29" i="1"/>
  <c r="G42" i="1"/>
  <c r="F28" i="1"/>
  <c r="D99" i="1"/>
  <c r="D100" i="1"/>
  <c r="D101" i="1"/>
  <c r="D31" i="1"/>
  <c r="D9" i="1"/>
  <c r="D131" i="1"/>
  <c r="D56" i="1"/>
  <c r="D74" i="1"/>
  <c r="H183" i="1"/>
  <c r="I160" i="1"/>
  <c r="G141" i="1"/>
  <c r="H151" i="1"/>
  <c r="H176" i="1"/>
  <c r="H175" i="1"/>
  <c r="L133" i="1"/>
  <c r="Q179" i="1"/>
  <c r="O136" i="1"/>
  <c r="Q178" i="1"/>
  <c r="H75" i="1"/>
  <c r="I99" i="1"/>
  <c r="G123" i="1"/>
  <c r="E108" i="1"/>
  <c r="E77" i="1"/>
  <c r="I102" i="1"/>
  <c r="I48" i="1"/>
  <c r="G50" i="1"/>
  <c r="E87" i="1"/>
  <c r="G113" i="1"/>
  <c r="U13" i="1"/>
  <c r="X163" i="1"/>
  <c r="X114" i="1"/>
  <c r="W179" i="1"/>
  <c r="W9" i="1"/>
  <c r="U79" i="1"/>
  <c r="T73" i="1"/>
  <c r="S3" i="1"/>
  <c r="S118" i="1"/>
  <c r="S82" i="1"/>
  <c r="L153" i="1"/>
  <c r="K143" i="1"/>
  <c r="D153" i="1"/>
  <c r="D193" i="1"/>
  <c r="G167" i="1"/>
  <c r="K102" i="1"/>
  <c r="P125" i="1"/>
  <c r="O80" i="1"/>
  <c r="L46" i="1"/>
  <c r="L57" i="1"/>
  <c r="N107" i="1"/>
  <c r="M49" i="1"/>
  <c r="M101" i="1"/>
  <c r="P111" i="1"/>
  <c r="N85" i="1"/>
  <c r="I42" i="1"/>
  <c r="D63" i="1"/>
  <c r="E183" i="1"/>
  <c r="F180" i="1"/>
  <c r="N144" i="1"/>
  <c r="L2" i="1"/>
  <c r="F99" i="1"/>
  <c r="F84" i="1"/>
  <c r="G61" i="1"/>
  <c r="F22" i="1"/>
  <c r="I7" i="1"/>
  <c r="G48" i="1"/>
  <c r="I105" i="1"/>
  <c r="H131" i="1"/>
  <c r="H103" i="1"/>
  <c r="E49" i="1"/>
  <c r="F122" i="1"/>
  <c r="X153" i="1"/>
  <c r="X173" i="1"/>
  <c r="X31" i="1"/>
  <c r="Y15" i="1"/>
  <c r="Y72" i="1"/>
  <c r="Y17" i="1"/>
  <c r="W35" i="1"/>
  <c r="W187" i="1"/>
  <c r="W159" i="1"/>
  <c r="T56" i="1"/>
  <c r="U44" i="1"/>
  <c r="U17" i="1"/>
  <c r="S12" i="1"/>
  <c r="S32" i="1"/>
  <c r="S114" i="1"/>
  <c r="M154" i="1"/>
  <c r="N182" i="1"/>
  <c r="L144" i="1"/>
  <c r="D133" i="1"/>
  <c r="D159" i="1"/>
  <c r="H152" i="1"/>
  <c r="K109" i="1"/>
  <c r="K40" i="1"/>
  <c r="L63" i="1"/>
  <c r="Q17" i="1"/>
  <c r="Q81" i="1"/>
  <c r="L26" i="1"/>
  <c r="L37" i="1"/>
  <c r="L80" i="1"/>
  <c r="M9" i="1"/>
  <c r="O57" i="1"/>
  <c r="N111" i="1"/>
  <c r="N113" i="1"/>
  <c r="N103" i="1"/>
  <c r="L114" i="1"/>
  <c r="G28" i="1"/>
  <c r="D79" i="1"/>
  <c r="I183" i="1"/>
  <c r="I180" i="1"/>
  <c r="Q144" i="1"/>
  <c r="Q2" i="1"/>
  <c r="E99" i="1"/>
  <c r="I84" i="1"/>
  <c r="E61" i="1"/>
  <c r="I30" i="1"/>
  <c r="H31" i="1"/>
  <c r="F48" i="1"/>
  <c r="H105" i="1"/>
  <c r="X69" i="1"/>
  <c r="Y82" i="1"/>
  <c r="Y113" i="1"/>
  <c r="W36" i="1"/>
  <c r="W54" i="1"/>
  <c r="T83" i="1"/>
  <c r="T108" i="1"/>
  <c r="U29" i="1"/>
  <c r="S20" i="1"/>
  <c r="S56" i="1"/>
  <c r="S152" i="1"/>
  <c r="K160" i="1"/>
  <c r="P193" i="1"/>
  <c r="M145" i="1"/>
  <c r="E165" i="1"/>
  <c r="D134" i="1"/>
  <c r="F155" i="1"/>
  <c r="K117" i="1"/>
  <c r="K120" i="1"/>
  <c r="N64" i="1"/>
  <c r="O104" i="1"/>
  <c r="L70" i="1"/>
  <c r="L81" i="1"/>
  <c r="L120" i="1"/>
  <c r="O91" i="1"/>
  <c r="P38" i="1"/>
  <c r="Q4" i="1"/>
  <c r="M121" i="1"/>
  <c r="M98" i="1"/>
  <c r="D3" i="1"/>
  <c r="D95" i="1"/>
  <c r="D2" i="1"/>
  <c r="F159" i="1"/>
  <c r="L164" i="1"/>
  <c r="E75" i="1"/>
  <c r="I60" i="1"/>
  <c r="F45" i="1"/>
  <c r="E125" i="1"/>
  <c r="E118" i="1"/>
  <c r="H57" i="1"/>
  <c r="H98" i="1"/>
  <c r="G23" i="1"/>
  <c r="F119" i="1"/>
  <c r="F17" i="1"/>
  <c r="H129" i="1"/>
  <c r="I2" i="1"/>
  <c r="U12" i="1"/>
  <c r="U42" i="1"/>
  <c r="Y144" i="1"/>
  <c r="Y188" i="1"/>
  <c r="D35" i="1"/>
  <c r="F163" i="1"/>
  <c r="E68" i="1"/>
  <c r="I118" i="1"/>
  <c r="G57" i="1"/>
  <c r="F23" i="1"/>
  <c r="E16" i="1"/>
  <c r="I18" i="1"/>
  <c r="T12" i="1"/>
  <c r="Y161" i="1"/>
  <c r="X35" i="1"/>
  <c r="Y27" i="1"/>
  <c r="X108" i="1"/>
  <c r="X50" i="1"/>
  <c r="W131" i="1"/>
  <c r="T64" i="1"/>
  <c r="U56" i="1"/>
  <c r="U125" i="1"/>
  <c r="S154" i="1"/>
  <c r="S66" i="1"/>
  <c r="S26" i="1"/>
  <c r="N154" i="1"/>
  <c r="Q160" i="1"/>
  <c r="K194" i="1"/>
  <c r="F160" i="1"/>
  <c r="G180" i="1"/>
  <c r="K118" i="1"/>
  <c r="P85" i="1"/>
  <c r="L6" i="1"/>
  <c r="L17" i="1"/>
  <c r="Q100" i="1"/>
  <c r="P80" i="1"/>
  <c r="Q63" i="1"/>
  <c r="N101" i="1"/>
  <c r="D73" i="1"/>
  <c r="F183" i="1"/>
  <c r="P144" i="1"/>
  <c r="H107" i="1"/>
  <c r="F69" i="1"/>
  <c r="E31" i="1"/>
  <c r="E121" i="1"/>
  <c r="I14" i="1"/>
  <c r="G40" i="1"/>
  <c r="H18" i="1"/>
  <c r="U37" i="1"/>
  <c r="X154" i="1"/>
  <c r="Y183" i="1"/>
  <c r="X127" i="1"/>
  <c r="X53" i="1"/>
  <c r="X180" i="1"/>
  <c r="W143" i="1"/>
  <c r="W157" i="1"/>
  <c r="U126" i="1"/>
  <c r="T86" i="1"/>
  <c r="S109" i="1"/>
  <c r="P159" i="1"/>
  <c r="K141" i="1"/>
  <c r="F153" i="1"/>
  <c r="K115" i="1"/>
  <c r="Q61" i="1"/>
  <c r="N38" i="1"/>
  <c r="O65" i="1"/>
  <c r="P86" i="1"/>
  <c r="N69" i="1"/>
  <c r="D5" i="1"/>
  <c r="D110" i="1"/>
  <c r="L135" i="1"/>
  <c r="E85" i="1"/>
  <c r="G79" i="1"/>
  <c r="E26" i="1"/>
  <c r="G71" i="1"/>
  <c r="G72" i="1"/>
  <c r="E74" i="1"/>
  <c r="T14" i="1"/>
  <c r="X164" i="1"/>
  <c r="Y29" i="1"/>
  <c r="M161" i="1"/>
  <c r="G140" i="1"/>
  <c r="K89" i="1"/>
  <c r="N128" i="1"/>
  <c r="P48" i="1"/>
  <c r="O115" i="1"/>
  <c r="N117" i="1"/>
  <c r="F41" i="1"/>
  <c r="G179" i="1"/>
  <c r="F51" i="1"/>
  <c r="H109" i="1"/>
  <c r="I111" i="1"/>
  <c r="E66" i="1"/>
  <c r="G104" i="1"/>
  <c r="T35" i="1"/>
  <c r="T82" i="1"/>
  <c r="Y128" i="1"/>
  <c r="W58" i="1"/>
  <c r="T105" i="1"/>
  <c r="S39" i="1"/>
  <c r="O159" i="1"/>
  <c r="P183" i="1"/>
  <c r="G165" i="1"/>
  <c r="K21" i="1"/>
  <c r="N48" i="1"/>
  <c r="O88" i="1"/>
  <c r="L65" i="1"/>
  <c r="M65" i="1"/>
  <c r="Q114" i="1"/>
  <c r="M72" i="1"/>
  <c r="H90" i="1"/>
  <c r="H134" i="1"/>
  <c r="N177" i="1"/>
  <c r="E44" i="1"/>
  <c r="F109" i="1"/>
  <c r="H127" i="1"/>
  <c r="I66" i="1"/>
  <c r="G103" i="1"/>
  <c r="G97" i="1"/>
  <c r="U4" i="1"/>
  <c r="X168" i="1"/>
  <c r="X117" i="1"/>
  <c r="Y102" i="1"/>
  <c r="Y125" i="1"/>
  <c r="W68" i="1"/>
  <c r="W62" i="1"/>
  <c r="T95" i="1"/>
  <c r="T154" i="1"/>
  <c r="U45" i="1"/>
  <c r="S52" i="1"/>
  <c r="S120" i="1"/>
  <c r="S34" i="1"/>
  <c r="K181" i="1"/>
  <c r="P161" i="1"/>
  <c r="K156" i="1"/>
  <c r="D181" i="1"/>
  <c r="F139" i="1"/>
  <c r="F176" i="1"/>
  <c r="K22" i="1"/>
  <c r="K113" i="1"/>
  <c r="P69" i="1"/>
  <c r="O24" i="1"/>
  <c r="Q109" i="1"/>
  <c r="N75" i="1"/>
  <c r="Q8" i="1"/>
  <c r="Q14" i="1"/>
  <c r="O98" i="1"/>
  <c r="N49" i="1"/>
  <c r="O15" i="1"/>
  <c r="Q31" i="1"/>
  <c r="P115" i="1"/>
  <c r="N126" i="1"/>
  <c r="D24" i="1"/>
  <c r="O183" i="1"/>
  <c r="F83" i="1"/>
  <c r="F53" i="1"/>
  <c r="F24" i="1"/>
  <c r="G114" i="1"/>
  <c r="I17" i="1"/>
  <c r="U152" i="1"/>
  <c r="U139" i="1"/>
  <c r="Y157" i="1"/>
  <c r="W37" i="1"/>
  <c r="D145" i="1"/>
  <c r="K122" i="1"/>
  <c r="O40" i="1"/>
  <c r="Q40" i="1"/>
  <c r="O47" i="1"/>
  <c r="O29" i="1"/>
  <c r="D4" i="1"/>
  <c r="H180" i="1"/>
  <c r="P2" i="1"/>
  <c r="H84" i="1"/>
  <c r="E30" i="1"/>
  <c r="E48" i="1"/>
  <c r="E23" i="1"/>
  <c r="H49" i="1"/>
  <c r="U151" i="1"/>
  <c r="U181" i="1"/>
  <c r="X170" i="1"/>
  <c r="G195" i="1"/>
  <c r="T89" i="1"/>
  <c r="L179" i="1"/>
  <c r="K116" i="1"/>
  <c r="M83" i="1"/>
  <c r="O54" i="1"/>
  <c r="N115" i="1"/>
  <c r="D6" i="1"/>
  <c r="O137" i="1"/>
  <c r="G78" i="1"/>
  <c r="I110" i="1"/>
  <c r="H122" i="1"/>
  <c r="Y166" i="1"/>
  <c r="Y33" i="1"/>
  <c r="Y186" i="1"/>
  <c r="X51" i="1"/>
  <c r="Y31" i="1"/>
  <c r="X178" i="1"/>
  <c r="X66" i="1"/>
  <c r="W45" i="1"/>
  <c r="W15" i="1"/>
  <c r="T96" i="1"/>
  <c r="U60" i="1"/>
  <c r="U155" i="1"/>
  <c r="S5" i="1"/>
  <c r="S69" i="1"/>
  <c r="S160" i="1"/>
  <c r="M182" i="1"/>
  <c r="P133" i="1"/>
  <c r="L143" i="1"/>
  <c r="E133" i="1"/>
  <c r="H165" i="1"/>
  <c r="K19" i="1"/>
  <c r="K23" i="1"/>
  <c r="P5" i="1"/>
  <c r="L91" i="1"/>
  <c r="Q45" i="1"/>
  <c r="N11" i="1"/>
  <c r="N22" i="1"/>
  <c r="O51" i="1"/>
  <c r="M122" i="1"/>
  <c r="Q129" i="1"/>
  <c r="L88" i="1"/>
  <c r="M58" i="1"/>
  <c r="N81" i="1"/>
  <c r="M8" i="1"/>
  <c r="G41" i="1"/>
  <c r="D36" i="1"/>
  <c r="D10" i="1"/>
  <c r="I139" i="1"/>
  <c r="I193" i="1"/>
  <c r="P157" i="1"/>
  <c r="H3" i="1"/>
  <c r="E107" i="1"/>
  <c r="I92" i="1"/>
  <c r="I69" i="1"/>
  <c r="F30" i="1"/>
  <c r="F47" i="1"/>
  <c r="I64" i="1"/>
  <c r="I121" i="1"/>
  <c r="H14" i="1"/>
  <c r="I55" i="1"/>
  <c r="H40" i="1"/>
  <c r="G49" i="1"/>
  <c r="I74" i="1"/>
  <c r="T168" i="1"/>
  <c r="T193" i="1"/>
  <c r="T15" i="1"/>
  <c r="X162" i="1"/>
  <c r="Y171" i="1"/>
  <c r="Y115" i="1"/>
  <c r="U154" i="1"/>
  <c r="S164" i="1"/>
  <c r="O153" i="1"/>
  <c r="I132" i="1"/>
  <c r="K119" i="1"/>
  <c r="L107" i="1"/>
  <c r="N27" i="1"/>
  <c r="Q11" i="1"/>
  <c r="L113" i="1"/>
  <c r="M16" i="1"/>
  <c r="I89" i="1"/>
  <c r="E164" i="1"/>
  <c r="G19" i="1"/>
  <c r="F116" i="1"/>
  <c r="E54" i="1"/>
  <c r="H96" i="1"/>
  <c r="G14" i="1"/>
  <c r="T3" i="1"/>
  <c r="U136" i="1"/>
  <c r="Y174" i="1"/>
  <c r="P59" i="1"/>
  <c r="W91" i="1"/>
  <c r="U137" i="1"/>
  <c r="X132" i="1"/>
  <c r="Y136" i="1"/>
  <c r="X101" i="1"/>
  <c r="Y10" i="1"/>
  <c r="W32" i="1"/>
  <c r="W189" i="1"/>
  <c r="U143" i="1"/>
  <c r="U166" i="1"/>
  <c r="T102" i="1"/>
  <c r="S155" i="1"/>
  <c r="S47" i="1"/>
  <c r="M134" i="1"/>
  <c r="N132" i="1"/>
  <c r="L158" i="1"/>
  <c r="K162" i="1"/>
  <c r="H158" i="1"/>
  <c r="E138" i="1"/>
  <c r="K20" i="1"/>
  <c r="K32" i="1"/>
  <c r="L27" i="1"/>
  <c r="N112" i="1"/>
  <c r="M67" i="1"/>
  <c r="P32" i="1"/>
  <c r="P43" i="1"/>
  <c r="N89" i="1"/>
  <c r="O22" i="1"/>
  <c r="Q91" i="1"/>
  <c r="O9" i="1"/>
  <c r="L94" i="1"/>
  <c r="Q58" i="1"/>
  <c r="M40" i="1"/>
  <c r="I43" i="1"/>
  <c r="D37" i="1"/>
  <c r="D39" i="1"/>
  <c r="E177" i="1"/>
  <c r="N155" i="1"/>
  <c r="N135" i="1"/>
  <c r="I27" i="1"/>
  <c r="E12" i="1"/>
  <c r="H116" i="1"/>
  <c r="H93" i="1"/>
  <c r="I54" i="1"/>
  <c r="E79" i="1"/>
  <c r="F96" i="1"/>
  <c r="F26" i="1"/>
  <c r="H86" i="1"/>
  <c r="H71" i="1"/>
  <c r="E72" i="1"/>
  <c r="F97" i="1"/>
  <c r="F74" i="1"/>
  <c r="U11" i="1"/>
  <c r="U32" i="1"/>
  <c r="T178" i="1"/>
  <c r="Y164" i="1"/>
  <c r="Y185" i="1"/>
  <c r="X141" i="1"/>
  <c r="Y84" i="1"/>
  <c r="W67" i="1"/>
  <c r="W152" i="1"/>
  <c r="W42" i="1"/>
  <c r="U99" i="1"/>
  <c r="S59" i="1"/>
  <c r="S156" i="1"/>
  <c r="S80" i="1"/>
  <c r="O154" i="1"/>
  <c r="D161" i="1"/>
  <c r="E159" i="1"/>
  <c r="L43" i="1"/>
  <c r="P110" i="1"/>
  <c r="O93" i="1"/>
  <c r="O13" i="1"/>
  <c r="D120" i="1"/>
  <c r="Q177" i="1"/>
  <c r="H13" i="1"/>
  <c r="E128" i="1"/>
  <c r="F103" i="1"/>
  <c r="E97" i="1"/>
  <c r="T32" i="1"/>
  <c r="X186" i="1"/>
  <c r="Y16" i="1"/>
  <c r="W128" i="1"/>
  <c r="U111" i="1"/>
  <c r="S67" i="1"/>
  <c r="S145" i="1"/>
  <c r="M160" i="1"/>
  <c r="D178" i="1"/>
  <c r="G164" i="1"/>
  <c r="K82" i="1"/>
  <c r="M3" i="1"/>
  <c r="L54" i="1"/>
  <c r="L118" i="1"/>
  <c r="P6" i="1"/>
  <c r="N122" i="1"/>
  <c r="N37" i="1"/>
  <c r="D46" i="1"/>
  <c r="D65" i="1"/>
  <c r="O158" i="1"/>
  <c r="G59" i="1"/>
  <c r="I21" i="1"/>
  <c r="F78" i="1"/>
  <c r="I9" i="1"/>
  <c r="E110" i="1"/>
  <c r="E17" i="1"/>
  <c r="E2" i="1"/>
  <c r="U34" i="1"/>
  <c r="Y96" i="1"/>
  <c r="Y6" i="1"/>
  <c r="X5" i="1"/>
  <c r="Y5" i="1"/>
  <c r="Y22" i="1"/>
  <c r="X22" i="1"/>
  <c r="T142" i="1"/>
  <c r="Q132" i="1"/>
  <c r="M176" i="1"/>
  <c r="L176" i="1"/>
  <c r="F136" i="1"/>
  <c r="E136" i="1"/>
  <c r="N12" i="1"/>
  <c r="M78" i="1"/>
  <c r="P112" i="1"/>
  <c r="M129" i="1"/>
  <c r="P129" i="1"/>
  <c r="F91" i="1"/>
  <c r="G92" i="1"/>
  <c r="E40" i="1"/>
  <c r="X52" i="1"/>
  <c r="X116" i="1"/>
  <c r="Y138" i="1"/>
  <c r="X86" i="1"/>
  <c r="Y39" i="1"/>
  <c r="X39" i="1"/>
  <c r="Y73" i="1"/>
  <c r="X122" i="1"/>
  <c r="T36" i="1"/>
  <c r="T175" i="1"/>
  <c r="T179" i="1"/>
  <c r="N169" i="1"/>
  <c r="N168" i="1"/>
  <c r="N138" i="1"/>
  <c r="Q175" i="1"/>
  <c r="F165" i="1"/>
  <c r="F158" i="1"/>
  <c r="G158" i="1"/>
  <c r="I168" i="1"/>
  <c r="I179" i="1"/>
  <c r="E163" i="1"/>
  <c r="G166" i="1"/>
  <c r="L68" i="1"/>
  <c r="Q6" i="1"/>
  <c r="Q70" i="1"/>
  <c r="M70" i="1"/>
  <c r="Q7" i="1"/>
  <c r="O7" i="1"/>
  <c r="P7" i="1"/>
  <c r="N7" i="1"/>
  <c r="O71" i="1"/>
  <c r="P71" i="1"/>
  <c r="N71" i="1"/>
  <c r="N18" i="1"/>
  <c r="L18" i="1"/>
  <c r="P57" i="1"/>
  <c r="M57" i="1"/>
  <c r="M105" i="1"/>
  <c r="Q105" i="1"/>
  <c r="F19" i="1"/>
  <c r="G83" i="1"/>
  <c r="H83" i="1"/>
  <c r="F20" i="1"/>
  <c r="I85" i="1"/>
  <c r="H30" i="1"/>
  <c r="G118" i="1"/>
  <c r="F127" i="1"/>
  <c r="H112" i="1"/>
  <c r="G105" i="1"/>
  <c r="F98" i="1"/>
  <c r="G16" i="1"/>
  <c r="Y193" i="1"/>
  <c r="Y124" i="1"/>
  <c r="Y69" i="1"/>
  <c r="X80" i="1"/>
  <c r="Y160" i="1"/>
  <c r="U178" i="1"/>
  <c r="O180" i="1"/>
  <c r="M180" i="1"/>
  <c r="M157" i="1"/>
  <c r="F169" i="1"/>
  <c r="E169" i="1"/>
  <c r="M75" i="1"/>
  <c r="Q76" i="1"/>
  <c r="O76" i="1"/>
  <c r="N76" i="1"/>
  <c r="O14" i="1"/>
  <c r="Q24" i="1"/>
  <c r="N24" i="1"/>
  <c r="M24" i="1"/>
  <c r="O50" i="1"/>
  <c r="P50" i="1"/>
  <c r="M50" i="1"/>
  <c r="N50" i="1"/>
  <c r="L50" i="1"/>
  <c r="H27" i="1"/>
  <c r="F121" i="1"/>
  <c r="I23" i="1"/>
  <c r="I49" i="1"/>
  <c r="F49" i="1"/>
  <c r="Y11" i="1"/>
  <c r="X11" i="1"/>
  <c r="Y75" i="1"/>
  <c r="X75" i="1"/>
  <c r="X140" i="1"/>
  <c r="Y140" i="1"/>
  <c r="Y12" i="1"/>
  <c r="Y76" i="1"/>
  <c r="Y154" i="1"/>
  <c r="Y21" i="1"/>
  <c r="Y85" i="1"/>
  <c r="Y163" i="1"/>
  <c r="Y190" i="1"/>
  <c r="Y50" i="1"/>
  <c r="X166" i="1"/>
  <c r="Y74" i="1"/>
  <c r="X38" i="1"/>
  <c r="Y38" i="1"/>
  <c r="Y168" i="1"/>
  <c r="X8" i="1"/>
  <c r="Y2" i="1"/>
  <c r="X2" i="1"/>
  <c r="U182" i="1"/>
  <c r="T137" i="1"/>
  <c r="T9" i="1"/>
  <c r="H195" i="1"/>
  <c r="I195" i="1"/>
  <c r="Q140" i="1"/>
  <c r="O140" i="1"/>
  <c r="N140" i="1"/>
  <c r="L140" i="1"/>
  <c r="O152" i="1"/>
  <c r="P152" i="1"/>
  <c r="N133" i="1"/>
  <c r="M133" i="1"/>
  <c r="N164" i="1"/>
  <c r="P164" i="1"/>
  <c r="E144" i="1"/>
  <c r="I144" i="1"/>
  <c r="G144" i="1"/>
  <c r="E182" i="1"/>
  <c r="I182" i="1"/>
  <c r="G194" i="1"/>
  <c r="I194" i="1"/>
  <c r="E160" i="1"/>
  <c r="G160" i="1"/>
  <c r="H167" i="1"/>
  <c r="O27" i="1"/>
  <c r="N30" i="1"/>
  <c r="L30" i="1"/>
  <c r="N31" i="1"/>
  <c r="O31" i="1"/>
  <c r="P31" i="1"/>
  <c r="M31" i="1"/>
  <c r="Q95" i="1"/>
  <c r="M95" i="1"/>
  <c r="M48" i="1"/>
  <c r="Q48" i="1"/>
  <c r="L9" i="1"/>
  <c r="Q9" i="1"/>
  <c r="L16" i="1"/>
  <c r="P58" i="1"/>
  <c r="M34" i="1"/>
  <c r="L74" i="1"/>
  <c r="M74" i="1"/>
  <c r="N74" i="1"/>
  <c r="G107" i="1"/>
  <c r="F107" i="1"/>
  <c r="I107" i="1"/>
  <c r="G44" i="1"/>
  <c r="F108" i="1"/>
  <c r="E45" i="1"/>
  <c r="G45" i="1"/>
  <c r="E109" i="1"/>
  <c r="G109" i="1"/>
  <c r="F54" i="1"/>
  <c r="G54" i="1"/>
  <c r="I47" i="1"/>
  <c r="E47" i="1"/>
  <c r="E32" i="1"/>
  <c r="F32" i="1"/>
  <c r="G25" i="1"/>
  <c r="H25" i="1"/>
  <c r="E55" i="1"/>
  <c r="F55" i="1"/>
  <c r="F72" i="1"/>
  <c r="H72" i="1"/>
  <c r="E81" i="1"/>
  <c r="Y19" i="1"/>
  <c r="Y83" i="1"/>
  <c r="Y20" i="1"/>
  <c r="X84" i="1"/>
  <c r="Y162" i="1"/>
  <c r="X171" i="1"/>
  <c r="Y180" i="1"/>
  <c r="X33" i="1"/>
  <c r="X17" i="1"/>
  <c r="Y46" i="1"/>
  <c r="X135" i="1"/>
  <c r="Y89" i="1"/>
  <c r="X89" i="1"/>
  <c r="Y7" i="1"/>
  <c r="X7" i="1"/>
  <c r="Y71" i="1"/>
  <c r="X71" i="1"/>
  <c r="X136" i="1"/>
  <c r="X10" i="1"/>
  <c r="T115" i="1"/>
  <c r="Y99" i="1"/>
  <c r="X77" i="1"/>
  <c r="Y77" i="1"/>
  <c r="X72" i="1"/>
  <c r="X65" i="1"/>
  <c r="Y23" i="1"/>
  <c r="X23" i="1"/>
  <c r="Y24" i="1"/>
  <c r="X24" i="1"/>
  <c r="U193" i="1"/>
  <c r="U176" i="1"/>
  <c r="U33" i="1"/>
  <c r="P195" i="1"/>
  <c r="O195" i="1"/>
  <c r="N195" i="1"/>
  <c r="Q154" i="1"/>
  <c r="L154" i="1"/>
  <c r="P154" i="1"/>
  <c r="P166" i="1"/>
  <c r="L166" i="1"/>
  <c r="P136" i="1"/>
  <c r="M136" i="1"/>
  <c r="Q136" i="1"/>
  <c r="L136" i="1"/>
  <c r="H142" i="1"/>
  <c r="L35" i="1"/>
  <c r="Q35" i="1"/>
  <c r="O36" i="1"/>
  <c r="N36" i="1"/>
  <c r="O37" i="1"/>
  <c r="O38" i="1"/>
  <c r="O39" i="1"/>
  <c r="L39" i="1"/>
  <c r="P39" i="1"/>
  <c r="N39" i="1"/>
  <c r="N56" i="1"/>
  <c r="L56" i="1"/>
  <c r="M56" i="1"/>
  <c r="N66" i="1"/>
  <c r="L66" i="1"/>
  <c r="P66" i="1"/>
  <c r="O66" i="1"/>
  <c r="H51" i="1"/>
  <c r="E51" i="1"/>
  <c r="I52" i="1"/>
  <c r="E52" i="1"/>
  <c r="F52" i="1"/>
  <c r="H53" i="1"/>
  <c r="H70" i="1"/>
  <c r="H48" i="1"/>
  <c r="F34" i="1"/>
  <c r="G34" i="1"/>
  <c r="I34" i="1"/>
  <c r="F71" i="1"/>
  <c r="H97" i="1"/>
  <c r="I97" i="1"/>
  <c r="X4" i="1"/>
  <c r="Y4" i="1"/>
  <c r="U10" i="1"/>
  <c r="Q33" i="1"/>
  <c r="P33" i="1"/>
  <c r="G116" i="1"/>
  <c r="I116" i="1"/>
  <c r="E116" i="1"/>
  <c r="Y13" i="1"/>
  <c r="X144" i="1"/>
  <c r="U135" i="1"/>
  <c r="T135" i="1"/>
  <c r="N159" i="1"/>
  <c r="M159" i="1"/>
  <c r="L159" i="1"/>
  <c r="E157" i="1"/>
  <c r="F157" i="1"/>
  <c r="G152" i="1"/>
  <c r="I152" i="1"/>
  <c r="F152" i="1"/>
  <c r="E152" i="1"/>
  <c r="L110" i="1"/>
  <c r="O110" i="1"/>
  <c r="Q110" i="1"/>
  <c r="M2" i="1"/>
  <c r="N2" i="1"/>
  <c r="O2" i="1"/>
  <c r="E124" i="1"/>
  <c r="F124" i="1"/>
  <c r="H124" i="1"/>
  <c r="F86" i="1"/>
  <c r="G86" i="1"/>
  <c r="X100" i="1"/>
  <c r="Y101" i="1"/>
  <c r="X174" i="1"/>
  <c r="X156" i="1"/>
  <c r="Y55" i="1"/>
  <c r="X55" i="1"/>
  <c r="Y40" i="1"/>
  <c r="U14" i="1"/>
  <c r="U6" i="1"/>
  <c r="T6" i="1"/>
  <c r="P137" i="1"/>
  <c r="N137" i="1"/>
  <c r="M137" i="1"/>
  <c r="Q137" i="1"/>
  <c r="P44" i="1"/>
  <c r="O44" i="1"/>
  <c r="L44" i="1"/>
  <c r="M44" i="1"/>
  <c r="N44" i="1"/>
  <c r="N46" i="1"/>
  <c r="O46" i="1"/>
  <c r="P46" i="1"/>
  <c r="M46" i="1"/>
  <c r="M47" i="1"/>
  <c r="L47" i="1"/>
  <c r="Q47" i="1"/>
  <c r="O64" i="1"/>
  <c r="Q64" i="1"/>
  <c r="P17" i="1"/>
  <c r="O17" i="1"/>
  <c r="M17" i="1"/>
  <c r="Q90" i="1"/>
  <c r="L90" i="1"/>
  <c r="O90" i="1"/>
  <c r="N90" i="1"/>
  <c r="P90" i="1"/>
  <c r="E59" i="1"/>
  <c r="F59" i="1"/>
  <c r="H59" i="1"/>
  <c r="I59" i="1"/>
  <c r="E60" i="1"/>
  <c r="H60" i="1"/>
  <c r="I61" i="1"/>
  <c r="F61" i="1"/>
  <c r="H61" i="1"/>
  <c r="H78" i="1"/>
  <c r="E78" i="1"/>
  <c r="F64" i="1"/>
  <c r="H64" i="1"/>
  <c r="G64" i="1"/>
  <c r="E50" i="1"/>
  <c r="F50" i="1"/>
  <c r="I50" i="1"/>
  <c r="I87" i="1"/>
  <c r="G87" i="1"/>
  <c r="H87" i="1"/>
  <c r="H113" i="1"/>
  <c r="F113" i="1"/>
  <c r="E113" i="1"/>
  <c r="Y178" i="1"/>
  <c r="X176" i="1"/>
  <c r="Y176" i="1"/>
  <c r="T4" i="1"/>
  <c r="T40" i="1"/>
  <c r="U40" i="1"/>
  <c r="Q151" i="1"/>
  <c r="P151" i="1"/>
  <c r="M151" i="1"/>
  <c r="L151" i="1"/>
  <c r="N151" i="1"/>
  <c r="O103" i="1"/>
  <c r="Q103" i="1"/>
  <c r="L103" i="1"/>
  <c r="Q106" i="1"/>
  <c r="N106" i="1"/>
  <c r="O106" i="1"/>
  <c r="M106" i="1"/>
  <c r="G106" i="1"/>
  <c r="H106" i="1"/>
  <c r="I106" i="1"/>
  <c r="F106" i="1"/>
  <c r="X30" i="1"/>
  <c r="Y30" i="1"/>
  <c r="T141" i="1"/>
  <c r="U141" i="1"/>
  <c r="T42" i="1"/>
  <c r="M108" i="1"/>
  <c r="P108" i="1"/>
  <c r="O108" i="1"/>
  <c r="Q108" i="1"/>
  <c r="N108" i="1"/>
  <c r="Q65" i="1"/>
  <c r="N65" i="1"/>
  <c r="P65" i="1"/>
  <c r="I125" i="1"/>
  <c r="F125" i="1"/>
  <c r="G125" i="1"/>
  <c r="G122" i="1"/>
  <c r="I122" i="1"/>
  <c r="E122" i="1"/>
  <c r="X161" i="1"/>
  <c r="Y141" i="1"/>
  <c r="Y49" i="1"/>
  <c r="X49" i="1"/>
  <c r="X26" i="1"/>
  <c r="Y26" i="1"/>
  <c r="X172" i="1"/>
  <c r="Y172" i="1"/>
  <c r="X79" i="1"/>
  <c r="U132" i="1"/>
  <c r="T37" i="1"/>
  <c r="T41" i="1"/>
  <c r="U41" i="1"/>
  <c r="U168" i="1"/>
  <c r="M153" i="1"/>
  <c r="Q153" i="1"/>
  <c r="P153" i="1"/>
  <c r="Q165" i="1"/>
  <c r="N165" i="1"/>
  <c r="O165" i="1"/>
  <c r="M165" i="1"/>
  <c r="Q135" i="1"/>
  <c r="M135" i="1"/>
  <c r="O135" i="1"/>
  <c r="P135" i="1"/>
  <c r="L163" i="1"/>
  <c r="P163" i="1"/>
  <c r="Q163" i="1"/>
  <c r="M163" i="1"/>
  <c r="N163" i="1"/>
  <c r="H135" i="1"/>
  <c r="I135" i="1"/>
  <c r="G135" i="1"/>
  <c r="E135" i="1"/>
  <c r="F135" i="1"/>
  <c r="H164" i="1"/>
  <c r="F164" i="1"/>
  <c r="I137" i="1"/>
  <c r="H137" i="1"/>
  <c r="E137" i="1"/>
  <c r="F137" i="1"/>
  <c r="I176" i="1"/>
  <c r="G176" i="1"/>
  <c r="Q51" i="1"/>
  <c r="L51" i="1"/>
  <c r="P51" i="1"/>
  <c r="N51" i="1"/>
  <c r="N52" i="1"/>
  <c r="L52" i="1"/>
  <c r="P52" i="1"/>
  <c r="Q52" i="1"/>
  <c r="M52" i="1"/>
  <c r="O52" i="1"/>
  <c r="N53" i="1"/>
  <c r="Q53" i="1"/>
  <c r="O53" i="1"/>
  <c r="L53" i="1"/>
  <c r="P54" i="1"/>
  <c r="M54" i="1"/>
  <c r="Q54" i="1"/>
  <c r="Q55" i="1"/>
  <c r="P55" i="1"/>
  <c r="N55" i="1"/>
  <c r="O55" i="1"/>
  <c r="M55" i="1"/>
  <c r="L55" i="1"/>
  <c r="Q80" i="1"/>
  <c r="M80" i="1"/>
  <c r="Q49" i="1"/>
  <c r="O49" i="1"/>
  <c r="P49" i="1"/>
  <c r="N72" i="1"/>
  <c r="P72" i="1"/>
  <c r="L72" i="1"/>
  <c r="H67" i="1"/>
  <c r="E67" i="1"/>
  <c r="F67" i="1"/>
  <c r="G67" i="1"/>
  <c r="H68" i="1"/>
  <c r="I68" i="1"/>
  <c r="F68" i="1"/>
  <c r="G68" i="1"/>
  <c r="G69" i="1"/>
  <c r="H69" i="1"/>
  <c r="E69" i="1"/>
  <c r="H94" i="1"/>
  <c r="E94" i="1"/>
  <c r="I94" i="1"/>
  <c r="F94" i="1"/>
  <c r="I80" i="1"/>
  <c r="E80" i="1"/>
  <c r="G66" i="1"/>
  <c r="F66" i="1"/>
  <c r="H66" i="1"/>
  <c r="I103" i="1"/>
  <c r="E103" i="1"/>
  <c r="G129" i="1"/>
  <c r="F129" i="1"/>
  <c r="I129" i="1"/>
  <c r="X27" i="1"/>
  <c r="Y18" i="1"/>
  <c r="L101" i="1"/>
  <c r="O101" i="1"/>
  <c r="L98" i="1"/>
  <c r="P98" i="1"/>
  <c r="Q98" i="1"/>
  <c r="N98" i="1"/>
  <c r="F115" i="1"/>
  <c r="G115" i="1"/>
  <c r="H115" i="1"/>
  <c r="I115" i="1"/>
  <c r="E115" i="1"/>
  <c r="H117" i="1"/>
  <c r="E117" i="1"/>
  <c r="G117" i="1"/>
  <c r="F117" i="1"/>
  <c r="I117" i="1"/>
  <c r="G62" i="1"/>
  <c r="H62" i="1"/>
  <c r="F62" i="1"/>
  <c r="E62" i="1"/>
  <c r="I62" i="1"/>
  <c r="U35" i="1"/>
  <c r="O178" i="1"/>
  <c r="N178" i="1"/>
  <c r="P178" i="1"/>
  <c r="M178" i="1"/>
  <c r="L178" i="1"/>
  <c r="Q107" i="1"/>
  <c r="P107" i="1"/>
  <c r="M107" i="1"/>
  <c r="O107" i="1"/>
  <c r="M111" i="1"/>
  <c r="L111" i="1"/>
  <c r="O111" i="1"/>
  <c r="Q111" i="1"/>
  <c r="E123" i="1"/>
  <c r="F123" i="1"/>
  <c r="H123" i="1"/>
  <c r="I123" i="1"/>
  <c r="F57" i="1"/>
  <c r="I57" i="1"/>
  <c r="F104" i="1"/>
  <c r="E104" i="1"/>
  <c r="H104" i="1"/>
  <c r="I104" i="1"/>
  <c r="X3" i="1"/>
  <c r="Y3" i="1"/>
  <c r="Y169" i="1"/>
  <c r="X169" i="1"/>
  <c r="Y170" i="1"/>
  <c r="Y155" i="1"/>
  <c r="X155" i="1"/>
  <c r="Y81" i="1"/>
  <c r="X81" i="1"/>
  <c r="X139" i="1"/>
  <c r="Y139" i="1"/>
  <c r="Y25" i="1"/>
  <c r="X25" i="1"/>
  <c r="Y182" i="1"/>
  <c r="X182" i="1"/>
  <c r="U169" i="1"/>
  <c r="T169" i="1"/>
  <c r="U138" i="1"/>
  <c r="T138" i="1"/>
  <c r="U8" i="1"/>
  <c r="T8" i="1"/>
  <c r="P179" i="1"/>
  <c r="M179" i="1"/>
  <c r="O179" i="1"/>
  <c r="N179" i="1"/>
  <c r="M144" i="1"/>
  <c r="O144" i="1"/>
  <c r="P177" i="1"/>
  <c r="M177" i="1"/>
  <c r="L177" i="1"/>
  <c r="O177" i="1"/>
  <c r="I140" i="1"/>
  <c r="H140" i="1"/>
  <c r="E140" i="1"/>
  <c r="F140" i="1"/>
  <c r="I143" i="1"/>
  <c r="G143" i="1"/>
  <c r="E143" i="1"/>
  <c r="F143" i="1"/>
  <c r="H143" i="1"/>
  <c r="I177" i="1"/>
  <c r="H177" i="1"/>
  <c r="G177" i="1"/>
  <c r="F177" i="1"/>
  <c r="H155" i="1"/>
  <c r="G155" i="1"/>
  <c r="I155" i="1"/>
  <c r="E155" i="1"/>
  <c r="Q83" i="1"/>
  <c r="L83" i="1"/>
  <c r="N83" i="1"/>
  <c r="O83" i="1"/>
  <c r="P83" i="1"/>
  <c r="N84" i="1"/>
  <c r="Q84" i="1"/>
  <c r="P84" i="1"/>
  <c r="L84" i="1"/>
  <c r="O84" i="1"/>
  <c r="O85" i="1"/>
  <c r="L85" i="1"/>
  <c r="M85" i="1"/>
  <c r="Q85" i="1"/>
  <c r="Q86" i="1"/>
  <c r="M86" i="1"/>
  <c r="N86" i="1"/>
  <c r="O86" i="1"/>
  <c r="L86" i="1"/>
  <c r="Q87" i="1"/>
  <c r="O87" i="1"/>
  <c r="N87" i="1"/>
  <c r="P87" i="1"/>
  <c r="M87" i="1"/>
  <c r="L87" i="1"/>
  <c r="Q128" i="1"/>
  <c r="O128" i="1"/>
  <c r="M128" i="1"/>
  <c r="L128" i="1"/>
  <c r="P128" i="1"/>
  <c r="M26" i="1"/>
  <c r="P26" i="1"/>
  <c r="N26" i="1"/>
  <c r="O26" i="1"/>
  <c r="Q26" i="1"/>
  <c r="G99" i="1"/>
  <c r="H99" i="1"/>
  <c r="G100" i="1"/>
  <c r="E100" i="1"/>
  <c r="F100" i="1"/>
  <c r="H100" i="1"/>
  <c r="I100" i="1"/>
  <c r="H101" i="1"/>
  <c r="G101" i="1"/>
  <c r="E101" i="1"/>
  <c r="F101" i="1"/>
  <c r="I101" i="1"/>
  <c r="I31" i="1"/>
  <c r="G31" i="1"/>
  <c r="F31" i="1"/>
  <c r="H9" i="1"/>
  <c r="G9" i="1"/>
  <c r="E9" i="1"/>
  <c r="F9" i="1"/>
  <c r="E131" i="1"/>
  <c r="F131" i="1"/>
  <c r="I131" i="1"/>
  <c r="G131" i="1"/>
  <c r="H56" i="1"/>
  <c r="I56" i="1"/>
  <c r="E56" i="1"/>
  <c r="F56" i="1"/>
  <c r="G56" i="1"/>
  <c r="G74" i="1"/>
  <c r="H74" i="1"/>
  <c r="Y179" i="1"/>
  <c r="X179" i="1"/>
  <c r="X9" i="1"/>
  <c r="Y9" i="1"/>
  <c r="U3" i="1"/>
  <c r="U82" i="1"/>
  <c r="M143" i="1"/>
  <c r="O143" i="1"/>
  <c r="P143" i="1"/>
  <c r="Q143" i="1"/>
  <c r="N143" i="1"/>
  <c r="I153" i="1"/>
  <c r="E153" i="1"/>
  <c r="G153" i="1"/>
  <c r="H153" i="1"/>
  <c r="H193" i="1"/>
  <c r="E193" i="1"/>
  <c r="G193" i="1"/>
  <c r="F193" i="1"/>
  <c r="N102" i="1"/>
  <c r="O102" i="1"/>
  <c r="M102" i="1"/>
  <c r="Q102" i="1"/>
  <c r="L102" i="1"/>
  <c r="P102" i="1"/>
  <c r="E63" i="1"/>
  <c r="F63" i="1"/>
  <c r="G63" i="1"/>
  <c r="I63" i="1"/>
  <c r="H63" i="1"/>
  <c r="Y35" i="1"/>
  <c r="Y187" i="1"/>
  <c r="X187" i="1"/>
  <c r="Y159" i="1"/>
  <c r="X159" i="1"/>
  <c r="I133" i="1"/>
  <c r="H133" i="1"/>
  <c r="F133" i="1"/>
  <c r="G133" i="1"/>
  <c r="G159" i="1"/>
  <c r="H159" i="1"/>
  <c r="I159" i="1"/>
  <c r="L109" i="1"/>
  <c r="N109" i="1"/>
  <c r="O109" i="1"/>
  <c r="M109" i="1"/>
  <c r="P109" i="1"/>
  <c r="L40" i="1"/>
  <c r="N40" i="1"/>
  <c r="P40" i="1"/>
  <c r="I79" i="1"/>
  <c r="H79" i="1"/>
  <c r="F79" i="1"/>
  <c r="Y36" i="1"/>
  <c r="X36" i="1"/>
  <c r="Y54" i="1"/>
  <c r="X54" i="1"/>
  <c r="T152" i="1"/>
  <c r="O160" i="1"/>
  <c r="N160" i="1"/>
  <c r="P160" i="1"/>
  <c r="L160" i="1"/>
  <c r="F134" i="1"/>
  <c r="G134" i="1"/>
  <c r="I134" i="1"/>
  <c r="E134" i="1"/>
  <c r="M120" i="1"/>
  <c r="P120" i="1"/>
  <c r="N120" i="1"/>
  <c r="Q120" i="1"/>
  <c r="O120" i="1"/>
  <c r="E3" i="1"/>
  <c r="F3" i="1"/>
  <c r="G3" i="1"/>
  <c r="I3" i="1"/>
  <c r="H95" i="1"/>
  <c r="E95" i="1"/>
  <c r="F95" i="1"/>
  <c r="G95" i="1"/>
  <c r="I95" i="1"/>
  <c r="F2" i="1"/>
  <c r="G2" i="1"/>
  <c r="H2" i="1"/>
  <c r="E35" i="1"/>
  <c r="H35" i="1"/>
  <c r="F35" i="1"/>
  <c r="G35" i="1"/>
  <c r="I35" i="1"/>
  <c r="Y131" i="1"/>
  <c r="X131" i="1"/>
  <c r="Q118" i="1"/>
  <c r="M118" i="1"/>
  <c r="P118" i="1"/>
  <c r="N118" i="1"/>
  <c r="O118" i="1"/>
  <c r="G73" i="1"/>
  <c r="H73" i="1"/>
  <c r="F73" i="1"/>
  <c r="I73" i="1"/>
  <c r="E73" i="1"/>
  <c r="X143" i="1"/>
  <c r="Y143" i="1"/>
  <c r="X157" i="1"/>
  <c r="L141" i="1"/>
  <c r="P141" i="1"/>
  <c r="M141" i="1"/>
  <c r="N141" i="1"/>
  <c r="O141" i="1"/>
  <c r="Q141" i="1"/>
  <c r="F5" i="1"/>
  <c r="E5" i="1"/>
  <c r="G5" i="1"/>
  <c r="H5" i="1"/>
  <c r="I5" i="1"/>
  <c r="F110" i="1"/>
  <c r="G110" i="1"/>
  <c r="H110" i="1"/>
  <c r="L89" i="1"/>
  <c r="O89" i="1"/>
  <c r="Q89" i="1"/>
  <c r="P89" i="1"/>
  <c r="M89" i="1"/>
  <c r="Y58" i="1"/>
  <c r="X58" i="1"/>
  <c r="U39" i="1"/>
  <c r="T39" i="1"/>
  <c r="P21" i="1"/>
  <c r="M21" i="1"/>
  <c r="O21" i="1"/>
  <c r="L21" i="1"/>
  <c r="Q21" i="1"/>
  <c r="N21" i="1"/>
  <c r="Y68" i="1"/>
  <c r="X68" i="1"/>
  <c r="Y62" i="1"/>
  <c r="X62" i="1"/>
  <c r="T34" i="1"/>
  <c r="Q181" i="1"/>
  <c r="M181" i="1"/>
  <c r="P181" i="1"/>
  <c r="O181" i="1"/>
  <c r="N181" i="1"/>
  <c r="L181" i="1"/>
  <c r="N156" i="1"/>
  <c r="O156" i="1"/>
  <c r="M156" i="1"/>
  <c r="P156" i="1"/>
  <c r="L156" i="1"/>
  <c r="Q156" i="1"/>
  <c r="F181" i="1"/>
  <c r="I181" i="1"/>
  <c r="G181" i="1"/>
  <c r="E181" i="1"/>
  <c r="H181" i="1"/>
  <c r="L22" i="1"/>
  <c r="Q22" i="1"/>
  <c r="P22" i="1"/>
  <c r="M22" i="1"/>
  <c r="H24" i="1"/>
  <c r="E24" i="1"/>
  <c r="G24" i="1"/>
  <c r="I24" i="1"/>
  <c r="X37" i="1"/>
  <c r="Y37" i="1"/>
  <c r="I145" i="1"/>
  <c r="H145" i="1"/>
  <c r="E145" i="1"/>
  <c r="F145" i="1"/>
  <c r="G145" i="1"/>
  <c r="Q122" i="1"/>
  <c r="P122" i="1"/>
  <c r="L122" i="1"/>
  <c r="O122" i="1"/>
  <c r="E4" i="1"/>
  <c r="F4" i="1"/>
  <c r="I4" i="1"/>
  <c r="H4" i="1"/>
  <c r="G4" i="1"/>
  <c r="M116" i="1"/>
  <c r="N116" i="1"/>
  <c r="P116" i="1"/>
  <c r="Q116" i="1"/>
  <c r="L116" i="1"/>
  <c r="O116" i="1"/>
  <c r="I6" i="1"/>
  <c r="G6" i="1"/>
  <c r="H6" i="1"/>
  <c r="E6" i="1"/>
  <c r="F6" i="1"/>
  <c r="U5" i="1"/>
  <c r="T5" i="1"/>
  <c r="M19" i="1"/>
  <c r="L19" i="1"/>
  <c r="O19" i="1"/>
  <c r="Q19" i="1"/>
  <c r="P19" i="1"/>
  <c r="N19" i="1"/>
  <c r="O23" i="1"/>
  <c r="P23" i="1"/>
  <c r="N23" i="1"/>
  <c r="M23" i="1"/>
  <c r="Q23" i="1"/>
  <c r="L23" i="1"/>
  <c r="E36" i="1"/>
  <c r="F36" i="1"/>
  <c r="G36" i="1"/>
  <c r="H36" i="1"/>
  <c r="I36" i="1"/>
  <c r="H10" i="1"/>
  <c r="F10" i="1"/>
  <c r="I10" i="1"/>
  <c r="E10" i="1"/>
  <c r="G10" i="1"/>
  <c r="Q119" i="1"/>
  <c r="N119" i="1"/>
  <c r="P119" i="1"/>
  <c r="O119" i="1"/>
  <c r="M119" i="1"/>
  <c r="L119" i="1"/>
  <c r="Y91" i="1"/>
  <c r="X91" i="1"/>
  <c r="X32" i="1"/>
  <c r="Y32" i="1"/>
  <c r="X189" i="1"/>
  <c r="Y189" i="1"/>
  <c r="N162" i="1"/>
  <c r="L162" i="1"/>
  <c r="M162" i="1"/>
  <c r="O162" i="1"/>
  <c r="P162" i="1"/>
  <c r="Q162" i="1"/>
  <c r="N20" i="1"/>
  <c r="Q20" i="1"/>
  <c r="M20" i="1"/>
  <c r="P20" i="1"/>
  <c r="L20" i="1"/>
  <c r="O20" i="1"/>
  <c r="N32" i="1"/>
  <c r="L32" i="1"/>
  <c r="Q32" i="1"/>
  <c r="O32" i="1"/>
  <c r="M32" i="1"/>
  <c r="G37" i="1"/>
  <c r="E37" i="1"/>
  <c r="I37" i="1"/>
  <c r="F37" i="1"/>
  <c r="H37" i="1"/>
  <c r="I39" i="1"/>
  <c r="H39" i="1"/>
  <c r="F39" i="1"/>
  <c r="E39" i="1"/>
  <c r="G39" i="1"/>
  <c r="X67" i="1"/>
  <c r="Y67" i="1"/>
  <c r="E161" i="1"/>
  <c r="F161" i="1"/>
  <c r="I161" i="1"/>
  <c r="H161" i="1"/>
  <c r="G161" i="1"/>
  <c r="G120" i="1"/>
  <c r="F120" i="1"/>
  <c r="E120" i="1"/>
  <c r="I120" i="1"/>
  <c r="H120" i="1"/>
  <c r="I178" i="1"/>
  <c r="F178" i="1"/>
  <c r="H178" i="1"/>
  <c r="E178" i="1"/>
  <c r="G178" i="1"/>
  <c r="M82" i="1"/>
  <c r="Q82" i="1"/>
  <c r="L82" i="1"/>
  <c r="O82" i="1"/>
  <c r="P82" i="1"/>
  <c r="N82" i="1"/>
  <c r="H46" i="1"/>
  <c r="G46" i="1"/>
  <c r="F46" i="1"/>
  <c r="E46" i="1"/>
  <c r="I46" i="1"/>
  <c r="E65" i="1"/>
  <c r="H65" i="1"/>
  <c r="I65" i="1"/>
  <c r="F65" i="1"/>
  <c r="G65" i="1"/>
  <c r="A1828" i="5" l="1"/>
  <c r="A2216" i="5"/>
  <c r="A2022" i="5"/>
  <c r="A1440" i="5"/>
  <c r="A2410" i="5"/>
  <c r="A1634" i="5"/>
  <c r="A3559" i="5"/>
  <c r="A3365" i="5"/>
  <c r="A1584" i="5"/>
  <c r="A1972" i="5"/>
  <c r="A2360" i="5"/>
  <c r="A1390" i="5"/>
  <c r="A1778" i="5"/>
  <c r="A1960" i="5"/>
  <c r="A1378" i="5"/>
  <c r="A2154" i="5"/>
  <c r="A1572" i="5"/>
  <c r="A2348" i="5"/>
  <c r="A1766" i="5"/>
  <c r="A2490" i="5"/>
  <c r="A2296" i="5"/>
  <c r="A2102" i="5"/>
  <c r="A1714" i="5"/>
  <c r="A1520" i="5"/>
  <c r="A1908" i="5"/>
  <c r="A3681" i="5"/>
  <c r="A3487" i="5"/>
  <c r="A3524" i="5"/>
  <c r="A3330" i="5"/>
  <c r="A3389" i="5"/>
  <c r="A3583" i="5"/>
  <c r="A1477" i="5"/>
  <c r="A1671" i="5"/>
  <c r="A2059" i="5"/>
  <c r="A2253" i="5"/>
  <c r="A1865" i="5"/>
  <c r="A2447" i="5"/>
  <c r="A1381" i="5"/>
  <c r="A2351" i="5"/>
  <c r="A1575" i="5"/>
  <c r="A1769" i="5"/>
  <c r="A2157" i="5"/>
  <c r="A1963" i="5"/>
  <c r="A1765" i="5"/>
  <c r="A2153" i="5"/>
  <c r="A2347" i="5"/>
  <c r="A1959" i="5"/>
  <c r="A1377" i="5"/>
  <c r="A1571" i="5"/>
  <c r="A2721" i="5"/>
  <c r="A2915" i="5"/>
  <c r="A2056" i="5"/>
  <c r="A1474" i="5"/>
  <c r="A2444" i="5"/>
  <c r="A2250" i="5"/>
  <c r="A1862" i="5"/>
  <c r="A1668" i="5"/>
  <c r="A2062" i="5"/>
  <c r="A1480" i="5"/>
  <c r="A2256" i="5"/>
  <c r="A2450" i="5"/>
  <c r="A3529" i="5"/>
  <c r="A3335" i="5"/>
  <c r="A1574" i="5"/>
  <c r="A2156" i="5"/>
  <c r="A2350" i="5"/>
  <c r="A1380" i="5"/>
  <c r="A2484" i="5"/>
  <c r="A1514" i="5"/>
  <c r="A2290" i="5"/>
  <c r="A1708" i="5"/>
  <c r="A2096" i="5"/>
  <c r="A1902" i="5"/>
  <c r="A1539" i="5"/>
  <c r="A1927" i="5"/>
  <c r="A2121" i="5"/>
  <c r="A2315" i="5"/>
  <c r="A1733" i="5"/>
  <c r="A2509" i="5"/>
  <c r="A2750" i="5"/>
  <c r="A3360" i="5"/>
  <c r="A3554" i="5"/>
  <c r="A3366" i="5"/>
  <c r="A3560" i="5"/>
  <c r="A1767" i="5"/>
  <c r="A2349" i="5"/>
  <c r="A1379" i="5"/>
  <c r="A1961" i="5"/>
  <c r="A1573" i="5"/>
  <c r="A2155" i="5"/>
  <c r="A2755" i="5"/>
  <c r="A2949" i="5"/>
  <c r="A3356" i="5"/>
  <c r="A3550" i="5"/>
  <c r="A1641" i="5"/>
  <c r="A2223" i="5"/>
  <c r="A2417" i="5"/>
  <c r="A2029" i="5"/>
  <c r="A1447" i="5"/>
  <c r="A2469" i="5"/>
  <c r="A2081" i="5"/>
  <c r="A1887" i="5"/>
  <c r="A1693" i="5"/>
  <c r="A2275" i="5"/>
  <c r="A1499" i="5"/>
  <c r="A3455" i="5"/>
  <c r="A3635" i="5"/>
  <c r="A3441" i="5"/>
  <c r="A2058" i="5"/>
  <c r="A1864" i="5"/>
  <c r="A2252" i="5"/>
  <c r="A1670" i="5"/>
  <c r="A2446" i="5"/>
  <c r="A3429" i="5"/>
  <c r="A3623" i="5"/>
  <c r="A2060" i="5"/>
  <c r="A2448" i="5"/>
  <c r="A1866" i="5"/>
  <c r="A2254" i="5"/>
  <c r="A1672" i="5"/>
  <c r="A1518" i="5"/>
  <c r="A2294" i="5"/>
  <c r="A1906" i="5"/>
  <c r="A2100" i="5"/>
  <c r="A2868" i="5"/>
  <c r="A3352" i="5"/>
  <c r="A3546" i="5"/>
  <c r="A3334" i="5"/>
  <c r="A3528" i="5"/>
  <c r="A2174" i="5"/>
  <c r="A1786" i="5"/>
  <c r="A1398" i="5"/>
  <c r="A2243" i="5"/>
  <c r="A1661" i="5"/>
  <c r="A2049" i="5"/>
  <c r="A1855" i="5"/>
  <c r="A1467" i="5"/>
  <c r="A3457" i="5"/>
  <c r="A3651" i="5"/>
  <c r="A3485" i="5"/>
  <c r="A3679" i="5"/>
  <c r="A3527" i="5"/>
  <c r="A2236" i="5"/>
  <c r="A1460" i="5"/>
  <c r="A2430" i="5"/>
  <c r="A1654" i="5"/>
  <c r="A2042" i="5"/>
  <c r="A1848" i="5"/>
  <c r="A1889" i="5"/>
  <c r="A2471" i="5"/>
  <c r="A2277" i="5"/>
  <c r="A2083" i="5"/>
  <c r="A1695" i="5"/>
  <c r="A2992" i="5"/>
  <c r="A2913" i="5"/>
  <c r="A3501" i="5"/>
  <c r="A3307" i="5"/>
  <c r="A3477" i="5"/>
  <c r="A3671" i="5"/>
  <c r="A2354" i="5"/>
  <c r="A1966" i="5"/>
  <c r="A1772" i="5"/>
  <c r="A2160" i="5"/>
  <c r="A1578" i="5"/>
  <c r="A2262" i="5"/>
  <c r="A1486" i="5"/>
  <c r="A1680" i="5"/>
  <c r="A2068" i="5"/>
  <c r="A2456" i="5"/>
  <c r="A1445" i="5"/>
  <c r="A1639" i="5"/>
  <c r="A2221" i="5"/>
  <c r="A1833" i="5"/>
  <c r="A2027" i="5"/>
  <c r="A2415" i="5"/>
  <c r="A1444" i="5"/>
  <c r="A2026" i="5"/>
  <c r="A1832" i="5"/>
  <c r="A1638" i="5"/>
  <c r="A2414" i="5"/>
  <c r="A2413" i="5"/>
  <c r="A1637" i="5"/>
  <c r="A1443" i="5"/>
  <c r="A2025" i="5"/>
  <c r="A2024" i="5"/>
  <c r="A1442" i="5"/>
  <c r="A2218" i="5"/>
  <c r="A2412" i="5"/>
  <c r="A1830" i="5"/>
  <c r="A2217" i="5"/>
  <c r="A2023" i="5"/>
  <c r="A1829" i="5"/>
  <c r="A1441" i="5"/>
  <c r="A2411" i="5"/>
  <c r="A2117" i="5"/>
  <c r="A1535" i="5"/>
  <c r="A1729" i="5"/>
  <c r="A2311" i="5"/>
  <c r="A2084" i="5"/>
  <c r="A1696" i="5"/>
  <c r="A1925" i="5"/>
  <c r="A2119" i="5"/>
  <c r="A1731" i="5"/>
  <c r="A2313" i="5"/>
  <c r="A2724" i="5"/>
  <c r="A2918" i="5"/>
  <c r="A2854" i="5"/>
  <c r="A3048" i="5"/>
  <c r="A2885" i="5"/>
  <c r="A3079" i="5"/>
  <c r="A3480" i="5"/>
  <c r="A3674" i="5"/>
  <c r="A3323" i="5"/>
  <c r="A3517" i="5"/>
  <c r="A3631" i="5"/>
  <c r="A3437" i="5"/>
  <c r="A3379" i="5"/>
  <c r="A3573" i="5"/>
  <c r="A3453" i="5"/>
  <c r="A3647" i="5"/>
  <c r="A3662" i="5"/>
  <c r="A3467" i="5"/>
  <c r="A3661" i="5"/>
  <c r="A3495" i="5"/>
  <c r="A3301" i="5"/>
  <c r="A2439" i="5"/>
  <c r="A2051" i="5"/>
  <c r="A1469" i="5"/>
  <c r="A1663" i="5"/>
  <c r="A2047" i="5"/>
  <c r="A1659" i="5"/>
  <c r="A2241" i="5"/>
  <c r="A2435" i="5"/>
  <c r="A1536" i="5"/>
  <c r="A1730" i="5"/>
  <c r="A2312" i="5"/>
  <c r="A1924" i="5"/>
  <c r="A2118" i="5"/>
  <c r="A2945" i="5"/>
  <c r="A1844" i="5"/>
  <c r="A2426" i="5"/>
  <c r="A2232" i="5"/>
  <c r="A1456" i="5"/>
  <c r="A2041" i="5"/>
  <c r="A1459" i="5"/>
  <c r="A3510" i="5"/>
  <c r="A3325" i="5"/>
  <c r="A1430" i="5"/>
  <c r="A2206" i="5"/>
  <c r="A1818" i="5"/>
  <c r="A2183" i="5"/>
  <c r="A1989" i="5"/>
  <c r="A2377" i="5"/>
  <c r="A1632" i="5"/>
  <c r="A2408" i="5"/>
  <c r="A1413" i="5"/>
  <c r="A1607" i="5"/>
  <c r="A1995" i="5"/>
  <c r="A1801" i="5"/>
  <c r="A2189" i="5"/>
  <c r="A2383" i="5"/>
  <c r="A2382" i="5"/>
  <c r="A1606" i="5"/>
  <c r="A2188" i="5"/>
  <c r="A1411" i="5"/>
  <c r="A1993" i="5"/>
  <c r="A2381" i="5"/>
  <c r="A1799" i="5"/>
  <c r="A1992" i="5"/>
  <c r="A1604" i="5"/>
  <c r="A2380" i="5"/>
  <c r="A2186" i="5"/>
  <c r="A1410" i="5"/>
  <c r="A1798" i="5"/>
  <c r="A1797" i="5"/>
  <c r="A2185" i="5"/>
  <c r="A1409" i="5"/>
  <c r="A2379" i="5"/>
  <c r="A1909" i="5"/>
  <c r="A1715" i="5"/>
  <c r="A2491" i="5"/>
  <c r="A2297" i="5"/>
  <c r="A1521" i="5"/>
  <c r="A2269" i="5"/>
  <c r="A2075" i="5"/>
  <c r="A1687" i="5"/>
  <c r="A2463" i="5"/>
  <c r="A1717" i="5"/>
  <c r="A2105" i="5"/>
  <c r="A1911" i="5"/>
  <c r="A2493" i="5"/>
  <c r="A2287" i="5"/>
  <c r="A2481" i="5"/>
  <c r="A1705" i="5"/>
  <c r="A3078" i="5"/>
  <c r="A2951" i="5"/>
  <c r="A2757" i="5"/>
  <c r="A2753" i="5"/>
  <c r="A3042" i="5"/>
  <c r="A3377" i="5"/>
  <c r="A3664" i="5"/>
  <c r="A3470" i="5"/>
  <c r="A3518" i="5"/>
  <c r="A3324" i="5"/>
  <c r="A3347" i="5"/>
  <c r="A3541" i="5"/>
  <c r="A3633" i="5"/>
  <c r="A3459" i="5"/>
  <c r="A2199" i="5"/>
  <c r="A1811" i="5"/>
  <c r="A2393" i="5"/>
  <c r="A1854" i="5"/>
  <c r="A2436" i="5"/>
  <c r="A2048" i="5"/>
  <c r="A2242" i="5"/>
  <c r="A1660" i="5"/>
  <c r="A2758" i="5"/>
  <c r="A3051" i="5"/>
  <c r="A2857" i="5"/>
  <c r="A3522" i="5"/>
  <c r="A3328" i="5"/>
  <c r="A1658" i="5"/>
  <c r="A2046" i="5"/>
  <c r="A1852" i="5"/>
  <c r="A2434" i="5"/>
  <c r="A1461" i="5"/>
  <c r="A2431" i="5"/>
  <c r="A2043" i="5"/>
  <c r="A1897" i="5"/>
  <c r="A1509" i="5"/>
  <c r="A1703" i="5"/>
  <c r="A2285" i="5"/>
  <c r="A2479" i="5"/>
  <c r="A2950" i="5"/>
  <c r="A2756" i="5"/>
  <c r="A2720" i="5"/>
  <c r="A3668" i="5"/>
  <c r="A3474" i="5"/>
  <c r="A3670" i="5"/>
  <c r="A2224" i="5"/>
  <c r="A1836" i="5"/>
  <c r="A2030" i="5"/>
  <c r="A1448" i="5"/>
  <c r="A2418" i="5"/>
  <c r="A1569" i="5"/>
  <c r="A1957" i="5"/>
  <c r="A2151" i="5"/>
  <c r="A2392" i="5"/>
  <c r="A2004" i="5"/>
  <c r="A2375" i="5"/>
  <c r="A1405" i="5"/>
  <c r="A1599" i="5"/>
  <c r="A1598" i="5"/>
  <c r="A2180" i="5"/>
  <c r="A1986" i="5"/>
  <c r="A1792" i="5"/>
  <c r="A1790" i="5"/>
  <c r="A1596" i="5"/>
  <c r="A1402" i="5"/>
  <c r="A1984" i="5"/>
  <c r="A2178" i="5"/>
  <c r="A2465" i="5"/>
  <c r="A1689" i="5"/>
  <c r="A1883" i="5"/>
  <c r="A2271" i="5"/>
  <c r="A2722" i="5"/>
  <c r="A2916" i="5"/>
  <c r="A2924" i="5"/>
  <c r="A3532" i="5"/>
  <c r="A3353" i="5"/>
  <c r="A3547" i="5"/>
  <c r="A3454" i="5"/>
  <c r="A3472" i="5"/>
  <c r="A3593" i="5"/>
  <c r="A3398" i="5"/>
  <c r="A1942" i="5"/>
  <c r="A1748" i="5"/>
  <c r="A1554" i="5"/>
  <c r="A2438" i="5"/>
  <c r="A2050" i="5"/>
  <c r="A1468" i="5"/>
  <c r="A1517" i="5"/>
  <c r="A1711" i="5"/>
  <c r="A1905" i="5"/>
  <c r="A2851" i="5"/>
  <c r="A3045" i="5"/>
  <c r="A3442" i="5"/>
  <c r="A3505" i="5"/>
  <c r="A2167" i="5"/>
  <c r="A2361" i="5"/>
  <c r="A2920" i="5"/>
  <c r="A3496" i="5"/>
  <c r="A3302" i="5"/>
  <c r="A2006" i="5"/>
  <c r="A2200" i="5"/>
  <c r="A1424" i="5"/>
  <c r="A1812" i="5"/>
  <c r="A1608" i="5"/>
  <c r="A1414" i="5"/>
  <c r="A1802" i="5"/>
  <c r="A1785" i="5"/>
  <c r="A2173" i="5"/>
  <c r="A1397" i="5"/>
  <c r="A1979" i="5"/>
  <c r="A1978" i="5"/>
  <c r="A1977" i="5"/>
  <c r="A1782" i="5"/>
  <c r="A1976" i="5"/>
  <c r="A2363" i="5"/>
  <c r="A1393" i="5"/>
  <c r="A1494" i="5"/>
  <c r="A2464" i="5"/>
  <c r="A1688" i="5"/>
  <c r="A2270" i="5"/>
  <c r="A1524" i="5"/>
  <c r="A2300" i="5"/>
  <c r="A2288" i="5"/>
  <c r="A1512" i="5"/>
  <c r="A2482" i="5"/>
  <c r="A1941" i="5"/>
  <c r="A2135" i="5"/>
  <c r="A2329" i="5"/>
  <c r="A2943" i="5"/>
  <c r="A3086" i="5"/>
  <c r="A3103" i="5"/>
  <c r="A3322" i="5"/>
  <c r="A3516" i="5"/>
  <c r="A3321" i="5"/>
  <c r="A3515" i="5"/>
  <c r="A3363" i="5"/>
  <c r="A3370" i="5"/>
  <c r="A3569" i="5"/>
  <c r="A3375" i="5"/>
  <c r="A3591" i="5"/>
  <c r="A2831" i="5"/>
  <c r="A3308" i="5"/>
  <c r="A3434" i="5"/>
  <c r="A3369" i="5"/>
  <c r="A3563" i="5"/>
  <c r="A3305" i="5"/>
  <c r="A3499" i="5"/>
  <c r="A3387" i="5"/>
  <c r="A3581" i="5"/>
  <c r="A3433" i="5"/>
  <c r="A3538" i="5"/>
  <c r="A3315" i="5"/>
  <c r="A3331" i="5"/>
  <c r="A3672" i="5"/>
  <c r="A3469" i="5"/>
  <c r="A3654" i="5"/>
  <c r="A3382" i="5"/>
  <c r="A3512" i="5"/>
  <c r="A3575" i="5"/>
  <c r="A3511" i="5"/>
  <c r="A1820" i="5"/>
  <c r="A1626" i="5"/>
  <c r="A1432" i="5"/>
  <c r="A1586" i="5"/>
  <c r="A2192" i="5"/>
  <c r="A1374" i="5"/>
  <c r="A2337" i="5"/>
  <c r="A1367" i="5"/>
  <c r="A2376" i="5"/>
  <c r="A1600" i="5"/>
  <c r="A1647" i="5"/>
  <c r="A2423" i="5"/>
  <c r="A1583" i="5"/>
  <c r="A2165" i="5"/>
  <c r="A1971" i="5"/>
  <c r="A1777" i="5"/>
  <c r="A1388" i="5"/>
  <c r="A1776" i="5"/>
  <c r="A1967" i="5"/>
  <c r="A2298" i="5"/>
  <c r="A1910" i="5"/>
  <c r="A1685" i="5"/>
  <c r="A1879" i="5"/>
  <c r="A2286" i="5"/>
  <c r="A2092" i="5"/>
  <c r="A1498" i="5"/>
  <c r="A1886" i="5"/>
  <c r="A2080" i="5"/>
  <c r="A2468" i="5"/>
  <c r="A2725" i="5"/>
  <c r="A2853" i="5"/>
  <c r="A3092" i="5"/>
  <c r="A3300" i="5"/>
  <c r="A3494" i="5"/>
  <c r="A3306" i="5"/>
  <c r="A3660" i="5"/>
  <c r="A3530" i="5"/>
  <c r="A3336" i="5"/>
  <c r="A3566" i="5"/>
  <c r="A3464" i="5"/>
  <c r="A3542" i="5"/>
  <c r="A3682" i="5"/>
  <c r="A3655" i="5"/>
  <c r="A3577" i="5"/>
  <c r="A3513" i="5"/>
  <c r="A3646" i="5"/>
  <c r="A3568" i="5"/>
  <c r="A3504" i="5"/>
  <c r="A3632" i="5"/>
  <c r="A3438" i="5"/>
  <c r="A3373" i="5"/>
  <c r="A3567" i="5"/>
  <c r="A3309" i="5"/>
  <c r="A3503" i="5"/>
  <c r="A1408" i="5"/>
  <c r="A1796" i="5"/>
  <c r="A1602" i="5"/>
  <c r="A2184" i="5"/>
  <c r="A1990" i="5"/>
  <c r="A1576" i="5"/>
  <c r="A1770" i="5"/>
  <c r="A2352" i="5"/>
  <c r="A1954" i="5"/>
  <c r="A1822" i="5"/>
  <c r="A2016" i="5"/>
  <c r="A2404" i="5"/>
  <c r="A1627" i="5"/>
  <c r="A1709" i="5"/>
  <c r="A1732" i="5"/>
  <c r="A2120" i="5"/>
  <c r="A3088" i="5"/>
  <c r="A3652" i="5"/>
  <c r="A3378" i="5"/>
  <c r="A3561" i="5"/>
  <c r="A3616" i="5"/>
  <c r="A3685" i="5"/>
  <c r="A2433" i="5"/>
  <c r="A1657" i="5"/>
  <c r="A1609" i="5"/>
  <c r="A2191" i="5"/>
  <c r="A1376" i="5"/>
  <c r="A1764" i="5"/>
  <c r="A1817" i="5"/>
  <c r="A2205" i="5"/>
  <c r="A2011" i="5"/>
  <c r="A1753" i="5"/>
  <c r="A2141" i="5"/>
  <c r="A1947" i="5"/>
  <c r="A2335" i="5"/>
  <c r="A1622" i="5"/>
  <c r="A2398" i="5"/>
  <c r="A2334" i="5"/>
  <c r="A1426" i="5"/>
  <c r="A2503" i="5"/>
  <c r="A1884" i="5"/>
  <c r="A1914" i="5"/>
  <c r="A1915" i="5"/>
  <c r="A2895" i="5"/>
  <c r="A2891" i="5"/>
  <c r="A2752" i="5"/>
  <c r="A3420" i="5"/>
  <c r="A3565" i="5"/>
  <c r="A3337" i="5"/>
  <c r="A3531" i="5"/>
  <c r="A3384" i="5"/>
  <c r="A3630" i="5"/>
  <c r="A3414" i="5"/>
  <c r="A3350" i="5"/>
  <c r="A2263" i="5"/>
  <c r="A1681" i="5"/>
  <c r="A2246" i="5"/>
  <c r="A1630" i="5"/>
  <c r="A1758" i="5"/>
  <c r="A1534" i="5"/>
  <c r="A1728" i="5"/>
  <c r="A2460" i="5"/>
  <c r="A2858" i="5"/>
  <c r="A3320" i="5"/>
  <c r="A3514" i="5"/>
  <c r="A3497" i="5"/>
  <c r="A3303" i="5"/>
  <c r="A3498" i="5"/>
  <c r="A3588" i="5"/>
  <c r="A2944" i="5"/>
  <c r="A2098" i="5"/>
  <c r="A65" i="5"/>
  <c r="A46" i="5"/>
  <c r="A1783" i="5"/>
  <c r="A1868" i="5"/>
  <c r="A2140" i="5"/>
  <c r="A1476" i="5"/>
  <c r="A1412" i="5"/>
  <c r="A1555" i="5"/>
  <c r="A1246" i="5"/>
  <c r="A178" i="5"/>
  <c r="A1712" i="5"/>
  <c r="A2667" i="5"/>
  <c r="A2589" i="5"/>
  <c r="A3021" i="5"/>
  <c r="A3232" i="5"/>
  <c r="A3508" i="5"/>
  <c r="A3484" i="5"/>
  <c r="A2748" i="5"/>
  <c r="A2505" i="5"/>
  <c r="A120" i="5"/>
  <c r="A1953" i="5"/>
  <c r="A2033" i="5"/>
  <c r="A2244" i="5"/>
  <c r="A1401" i="5"/>
  <c r="A161" i="5"/>
  <c r="A2094" i="5"/>
  <c r="A2602" i="5"/>
  <c r="A2678" i="5"/>
  <c r="A2581" i="5"/>
  <c r="A3009" i="5"/>
  <c r="A3146" i="5"/>
  <c r="A3256" i="5"/>
  <c r="A3171" i="5"/>
  <c r="A3576" i="5"/>
  <c r="A3439" i="5"/>
  <c r="A3677" i="5"/>
  <c r="A3656" i="5"/>
  <c r="A2894" i="5"/>
  <c r="A2942" i="5"/>
  <c r="A2921" i="5"/>
  <c r="A1881" i="5"/>
  <c r="A1901" i="5"/>
  <c r="A39" i="5"/>
  <c r="A37" i="5"/>
  <c r="A1592" i="5"/>
  <c r="A2386" i="5"/>
  <c r="A1452" i="5"/>
  <c r="A1949" i="5"/>
  <c r="A2419" i="5"/>
  <c r="A1962" i="5"/>
  <c r="A1835" i="5"/>
  <c r="A2177" i="5"/>
  <c r="A2166" i="5"/>
  <c r="A1619" i="5"/>
  <c r="A1858" i="5"/>
  <c r="A1385" i="5"/>
  <c r="A1196" i="5"/>
  <c r="A1184" i="5"/>
  <c r="A1326" i="5"/>
  <c r="A1516" i="5"/>
  <c r="A1878" i="5"/>
  <c r="A1686" i="5"/>
  <c r="A2569" i="5"/>
  <c r="A2677" i="5"/>
  <c r="A2818" i="5"/>
  <c r="A3076" i="5"/>
  <c r="A3053" i="5"/>
  <c r="A3293" i="5"/>
  <c r="A3136" i="5"/>
  <c r="A3502" i="5"/>
  <c r="A3399" i="5"/>
  <c r="A3628" i="5"/>
  <c r="A3430" i="5"/>
  <c r="A3047" i="5"/>
  <c r="A3195" i="5"/>
  <c r="A2193" i="5"/>
  <c r="A3666" i="5"/>
  <c r="A3046" i="5"/>
  <c r="A2719" i="5"/>
  <c r="A1568" i="5"/>
  <c r="A1471" i="5"/>
  <c r="A2339" i="5"/>
  <c r="A1773" i="5"/>
  <c r="A1465" i="5"/>
  <c r="A1283" i="5"/>
  <c r="A2093" i="5"/>
  <c r="A2686" i="5"/>
  <c r="A3064" i="5"/>
  <c r="A3607" i="5"/>
  <c r="A3663" i="5"/>
  <c r="A3460" i="5"/>
  <c r="A2731" i="5"/>
  <c r="A2909" i="5"/>
  <c r="A2884" i="5"/>
  <c r="A2291" i="5"/>
  <c r="A10" i="5"/>
  <c r="A36" i="5"/>
  <c r="A1560" i="5"/>
  <c r="A1827" i="5"/>
  <c r="A1610" i="5"/>
  <c r="A1446" i="5"/>
  <c r="A2457" i="5"/>
  <c r="A1674" i="5"/>
  <c r="A1991" i="5"/>
  <c r="A1768" i="5"/>
  <c r="A1757" i="5"/>
  <c r="A2373" i="5"/>
  <c r="A1449" i="5"/>
  <c r="A2139" i="5"/>
  <c r="A1187" i="5"/>
  <c r="A1183" i="5"/>
  <c r="A1501" i="5"/>
  <c r="A2267" i="5"/>
  <c r="A1734" i="5"/>
  <c r="A2682" i="5"/>
  <c r="A2591" i="5"/>
  <c r="A2527" i="5"/>
  <c r="A3065" i="5"/>
  <c r="A2970" i="5"/>
  <c r="A2812" i="5"/>
  <c r="A3119" i="5"/>
  <c r="A3149" i="5"/>
  <c r="A3364" i="5"/>
  <c r="A3476" i="5"/>
  <c r="A3523" i="5"/>
  <c r="A3349" i="5"/>
  <c r="A3678" i="5"/>
  <c r="A3525" i="5"/>
  <c r="A3658" i="5"/>
  <c r="A2077" i="5"/>
  <c r="A6" i="5"/>
  <c r="A1861" i="5"/>
  <c r="A1994" i="5"/>
  <c r="A1635" i="5"/>
  <c r="A1280" i="5"/>
  <c r="A1537" i="5"/>
  <c r="A2805" i="5"/>
  <c r="A3468" i="5"/>
  <c r="A3091" i="5"/>
  <c r="A3061" i="5"/>
  <c r="A2136" i="5"/>
  <c r="A4" i="5"/>
  <c r="A1969" i="5"/>
  <c r="A1987" i="5"/>
  <c r="A2368" i="5"/>
  <c r="A1980" i="5"/>
  <c r="A1286" i="5"/>
  <c r="A145" i="5"/>
  <c r="A3141" i="5"/>
  <c r="A3649" i="5"/>
  <c r="A3049" i="5"/>
  <c r="A3062" i="5"/>
  <c r="A2123" i="5"/>
  <c r="A24" i="5"/>
  <c r="A1872" i="5"/>
  <c r="A2249" i="5"/>
  <c r="A2359" i="5"/>
  <c r="A1955" i="5"/>
  <c r="A1795" i="5"/>
  <c r="A2038" i="5"/>
  <c r="A2342" i="5"/>
  <c r="A2336" i="5"/>
  <c r="A1821" i="5"/>
  <c r="A2437" i="5"/>
  <c r="A1964" i="5"/>
  <c r="A2203" i="5"/>
  <c r="A1277" i="5"/>
  <c r="A1186" i="5"/>
  <c r="A181" i="5"/>
  <c r="A1320" i="5"/>
  <c r="A2295" i="5"/>
  <c r="A1345" i="5"/>
  <c r="A2556" i="5"/>
  <c r="A2642" i="5"/>
  <c r="A2574" i="5"/>
  <c r="A2955" i="5"/>
  <c r="A2870" i="5"/>
  <c r="A2811" i="5"/>
  <c r="A3166" i="5"/>
  <c r="A3172" i="5"/>
  <c r="A3617" i="5"/>
  <c r="A3594" i="5"/>
  <c r="A3415" i="5"/>
  <c r="A3466" i="5"/>
  <c r="A2914" i="5"/>
  <c r="A1923" i="5"/>
  <c r="A1624" i="5"/>
  <c r="A2442" i="5"/>
  <c r="A1617" i="5"/>
  <c r="A1423" i="5"/>
  <c r="A2028" i="5"/>
  <c r="A1794" i="5"/>
  <c r="A1185" i="5"/>
  <c r="A2317" i="5"/>
  <c r="A2099" i="5"/>
  <c r="A2561" i="5"/>
  <c r="A2821" i="5"/>
  <c r="A3162" i="5"/>
  <c r="A3620" i="5"/>
  <c r="A2798" i="5"/>
  <c r="A2751" i="5"/>
  <c r="A1863" i="5"/>
  <c r="A2055" i="5"/>
  <c r="A2182" i="5"/>
  <c r="A1874" i="5"/>
  <c r="A1253" i="5"/>
  <c r="A1713" i="5"/>
  <c r="A3521" i="5"/>
  <c r="A3462" i="5"/>
  <c r="A2730" i="5"/>
  <c r="A1493" i="5"/>
  <c r="A110" i="5"/>
  <c r="A5" i="5"/>
  <c r="A1815" i="5"/>
  <c r="A2220" i="5"/>
  <c r="A2005" i="5"/>
  <c r="A1784" i="5"/>
  <c r="A2389" i="5"/>
  <c r="A1279" i="5"/>
  <c r="A1305" i="5"/>
  <c r="A2293" i="5"/>
  <c r="A2631" i="5"/>
  <c r="A2802" i="5"/>
  <c r="A3036" i="5"/>
  <c r="A3261" i="5"/>
  <c r="A3247" i="5"/>
  <c r="A3478" i="5"/>
  <c r="A3351" i="5"/>
  <c r="A3425" i="5"/>
  <c r="A3675" i="5"/>
  <c r="A3452" i="5"/>
  <c r="A2947" i="5"/>
  <c r="A2278" i="5"/>
  <c r="A73" i="5"/>
  <c r="A1847" i="5"/>
  <c r="A2391" i="5"/>
  <c r="A2214" i="5"/>
  <c r="A2428" i="5"/>
  <c r="A1375" i="5"/>
  <c r="A1364" i="5"/>
  <c r="A2219" i="5"/>
  <c r="A1282" i="5"/>
  <c r="A1358" i="5"/>
  <c r="A2488" i="5"/>
  <c r="A1900" i="5"/>
  <c r="A2548" i="5"/>
  <c r="A2588" i="5"/>
  <c r="A2676" i="5"/>
  <c r="A3035" i="5"/>
  <c r="A2966" i="5"/>
  <c r="A2780" i="5"/>
  <c r="A3235" i="5"/>
  <c r="A3348" i="5"/>
  <c r="A3406" i="5"/>
  <c r="A3519" i="5"/>
  <c r="A3333" i="5"/>
  <c r="A3653" i="5"/>
  <c r="A2728" i="5"/>
  <c r="A35" i="5"/>
  <c r="A3680" i="5"/>
  <c r="A3636" i="5"/>
  <c r="A2952" i="5"/>
  <c r="A2922" i="5"/>
  <c r="A1522" i="5"/>
  <c r="A2" i="5"/>
  <c r="A95" i="5"/>
  <c r="A3" i="5"/>
  <c r="A1650" i="5"/>
  <c r="A1673" i="5"/>
  <c r="A2332" i="5"/>
  <c r="A2172" i="5"/>
  <c r="A2031" i="5"/>
  <c r="A1478" i="5"/>
  <c r="A1439" i="5"/>
  <c r="A1428" i="5"/>
  <c r="A2044" i="5"/>
  <c r="A1810" i="5"/>
  <c r="A1284" i="5"/>
  <c r="A1281" i="5"/>
  <c r="A134" i="5"/>
  <c r="A1697" i="5"/>
  <c r="A2327" i="5"/>
  <c r="A1324" i="5"/>
  <c r="A2674" i="5"/>
  <c r="A2578" i="5"/>
  <c r="A2542" i="5"/>
  <c r="A2939" i="5"/>
  <c r="A2824" i="5"/>
  <c r="A2799" i="5"/>
  <c r="A3158" i="5"/>
  <c r="A3140" i="5"/>
  <c r="A3605" i="5"/>
  <c r="A3574" i="5"/>
  <c r="A3367" i="5"/>
  <c r="A2330" i="5"/>
  <c r="A2472" i="5"/>
  <c r="A79" i="5"/>
  <c r="A1472" i="5"/>
  <c r="A1849" i="5"/>
  <c r="A1859" i="5"/>
  <c r="A1857" i="5"/>
  <c r="A1997" i="5"/>
  <c r="A1561" i="5"/>
  <c r="A1438" i="5"/>
  <c r="A1395" i="5"/>
  <c r="A1384" i="5"/>
  <c r="A2409" i="5"/>
  <c r="A2345" i="5"/>
  <c r="A1421" i="5"/>
  <c r="A1204" i="5"/>
  <c r="A1273" i="5"/>
  <c r="A159" i="5"/>
  <c r="A133" i="5"/>
  <c r="A1502" i="5"/>
  <c r="A1928" i="5"/>
  <c r="A1706" i="5"/>
  <c r="A2636" i="5"/>
  <c r="A2554" i="5"/>
  <c r="A2534" i="5"/>
  <c r="A2927" i="5"/>
  <c r="A2954" i="5"/>
  <c r="A2772" i="5"/>
  <c r="A3263" i="5"/>
  <c r="A3291" i="5"/>
  <c r="A3139" i="5"/>
  <c r="A3509" i="5"/>
  <c r="A3564" i="5"/>
  <c r="A3507" i="5"/>
  <c r="A3329" i="5"/>
  <c r="A3471" i="5"/>
  <c r="A3451" i="5"/>
  <c r="A1360" i="5"/>
  <c r="A1890" i="5"/>
  <c r="A63" i="5"/>
  <c r="A1831" i="5"/>
  <c r="A2245" i="5"/>
  <c r="A1653" i="5"/>
  <c r="A1601" i="5"/>
  <c r="A1853" i="5"/>
  <c r="A1415" i="5"/>
  <c r="A1404" i="5"/>
  <c r="A2020" i="5"/>
  <c r="A2259" i="5"/>
  <c r="A1266" i="5"/>
  <c r="A193" i="5"/>
  <c r="A153" i="5"/>
  <c r="A1307" i="5"/>
  <c r="A1511" i="5"/>
  <c r="A2604" i="5"/>
  <c r="A2640" i="5"/>
  <c r="A2525" i="5"/>
  <c r="A2789" i="5"/>
  <c r="A2989" i="5"/>
  <c r="A3113" i="5"/>
  <c r="A3283" i="5"/>
  <c r="A3412" i="5"/>
  <c r="A3461" i="5"/>
  <c r="A2923" i="5"/>
  <c r="A2506" i="5"/>
  <c r="A2076" i="5"/>
  <c r="A2507" i="5"/>
  <c r="A1491" i="5"/>
  <c r="A74" i="5"/>
  <c r="A56" i="5"/>
  <c r="A131" i="5"/>
  <c r="A9" i="5"/>
  <c r="A31" i="5"/>
  <c r="A101" i="5"/>
  <c r="A100" i="5"/>
  <c r="A99" i="5"/>
  <c r="A2261" i="5"/>
  <c r="A1616" i="5"/>
  <c r="A1463" i="5"/>
  <c r="A2017" i="5"/>
  <c r="A2021" i="5"/>
  <c r="A2240" i="5"/>
  <c r="A1605" i="5"/>
  <c r="A1950" i="5"/>
  <c r="A1466" i="5"/>
  <c r="A2406" i="5"/>
  <c r="A2364" i="5"/>
  <c r="A1662" i="5"/>
  <c r="A1620" i="5"/>
  <c r="A2204" i="5"/>
  <c r="A1386" i="5"/>
  <c r="A2014" i="5"/>
  <c r="A1973" i="5"/>
  <c r="A2440" i="5"/>
  <c r="A1636" i="5"/>
  <c r="A2371" i="5"/>
  <c r="A2067" i="5"/>
  <c r="A2212" i="5"/>
  <c r="A2063" i="5"/>
  <c r="A2237" i="5"/>
  <c r="A2400" i="5"/>
  <c r="A1582" i="5"/>
  <c r="A2209" i="5"/>
  <c r="A1800" i="5"/>
  <c r="A1391" i="5"/>
  <c r="A2145" i="5"/>
  <c r="A2198" i="5"/>
  <c r="A1789" i="5"/>
  <c r="A2449" i="5"/>
  <c r="A1651" i="5"/>
  <c r="A2405" i="5"/>
  <c r="A1996" i="5"/>
  <c r="A1587" i="5"/>
  <c r="A2341" i="5"/>
  <c r="A1481" i="5"/>
  <c r="A2235" i="5"/>
  <c r="A1826" i="5"/>
  <c r="A1417" i="5"/>
  <c r="A2171" i="5"/>
  <c r="A1762" i="5"/>
  <c r="A1206" i="5"/>
  <c r="A1190" i="5"/>
  <c r="A1292" i="5"/>
  <c r="A1251" i="5"/>
  <c r="A1250" i="5"/>
  <c r="A1249" i="5"/>
  <c r="A1248" i="5"/>
  <c r="A1247" i="5"/>
  <c r="A155" i="5"/>
  <c r="A177" i="5"/>
  <c r="A143" i="5"/>
  <c r="A140" i="5"/>
  <c r="A1341" i="5"/>
  <c r="A2079" i="5"/>
  <c r="A2109" i="5"/>
  <c r="A1308" i="5"/>
  <c r="A2107" i="5"/>
  <c r="A1343" i="5"/>
  <c r="A1309" i="5"/>
  <c r="A2510" i="5"/>
  <c r="A1692" i="5"/>
  <c r="A2473" i="5"/>
  <c r="A1745" i="5"/>
  <c r="A2523" i="5"/>
  <c r="A2595" i="5"/>
  <c r="A2540" i="5"/>
  <c r="A2530" i="5"/>
  <c r="A2608" i="5"/>
  <c r="A2660" i="5"/>
  <c r="A2687" i="5"/>
  <c r="A2616" i="5"/>
  <c r="A2599" i="5"/>
  <c r="A2638" i="5"/>
  <c r="A2691" i="5"/>
  <c r="A3070" i="5"/>
  <c r="A2766" i="5"/>
  <c r="A3003" i="5"/>
  <c r="A2980" i="5"/>
  <c r="A2773" i="5"/>
  <c r="A3018" i="5"/>
  <c r="A3024" i="5"/>
  <c r="A2744" i="5"/>
  <c r="A2977" i="5"/>
  <c r="A2883" i="5"/>
  <c r="A2873" i="5"/>
  <c r="A2767" i="5"/>
  <c r="A3286" i="5"/>
  <c r="A3191" i="5"/>
  <c r="A3129" i="5"/>
  <c r="A3243" i="5"/>
  <c r="A3185" i="5"/>
  <c r="A3259" i="5"/>
  <c r="A3274" i="5"/>
  <c r="A3273" i="5"/>
  <c r="A3107" i="5"/>
  <c r="A3408" i="5"/>
  <c r="A3316" i="5"/>
  <c r="A3602" i="5"/>
  <c r="A3604" i="5"/>
  <c r="A3338" i="5"/>
  <c r="A3395" i="5"/>
  <c r="A3443" i="5"/>
  <c r="A3571" i="5"/>
  <c r="A3612" i="5"/>
  <c r="A3354" i="5"/>
  <c r="A3393" i="5"/>
  <c r="A1533" i="5"/>
  <c r="A104" i="5"/>
  <c r="A57" i="5"/>
  <c r="A123" i="5"/>
  <c r="A1406" i="5"/>
  <c r="A2258" i="5"/>
  <c r="A1613" i="5"/>
  <c r="A2372" i="5"/>
  <c r="A2018" i="5"/>
  <c r="A2035" i="5"/>
  <c r="A2213" i="5"/>
  <c r="A1793" i="5"/>
  <c r="A2000" i="5"/>
  <c r="A2239" i="5"/>
  <c r="A1275" i="5"/>
  <c r="A1271" i="5"/>
  <c r="A2316" i="5"/>
  <c r="A1342" i="5"/>
  <c r="A1899" i="5"/>
  <c r="A2665" i="5"/>
  <c r="A2623" i="5"/>
  <c r="A2557" i="5"/>
  <c r="A2801" i="5"/>
  <c r="A2993" i="5"/>
  <c r="A3255" i="5"/>
  <c r="A3218" i="5"/>
  <c r="A3339" i="5"/>
  <c r="A3587" i="5"/>
  <c r="A3413" i="5"/>
  <c r="A3489" i="5"/>
  <c r="A2726" i="5"/>
  <c r="A62" i="5"/>
  <c r="A117" i="5"/>
  <c r="A115" i="5"/>
  <c r="A2394" i="5"/>
  <c r="A2343" i="5"/>
  <c r="A1676" i="5"/>
  <c r="A1779" i="5"/>
  <c r="A1464" i="5"/>
  <c r="A1824" i="5"/>
  <c r="A1813" i="5"/>
  <c r="A2429" i="5"/>
  <c r="A1956" i="5"/>
  <c r="A2195" i="5"/>
  <c r="A1262" i="5"/>
  <c r="A1265" i="5"/>
  <c r="A2504" i="5"/>
  <c r="A1704" i="5"/>
  <c r="A2648" i="5"/>
  <c r="A2615" i="5"/>
  <c r="A2782" i="5"/>
  <c r="A3030" i="5"/>
  <c r="A2834" i="5"/>
  <c r="A3223" i="5"/>
  <c r="A3122" i="5"/>
  <c r="A3131" i="5"/>
  <c r="A3627" i="5"/>
  <c r="A3358" i="5"/>
  <c r="A3644" i="5"/>
  <c r="A3397" i="5"/>
  <c r="A3645" i="5"/>
  <c r="A2896" i="5"/>
  <c r="A3105" i="5"/>
  <c r="A3482" i="5"/>
  <c r="A3650" i="5"/>
  <c r="A3090" i="5"/>
  <c r="A2848" i="5"/>
  <c r="A2487" i="5"/>
  <c r="A2103" i="5"/>
  <c r="A2299" i="5"/>
  <c r="A1882" i="5"/>
  <c r="A2106" i="5"/>
  <c r="A1922" i="5"/>
  <c r="A129" i="5"/>
  <c r="A103" i="5"/>
  <c r="A66" i="5"/>
  <c r="A80" i="5"/>
  <c r="A94" i="5"/>
  <c r="A69" i="5"/>
  <c r="A68" i="5"/>
  <c r="A67" i="5"/>
  <c r="A1791" i="5"/>
  <c r="A2452" i="5"/>
  <c r="A1422" i="5"/>
  <c r="A2034" i="5"/>
  <c r="A1644" i="5"/>
  <c r="A1982" i="5"/>
  <c r="A2396" i="5"/>
  <c r="A1629" i="5"/>
  <c r="A1588" i="5"/>
  <c r="A1841" i="5"/>
  <c r="A1418" i="5"/>
  <c r="A1763" i="5"/>
  <c r="A1665" i="5"/>
  <c r="A2045" i="5"/>
  <c r="A2403" i="5"/>
  <c r="A1585" i="5"/>
  <c r="A2039" i="5"/>
  <c r="A2374" i="5"/>
  <c r="A1483" i="5"/>
  <c r="A2230" i="5"/>
  <c r="A1614" i="5"/>
  <c r="A1816" i="5"/>
  <c r="A1407" i="5"/>
  <c r="A2161" i="5"/>
  <c r="A1752" i="5"/>
  <c r="A1805" i="5"/>
  <c r="A1396" i="5"/>
  <c r="A2150" i="5"/>
  <c r="A1667" i="5"/>
  <c r="A2421" i="5"/>
  <c r="A2012" i="5"/>
  <c r="A1603" i="5"/>
  <c r="A2357" i="5"/>
  <c r="A1948" i="5"/>
  <c r="A2251" i="5"/>
  <c r="A1842" i="5"/>
  <c r="A1433" i="5"/>
  <c r="A2187" i="5"/>
  <c r="A1369" i="5"/>
  <c r="A1236" i="5"/>
  <c r="A1213" i="5"/>
  <c r="A1244" i="5"/>
  <c r="A1219" i="5"/>
  <c r="A1218" i="5"/>
  <c r="A1217" i="5"/>
  <c r="A1216" i="5"/>
  <c r="A1215" i="5"/>
  <c r="A176" i="5"/>
  <c r="A137" i="5"/>
  <c r="A164" i="5"/>
  <c r="A135" i="5"/>
  <c r="A2314" i="5"/>
  <c r="A1327" i="5"/>
  <c r="A1523" i="5"/>
  <c r="A1299" i="5"/>
  <c r="A1329" i="5"/>
  <c r="A1690" i="5"/>
  <c r="A1720" i="5"/>
  <c r="A1496" i="5"/>
  <c r="A2091" i="5"/>
  <c r="A1684" i="5"/>
  <c r="A1880" i="5"/>
  <c r="A1317" i="5"/>
  <c r="A1747" i="5"/>
  <c r="A2690" i="5"/>
  <c r="A2587" i="5"/>
  <c r="A2641" i="5"/>
  <c r="A2544" i="5"/>
  <c r="A2563" i="5"/>
  <c r="A2617" i="5"/>
  <c r="A2552" i="5"/>
  <c r="A2559" i="5"/>
  <c r="A2606" i="5"/>
  <c r="A2654" i="5"/>
  <c r="A2996" i="5"/>
  <c r="A2762" i="5"/>
  <c r="A2987" i="5"/>
  <c r="A2940" i="5"/>
  <c r="A2769" i="5"/>
  <c r="A3002" i="5"/>
  <c r="A2968" i="5"/>
  <c r="A2736" i="5"/>
  <c r="A2961" i="5"/>
  <c r="A2833" i="5"/>
  <c r="A2860" i="5"/>
  <c r="A2743" i="5"/>
  <c r="A3208" i="5"/>
  <c r="A3183" i="5"/>
  <c r="A3276" i="5"/>
  <c r="A3130" i="5"/>
  <c r="A3153" i="5"/>
  <c r="A3213" i="5"/>
  <c r="A3245" i="5"/>
  <c r="A3265" i="5"/>
  <c r="A3614" i="5"/>
  <c r="A3396" i="5"/>
  <c r="A3312" i="5"/>
  <c r="A3557" i="5"/>
  <c r="A3592" i="5"/>
  <c r="A3318" i="5"/>
  <c r="A3359" i="5"/>
  <c r="A3431" i="5"/>
  <c r="A3555" i="5"/>
  <c r="A3578" i="5"/>
  <c r="A3596" i="5"/>
  <c r="A3624" i="5"/>
  <c r="A3381" i="5"/>
  <c r="A2104" i="5"/>
  <c r="A122" i="5"/>
  <c r="A125" i="5"/>
  <c r="A1751" i="5"/>
  <c r="A2071" i="5"/>
  <c r="A1394" i="5"/>
  <c r="A2248" i="5"/>
  <c r="A1590" i="5"/>
  <c r="A2149" i="5"/>
  <c r="A1655" i="5"/>
  <c r="A1485" i="5"/>
  <c r="A2175" i="5"/>
  <c r="A1229" i="5"/>
  <c r="A1272" i="5"/>
  <c r="A2272" i="5"/>
  <c r="A2480" i="5"/>
  <c r="A2689" i="5"/>
  <c r="A2564" i="5"/>
  <c r="A2663" i="5"/>
  <c r="A3019" i="5"/>
  <c r="A2816" i="5"/>
  <c r="A2783" i="5"/>
  <c r="A3134" i="5"/>
  <c r="A3132" i="5"/>
  <c r="A3589" i="5"/>
  <c r="A3526" i="5"/>
  <c r="A3394" i="5"/>
  <c r="A2925" i="5"/>
  <c r="A2898" i="5"/>
  <c r="A2492" i="5"/>
  <c r="A106" i="5"/>
  <c r="A41" i="5"/>
  <c r="A1856" i="5"/>
  <c r="A1998" i="5"/>
  <c r="A1594" i="5"/>
  <c r="A1434" i="5"/>
  <c r="A1642" i="5"/>
  <c r="A1975" i="5"/>
  <c r="A1760" i="5"/>
  <c r="A1749" i="5"/>
  <c r="A2365" i="5"/>
  <c r="A1270" i="5"/>
  <c r="A1267" i="5"/>
  <c r="A1263" i="5"/>
  <c r="A1926" i="5"/>
  <c r="A1500" i="5"/>
  <c r="A2467" i="5"/>
  <c r="A1315" i="5"/>
  <c r="A2562" i="5"/>
  <c r="A2538" i="5"/>
  <c r="A2526" i="5"/>
  <c r="A3000" i="5"/>
  <c r="A2792" i="5"/>
  <c r="A2779" i="5"/>
  <c r="A3280" i="5"/>
  <c r="A3282" i="5"/>
  <c r="A3332" i="5"/>
  <c r="A3386" i="5"/>
  <c r="A3683" i="5"/>
  <c r="A3456" i="5"/>
  <c r="A3104" i="5"/>
  <c r="A3050" i="5"/>
  <c r="A2466" i="5"/>
  <c r="A3687" i="5"/>
  <c r="A3458" i="5"/>
  <c r="A2718" i="5"/>
  <c r="A2948" i="5"/>
  <c r="A3488" i="5"/>
  <c r="A3648" i="5"/>
  <c r="A2847" i="5"/>
  <c r="A3085" i="5"/>
  <c r="A1541" i="5"/>
  <c r="A2494" i="5"/>
  <c r="A2116" i="5"/>
  <c r="A113" i="5"/>
  <c r="A87" i="5"/>
  <c r="A50" i="5"/>
  <c r="A64" i="5"/>
  <c r="A78" i="5"/>
  <c r="A61" i="5"/>
  <c r="A60" i="5"/>
  <c r="A59" i="5"/>
  <c r="A2168" i="5"/>
  <c r="A2338" i="5"/>
  <c r="A1775" i="5"/>
  <c r="A2367" i="5"/>
  <c r="A1873" i="5"/>
  <c r="A1845" i="5"/>
  <c r="A1618" i="5"/>
  <c r="A1683" i="5"/>
  <c r="A1580" i="5"/>
  <c r="A1839" i="5"/>
  <c r="A1803" i="5"/>
  <c r="A2148" i="5"/>
  <c r="A2257" i="5"/>
  <c r="A1625" i="5"/>
  <c r="A1970" i="5"/>
  <c r="A1646" i="5"/>
  <c r="A2366" i="5"/>
  <c r="A1869" i="5"/>
  <c r="A2228" i="5"/>
  <c r="A1999" i="5"/>
  <c r="A2344" i="5"/>
  <c r="A1427" i="5"/>
  <c r="A2181" i="5"/>
  <c r="A1363" i="5"/>
  <c r="A1416" i="5"/>
  <c r="A2170" i="5"/>
  <c r="A1761" i="5"/>
  <c r="A2441" i="5"/>
  <c r="A2032" i="5"/>
  <c r="A1623" i="5"/>
  <c r="A1968" i="5"/>
  <c r="A1559" i="5"/>
  <c r="A1453" i="5"/>
  <c r="A2207" i="5"/>
  <c r="A1389" i="5"/>
  <c r="A2143" i="5"/>
  <c r="A1254" i="5"/>
  <c r="A1181" i="5"/>
  <c r="A1228" i="5"/>
  <c r="A1211" i="5"/>
  <c r="A1210" i="5"/>
  <c r="A1209" i="5"/>
  <c r="A1208" i="5"/>
  <c r="A1207" i="5"/>
  <c r="A1904" i="5"/>
  <c r="A2461" i="5"/>
  <c r="A2101" i="5"/>
  <c r="A1495" i="5"/>
  <c r="A2303" i="5"/>
  <c r="A1525" i="5"/>
  <c r="A1301" i="5"/>
  <c r="A1306" i="5"/>
  <c r="A2134" i="5"/>
  <c r="A1490" i="5"/>
  <c r="A2279" i="5"/>
  <c r="A1553" i="5"/>
  <c r="A2644" i="5"/>
  <c r="A2571" i="5"/>
  <c r="A2625" i="5"/>
  <c r="A2528" i="5"/>
  <c r="A2539" i="5"/>
  <c r="A2601" i="5"/>
  <c r="A2536" i="5"/>
  <c r="A2551" i="5"/>
  <c r="A2598" i="5"/>
  <c r="A2645" i="5"/>
  <c r="A2936" i="5"/>
  <c r="A2738" i="5"/>
  <c r="A2983" i="5"/>
  <c r="A2875" i="5"/>
  <c r="A2745" i="5"/>
  <c r="A2998" i="5"/>
  <c r="A2850" i="5"/>
  <c r="A3067" i="5"/>
  <c r="A2957" i="5"/>
  <c r="A2844" i="5"/>
  <c r="A2835" i="5"/>
  <c r="A2739" i="5"/>
  <c r="A3144" i="5"/>
  <c r="A3159" i="5"/>
  <c r="A3260" i="5"/>
  <c r="A3201" i="5"/>
  <c r="A3278" i="5"/>
  <c r="A3205" i="5"/>
  <c r="A3204" i="5"/>
  <c r="A3236" i="5"/>
  <c r="A3598" i="5"/>
  <c r="A3380" i="5"/>
  <c r="A3553" i="5"/>
  <c r="A3556" i="5"/>
  <c r="A3314" i="5"/>
  <c r="A3311" i="5"/>
  <c r="A3551" i="5"/>
  <c r="A3615" i="5"/>
  <c r="A86" i="5"/>
  <c r="A124" i="5"/>
  <c r="A1166" i="5"/>
  <c r="A2427" i="5"/>
  <c r="A1958" i="5"/>
  <c r="A1640" i="5"/>
  <c r="A1804" i="5"/>
  <c r="A2202" i="5"/>
  <c r="A2138" i="5"/>
  <c r="A1591" i="5"/>
  <c r="A1278" i="5"/>
  <c r="A1274" i="5"/>
  <c r="A152" i="5"/>
  <c r="A157" i="5"/>
  <c r="A1898" i="5"/>
  <c r="A1323" i="5"/>
  <c r="A2586" i="5"/>
  <c r="A2657" i="5"/>
  <c r="A2794" i="5"/>
  <c r="A3034" i="5"/>
  <c r="A2972" i="5"/>
  <c r="A3248" i="5"/>
  <c r="A3117" i="5"/>
  <c r="A3344" i="5"/>
  <c r="A3362" i="5"/>
  <c r="A3355" i="5"/>
  <c r="A2749" i="5"/>
  <c r="A2729" i="5"/>
  <c r="A3052" i="5"/>
  <c r="A1727" i="5"/>
  <c r="A88" i="5"/>
  <c r="A116" i="5"/>
  <c r="A2455" i="5"/>
  <c r="A2144" i="5"/>
  <c r="A1946" i="5"/>
  <c r="A1436" i="5"/>
  <c r="A2169" i="5"/>
  <c r="A2158" i="5"/>
  <c r="A1611" i="5"/>
  <c r="A1850" i="5"/>
  <c r="A1197" i="5"/>
  <c r="A1264" i="5"/>
  <c r="A1492" i="5"/>
  <c r="A1510" i="5"/>
  <c r="A2651" i="5"/>
  <c r="A2532" i="5"/>
  <c r="A2655" i="5"/>
  <c r="A3015" i="5"/>
  <c r="A2926" i="5"/>
  <c r="A2740" i="5"/>
  <c r="A3225" i="5"/>
  <c r="A3108" i="5"/>
  <c r="A3585" i="5"/>
  <c r="A3407" i="5"/>
  <c r="A3319" i="5"/>
  <c r="A3317" i="5"/>
  <c r="A2919" i="5"/>
  <c r="A2723" i="5"/>
  <c r="A3087" i="5"/>
  <c r="A2892" i="5"/>
  <c r="A3490" i="5"/>
  <c r="A3657" i="5"/>
  <c r="A3440" i="5"/>
  <c r="A3063" i="5"/>
  <c r="A3684" i="5"/>
  <c r="A3667" i="5"/>
  <c r="A3465" i="5"/>
  <c r="A3634" i="5"/>
  <c r="A3089" i="5"/>
  <c r="A2897" i="5"/>
  <c r="A2946" i="5"/>
  <c r="A3025" i="5"/>
  <c r="A1929" i="5"/>
  <c r="A1912" i="5"/>
  <c r="A1707" i="5"/>
  <c r="A97" i="5"/>
  <c r="A71" i="5"/>
  <c r="A34" i="5"/>
  <c r="A48" i="5"/>
  <c r="A70" i="5"/>
  <c r="A53" i="5"/>
  <c r="A52" i="5"/>
  <c r="A51" i="5"/>
  <c r="A1382" i="5"/>
  <c r="A2208" i="5"/>
  <c r="A2152" i="5"/>
  <c r="A2057" i="5"/>
  <c r="A2407" i="5"/>
  <c r="A1589" i="5"/>
  <c r="A2453" i="5"/>
  <c r="A1843" i="5"/>
  <c r="A2003" i="5"/>
  <c r="A2065" i="5"/>
  <c r="A2225" i="5"/>
  <c r="A1370" i="5"/>
  <c r="A2010" i="5"/>
  <c r="A2355" i="5"/>
  <c r="A1825" i="5"/>
  <c r="A2358" i="5"/>
  <c r="A1867" i="5"/>
  <c r="A1451" i="5"/>
  <c r="A2384" i="5"/>
  <c r="A1566" i="5"/>
  <c r="A2201" i="5"/>
  <c r="A1383" i="5"/>
  <c r="A2137" i="5"/>
  <c r="A2190" i="5"/>
  <c r="A1781" i="5"/>
  <c r="A1372" i="5"/>
  <c r="A2052" i="5"/>
  <c r="A1643" i="5"/>
  <c r="A2397" i="5"/>
  <c r="A1988" i="5"/>
  <c r="A1579" i="5"/>
  <c r="A2333" i="5"/>
  <c r="A1473" i="5"/>
  <c r="A2227" i="5"/>
  <c r="A2163" i="5"/>
  <c r="A1754" i="5"/>
  <c r="A1230" i="5"/>
  <c r="A1260" i="5"/>
  <c r="A1220" i="5"/>
  <c r="A1203" i="5"/>
  <c r="A1202" i="5"/>
  <c r="A1201" i="5"/>
  <c r="A1200" i="5"/>
  <c r="A1199" i="5"/>
  <c r="A142" i="5"/>
  <c r="A2496" i="5"/>
  <c r="A2266" i="5"/>
  <c r="A1300" i="5"/>
  <c r="A1718" i="5"/>
  <c r="A1330" i="5"/>
  <c r="A2268" i="5"/>
  <c r="A2328" i="5"/>
  <c r="A1939" i="5"/>
  <c r="A1318" i="5"/>
  <c r="A1694" i="5"/>
  <c r="A1359" i="5"/>
  <c r="A2612" i="5"/>
  <c r="A2555" i="5"/>
  <c r="A2609" i="5"/>
  <c r="A2698" i="5"/>
  <c r="A2680" i="5"/>
  <c r="A2585" i="5"/>
  <c r="A2715" i="5"/>
  <c r="A2543" i="5"/>
  <c r="A2590" i="5"/>
  <c r="A2621" i="5"/>
  <c r="A2932" i="5"/>
  <c r="A3069" i="5"/>
  <c r="A2971" i="5"/>
  <c r="A2845" i="5"/>
  <c r="A3093" i="5"/>
  <c r="A2986" i="5"/>
  <c r="A2829" i="5"/>
  <c r="A3029" i="5"/>
  <c r="A2937" i="5"/>
  <c r="A2836" i="5"/>
  <c r="A2815" i="5"/>
  <c r="A3296" i="5"/>
  <c r="A3128" i="5"/>
  <c r="A3127" i="5"/>
  <c r="A3214" i="5"/>
  <c r="A3169" i="5"/>
  <c r="A3176" i="5"/>
  <c r="A3181" i="5"/>
  <c r="A3196" i="5"/>
  <c r="A3203" i="5"/>
  <c r="A3376" i="5"/>
  <c r="A3621" i="5"/>
  <c r="A3436" i="5"/>
  <c r="A3492" i="5"/>
  <c r="A3686" i="5"/>
  <c r="A3669" i="5"/>
  <c r="A3539" i="5"/>
  <c r="A3479" i="5"/>
  <c r="A3361" i="5"/>
  <c r="A2637" i="5"/>
  <c r="A2573" i="5"/>
  <c r="A3028" i="5"/>
  <c r="A2842" i="5"/>
  <c r="A2790" i="5"/>
  <c r="A2746" i="5"/>
  <c r="A3044" i="5"/>
  <c r="A3011" i="5"/>
  <c r="A2979" i="5"/>
  <c r="A2935" i="5"/>
  <c r="A2964" i="5"/>
  <c r="A2837" i="5"/>
  <c r="A2797" i="5"/>
  <c r="A2765" i="5"/>
  <c r="A3072" i="5"/>
  <c r="A3026" i="5"/>
  <c r="A2994" i="5"/>
  <c r="A2962" i="5"/>
  <c r="A3008" i="5"/>
  <c r="A2899" i="5"/>
  <c r="A2808" i="5"/>
  <c r="A3075" i="5"/>
  <c r="A3017" i="5"/>
  <c r="A2985" i="5"/>
  <c r="A2953" i="5"/>
  <c r="A3020" i="5"/>
  <c r="A2871" i="5"/>
  <c r="A2828" i="5"/>
  <c r="A2768" i="5"/>
  <c r="A2843" i="5"/>
  <c r="A2807" i="5"/>
  <c r="A2775" i="5"/>
  <c r="A2735" i="5"/>
  <c r="A3114" i="5"/>
  <c r="A3249" i="5"/>
  <c r="A3120" i="5"/>
  <c r="A3240" i="5"/>
  <c r="A3175" i="5"/>
  <c r="A3111" i="5"/>
  <c r="A3193" i="5"/>
  <c r="A3239" i="5"/>
  <c r="A3150" i="5"/>
  <c r="A3210" i="5"/>
  <c r="A3121" i="5"/>
  <c r="A3186" i="5"/>
  <c r="A3137" i="5"/>
  <c r="A3284" i="5"/>
  <c r="A3275" i="5"/>
  <c r="A3197" i="5"/>
  <c r="A3133" i="5"/>
  <c r="A3266" i="5"/>
  <c r="A3188" i="5"/>
  <c r="A3124" i="5"/>
  <c r="A3257" i="5"/>
  <c r="A3187" i="5"/>
  <c r="A3123" i="5"/>
  <c r="A3582" i="5"/>
  <c r="A3450" i="5"/>
  <c r="A3404" i="5"/>
  <c r="A3372" i="5"/>
  <c r="A3340" i="5"/>
  <c r="A3613" i="5"/>
  <c r="A3549" i="5"/>
  <c r="A3586" i="5"/>
  <c r="A3423" i="5"/>
  <c r="A3327" i="5"/>
  <c r="A3580" i="5"/>
  <c r="A3435" i="5"/>
  <c r="A3346" i="5"/>
  <c r="A3310" i="5"/>
  <c r="A3558" i="5"/>
  <c r="A3383" i="5"/>
  <c r="A3552" i="5"/>
  <c r="A3422" i="5"/>
  <c r="A3619" i="5"/>
  <c r="A3579" i="5"/>
  <c r="A3606" i="5"/>
  <c r="A3449" i="5"/>
  <c r="A3343" i="5"/>
  <c r="A3584" i="5"/>
  <c r="A3500" i="5"/>
  <c r="A3374" i="5"/>
  <c r="A3595" i="5"/>
  <c r="A3421" i="5"/>
  <c r="A3357" i="5"/>
  <c r="A3481" i="5"/>
  <c r="A3676" i="5"/>
  <c r="A3483" i="5"/>
  <c r="A3473" i="5"/>
  <c r="A2912" i="5"/>
  <c r="A2910" i="5"/>
  <c r="A2855" i="5"/>
  <c r="A2911" i="5"/>
  <c r="A2867" i="5"/>
  <c r="A2869" i="5"/>
  <c r="A2097" i="5"/>
  <c r="A1735" i="5"/>
  <c r="A2292" i="5"/>
  <c r="A1921" i="5"/>
  <c r="A2095" i="5"/>
  <c r="A90" i="5"/>
  <c r="A81" i="5"/>
  <c r="A72" i="5"/>
  <c r="A55" i="5"/>
  <c r="A14" i="5"/>
  <c r="A26" i="5"/>
  <c r="A25" i="5"/>
  <c r="A32" i="5"/>
  <c r="A47" i="5"/>
  <c r="A54" i="5"/>
  <c r="A109" i="5"/>
  <c r="A45" i="5"/>
  <c r="A108" i="5"/>
  <c r="A44" i="5"/>
  <c r="A107" i="5"/>
  <c r="A43" i="5"/>
  <c r="A1985" i="5"/>
  <c r="A1759" i="5"/>
  <c r="A2402" i="5"/>
  <c r="A2019" i="5"/>
  <c r="A1678" i="5"/>
  <c r="A2001" i="5"/>
  <c r="A2176" i="5"/>
  <c r="A1454" i="5"/>
  <c r="A1945" i="5"/>
  <c r="A2362" i="5"/>
  <c r="A1648" i="5"/>
  <c r="A1875" i="5"/>
  <c r="A2009" i="5"/>
  <c r="A1484" i="5"/>
  <c r="A1974" i="5"/>
  <c r="A1565" i="5"/>
  <c r="A1482" i="5"/>
  <c r="A2229" i="5"/>
  <c r="A1633" i="5"/>
  <c r="A2388" i="5"/>
  <c r="A1570" i="5"/>
  <c r="A1669" i="5"/>
  <c r="A1628" i="5"/>
  <c r="A1564" i="5"/>
  <c r="A1462" i="5"/>
  <c r="A1819" i="5"/>
  <c r="A2164" i="5"/>
  <c r="A1755" i="5"/>
  <c r="A1649" i="5"/>
  <c r="A1981" i="5"/>
  <c r="A2054" i="5"/>
  <c r="A1652" i="5"/>
  <c r="A2395" i="5"/>
  <c r="A1577" i="5"/>
  <c r="A2331" i="5"/>
  <c r="A1679" i="5"/>
  <c r="A1851" i="5"/>
  <c r="A1837" i="5"/>
  <c r="A2015" i="5"/>
  <c r="A1951" i="5"/>
  <c r="A1435" i="5"/>
  <c r="A1403" i="5"/>
  <c r="A1780" i="5"/>
  <c r="A1371" i="5"/>
  <c r="A2210" i="5"/>
  <c r="A1392" i="5"/>
  <c r="A2146" i="5"/>
  <c r="A2064" i="5"/>
  <c r="A2040" i="5"/>
  <c r="A1631" i="5"/>
  <c r="A2008" i="5"/>
  <c r="A2385" i="5"/>
  <c r="A2353" i="5"/>
  <c r="A1567" i="5"/>
  <c r="A1944" i="5"/>
  <c r="A1870" i="5"/>
  <c r="A2247" i="5"/>
  <c r="A1838" i="5"/>
  <c r="A2215" i="5"/>
  <c r="A1429" i="5"/>
  <c r="A1806" i="5"/>
  <c r="A1774" i="5"/>
  <c r="A1365" i="5"/>
  <c r="A1238" i="5"/>
  <c r="A1198" i="5"/>
  <c r="A1222" i="5"/>
  <c r="A1180" i="5"/>
  <c r="A1173" i="5"/>
  <c r="A1212" i="5"/>
  <c r="A1259" i="5"/>
  <c r="A1195" i="5"/>
  <c r="A1258" i="5"/>
  <c r="A1194" i="5"/>
  <c r="A1257" i="5"/>
  <c r="A1193" i="5"/>
  <c r="A1256" i="5"/>
  <c r="A1192" i="5"/>
  <c r="A1255" i="5"/>
  <c r="A1191" i="5"/>
  <c r="A167" i="5"/>
  <c r="A160" i="5"/>
  <c r="A194" i="5"/>
  <c r="A182" i="5"/>
  <c r="A144" i="5"/>
  <c r="A1716" i="5"/>
  <c r="A1552" i="5"/>
  <c r="A1891" i="5"/>
  <c r="A1515" i="5"/>
  <c r="A2274" i="5"/>
  <c r="A2521" i="5"/>
  <c r="A2309" i="5"/>
  <c r="A1503" i="5"/>
  <c r="A2462" i="5"/>
  <c r="A1357" i="5"/>
  <c r="A1328" i="5"/>
  <c r="A1538" i="5"/>
  <c r="A1907" i="5"/>
  <c r="A2073" i="5"/>
  <c r="A1297" i="5"/>
  <c r="A2133" i="5"/>
  <c r="A2082" i="5"/>
  <c r="A1540" i="5"/>
  <c r="A1316" i="5"/>
  <c r="A2497" i="5"/>
  <c r="A1940" i="5"/>
  <c r="A1304" i="5"/>
  <c r="A195" i="5"/>
  <c r="A2524" i="5"/>
  <c r="A2627" i="5"/>
  <c r="A2580" i="5"/>
  <c r="A2572" i="5"/>
  <c r="A2531" i="5"/>
  <c r="A2546" i="5"/>
  <c r="A2593" i="5"/>
  <c r="A2624" i="5"/>
  <c r="A2656" i="5"/>
  <c r="A2702" i="5"/>
  <c r="A2659" i="5"/>
  <c r="A2717" i="5"/>
  <c r="A2577" i="5"/>
  <c r="A2632" i="5"/>
  <c r="A2685" i="5"/>
  <c r="A2607" i="5"/>
  <c r="A2535" i="5"/>
  <c r="A2646" i="5"/>
  <c r="A2582" i="5"/>
  <c r="A2704" i="5"/>
  <c r="A2629" i="5"/>
  <c r="A2565" i="5"/>
  <c r="A3012" i="5"/>
  <c r="A2830" i="5"/>
  <c r="A2786" i="5"/>
  <c r="A2742" i="5"/>
  <c r="A3039" i="5"/>
  <c r="A3007" i="5"/>
  <c r="A2975" i="5"/>
  <c r="A2931" i="5"/>
  <c r="A2956" i="5"/>
  <c r="A2825" i="5"/>
  <c r="A2793" i="5"/>
  <c r="A2761" i="5"/>
  <c r="A3068" i="5"/>
  <c r="A3022" i="5"/>
  <c r="A2990" i="5"/>
  <c r="A2958" i="5"/>
  <c r="A2988" i="5"/>
  <c r="A2878" i="5"/>
  <c r="A2800" i="5"/>
  <c r="A3071" i="5"/>
  <c r="A3013" i="5"/>
  <c r="A2981" i="5"/>
  <c r="A2941" i="5"/>
  <c r="A3004" i="5"/>
  <c r="A2841" i="5"/>
  <c r="A2820" i="5"/>
  <c r="A2760" i="5"/>
  <c r="A2839" i="5"/>
  <c r="A2803" i="5"/>
  <c r="A2771" i="5"/>
  <c r="A3106" i="5"/>
  <c r="A3287" i="5"/>
  <c r="A3224" i="5"/>
  <c r="A3112" i="5"/>
  <c r="A3231" i="5"/>
  <c r="A3167" i="5"/>
  <c r="A3272" i="5"/>
  <c r="A3161" i="5"/>
  <c r="A3222" i="5"/>
  <c r="A3142" i="5"/>
  <c r="A3178" i="5"/>
  <c r="A3270" i="5"/>
  <c r="A3154" i="5"/>
  <c r="A3294" i="5"/>
  <c r="A3268" i="5"/>
  <c r="A3267" i="5"/>
  <c r="A3189" i="5"/>
  <c r="A3125" i="5"/>
  <c r="A3258" i="5"/>
  <c r="A3180" i="5"/>
  <c r="A3116" i="5"/>
  <c r="A3244" i="5"/>
  <c r="A3179" i="5"/>
  <c r="A3115" i="5"/>
  <c r="A3400" i="5"/>
  <c r="A3368" i="5"/>
  <c r="A3304" i="5"/>
  <c r="A3609" i="5"/>
  <c r="A3545" i="5"/>
  <c r="A3570" i="5"/>
  <c r="A3411" i="5"/>
  <c r="A3418" i="5"/>
  <c r="A3342" i="5"/>
  <c r="A3371" i="5"/>
  <c r="A3540" i="5"/>
  <c r="A3410" i="5"/>
  <c r="A3611" i="5"/>
  <c r="A3543" i="5"/>
  <c r="A3590" i="5"/>
  <c r="A3427" i="5"/>
  <c r="A3572" i="5"/>
  <c r="A3491" i="5"/>
  <c r="A3417" i="5"/>
  <c r="A3385" i="5"/>
  <c r="A2485" i="5"/>
  <c r="A2511" i="5"/>
  <c r="A2486" i="5"/>
  <c r="A2508" i="5"/>
  <c r="A49" i="5"/>
  <c r="A23" i="5"/>
  <c r="A121" i="5"/>
  <c r="A8" i="5"/>
  <c r="A38" i="5"/>
  <c r="A29" i="5"/>
  <c r="A28" i="5"/>
  <c r="A27" i="5"/>
  <c r="A1666" i="5"/>
  <c r="A2346" i="5"/>
  <c r="A2459" i="5"/>
  <c r="A2378" i="5"/>
  <c r="A2399" i="5"/>
  <c r="A1581" i="5"/>
  <c r="A1450" i="5"/>
  <c r="A2340" i="5"/>
  <c r="A2454" i="5"/>
  <c r="A1362" i="5"/>
  <c r="A2260" i="5"/>
  <c r="A2424" i="5"/>
  <c r="A2002" i="5"/>
  <c r="A1556" i="5"/>
  <c r="A1558" i="5"/>
  <c r="A2197" i="5"/>
  <c r="A1788" i="5"/>
  <c r="A1368" i="5"/>
  <c r="A1675" i="5"/>
  <c r="A1814" i="5"/>
  <c r="A2159" i="5"/>
  <c r="A1750" i="5"/>
  <c r="A1245" i="5"/>
  <c r="A1214" i="5"/>
  <c r="A1188" i="5"/>
  <c r="A1179" i="5"/>
  <c r="A1178" i="5"/>
  <c r="A1240" i="5"/>
  <c r="A1239" i="5"/>
  <c r="A180" i="5"/>
  <c r="A138" i="5"/>
  <c r="A183" i="5"/>
  <c r="A169" i="5"/>
  <c r="A1903" i="5"/>
  <c r="A2273" i="5"/>
  <c r="A2122" i="5"/>
  <c r="A1321" i="5"/>
  <c r="A2072" i="5"/>
  <c r="A1710" i="5"/>
  <c r="A1551" i="5"/>
  <c r="A1344" i="5"/>
  <c r="A1527" i="5"/>
  <c r="A2547" i="5"/>
  <c r="A2681" i="5"/>
  <c r="A2700" i="5"/>
  <c r="A2592" i="5"/>
  <c r="A2635" i="5"/>
  <c r="A2666" i="5"/>
  <c r="A2600" i="5"/>
  <c r="A2583" i="5"/>
  <c r="A2630" i="5"/>
  <c r="A2683" i="5"/>
  <c r="A2984" i="5"/>
  <c r="A2778" i="5"/>
  <c r="A3031" i="5"/>
  <c r="A2967" i="5"/>
  <c r="A2876" i="5"/>
  <c r="A2785" i="5"/>
  <c r="A3055" i="5"/>
  <c r="A2982" i="5"/>
  <c r="A2872" i="5"/>
  <c r="A2784" i="5"/>
  <c r="A3005" i="5"/>
  <c r="A2933" i="5"/>
  <c r="A2882" i="5"/>
  <c r="A2732" i="5"/>
  <c r="A2795" i="5"/>
  <c r="A3264" i="5"/>
  <c r="A3184" i="5"/>
  <c r="A3215" i="5"/>
  <c r="A3202" i="5"/>
  <c r="A3206" i="5"/>
  <c r="A3295" i="5"/>
  <c r="A3279" i="5"/>
  <c r="A3230" i="5"/>
  <c r="A3173" i="5"/>
  <c r="A3228" i="5"/>
  <c r="A3297" i="5"/>
  <c r="A3163" i="5"/>
  <c r="A3392" i="5"/>
  <c r="A3601" i="5"/>
  <c r="A3537" i="5"/>
  <c r="A3534" i="5"/>
  <c r="A3544" i="5"/>
  <c r="A3506" i="5"/>
  <c r="A3608" i="5"/>
  <c r="A3403" i="5"/>
  <c r="A3548" i="5"/>
  <c r="A3409" i="5"/>
  <c r="A3345" i="5"/>
  <c r="A3665" i="5"/>
  <c r="A3659" i="5"/>
  <c r="A3041" i="5"/>
  <c r="A2754" i="5"/>
  <c r="A2917" i="5"/>
  <c r="A42" i="5"/>
  <c r="A33" i="5"/>
  <c r="A16" i="5"/>
  <c r="A15" i="5"/>
  <c r="A98" i="5"/>
  <c r="A105" i="5"/>
  <c r="A112" i="5"/>
  <c r="A127" i="5"/>
  <c r="A118" i="5"/>
  <c r="A30" i="5"/>
  <c r="A85" i="5"/>
  <c r="A21" i="5"/>
  <c r="A84" i="5"/>
  <c r="A20" i="5"/>
  <c r="A83" i="5"/>
  <c r="A19" i="5"/>
  <c r="A1664" i="5"/>
  <c r="A2370" i="5"/>
  <c r="A2420" i="5"/>
  <c r="A1479" i="5"/>
  <c r="A1807" i="5"/>
  <c r="A1470" i="5"/>
  <c r="A1366" i="5"/>
  <c r="A2432" i="5"/>
  <c r="A1621" i="5"/>
  <c r="A1557" i="5"/>
  <c r="A2238" i="5"/>
  <c r="A1562" i="5"/>
  <c r="A1656" i="5"/>
  <c r="A1487" i="5"/>
  <c r="A2451" i="5"/>
  <c r="A1677" i="5"/>
  <c r="A2422" i="5"/>
  <c r="A2387" i="5"/>
  <c r="A2053" i="5"/>
  <c r="A2390" i="5"/>
  <c r="A1489" i="5"/>
  <c r="A1860" i="5"/>
  <c r="A1458" i="5"/>
  <c r="A2007" i="5"/>
  <c r="A1943" i="5"/>
  <c r="A1431" i="5"/>
  <c r="A1808" i="5"/>
  <c r="A1399" i="5"/>
  <c r="A1420" i="5"/>
  <c r="A2142" i="5"/>
  <c r="A2036" i="5"/>
  <c r="A1595" i="5"/>
  <c r="A1563" i="5"/>
  <c r="A2445" i="5"/>
  <c r="A1457" i="5"/>
  <c r="A1834" i="5"/>
  <c r="A2211" i="5"/>
  <c r="A1425" i="5"/>
  <c r="A2179" i="5"/>
  <c r="A2147" i="5"/>
  <c r="A1361" i="5"/>
  <c r="A1269" i="5"/>
  <c r="A1221" i="5"/>
  <c r="A1261" i="5"/>
  <c r="A1182" i="5"/>
  <c r="A1268" i="5"/>
  <c r="A1172" i="5"/>
  <c r="A1235" i="5"/>
  <c r="A1171" i="5"/>
  <c r="A1234" i="5"/>
  <c r="A1170" i="5"/>
  <c r="A1233" i="5"/>
  <c r="A1169" i="5"/>
  <c r="A1232" i="5"/>
  <c r="A1168" i="5"/>
  <c r="A1231" i="5"/>
  <c r="A1167" i="5"/>
  <c r="A166" i="5"/>
  <c r="A163" i="5"/>
  <c r="A179" i="5"/>
  <c r="A168" i="5"/>
  <c r="A156" i="5"/>
  <c r="A139" i="5"/>
  <c r="A158" i="5"/>
  <c r="A165" i="5"/>
  <c r="A132" i="5"/>
  <c r="A1513" i="5"/>
  <c r="A2302" i="5"/>
  <c r="A2108" i="5"/>
  <c r="A1719" i="5"/>
  <c r="A2483" i="5"/>
  <c r="A1347" i="5"/>
  <c r="A2078" i="5"/>
  <c r="A2115" i="5"/>
  <c r="A1322" i="5"/>
  <c r="A1339" i="5"/>
  <c r="A2489" i="5"/>
  <c r="A1526" i="5"/>
  <c r="A1302" i="5"/>
  <c r="A1332" i="5"/>
  <c r="A1721" i="5"/>
  <c r="A1333" i="5"/>
  <c r="A2628" i="5"/>
  <c r="A2701" i="5"/>
  <c r="A2619" i="5"/>
  <c r="A2643" i="5"/>
  <c r="A2634" i="5"/>
  <c r="A2679" i="5"/>
  <c r="A2537" i="5"/>
  <c r="A2576" i="5"/>
  <c r="A2661" i="5"/>
  <c r="A2603" i="5"/>
  <c r="A2610" i="5"/>
  <c r="A2649" i="5"/>
  <c r="A2529" i="5"/>
  <c r="A2584" i="5"/>
  <c r="A2647" i="5"/>
  <c r="A2575" i="5"/>
  <c r="A2697" i="5"/>
  <c r="A2622" i="5"/>
  <c r="A2558" i="5"/>
  <c r="A2675" i="5"/>
  <c r="A2605" i="5"/>
  <c r="A2541" i="5"/>
  <c r="A2976" i="5"/>
  <c r="A2810" i="5"/>
  <c r="A2774" i="5"/>
  <c r="A3077" i="5"/>
  <c r="A3027" i="5"/>
  <c r="A2995" i="5"/>
  <c r="A2963" i="5"/>
  <c r="A3032" i="5"/>
  <c r="A2838" i="5"/>
  <c r="A2813" i="5"/>
  <c r="A2781" i="5"/>
  <c r="A2737" i="5"/>
  <c r="A3043" i="5"/>
  <c r="A3010" i="5"/>
  <c r="A2978" i="5"/>
  <c r="A2934" i="5"/>
  <c r="A2826" i="5"/>
  <c r="A2840" i="5"/>
  <c r="A2776" i="5"/>
  <c r="A3037" i="5"/>
  <c r="A3001" i="5"/>
  <c r="A2969" i="5"/>
  <c r="A2929" i="5"/>
  <c r="A2880" i="5"/>
  <c r="A2874" i="5"/>
  <c r="A2796" i="5"/>
  <c r="A2881" i="5"/>
  <c r="A2823" i="5"/>
  <c r="A2791" i="5"/>
  <c r="A2759" i="5"/>
  <c r="A3226" i="5"/>
  <c r="A3177" i="5"/>
  <c r="A3160" i="5"/>
  <c r="A3277" i="5"/>
  <c r="A3207" i="5"/>
  <c r="A3143" i="5"/>
  <c r="A3170" i="5"/>
  <c r="A3192" i="5"/>
  <c r="A3190" i="5"/>
  <c r="A3118" i="5"/>
  <c r="A3271" i="5"/>
  <c r="A3182" i="5"/>
  <c r="A3242" i="5"/>
  <c r="A3216" i="5"/>
  <c r="A3198" i="5"/>
  <c r="A3229" i="5"/>
  <c r="A3165" i="5"/>
  <c r="A3298" i="5"/>
  <c r="A3220" i="5"/>
  <c r="A3156" i="5"/>
  <c r="A3289" i="5"/>
  <c r="A3219" i="5"/>
  <c r="A3155" i="5"/>
  <c r="A3388" i="5"/>
  <c r="A3597" i="5"/>
  <c r="A3533" i="5"/>
  <c r="A3629" i="5"/>
  <c r="A3326" i="5"/>
  <c r="A3618" i="5"/>
  <c r="A3432" i="5"/>
  <c r="A3600" i="5"/>
  <c r="A3599" i="5"/>
  <c r="A3391" i="5"/>
  <c r="A3637" i="5"/>
  <c r="A3536" i="5"/>
  <c r="A3673" i="5"/>
  <c r="A3405" i="5"/>
  <c r="A3341" i="5"/>
  <c r="A58" i="5"/>
  <c r="A40" i="5"/>
  <c r="A114" i="5"/>
  <c r="A128" i="5"/>
  <c r="A7" i="5"/>
  <c r="A93" i="5"/>
  <c r="A92" i="5"/>
  <c r="A91" i="5"/>
  <c r="A2233" i="5"/>
  <c r="A1823" i="5"/>
  <c r="A2443" i="5"/>
  <c r="A1612" i="5"/>
  <c r="A2234" i="5"/>
  <c r="A1771" i="5"/>
  <c r="A1965" i="5"/>
  <c r="A1593" i="5"/>
  <c r="A2069" i="5"/>
  <c r="A1756" i="5"/>
  <c r="A1809" i="5"/>
  <c r="A1400" i="5"/>
  <c r="A2425" i="5"/>
  <c r="A1952" i="5"/>
  <c r="A2255" i="5"/>
  <c r="A1846" i="5"/>
  <c r="A1437" i="5"/>
  <c r="A1373" i="5"/>
  <c r="A1174" i="5"/>
  <c r="A1293" i="5"/>
  <c r="A1276" i="5"/>
  <c r="A1243" i="5"/>
  <c r="A1242" i="5"/>
  <c r="A1241" i="5"/>
  <c r="A1177" i="5"/>
  <c r="A1176" i="5"/>
  <c r="A1175" i="5"/>
  <c r="A175" i="5"/>
  <c r="A136" i="5"/>
  <c r="A2470" i="5"/>
  <c r="A2310" i="5"/>
  <c r="A2276" i="5"/>
  <c r="A1340" i="5"/>
  <c r="A1497" i="5"/>
  <c r="A1888" i="5"/>
  <c r="A1346" i="5"/>
  <c r="A1296" i="5"/>
  <c r="A2653" i="5"/>
  <c r="A2673" i="5"/>
  <c r="A2650" i="5"/>
  <c r="A2553" i="5"/>
  <c r="A2703" i="5"/>
  <c r="A2626" i="5"/>
  <c r="A2545" i="5"/>
  <c r="A2664" i="5"/>
  <c r="A2705" i="5"/>
  <c r="A2566" i="5"/>
  <c r="A2613" i="5"/>
  <c r="A2549" i="5"/>
  <c r="A2814" i="5"/>
  <c r="A2734" i="5"/>
  <c r="A2999" i="5"/>
  <c r="A3066" i="5"/>
  <c r="A2817" i="5"/>
  <c r="A2741" i="5"/>
  <c r="A3014" i="5"/>
  <c r="A2938" i="5"/>
  <c r="A2849" i="5"/>
  <c r="A3054" i="5"/>
  <c r="A2973" i="5"/>
  <c r="A2928" i="5"/>
  <c r="A2804" i="5"/>
  <c r="A2827" i="5"/>
  <c r="A2763" i="5"/>
  <c r="A3209" i="5"/>
  <c r="A3285" i="5"/>
  <c r="A3151" i="5"/>
  <c r="A3262" i="5"/>
  <c r="A3126" i="5"/>
  <c r="A3168" i="5"/>
  <c r="A3241" i="5"/>
  <c r="A3246" i="5"/>
  <c r="A3109" i="5"/>
  <c r="A3164" i="5"/>
  <c r="A3227" i="5"/>
  <c r="A3424" i="5"/>
  <c r="A3643" i="5"/>
  <c r="A3390" i="5"/>
  <c r="A3520" i="5"/>
  <c r="A3603" i="5"/>
  <c r="A3535" i="5"/>
  <c r="A3562" i="5"/>
  <c r="A3426" i="5"/>
  <c r="A3475" i="5"/>
  <c r="A3313" i="5"/>
  <c r="A3640" i="5"/>
  <c r="A3493" i="5"/>
  <c r="A3486" i="5"/>
  <c r="A3463" i="5"/>
  <c r="A2852" i="5"/>
  <c r="A2893" i="5"/>
  <c r="A2856" i="5"/>
  <c r="A2727" i="5"/>
  <c r="A2495" i="5"/>
  <c r="A18" i="5"/>
  <c r="A17" i="5"/>
  <c r="A119" i="5"/>
  <c r="A126" i="5"/>
  <c r="A82" i="5"/>
  <c r="A89" i="5"/>
  <c r="A96" i="5"/>
  <c r="A111" i="5"/>
  <c r="A102" i="5"/>
  <c r="A22" i="5"/>
  <c r="A77" i="5"/>
  <c r="A13" i="5"/>
  <c r="A76" i="5"/>
  <c r="A12" i="5"/>
  <c r="A75" i="5"/>
  <c r="A11" i="5"/>
  <c r="A1840" i="5"/>
  <c r="A2226" i="5"/>
  <c r="A2265" i="5"/>
  <c r="A2037" i="5"/>
  <c r="A1597" i="5"/>
  <c r="A1877" i="5"/>
  <c r="A1475" i="5"/>
  <c r="A2222" i="5"/>
  <c r="A2356" i="5"/>
  <c r="A2416" i="5"/>
  <c r="A1455" i="5"/>
  <c r="A2196" i="5"/>
  <c r="A1787" i="5"/>
  <c r="A2013" i="5"/>
  <c r="A2061" i="5"/>
  <c r="A1645" i="5"/>
  <c r="A1871" i="5"/>
  <c r="A2066" i="5"/>
  <c r="A1983" i="5"/>
  <c r="A1419" i="5"/>
  <c r="A1387" i="5"/>
  <c r="A2194" i="5"/>
  <c r="A2162" i="5"/>
  <c r="A2401" i="5"/>
  <c r="A1615" i="5"/>
  <c r="A2369" i="5"/>
  <c r="A2231" i="5"/>
  <c r="A1295" i="5"/>
  <c r="A1205" i="5"/>
  <c r="A1189" i="5"/>
  <c r="A1237" i="5"/>
  <c r="A1285" i="5"/>
  <c r="A1252" i="5"/>
  <c r="A1291" i="5"/>
  <c r="A1227" i="5"/>
  <c r="A1290" i="5"/>
  <c r="A1226" i="5"/>
  <c r="A1289" i="5"/>
  <c r="A1225" i="5"/>
  <c r="A1288" i="5"/>
  <c r="A1224" i="5"/>
  <c r="A1287" i="5"/>
  <c r="A1223" i="5"/>
  <c r="A162" i="5"/>
  <c r="A151" i="5"/>
  <c r="A141" i="5"/>
  <c r="A154" i="5"/>
  <c r="A1746" i="5"/>
  <c r="A2085" i="5"/>
  <c r="A1913" i="5"/>
  <c r="A1885" i="5"/>
  <c r="A1298" i="5"/>
  <c r="A2522" i="5"/>
  <c r="A2289" i="5"/>
  <c r="A1691" i="5"/>
  <c r="A2301" i="5"/>
  <c r="A1319" i="5"/>
  <c r="A2074" i="5"/>
  <c r="A1519" i="5"/>
  <c r="A1303" i="5"/>
  <c r="A1331" i="5"/>
  <c r="A1325" i="5"/>
  <c r="A2596" i="5"/>
  <c r="A2570" i="5"/>
  <c r="A2688" i="5"/>
  <c r="A2611" i="5"/>
  <c r="A2618" i="5"/>
  <c r="A2658" i="5"/>
  <c r="A2716" i="5"/>
  <c r="A2560" i="5"/>
  <c r="A2620" i="5"/>
  <c r="A2579" i="5"/>
  <c r="A2594" i="5"/>
  <c r="A2633" i="5"/>
  <c r="A2699" i="5"/>
  <c r="A2568" i="5"/>
  <c r="A2639" i="5"/>
  <c r="A2567" i="5"/>
  <c r="A2684" i="5"/>
  <c r="A2614" i="5"/>
  <c r="A2550" i="5"/>
  <c r="A2662" i="5"/>
  <c r="A2597" i="5"/>
  <c r="A2533" i="5"/>
  <c r="A2960" i="5"/>
  <c r="A2806" i="5"/>
  <c r="A2770" i="5"/>
  <c r="A3073" i="5"/>
  <c r="A3023" i="5"/>
  <c r="A2991" i="5"/>
  <c r="A2959" i="5"/>
  <c r="A3016" i="5"/>
  <c r="A2822" i="5"/>
  <c r="A2809" i="5"/>
  <c r="A2777" i="5"/>
  <c r="A2733" i="5"/>
  <c r="A3038" i="5"/>
  <c r="A3006" i="5"/>
  <c r="A2974" i="5"/>
  <c r="A2930" i="5"/>
  <c r="A2879" i="5"/>
  <c r="A2832" i="5"/>
  <c r="A2764" i="5"/>
  <c r="A3033" i="5"/>
  <c r="A2997" i="5"/>
  <c r="A2965" i="5"/>
  <c r="A3074" i="5"/>
  <c r="A2859" i="5"/>
  <c r="A2861" i="5"/>
  <c r="A2788" i="5"/>
  <c r="A2877" i="5"/>
  <c r="A2819" i="5"/>
  <c r="A2787" i="5"/>
  <c r="A2747" i="5"/>
  <c r="A3194" i="5"/>
  <c r="A3145" i="5"/>
  <c r="A3152" i="5"/>
  <c r="A3269" i="5"/>
  <c r="A3199" i="5"/>
  <c r="A3135" i="5"/>
  <c r="A3138" i="5"/>
  <c r="A3292" i="5"/>
  <c r="A3174" i="5"/>
  <c r="A3110" i="5"/>
  <c r="A3233" i="5"/>
  <c r="A3288" i="5"/>
  <c r="A3217" i="5"/>
  <c r="A3200" i="5"/>
  <c r="A3299" i="5"/>
  <c r="A3221" i="5"/>
  <c r="A3157" i="5"/>
  <c r="A3290" i="5"/>
  <c r="A3212" i="5"/>
  <c r="A3148" i="5"/>
  <c r="A3281" i="5"/>
  <c r="A3211" i="5"/>
  <c r="A3147" i="5"/>
  <c r="A3416" i="5"/>
  <c r="A3626" i="5"/>
  <c r="A3610" i="5"/>
  <c r="A3419" i="5"/>
  <c r="A3625" i="5"/>
  <c r="A3402" i="5"/>
  <c r="A3401" i="5"/>
  <c r="A3642" i="5"/>
  <c r="A972" i="5"/>
  <c r="A1092" i="5"/>
  <c r="A1076" i="5"/>
  <c r="A1044" i="5"/>
  <c r="A1028" i="5"/>
  <c r="A988" i="5"/>
  <c r="A1099" i="5"/>
  <c r="A1083" i="5"/>
  <c r="A1067" i="5"/>
  <c r="A1051" i="5"/>
  <c r="A1035" i="5"/>
  <c r="A1019" i="5"/>
  <c r="A1003" i="5"/>
  <c r="A987" i="5"/>
  <c r="A1090" i="5"/>
  <c r="A1074" i="5"/>
  <c r="A1042" i="5"/>
  <c r="A1026" i="5"/>
  <c r="A1010" i="5"/>
  <c r="A986" i="5"/>
  <c r="A1089" i="5"/>
  <c r="A1073" i="5"/>
  <c r="A1057" i="5"/>
  <c r="A1041" i="5"/>
  <c r="A1025" i="5"/>
  <c r="A1009" i="5"/>
  <c r="A993" i="5"/>
  <c r="A1096" i="5"/>
  <c r="A1080" i="5"/>
  <c r="A1056" i="5"/>
  <c r="A1032" i="5"/>
  <c r="A984" i="5"/>
  <c r="A1101" i="5"/>
  <c r="A1084" i="5"/>
  <c r="A1068" i="5"/>
  <c r="A1052" i="5"/>
  <c r="A1036" i="5"/>
  <c r="A1020" i="5"/>
  <c r="A1004" i="5"/>
  <c r="A996" i="5"/>
  <c r="A980" i="5"/>
  <c r="A1091" i="5"/>
  <c r="A1075" i="5"/>
  <c r="A1043" i="5"/>
  <c r="A1027" i="5"/>
  <c r="A995" i="5"/>
  <c r="A979" i="5"/>
  <c r="A1098" i="5"/>
  <c r="A1082" i="5"/>
  <c r="A1066" i="5"/>
  <c r="A1050" i="5"/>
  <c r="A1034" i="5"/>
  <c r="A1018" i="5"/>
  <c r="A1002" i="5"/>
  <c r="A994" i="5"/>
  <c r="A978" i="5"/>
  <c r="A1097" i="5"/>
  <c r="A1081" i="5"/>
  <c r="A1065" i="5"/>
  <c r="A1049" i="5"/>
  <c r="A1033" i="5"/>
  <c r="A1017" i="5"/>
  <c r="A1001" i="5"/>
  <c r="A977" i="5"/>
  <c r="A1088" i="5"/>
  <c r="A1072" i="5"/>
  <c r="A1064" i="5"/>
  <c r="A1048" i="5"/>
  <c r="A1040" i="5"/>
  <c r="A1024" i="5"/>
  <c r="A1016" i="5"/>
  <c r="A1008" i="5"/>
  <c r="A1000" i="5"/>
  <c r="A992" i="5"/>
  <c r="A976" i="5"/>
  <c r="A1095" i="5"/>
  <c r="A1087" i="5"/>
  <c r="A1079" i="5"/>
  <c r="A1071" i="5"/>
  <c r="A1063" i="5"/>
  <c r="A1055" i="5"/>
  <c r="A1047" i="5"/>
  <c r="A1039" i="5"/>
  <c r="A1031" i="5"/>
  <c r="A1023" i="5"/>
  <c r="A1015" i="5"/>
  <c r="A1007" i="5"/>
  <c r="A991" i="5"/>
  <c r="A983" i="5"/>
  <c r="A975" i="5"/>
  <c r="A1094" i="5"/>
  <c r="A1086" i="5"/>
  <c r="A1078" i="5"/>
  <c r="A1070" i="5"/>
  <c r="A1062" i="5"/>
  <c r="A1054" i="5"/>
  <c r="A1046" i="5"/>
  <c r="A1038" i="5"/>
  <c r="A1030" i="5"/>
  <c r="A1022" i="5"/>
  <c r="A1014" i="5"/>
  <c r="A1006" i="5"/>
  <c r="A990" i="5"/>
  <c r="A982" i="5"/>
  <c r="A974" i="5"/>
  <c r="A1093" i="5"/>
  <c r="A1085" i="5"/>
  <c r="A1077" i="5"/>
  <c r="A1069" i="5"/>
  <c r="A1061" i="5"/>
  <c r="A1053" i="5"/>
  <c r="A1045" i="5"/>
  <c r="A1037" i="5"/>
  <c r="A1029" i="5"/>
  <c r="A1021" i="5"/>
  <c r="A1005" i="5"/>
  <c r="A997" i="5"/>
  <c r="A989" i="5"/>
  <c r="A981" i="5"/>
  <c r="A973" i="5"/>
  <c r="A1145" i="5"/>
  <c r="A1136" i="5"/>
  <c r="A1163" i="5"/>
  <c r="A1150" i="5"/>
  <c r="A1146" i="5"/>
  <c r="A1137" i="5"/>
  <c r="A1133" i="5"/>
  <c r="A1129" i="5"/>
  <c r="A1125" i="5"/>
  <c r="A1121" i="5"/>
  <c r="A1112" i="5"/>
  <c r="A1108" i="5"/>
  <c r="A1104" i="5"/>
  <c r="A1149" i="5"/>
  <c r="A1111" i="5"/>
  <c r="A1107" i="5"/>
  <c r="A1138" i="5"/>
  <c r="A1134" i="5"/>
  <c r="A1130" i="5"/>
  <c r="A1122" i="5"/>
  <c r="A1113" i="5"/>
  <c r="A1109" i="5"/>
  <c r="A1105" i="5"/>
  <c r="A1153" i="5"/>
  <c r="A1128" i="5"/>
  <c r="A1124" i="5"/>
  <c r="A1115" i="5"/>
  <c r="A1058" i="5"/>
  <c r="A999" i="5"/>
  <c r="A1012" i="5"/>
  <c r="A1060" i="5"/>
  <c r="A1013" i="5"/>
  <c r="A1059" i="5"/>
  <c r="A1011" i="5"/>
  <c r="A998" i="5"/>
  <c r="A985" i="5"/>
  <c r="A1164" i="5"/>
  <c r="A1147" i="5"/>
  <c r="A1152" i="5"/>
  <c r="A1135" i="5"/>
  <c r="A1131" i="5"/>
  <c r="A1127" i="5"/>
  <c r="A1123" i="5"/>
  <c r="A1114" i="5"/>
  <c r="A1110" i="5"/>
  <c r="A1106" i="5"/>
  <c r="A1102" i="5"/>
  <c r="A1151" i="5"/>
  <c r="A1126" i="5"/>
  <c r="A1103" i="5"/>
  <c r="A1139" i="5"/>
  <c r="A1132" i="5"/>
  <c r="A1148" i="5"/>
  <c r="A1165" i="5"/>
  <c r="A390" i="5"/>
  <c r="A584" i="5"/>
  <c r="A778" i="5"/>
  <c r="A196" i="5"/>
  <c r="A898" i="5"/>
  <c r="A510" i="5"/>
  <c r="A704" i="5"/>
  <c r="A316" i="5"/>
  <c r="A494" i="5"/>
  <c r="A300" i="5"/>
  <c r="A688" i="5"/>
  <c r="A882" i="5"/>
  <c r="A462" i="5"/>
  <c r="A268" i="5"/>
  <c r="A656" i="5"/>
  <c r="A850" i="5"/>
  <c r="A446" i="5"/>
  <c r="A252" i="5"/>
  <c r="A640" i="5"/>
  <c r="A834" i="5"/>
  <c r="A406" i="5"/>
  <c r="A212" i="5"/>
  <c r="A600" i="5"/>
  <c r="A794" i="5"/>
  <c r="A711" i="5"/>
  <c r="A905" i="5"/>
  <c r="A323" i="5"/>
  <c r="A517" i="5"/>
  <c r="A695" i="5"/>
  <c r="A889" i="5"/>
  <c r="A307" i="5"/>
  <c r="A501" i="5"/>
  <c r="A679" i="5"/>
  <c r="A873" i="5"/>
  <c r="A291" i="5"/>
  <c r="A485" i="5"/>
  <c r="A663" i="5"/>
  <c r="A857" i="5"/>
  <c r="A469" i="5"/>
  <c r="A275" i="5"/>
  <c r="A647" i="5"/>
  <c r="A841" i="5"/>
  <c r="A259" i="5"/>
  <c r="A453" i="5"/>
  <c r="A631" i="5"/>
  <c r="A825" i="5"/>
  <c r="A437" i="5"/>
  <c r="A243" i="5"/>
  <c r="A615" i="5"/>
  <c r="A809" i="5"/>
  <c r="A421" i="5"/>
  <c r="A227" i="5"/>
  <c r="A599" i="5"/>
  <c r="A793" i="5"/>
  <c r="A405" i="5"/>
  <c r="A211" i="5"/>
  <c r="A314" i="5"/>
  <c r="A508" i="5"/>
  <c r="A702" i="5"/>
  <c r="A896" i="5"/>
  <c r="A492" i="5"/>
  <c r="A298" i="5"/>
  <c r="A880" i="5"/>
  <c r="A686" i="5"/>
  <c r="A266" i="5"/>
  <c r="A460" i="5"/>
  <c r="A848" i="5"/>
  <c r="A654" i="5"/>
  <c r="A250" i="5"/>
  <c r="A444" i="5"/>
  <c r="A832" i="5"/>
  <c r="A638" i="5"/>
  <c r="A234" i="5"/>
  <c r="A428" i="5"/>
  <c r="A816" i="5"/>
  <c r="A622" i="5"/>
  <c r="A210" i="5"/>
  <c r="A404" i="5"/>
  <c r="A792" i="5"/>
  <c r="A598" i="5"/>
  <c r="A701" i="5"/>
  <c r="A895" i="5"/>
  <c r="A313" i="5"/>
  <c r="A507" i="5"/>
  <c r="A297" i="5"/>
  <c r="A685" i="5"/>
  <c r="A491" i="5"/>
  <c r="A879" i="5"/>
  <c r="A281" i="5"/>
  <c r="A475" i="5"/>
  <c r="A669" i="5"/>
  <c r="A863" i="5"/>
  <c r="A265" i="5"/>
  <c r="A847" i="5"/>
  <c r="A459" i="5"/>
  <c r="A653" i="5"/>
  <c r="A249" i="5"/>
  <c r="A443" i="5"/>
  <c r="A831" i="5"/>
  <c r="A637" i="5"/>
  <c r="A233" i="5"/>
  <c r="A815" i="5"/>
  <c r="A427" i="5"/>
  <c r="A621" i="5"/>
  <c r="A217" i="5"/>
  <c r="A411" i="5"/>
  <c r="A605" i="5"/>
  <c r="A799" i="5"/>
  <c r="A514" i="5"/>
  <c r="A708" i="5"/>
  <c r="A902" i="5"/>
  <c r="A320" i="5"/>
  <c r="A498" i="5"/>
  <c r="A692" i="5"/>
  <c r="A886" i="5"/>
  <c r="A304" i="5"/>
  <c r="A474" i="5"/>
  <c r="A668" i="5"/>
  <c r="A862" i="5"/>
  <c r="A280" i="5"/>
  <c r="A450" i="5"/>
  <c r="A644" i="5"/>
  <c r="A838" i="5"/>
  <c r="A256" i="5"/>
  <c r="A402" i="5"/>
  <c r="A596" i="5"/>
  <c r="A790" i="5"/>
  <c r="A208" i="5"/>
  <c r="A907" i="5"/>
  <c r="A713" i="5"/>
  <c r="A325" i="5"/>
  <c r="A519" i="5"/>
  <c r="A502" i="5"/>
  <c r="A308" i="5"/>
  <c r="A696" i="5"/>
  <c r="A890" i="5"/>
  <c r="A486" i="5"/>
  <c r="A874" i="5"/>
  <c r="A292" i="5"/>
  <c r="A680" i="5"/>
  <c r="A470" i="5"/>
  <c r="A858" i="5"/>
  <c r="A276" i="5"/>
  <c r="A664" i="5"/>
  <c r="A454" i="5"/>
  <c r="A842" i="5"/>
  <c r="A260" i="5"/>
  <c r="A648" i="5"/>
  <c r="A438" i="5"/>
  <c r="A244" i="5"/>
  <c r="A632" i="5"/>
  <c r="A826" i="5"/>
  <c r="A422" i="5"/>
  <c r="A810" i="5"/>
  <c r="A228" i="5"/>
  <c r="A616" i="5"/>
  <c r="A414" i="5"/>
  <c r="A220" i="5"/>
  <c r="A608" i="5"/>
  <c r="A802" i="5"/>
  <c r="A398" i="5"/>
  <c r="A204" i="5"/>
  <c r="A592" i="5"/>
  <c r="A786" i="5"/>
  <c r="A703" i="5"/>
  <c r="A897" i="5"/>
  <c r="A315" i="5"/>
  <c r="A509" i="5"/>
  <c r="A687" i="5"/>
  <c r="A881" i="5"/>
  <c r="A493" i="5"/>
  <c r="A299" i="5"/>
  <c r="A655" i="5"/>
  <c r="A849" i="5"/>
  <c r="A267" i="5"/>
  <c r="A461" i="5"/>
  <c r="A639" i="5"/>
  <c r="A833" i="5"/>
  <c r="A251" i="5"/>
  <c r="A445" i="5"/>
  <c r="A607" i="5"/>
  <c r="A801" i="5"/>
  <c r="A219" i="5"/>
  <c r="A413" i="5"/>
  <c r="A591" i="5"/>
  <c r="A785" i="5"/>
  <c r="A203" i="5"/>
  <c r="A397" i="5"/>
  <c r="A322" i="5"/>
  <c r="A710" i="5"/>
  <c r="A904" i="5"/>
  <c r="A516" i="5"/>
  <c r="A306" i="5"/>
  <c r="A500" i="5"/>
  <c r="A888" i="5"/>
  <c r="A694" i="5"/>
  <c r="A484" i="5"/>
  <c r="A290" i="5"/>
  <c r="A872" i="5"/>
  <c r="A678" i="5"/>
  <c r="A274" i="5"/>
  <c r="A468" i="5"/>
  <c r="A856" i="5"/>
  <c r="A662" i="5"/>
  <c r="A258" i="5"/>
  <c r="A452" i="5"/>
  <c r="A840" i="5"/>
  <c r="A646" i="5"/>
  <c r="A242" i="5"/>
  <c r="A436" i="5"/>
  <c r="A824" i="5"/>
  <c r="A630" i="5"/>
  <c r="A226" i="5"/>
  <c r="A420" i="5"/>
  <c r="A808" i="5"/>
  <c r="A614" i="5"/>
  <c r="A218" i="5"/>
  <c r="A412" i="5"/>
  <c r="A800" i="5"/>
  <c r="A606" i="5"/>
  <c r="A202" i="5"/>
  <c r="A396" i="5"/>
  <c r="A784" i="5"/>
  <c r="A590" i="5"/>
  <c r="A321" i="5"/>
  <c r="A515" i="5"/>
  <c r="A709" i="5"/>
  <c r="A903" i="5"/>
  <c r="A305" i="5"/>
  <c r="A693" i="5"/>
  <c r="A887" i="5"/>
  <c r="A499" i="5"/>
  <c r="A289" i="5"/>
  <c r="A871" i="5"/>
  <c r="A483" i="5"/>
  <c r="A677" i="5"/>
  <c r="A273" i="5"/>
  <c r="A855" i="5"/>
  <c r="A467" i="5"/>
  <c r="A661" i="5"/>
  <c r="A257" i="5"/>
  <c r="A839" i="5"/>
  <c r="A451" i="5"/>
  <c r="A645" i="5"/>
  <c r="A241" i="5"/>
  <c r="A629" i="5"/>
  <c r="A823" i="5"/>
  <c r="A435" i="5"/>
  <c r="A225" i="5"/>
  <c r="A807" i="5"/>
  <c r="A613" i="5"/>
  <c r="A419" i="5"/>
  <c r="A201" i="5"/>
  <c r="A395" i="5"/>
  <c r="A783" i="5"/>
  <c r="A589" i="5"/>
  <c r="A506" i="5"/>
  <c r="A894" i="5"/>
  <c r="A700" i="5"/>
  <c r="A312" i="5"/>
  <c r="A490" i="5"/>
  <c r="A684" i="5"/>
  <c r="A878" i="5"/>
  <c r="A296" i="5"/>
  <c r="A482" i="5"/>
  <c r="A676" i="5"/>
  <c r="A870" i="5"/>
  <c r="A288" i="5"/>
  <c r="A466" i="5"/>
  <c r="A660" i="5"/>
  <c r="A854" i="5"/>
  <c r="A272" i="5"/>
  <c r="A458" i="5"/>
  <c r="A652" i="5"/>
  <c r="A846" i="5"/>
  <c r="A264" i="5"/>
  <c r="A442" i="5"/>
  <c r="A636" i="5"/>
  <c r="A830" i="5"/>
  <c r="A248" i="5"/>
  <c r="A434" i="5"/>
  <c r="A628" i="5"/>
  <c r="A822" i="5"/>
  <c r="A240" i="5"/>
  <c r="A426" i="5"/>
  <c r="A620" i="5"/>
  <c r="A814" i="5"/>
  <c r="A232" i="5"/>
  <c r="A418" i="5"/>
  <c r="A612" i="5"/>
  <c r="A806" i="5"/>
  <c r="A224" i="5"/>
  <c r="A410" i="5"/>
  <c r="A604" i="5"/>
  <c r="A798" i="5"/>
  <c r="A216" i="5"/>
  <c r="A394" i="5"/>
  <c r="A588" i="5"/>
  <c r="A782" i="5"/>
  <c r="A200" i="5"/>
  <c r="A319" i="5"/>
  <c r="A901" i="5"/>
  <c r="A513" i="5"/>
  <c r="A707" i="5"/>
  <c r="A311" i="5"/>
  <c r="A893" i="5"/>
  <c r="A699" i="5"/>
  <c r="A505" i="5"/>
  <c r="A303" i="5"/>
  <c r="A691" i="5"/>
  <c r="A497" i="5"/>
  <c r="A885" i="5"/>
  <c r="A295" i="5"/>
  <c r="A683" i="5"/>
  <c r="A877" i="5"/>
  <c r="A489" i="5"/>
  <c r="A287" i="5"/>
  <c r="A675" i="5"/>
  <c r="A481" i="5"/>
  <c r="A869" i="5"/>
  <c r="A279" i="5"/>
  <c r="A667" i="5"/>
  <c r="A861" i="5"/>
  <c r="A473" i="5"/>
  <c r="A271" i="5"/>
  <c r="A659" i="5"/>
  <c r="A465" i="5"/>
  <c r="A853" i="5"/>
  <c r="A263" i="5"/>
  <c r="A651" i="5"/>
  <c r="A457" i="5"/>
  <c r="A845" i="5"/>
  <c r="A255" i="5"/>
  <c r="A643" i="5"/>
  <c r="A449" i="5"/>
  <c r="A837" i="5"/>
  <c r="A247" i="5"/>
  <c r="A635" i="5"/>
  <c r="A829" i="5"/>
  <c r="A441" i="5"/>
  <c r="A239" i="5"/>
  <c r="A627" i="5"/>
  <c r="A433" i="5"/>
  <c r="A821" i="5"/>
  <c r="A231" i="5"/>
  <c r="A619" i="5"/>
  <c r="A425" i="5"/>
  <c r="A813" i="5"/>
  <c r="A215" i="5"/>
  <c r="A603" i="5"/>
  <c r="A409" i="5"/>
  <c r="A797" i="5"/>
  <c r="A207" i="5"/>
  <c r="A595" i="5"/>
  <c r="A401" i="5"/>
  <c r="A789" i="5"/>
  <c r="A199" i="5"/>
  <c r="A587" i="5"/>
  <c r="A393" i="5"/>
  <c r="A781" i="5"/>
  <c r="A900" i="5"/>
  <c r="A706" i="5"/>
  <c r="A318" i="5"/>
  <c r="A512" i="5"/>
  <c r="A892" i="5"/>
  <c r="A698" i="5"/>
  <c r="A310" i="5"/>
  <c r="A504" i="5"/>
  <c r="A884" i="5"/>
  <c r="A690" i="5"/>
  <c r="A302" i="5"/>
  <c r="A496" i="5"/>
  <c r="A876" i="5"/>
  <c r="A682" i="5"/>
  <c r="A294" i="5"/>
  <c r="A488" i="5"/>
  <c r="A868" i="5"/>
  <c r="A286" i="5"/>
  <c r="A480" i="5"/>
  <c r="A674" i="5"/>
  <c r="A860" i="5"/>
  <c r="A472" i="5"/>
  <c r="A278" i="5"/>
  <c r="A666" i="5"/>
  <c r="A852" i="5"/>
  <c r="A270" i="5"/>
  <c r="A658" i="5"/>
  <c r="A464" i="5"/>
  <c r="A844" i="5"/>
  <c r="A262" i="5"/>
  <c r="A650" i="5"/>
  <c r="A456" i="5"/>
  <c r="A836" i="5"/>
  <c r="A448" i="5"/>
  <c r="A642" i="5"/>
  <c r="A254" i="5"/>
  <c r="A828" i="5"/>
  <c r="A246" i="5"/>
  <c r="A440" i="5"/>
  <c r="A634" i="5"/>
  <c r="A820" i="5"/>
  <c r="A432" i="5"/>
  <c r="A238" i="5"/>
  <c r="A626" i="5"/>
  <c r="A812" i="5"/>
  <c r="A230" i="5"/>
  <c r="A424" i="5"/>
  <c r="A618" i="5"/>
  <c r="A796" i="5"/>
  <c r="A602" i="5"/>
  <c r="A214" i="5"/>
  <c r="A408" i="5"/>
  <c r="A788" i="5"/>
  <c r="A594" i="5"/>
  <c r="A400" i="5"/>
  <c r="A206" i="5"/>
  <c r="A780" i="5"/>
  <c r="A586" i="5"/>
  <c r="A198" i="5"/>
  <c r="A392" i="5"/>
  <c r="A317" i="5"/>
  <c r="A511" i="5"/>
  <c r="A705" i="5"/>
  <c r="A899" i="5"/>
  <c r="A309" i="5"/>
  <c r="A503" i="5"/>
  <c r="A697" i="5"/>
  <c r="A891" i="5"/>
  <c r="A301" i="5"/>
  <c r="A495" i="5"/>
  <c r="A689" i="5"/>
  <c r="A883" i="5"/>
  <c r="A293" i="5"/>
  <c r="A487" i="5"/>
  <c r="A681" i="5"/>
  <c r="A875" i="5"/>
  <c r="A285" i="5"/>
  <c r="A479" i="5"/>
  <c r="A673" i="5"/>
  <c r="A867" i="5"/>
  <c r="A277" i="5"/>
  <c r="A471" i="5"/>
  <c r="A665" i="5"/>
  <c r="A859" i="5"/>
  <c r="A269" i="5"/>
  <c r="A463" i="5"/>
  <c r="A657" i="5"/>
  <c r="A851" i="5"/>
  <c r="A261" i="5"/>
  <c r="A455" i="5"/>
  <c r="A649" i="5"/>
  <c r="A843" i="5"/>
  <c r="A253" i="5"/>
  <c r="A447" i="5"/>
  <c r="A641" i="5"/>
  <c r="A835" i="5"/>
  <c r="A245" i="5"/>
  <c r="A439" i="5"/>
  <c r="A633" i="5"/>
  <c r="A827" i="5"/>
  <c r="A229" i="5"/>
  <c r="A423" i="5"/>
  <c r="A617" i="5"/>
  <c r="A811" i="5"/>
  <c r="A221" i="5"/>
  <c r="A415" i="5"/>
  <c r="A609" i="5"/>
  <c r="A803" i="5"/>
  <c r="A213" i="5"/>
  <c r="A407" i="5"/>
  <c r="A601" i="5"/>
  <c r="A795" i="5"/>
  <c r="A205" i="5"/>
  <c r="A399" i="5"/>
  <c r="A593" i="5"/>
  <c r="A787" i="5"/>
  <c r="A197" i="5"/>
  <c r="A391" i="5"/>
  <c r="A585" i="5"/>
  <c r="A779" i="5"/>
  <c r="A932" i="5"/>
  <c r="A563" i="5"/>
  <c r="A757" i="5"/>
  <c r="A951" i="5"/>
  <c r="A369" i="5"/>
  <c r="A554" i="5"/>
  <c r="A748" i="5"/>
  <c r="A360" i="5"/>
  <c r="A942" i="5"/>
  <c r="A969" i="5"/>
  <c r="A387" i="5"/>
  <c r="A775" i="5"/>
  <c r="A581" i="5"/>
  <c r="A956" i="5"/>
  <c r="A568" i="5"/>
  <c r="A374" i="5"/>
  <c r="A952" i="5"/>
  <c r="A758" i="5"/>
  <c r="A943" i="5"/>
  <c r="A555" i="5"/>
  <c r="A939" i="5"/>
  <c r="A551" i="5"/>
  <c r="A745" i="5"/>
  <c r="A935" i="5"/>
  <c r="A547" i="5"/>
  <c r="A931" i="5"/>
  <c r="A737" i="5"/>
  <c r="A927" i="5"/>
  <c r="A539" i="5"/>
  <c r="A918" i="5"/>
  <c r="A724" i="5"/>
  <c r="A914" i="5"/>
  <c r="A910" i="5"/>
  <c r="A567" i="5"/>
  <c r="A761" i="5"/>
  <c r="A373" i="5"/>
  <c r="A955" i="5"/>
  <c r="A529" i="5"/>
  <c r="A723" i="5"/>
  <c r="A917" i="5"/>
  <c r="A525" i="5"/>
  <c r="A719" i="5"/>
  <c r="A913" i="5"/>
  <c r="A953" i="5"/>
  <c r="A371" i="5"/>
  <c r="A362" i="5"/>
  <c r="A944" i="5"/>
  <c r="A358" i="5"/>
  <c r="A940" i="5"/>
  <c r="A936" i="5"/>
  <c r="A346" i="5"/>
  <c r="A919" i="5"/>
  <c r="A337" i="5"/>
  <c r="A333" i="5"/>
  <c r="A915" i="5"/>
  <c r="A911" i="5"/>
  <c r="A329" i="5"/>
  <c r="A571" i="5"/>
  <c r="A377" i="5"/>
  <c r="A765" i="5"/>
  <c r="A959" i="5"/>
  <c r="A546" i="5"/>
  <c r="A740" i="5"/>
  <c r="A542" i="5"/>
  <c r="A736" i="5"/>
  <c r="A533" i="5"/>
  <c r="A727" i="5"/>
  <c r="A521" i="5"/>
  <c r="A715" i="5"/>
  <c r="A283" i="5"/>
  <c r="A235" i="5"/>
  <c r="A416" i="5"/>
  <c r="A222" i="5"/>
  <c r="A403" i="5"/>
  <c r="A670" i="5"/>
  <c r="A819" i="5"/>
  <c r="A791" i="5"/>
  <c r="A597" i="5"/>
  <c r="A866" i="5"/>
  <c r="A818" i="5"/>
  <c r="A477" i="5"/>
  <c r="A429" i="5"/>
  <c r="A610" i="5"/>
  <c r="A672" i="5"/>
  <c r="A624" i="5"/>
  <c r="A805" i="5"/>
  <c r="A284" i="5"/>
  <c r="A236" i="5"/>
  <c r="A417" i="5"/>
  <c r="A478" i="5"/>
  <c r="A864" i="5"/>
  <c r="A430" i="5"/>
  <c r="A611" i="5"/>
  <c r="A209" i="5"/>
  <c r="A476" i="5"/>
  <c r="A625" i="5"/>
  <c r="A223" i="5"/>
  <c r="A865" i="5"/>
  <c r="A282" i="5"/>
  <c r="A431" i="5"/>
  <c r="A817" i="5"/>
  <c r="A671" i="5"/>
  <c r="A237" i="5"/>
  <c r="A623" i="5"/>
  <c r="A804" i="5"/>
  <c r="A762" i="5"/>
  <c r="A749" i="5"/>
  <c r="A356" i="5"/>
  <c r="A741" i="5"/>
  <c r="A348" i="5"/>
  <c r="A733" i="5"/>
  <c r="A335" i="5"/>
  <c r="A720" i="5"/>
  <c r="A716" i="5"/>
  <c r="A970" i="5"/>
  <c r="A957" i="5"/>
  <c r="A564" i="5"/>
  <c r="A543" i="5"/>
  <c r="A928" i="5"/>
  <c r="A530" i="5"/>
  <c r="A526" i="5"/>
  <c r="A522" i="5"/>
  <c r="A776" i="5"/>
  <c r="A759" i="5"/>
  <c r="A370" i="5"/>
  <c r="A750" i="5"/>
  <c r="A361" i="5"/>
  <c r="A746" i="5"/>
  <c r="A357" i="5"/>
  <c r="A742" i="5"/>
  <c r="A353" i="5"/>
  <c r="A738" i="5"/>
  <c r="A349" i="5"/>
  <c r="A734" i="5"/>
  <c r="A345" i="5"/>
  <c r="A725" i="5"/>
  <c r="A336" i="5"/>
  <c r="A721" i="5"/>
  <c r="A332" i="5"/>
  <c r="A717" i="5"/>
  <c r="A328" i="5"/>
  <c r="A582" i="5"/>
  <c r="A958" i="5"/>
  <c r="A569" i="5"/>
  <c r="A954" i="5"/>
  <c r="A565" i="5"/>
  <c r="A945" i="5"/>
  <c r="A556" i="5"/>
  <c r="A941" i="5"/>
  <c r="A552" i="5"/>
  <c r="A937" i="5"/>
  <c r="A548" i="5"/>
  <c r="A933" i="5"/>
  <c r="A544" i="5"/>
  <c r="A929" i="5"/>
  <c r="A540" i="5"/>
  <c r="A920" i="5"/>
  <c r="A531" i="5"/>
  <c r="A916" i="5"/>
  <c r="A527" i="5"/>
  <c r="A912" i="5"/>
  <c r="A523" i="5"/>
  <c r="A908" i="5"/>
  <c r="A339" i="5"/>
  <c r="A331" i="5"/>
  <c r="A388" i="5"/>
  <c r="A375" i="5"/>
  <c r="A751" i="5"/>
  <c r="A747" i="5"/>
  <c r="A354" i="5"/>
  <c r="A350" i="5"/>
  <c r="A726" i="5"/>
  <c r="A722" i="5"/>
  <c r="A570" i="5"/>
  <c r="A566" i="5"/>
  <c r="A557" i="5"/>
  <c r="A553" i="5"/>
  <c r="A938" i="5"/>
  <c r="A549" i="5"/>
  <c r="A934" i="5"/>
  <c r="A545" i="5"/>
  <c r="A930" i="5"/>
  <c r="A541" i="5"/>
  <c r="A921" i="5"/>
  <c r="A532" i="5"/>
  <c r="A528" i="5"/>
  <c r="A524" i="5"/>
  <c r="A909" i="5"/>
  <c r="A520" i="5"/>
  <c r="A352" i="5"/>
  <c r="A327" i="5"/>
  <c r="A763" i="5"/>
  <c r="A764" i="5"/>
  <c r="A760" i="5"/>
  <c r="A743" i="5"/>
  <c r="A739" i="5"/>
  <c r="A735" i="5"/>
  <c r="A714" i="5"/>
  <c r="A376" i="5"/>
  <c r="A372" i="5"/>
  <c r="A363" i="5"/>
  <c r="A359" i="5"/>
  <c r="A744" i="5"/>
  <c r="A355" i="5"/>
  <c r="A351" i="5"/>
  <c r="A347" i="5"/>
  <c r="A338" i="5"/>
  <c r="A334" i="5"/>
  <c r="A330" i="5"/>
  <c r="A326" i="5"/>
  <c r="A718" i="5"/>
  <c r="A550" i="5"/>
  <c r="A971" i="5"/>
  <c r="A777" i="5"/>
  <c r="A583" i="5"/>
  <c r="A389" i="5"/>
  <c r="AE122" i="1"/>
  <c r="AE106" i="1"/>
  <c r="AE74" i="1"/>
  <c r="AE58" i="1"/>
  <c r="AE18" i="1"/>
  <c r="AE129" i="1"/>
  <c r="AE113" i="1"/>
  <c r="AE97" i="1"/>
  <c r="AE81" i="1"/>
  <c r="AE65" i="1"/>
  <c r="AE49" i="1"/>
  <c r="AE33" i="1"/>
  <c r="AE17" i="1"/>
  <c r="AE120" i="1"/>
  <c r="AE104" i="1"/>
  <c r="AE72" i="1"/>
  <c r="AE56" i="1"/>
  <c r="AE40" i="1"/>
  <c r="AE16" i="1"/>
  <c r="AE119" i="1"/>
  <c r="AE103" i="1"/>
  <c r="AE87" i="1"/>
  <c r="AE71" i="1"/>
  <c r="AE55" i="1"/>
  <c r="AE39" i="1"/>
  <c r="AE23" i="1"/>
  <c r="AE126" i="1"/>
  <c r="AE110" i="1"/>
  <c r="AE86" i="1"/>
  <c r="AE62" i="1"/>
  <c r="AE14" i="1"/>
  <c r="AE131" i="1"/>
  <c r="AE114" i="1"/>
  <c r="AE98" i="1"/>
  <c r="AE82" i="1"/>
  <c r="AE66" i="1"/>
  <c r="AE50" i="1"/>
  <c r="AE34" i="1"/>
  <c r="AE26" i="1"/>
  <c r="AE10" i="1"/>
  <c r="AE121" i="1"/>
  <c r="AE105" i="1"/>
  <c r="AE73" i="1"/>
  <c r="AE57" i="1"/>
  <c r="AE25" i="1"/>
  <c r="AE9" i="1"/>
  <c r="AE128" i="1"/>
  <c r="AE112" i="1"/>
  <c r="AE96" i="1"/>
  <c r="AE80" i="1"/>
  <c r="AE64" i="1"/>
  <c r="AE48" i="1"/>
  <c r="AE32" i="1"/>
  <c r="AE24" i="1"/>
  <c r="AE8" i="1"/>
  <c r="AE127" i="1"/>
  <c r="AE111" i="1"/>
  <c r="AE95" i="1"/>
  <c r="AE79" i="1"/>
  <c r="AE63" i="1"/>
  <c r="AE47" i="1"/>
  <c r="AE31" i="1"/>
  <c r="AE7" i="1"/>
  <c r="AE118" i="1"/>
  <c r="AE102" i="1"/>
  <c r="AE94" i="1"/>
  <c r="AE78" i="1"/>
  <c r="AE70" i="1"/>
  <c r="AE54" i="1"/>
  <c r="AE46" i="1"/>
  <c r="AE38" i="1"/>
  <c r="AE30" i="1"/>
  <c r="AE22" i="1"/>
  <c r="AE6" i="1"/>
  <c r="AE125" i="1"/>
  <c r="AE117" i="1"/>
  <c r="AE109" i="1"/>
  <c r="AE101" i="1"/>
  <c r="AE93" i="1"/>
  <c r="AE85" i="1"/>
  <c r="AE77" i="1"/>
  <c r="AE69" i="1"/>
  <c r="AE61" i="1"/>
  <c r="AE53" i="1"/>
  <c r="AE45" i="1"/>
  <c r="AE37" i="1"/>
  <c r="AE21" i="1"/>
  <c r="AE13" i="1"/>
  <c r="AE5" i="1"/>
  <c r="AE124" i="1"/>
  <c r="AE116" i="1"/>
  <c r="AE108" i="1"/>
  <c r="AE100" i="1"/>
  <c r="AE92" i="1"/>
  <c r="AE84" i="1"/>
  <c r="AE76" i="1"/>
  <c r="AE68" i="1"/>
  <c r="AE60" i="1"/>
  <c r="AE52" i="1"/>
  <c r="AE44" i="1"/>
  <c r="AE36" i="1"/>
  <c r="AE20" i="1"/>
  <c r="AE12" i="1"/>
  <c r="AE4" i="1"/>
  <c r="AE123" i="1"/>
  <c r="AE115" i="1"/>
  <c r="AE107" i="1"/>
  <c r="AE99" i="1"/>
  <c r="AE91" i="1"/>
  <c r="AE83" i="1"/>
  <c r="AE75" i="1"/>
  <c r="AE67" i="1"/>
  <c r="AE59" i="1"/>
  <c r="AE51" i="1"/>
  <c r="AE35" i="1"/>
  <c r="AE27" i="1"/>
  <c r="AE19" i="1"/>
  <c r="AE11" i="1"/>
  <c r="AE3" i="1"/>
  <c r="AE175" i="1"/>
  <c r="AE166" i="1"/>
  <c r="AE193" i="1"/>
  <c r="AE180" i="1"/>
  <c r="AE179" i="1"/>
  <c r="AE177" i="1"/>
  <c r="AE168" i="1"/>
  <c r="AE164" i="1"/>
  <c r="AE152" i="1"/>
  <c r="AE143" i="1"/>
  <c r="AE139" i="1"/>
  <c r="AE135" i="1"/>
  <c r="AE183" i="1"/>
  <c r="AE89" i="1"/>
  <c r="AE41" i="1"/>
  <c r="AE28" i="1"/>
  <c r="AE90" i="1"/>
  <c r="AE42" i="1"/>
  <c r="AE15" i="1"/>
  <c r="AE29" i="1"/>
  <c r="AE88" i="1"/>
  <c r="AE43" i="1"/>
  <c r="AE162" i="1"/>
  <c r="AE154" i="1"/>
  <c r="AE141" i="1"/>
  <c r="AE176" i="1"/>
  <c r="AE167" i="1"/>
  <c r="AE163" i="1"/>
  <c r="AE159" i="1"/>
  <c r="AE155" i="1"/>
  <c r="AE151" i="1"/>
  <c r="AE142" i="1"/>
  <c r="AE138" i="1"/>
  <c r="AE134" i="1"/>
  <c r="AE145" i="1"/>
  <c r="AE137" i="1"/>
  <c r="AE194" i="1"/>
  <c r="AE181" i="1"/>
  <c r="AE160" i="1"/>
  <c r="AE156" i="1"/>
  <c r="AE158" i="1"/>
  <c r="AE133" i="1"/>
  <c r="AE182" i="1"/>
  <c r="AE178" i="1"/>
  <c r="AE169" i="1"/>
  <c r="AE165" i="1"/>
  <c r="AE161" i="1"/>
  <c r="AE157" i="1"/>
  <c r="AE153" i="1"/>
  <c r="AE144" i="1"/>
  <c r="AE140" i="1"/>
  <c r="AE136" i="1"/>
  <c r="AE132" i="1"/>
  <c r="AE195" i="1"/>
  <c r="AE2" i="1"/>
  <c r="B3" i="1"/>
  <c r="A4" i="1"/>
  <c r="B2" i="5" l="1"/>
  <c r="B3" i="5" s="1"/>
  <c r="B4" i="1"/>
  <c r="A5" i="1"/>
  <c r="B4" i="5" l="1"/>
  <c r="C4" i="5" s="1"/>
  <c r="C3" i="5"/>
  <c r="C2" i="5"/>
  <c r="B5" i="1"/>
  <c r="A6" i="1"/>
  <c r="B5" i="5" l="1"/>
  <c r="C5" i="5" s="1"/>
  <c r="B6" i="5"/>
  <c r="C6" i="5" s="1"/>
  <c r="A7" i="1"/>
  <c r="B6" i="1"/>
  <c r="B7" i="5" l="1"/>
  <c r="C7" i="5" s="1"/>
  <c r="A8" i="1"/>
  <c r="B7" i="1"/>
  <c r="B8" i="5" l="1"/>
  <c r="C8" i="5" s="1"/>
  <c r="A9" i="1"/>
  <c r="B8" i="1"/>
  <c r="B9" i="5" l="1"/>
  <c r="A10" i="1"/>
  <c r="B9" i="1"/>
  <c r="C9" i="5" l="1"/>
  <c r="B10" i="5"/>
  <c r="A11" i="1"/>
  <c r="B10" i="1"/>
  <c r="C10" i="5" l="1"/>
  <c r="B11" i="5"/>
  <c r="A12" i="1"/>
  <c r="B11" i="1"/>
  <c r="C11" i="5" l="1"/>
  <c r="B12" i="5"/>
  <c r="A13" i="1"/>
  <c r="B12" i="1"/>
  <c r="C12" i="5" l="1"/>
  <c r="B13" i="5"/>
  <c r="A14" i="1"/>
  <c r="B13" i="1"/>
  <c r="C13" i="5" l="1"/>
  <c r="B14" i="5"/>
  <c r="A15" i="1"/>
  <c r="B14" i="1"/>
  <c r="C14" i="5" l="1"/>
  <c r="B15" i="5"/>
  <c r="A16" i="1"/>
  <c r="B15" i="1"/>
  <c r="C15" i="5" l="1"/>
  <c r="B16" i="5"/>
  <c r="A17" i="1"/>
  <c r="B16" i="1"/>
  <c r="C16" i="5" l="1"/>
  <c r="B17" i="5"/>
  <c r="A18" i="1"/>
  <c r="B17" i="1"/>
  <c r="C17" i="5" l="1"/>
  <c r="B18" i="5"/>
  <c r="A19" i="1"/>
  <c r="B18" i="1"/>
  <c r="C18" i="5" l="1"/>
  <c r="B19" i="5"/>
  <c r="A20" i="1"/>
  <c r="B19" i="1"/>
  <c r="C19" i="5" l="1"/>
  <c r="B20" i="5"/>
  <c r="A21" i="1"/>
  <c r="B20" i="1"/>
  <c r="C20" i="5" l="1"/>
  <c r="B21" i="5"/>
  <c r="A22" i="1"/>
  <c r="B21" i="1"/>
  <c r="B22" i="5" l="1"/>
  <c r="C21" i="5"/>
  <c r="A23" i="1"/>
  <c r="B22" i="1"/>
  <c r="B23" i="5" l="1"/>
  <c r="C22" i="5"/>
  <c r="A24" i="1"/>
  <c r="B23" i="1"/>
  <c r="B24" i="5" l="1"/>
  <c r="C23" i="5"/>
  <c r="A25" i="1"/>
  <c r="B24" i="1"/>
  <c r="B25" i="5" l="1"/>
  <c r="C24" i="5"/>
  <c r="A26" i="1"/>
  <c r="B25" i="1"/>
  <c r="B26" i="5" l="1"/>
  <c r="C25" i="5"/>
  <c r="A27" i="1"/>
  <c r="B26" i="1"/>
  <c r="B27" i="5" l="1"/>
  <c r="C26" i="5"/>
  <c r="A28" i="1"/>
  <c r="B27" i="1"/>
  <c r="B28" i="5" l="1"/>
  <c r="C27" i="5"/>
  <c r="A29" i="1"/>
  <c r="B28" i="1"/>
  <c r="B29" i="5" l="1"/>
  <c r="C28" i="5"/>
  <c r="A30" i="1"/>
  <c r="B29" i="1"/>
  <c r="B30" i="5" l="1"/>
  <c r="C29" i="5"/>
  <c r="A31" i="1"/>
  <c r="B30" i="1"/>
  <c r="B31" i="5" l="1"/>
  <c r="C30" i="5"/>
  <c r="A32" i="1"/>
  <c r="B31" i="1"/>
  <c r="B32" i="5" l="1"/>
  <c r="C31" i="5"/>
  <c r="A33" i="1"/>
  <c r="B32" i="1"/>
  <c r="B33" i="5" l="1"/>
  <c r="C32" i="5"/>
  <c r="A34" i="1"/>
  <c r="B33" i="1"/>
  <c r="B34" i="5" l="1"/>
  <c r="C33" i="5"/>
  <c r="A35" i="1"/>
  <c r="B34" i="1"/>
  <c r="B35" i="5" l="1"/>
  <c r="C34" i="5"/>
  <c r="A36" i="1"/>
  <c r="B35" i="1"/>
  <c r="B36" i="5" l="1"/>
  <c r="C35" i="5"/>
  <c r="A37" i="1"/>
  <c r="B36" i="1"/>
  <c r="B37" i="5" l="1"/>
  <c r="C36" i="5"/>
  <c r="A38" i="1"/>
  <c r="B37" i="1"/>
  <c r="B38" i="5" l="1"/>
  <c r="C37" i="5"/>
  <c r="A39" i="1"/>
  <c r="B38" i="1"/>
  <c r="B39" i="5" l="1"/>
  <c r="C38" i="5"/>
  <c r="A40" i="1"/>
  <c r="B39" i="1"/>
  <c r="B40" i="5" l="1"/>
  <c r="C39" i="5"/>
  <c r="A41" i="1"/>
  <c r="B40" i="1"/>
  <c r="B41" i="5" l="1"/>
  <c r="C40" i="5"/>
  <c r="A42" i="1"/>
  <c r="B41" i="1"/>
  <c r="B42" i="5" l="1"/>
  <c r="C41" i="5"/>
  <c r="A43" i="1"/>
  <c r="B42" i="1"/>
  <c r="B43" i="5" l="1"/>
  <c r="C42" i="5"/>
  <c r="A44" i="1"/>
  <c r="B43" i="1"/>
  <c r="B44" i="5" l="1"/>
  <c r="C43" i="5"/>
  <c r="A45" i="1"/>
  <c r="B44" i="1"/>
  <c r="B45" i="5" l="1"/>
  <c r="C44" i="5"/>
  <c r="A46" i="1"/>
  <c r="B45" i="1"/>
  <c r="B46" i="5" l="1"/>
  <c r="C45" i="5"/>
  <c r="A47" i="1"/>
  <c r="B46" i="1"/>
  <c r="B47" i="5" l="1"/>
  <c r="C46" i="5"/>
  <c r="A48" i="1"/>
  <c r="B47" i="1"/>
  <c r="B48" i="5" l="1"/>
  <c r="C47" i="5"/>
  <c r="A49" i="1"/>
  <c r="B48" i="1"/>
  <c r="B49" i="5" l="1"/>
  <c r="C48" i="5"/>
  <c r="A50" i="1"/>
  <c r="B49" i="1"/>
  <c r="B50" i="5" l="1"/>
  <c r="C49" i="5"/>
  <c r="A51" i="1"/>
  <c r="B50" i="1"/>
  <c r="B51" i="5" l="1"/>
  <c r="C50" i="5"/>
  <c r="A52" i="1"/>
  <c r="B51" i="1"/>
  <c r="B52" i="5" l="1"/>
  <c r="C51" i="5"/>
  <c r="A53" i="1"/>
  <c r="B52" i="1"/>
  <c r="B53" i="5" l="1"/>
  <c r="C52" i="5"/>
  <c r="A54" i="1"/>
  <c r="B53" i="1"/>
  <c r="B54" i="5" l="1"/>
  <c r="C53" i="5"/>
  <c r="A55" i="1"/>
  <c r="B54" i="1"/>
  <c r="B55" i="5" l="1"/>
  <c r="C54" i="5"/>
  <c r="A56" i="1"/>
  <c r="B55" i="1"/>
  <c r="B56" i="5" l="1"/>
  <c r="C55" i="5"/>
  <c r="A57" i="1"/>
  <c r="B56" i="1"/>
  <c r="B57" i="5" l="1"/>
  <c r="C56" i="5"/>
  <c r="A58" i="1"/>
  <c r="B57" i="1"/>
  <c r="B58" i="5" l="1"/>
  <c r="C57" i="5"/>
  <c r="A59" i="1"/>
  <c r="B58" i="1"/>
  <c r="B59" i="5" l="1"/>
  <c r="C58" i="5"/>
  <c r="A60" i="1"/>
  <c r="B59" i="1"/>
  <c r="B60" i="5" l="1"/>
  <c r="C59" i="5"/>
  <c r="A61" i="1"/>
  <c r="B60" i="1"/>
  <c r="B61" i="5" l="1"/>
  <c r="C60" i="5"/>
  <c r="A62" i="1"/>
  <c r="B61" i="1"/>
  <c r="B62" i="5" l="1"/>
  <c r="C61" i="5"/>
  <c r="A63" i="1"/>
  <c r="B62" i="1"/>
  <c r="B63" i="5" l="1"/>
  <c r="C62" i="5"/>
  <c r="A64" i="1"/>
  <c r="B63" i="1"/>
  <c r="B64" i="5" l="1"/>
  <c r="C63" i="5"/>
  <c r="A65" i="1"/>
  <c r="B64" i="1"/>
  <c r="B65" i="5" l="1"/>
  <c r="C64" i="5"/>
  <c r="A66" i="1"/>
  <c r="B65" i="1"/>
  <c r="B66" i="5" l="1"/>
  <c r="C65" i="5"/>
  <c r="A67" i="1"/>
  <c r="B66" i="1"/>
  <c r="B67" i="5" l="1"/>
  <c r="C66" i="5"/>
  <c r="A68" i="1"/>
  <c r="B67" i="1"/>
  <c r="B68" i="5" l="1"/>
  <c r="C67" i="5"/>
  <c r="A69" i="1"/>
  <c r="B68" i="1"/>
  <c r="B69" i="5" l="1"/>
  <c r="C68" i="5"/>
  <c r="A70" i="1"/>
  <c r="B69" i="1"/>
  <c r="B70" i="5" l="1"/>
  <c r="C69" i="5"/>
  <c r="A71" i="1"/>
  <c r="B70" i="1"/>
  <c r="B71" i="5" l="1"/>
  <c r="C70" i="5"/>
  <c r="A72" i="1"/>
  <c r="B71" i="1"/>
  <c r="B72" i="5" l="1"/>
  <c r="C71" i="5"/>
  <c r="A73" i="1"/>
  <c r="B72" i="1"/>
  <c r="B73" i="5" l="1"/>
  <c r="C72" i="5"/>
  <c r="A74" i="1"/>
  <c r="B73" i="1"/>
  <c r="B74" i="5" l="1"/>
  <c r="C73" i="5"/>
  <c r="A75" i="1"/>
  <c r="B74" i="1"/>
  <c r="B75" i="5" l="1"/>
  <c r="C74" i="5"/>
  <c r="A76" i="1"/>
  <c r="B75" i="1"/>
  <c r="B76" i="5" l="1"/>
  <c r="C75" i="5"/>
  <c r="A77" i="1"/>
  <c r="B76" i="1"/>
  <c r="B77" i="5" l="1"/>
  <c r="C76" i="5"/>
  <c r="A78" i="1"/>
  <c r="B77" i="1"/>
  <c r="B78" i="5" l="1"/>
  <c r="C77" i="5"/>
  <c r="A79" i="1"/>
  <c r="B78" i="1"/>
  <c r="B79" i="5" l="1"/>
  <c r="C78" i="5"/>
  <c r="A80" i="1"/>
  <c r="B79" i="1"/>
  <c r="B80" i="5" l="1"/>
  <c r="C79" i="5"/>
  <c r="A81" i="1"/>
  <c r="B80" i="1"/>
  <c r="B81" i="5" l="1"/>
  <c r="C80" i="5"/>
  <c r="A82" i="1"/>
  <c r="B81" i="1"/>
  <c r="B82" i="5" l="1"/>
  <c r="C81" i="5"/>
  <c r="A83" i="1"/>
  <c r="B82" i="1"/>
  <c r="B83" i="5" l="1"/>
  <c r="C82" i="5"/>
  <c r="A84" i="1"/>
  <c r="B83" i="1"/>
  <c r="B84" i="5" l="1"/>
  <c r="C83" i="5"/>
  <c r="A85" i="1"/>
  <c r="B84" i="1"/>
  <c r="B85" i="5" l="1"/>
  <c r="C84" i="5"/>
  <c r="A86" i="1"/>
  <c r="B85" i="1"/>
  <c r="B86" i="5" l="1"/>
  <c r="C85" i="5"/>
  <c r="A87" i="1"/>
  <c r="B86" i="1"/>
  <c r="B87" i="5" l="1"/>
  <c r="C86" i="5"/>
  <c r="A88" i="1"/>
  <c r="B87" i="1"/>
  <c r="B88" i="5" l="1"/>
  <c r="C87" i="5"/>
  <c r="A89" i="1"/>
  <c r="B88" i="1"/>
  <c r="B89" i="5" l="1"/>
  <c r="C88" i="5"/>
  <c r="A90" i="1"/>
  <c r="B89" i="1"/>
  <c r="B90" i="5" l="1"/>
  <c r="C89" i="5"/>
  <c r="A91" i="1"/>
  <c r="B90" i="1"/>
  <c r="B91" i="5" l="1"/>
  <c r="C90" i="5"/>
  <c r="A92" i="1"/>
  <c r="B91" i="1"/>
  <c r="B92" i="5" l="1"/>
  <c r="C91" i="5"/>
  <c r="A93" i="1"/>
  <c r="B92" i="1"/>
  <c r="B93" i="5" l="1"/>
  <c r="C92" i="5"/>
  <c r="A94" i="1"/>
  <c r="B93" i="1"/>
  <c r="B94" i="5" l="1"/>
  <c r="C93" i="5"/>
  <c r="A95" i="1"/>
  <c r="B94" i="1"/>
  <c r="B95" i="5" l="1"/>
  <c r="C94" i="5"/>
  <c r="A96" i="1"/>
  <c r="B95" i="1"/>
  <c r="B96" i="5" l="1"/>
  <c r="C95" i="5"/>
  <c r="A97" i="1"/>
  <c r="B96" i="1"/>
  <c r="B97" i="5" l="1"/>
  <c r="C96" i="5"/>
  <c r="A98" i="1"/>
  <c r="B97" i="1"/>
  <c r="B98" i="5" l="1"/>
  <c r="C97" i="5"/>
  <c r="A99" i="1"/>
  <c r="B98" i="1"/>
  <c r="B99" i="5" l="1"/>
  <c r="C98" i="5"/>
  <c r="A100" i="1"/>
  <c r="B99" i="1"/>
  <c r="B100" i="5" l="1"/>
  <c r="C99" i="5"/>
  <c r="A101" i="1"/>
  <c r="B100" i="1"/>
  <c r="B101" i="5" l="1"/>
  <c r="C100" i="5"/>
  <c r="A102" i="1"/>
  <c r="B101" i="1"/>
  <c r="B102" i="5" l="1"/>
  <c r="C101" i="5"/>
  <c r="A103" i="1"/>
  <c r="B102" i="1"/>
  <c r="B103" i="5" l="1"/>
  <c r="C102" i="5"/>
  <c r="A104" i="1"/>
  <c r="B103" i="1"/>
  <c r="B104" i="5" l="1"/>
  <c r="C103" i="5"/>
  <c r="A105" i="1"/>
  <c r="B104" i="1"/>
  <c r="B105" i="5" l="1"/>
  <c r="C104" i="5"/>
  <c r="A106" i="1"/>
  <c r="B105" i="1"/>
  <c r="B106" i="5" l="1"/>
  <c r="C105" i="5"/>
  <c r="A107" i="1"/>
  <c r="B106" i="1"/>
  <c r="B107" i="5" l="1"/>
  <c r="C106" i="5"/>
  <c r="A108" i="1"/>
  <c r="B107" i="1"/>
  <c r="B108" i="5" l="1"/>
  <c r="C107" i="5"/>
  <c r="A109" i="1"/>
  <c r="B108" i="1"/>
  <c r="B109" i="5" l="1"/>
  <c r="C108" i="5"/>
  <c r="A110" i="1"/>
  <c r="B109" i="1"/>
  <c r="B110" i="5" l="1"/>
  <c r="C109" i="5"/>
  <c r="A111" i="1"/>
  <c r="B110" i="1"/>
  <c r="B111" i="5" l="1"/>
  <c r="C110" i="5"/>
  <c r="A112" i="1"/>
  <c r="B111" i="1"/>
  <c r="B112" i="5" l="1"/>
  <c r="C111" i="5"/>
  <c r="A113" i="1"/>
  <c r="B112" i="1"/>
  <c r="B113" i="5" l="1"/>
  <c r="C112" i="5"/>
  <c r="A114" i="1"/>
  <c r="B113" i="1"/>
  <c r="B114" i="5" l="1"/>
  <c r="C113" i="5"/>
  <c r="A115" i="1"/>
  <c r="B114" i="1"/>
  <c r="B115" i="5" l="1"/>
  <c r="C114" i="5"/>
  <c r="A116" i="1"/>
  <c r="B115" i="1"/>
  <c r="B116" i="5" l="1"/>
  <c r="C115" i="5"/>
  <c r="A117" i="1"/>
  <c r="B116" i="1"/>
  <c r="B117" i="5" l="1"/>
  <c r="C116" i="5"/>
  <c r="A118" i="1"/>
  <c r="B117" i="1"/>
  <c r="B118" i="5" l="1"/>
  <c r="C117" i="5"/>
  <c r="A119" i="1"/>
  <c r="B118" i="1"/>
  <c r="B119" i="5" l="1"/>
  <c r="C118" i="5"/>
  <c r="A120" i="1"/>
  <c r="B119" i="1"/>
  <c r="B120" i="5" l="1"/>
  <c r="C119" i="5"/>
  <c r="A121" i="1"/>
  <c r="B120" i="1"/>
  <c r="B121" i="5" l="1"/>
  <c r="C120" i="5"/>
  <c r="A122" i="1"/>
  <c r="B121" i="1"/>
  <c r="B122" i="5" l="1"/>
  <c r="C121" i="5"/>
  <c r="A123" i="1"/>
  <c r="B122" i="1"/>
  <c r="B123" i="5" l="1"/>
  <c r="C122" i="5"/>
  <c r="A124" i="1"/>
  <c r="B123" i="1"/>
  <c r="B124" i="5" l="1"/>
  <c r="C123" i="5"/>
  <c r="A125" i="1"/>
  <c r="B124" i="1"/>
  <c r="B125" i="5" l="1"/>
  <c r="C124" i="5"/>
  <c r="A126" i="1"/>
  <c r="B125" i="1"/>
  <c r="B126" i="5" l="1"/>
  <c r="C125" i="5"/>
  <c r="A127" i="1"/>
  <c r="B126" i="1"/>
  <c r="B127" i="5" l="1"/>
  <c r="C126" i="5"/>
  <c r="A128" i="1"/>
  <c r="B127" i="1"/>
  <c r="B128" i="5" l="1"/>
  <c r="C127" i="5"/>
  <c r="A129" i="1"/>
  <c r="B129" i="1" s="1"/>
  <c r="B128" i="1"/>
  <c r="B129" i="5" l="1"/>
  <c r="C128" i="5"/>
  <c r="B130" i="5" l="1"/>
  <c r="C129" i="5"/>
  <c r="B131" i="5" l="1"/>
  <c r="C130" i="5"/>
  <c r="B132" i="5" l="1"/>
  <c r="C131" i="5"/>
  <c r="B133" i="5" l="1"/>
  <c r="C132" i="5"/>
  <c r="B134" i="5" l="1"/>
  <c r="C133" i="5"/>
  <c r="B135" i="5" l="1"/>
  <c r="C134" i="5"/>
  <c r="B136" i="5" l="1"/>
  <c r="C135" i="5"/>
  <c r="B137" i="5" l="1"/>
  <c r="C136" i="5"/>
  <c r="B138" i="5" l="1"/>
  <c r="C137" i="5"/>
  <c r="B139" i="5" l="1"/>
  <c r="C138" i="5"/>
  <c r="B140" i="5" l="1"/>
  <c r="C139" i="5"/>
  <c r="B141" i="5" l="1"/>
  <c r="C140" i="5"/>
  <c r="B142" i="5" l="1"/>
  <c r="C141" i="5"/>
  <c r="B143" i="5" l="1"/>
  <c r="C142" i="5"/>
  <c r="B144" i="5" l="1"/>
  <c r="C143" i="5"/>
  <c r="B145" i="5" l="1"/>
  <c r="C144" i="5"/>
  <c r="B146" i="5" l="1"/>
  <c r="C145" i="5"/>
  <c r="B147" i="5" l="1"/>
  <c r="C146" i="5"/>
  <c r="B148" i="5" l="1"/>
  <c r="C147" i="5"/>
  <c r="B149" i="5" l="1"/>
  <c r="C148" i="5"/>
  <c r="B150" i="5" l="1"/>
  <c r="C149" i="5"/>
  <c r="B151" i="5" l="1"/>
  <c r="C150" i="5"/>
  <c r="B152" i="5" l="1"/>
  <c r="C151" i="5"/>
  <c r="B153" i="5" l="1"/>
  <c r="C152" i="5"/>
  <c r="B154" i="5" l="1"/>
  <c r="C153" i="5"/>
  <c r="B155" i="5" l="1"/>
  <c r="C154" i="5"/>
  <c r="B156" i="5" l="1"/>
  <c r="C155" i="5"/>
  <c r="B157" i="5" l="1"/>
  <c r="C156" i="5"/>
  <c r="B158" i="5" l="1"/>
  <c r="C157" i="5"/>
  <c r="B159" i="5" l="1"/>
  <c r="C158" i="5"/>
  <c r="B160" i="5" l="1"/>
  <c r="C159" i="5"/>
  <c r="B161" i="5" l="1"/>
  <c r="C160" i="5"/>
  <c r="B162" i="5" l="1"/>
  <c r="C161" i="5"/>
  <c r="B163" i="5" l="1"/>
  <c r="C162" i="5"/>
  <c r="B164" i="5" l="1"/>
  <c r="C163" i="5"/>
  <c r="B165" i="5" l="1"/>
  <c r="C164" i="5"/>
  <c r="B166" i="5" l="1"/>
  <c r="C165" i="5"/>
  <c r="B167" i="5" l="1"/>
  <c r="C166" i="5"/>
  <c r="B168" i="5" l="1"/>
  <c r="C167" i="5"/>
  <c r="B169" i="5" l="1"/>
  <c r="C168" i="5"/>
  <c r="B170" i="5" l="1"/>
  <c r="C169" i="5"/>
  <c r="B171" i="5" l="1"/>
  <c r="C170" i="5"/>
  <c r="B172" i="5" l="1"/>
  <c r="C171" i="5"/>
  <c r="B173" i="5" l="1"/>
  <c r="C172" i="5"/>
  <c r="B174" i="5" l="1"/>
  <c r="C173" i="5"/>
  <c r="B175" i="5" l="1"/>
  <c r="C174" i="5"/>
  <c r="B176" i="5" l="1"/>
  <c r="C175" i="5"/>
  <c r="B177" i="5" l="1"/>
  <c r="C176" i="5"/>
  <c r="B178" i="5" l="1"/>
  <c r="C177" i="5"/>
  <c r="B179" i="5" l="1"/>
  <c r="C178" i="5"/>
  <c r="B180" i="5" l="1"/>
  <c r="C179" i="5"/>
  <c r="B181" i="5" l="1"/>
  <c r="C180" i="5"/>
  <c r="B182" i="5" l="1"/>
  <c r="C181" i="5"/>
  <c r="B183" i="5" l="1"/>
  <c r="C182" i="5"/>
  <c r="B184" i="5" l="1"/>
  <c r="C183" i="5"/>
  <c r="B185" i="5" l="1"/>
  <c r="C184" i="5"/>
  <c r="B186" i="5" l="1"/>
  <c r="C185" i="5"/>
  <c r="B187" i="5" l="1"/>
  <c r="C186" i="5"/>
  <c r="B188" i="5" l="1"/>
  <c r="C187" i="5"/>
  <c r="B189" i="5" l="1"/>
  <c r="C188" i="5"/>
  <c r="B190" i="5" l="1"/>
  <c r="C189" i="5"/>
  <c r="B191" i="5" l="1"/>
  <c r="C190" i="5"/>
  <c r="B192" i="5" l="1"/>
  <c r="C191" i="5"/>
  <c r="B193" i="5" l="1"/>
  <c r="C192" i="5"/>
  <c r="B194" i="5" l="1"/>
  <c r="C193" i="5"/>
  <c r="B195" i="5" l="1"/>
  <c r="C194" i="5"/>
  <c r="B196" i="5" l="1"/>
  <c r="C195" i="5"/>
  <c r="B197" i="5" l="1"/>
  <c r="C196" i="5"/>
  <c r="B198" i="5" l="1"/>
  <c r="C197" i="5"/>
  <c r="B199" i="5" l="1"/>
  <c r="C198" i="5"/>
  <c r="B200" i="5" l="1"/>
  <c r="C199" i="5"/>
  <c r="B201" i="5" l="1"/>
  <c r="C200" i="5"/>
  <c r="B202" i="5" l="1"/>
  <c r="C201" i="5"/>
  <c r="B203" i="5" l="1"/>
  <c r="C202" i="5"/>
  <c r="B204" i="5" l="1"/>
  <c r="C203" i="5"/>
  <c r="B205" i="5" l="1"/>
  <c r="C204" i="5"/>
  <c r="B206" i="5" l="1"/>
  <c r="C205" i="5"/>
  <c r="B207" i="5" l="1"/>
  <c r="C206" i="5"/>
  <c r="B208" i="5" l="1"/>
  <c r="C207" i="5"/>
  <c r="B209" i="5" l="1"/>
  <c r="C208" i="5"/>
  <c r="B210" i="5" l="1"/>
  <c r="C209" i="5"/>
  <c r="B211" i="5" l="1"/>
  <c r="C210" i="5"/>
  <c r="B212" i="5" l="1"/>
  <c r="C211" i="5"/>
  <c r="B213" i="5" l="1"/>
  <c r="C212" i="5"/>
  <c r="B214" i="5" l="1"/>
  <c r="C213" i="5"/>
  <c r="B215" i="5" l="1"/>
  <c r="C214" i="5"/>
  <c r="B216" i="5" l="1"/>
  <c r="C215" i="5"/>
  <c r="B217" i="5" l="1"/>
  <c r="C216" i="5"/>
  <c r="B218" i="5" l="1"/>
  <c r="C217" i="5"/>
  <c r="B219" i="5" l="1"/>
  <c r="C218" i="5"/>
  <c r="B220" i="5" l="1"/>
  <c r="C219" i="5"/>
  <c r="B221" i="5" l="1"/>
  <c r="C220" i="5"/>
  <c r="B222" i="5" l="1"/>
  <c r="C221" i="5"/>
  <c r="B223" i="5" l="1"/>
  <c r="C222" i="5"/>
  <c r="B224" i="5" l="1"/>
  <c r="C223" i="5"/>
  <c r="B225" i="5" l="1"/>
  <c r="C224" i="5"/>
  <c r="B226" i="5" l="1"/>
  <c r="C225" i="5"/>
  <c r="B227" i="5" l="1"/>
  <c r="C226" i="5"/>
  <c r="B228" i="5" l="1"/>
  <c r="C227" i="5"/>
  <c r="B229" i="5" l="1"/>
  <c r="C228" i="5"/>
  <c r="B230" i="5" l="1"/>
  <c r="C229" i="5"/>
  <c r="B231" i="5" l="1"/>
  <c r="C230" i="5"/>
  <c r="B232" i="5" l="1"/>
  <c r="C231" i="5"/>
  <c r="B233" i="5" l="1"/>
  <c r="C232" i="5"/>
  <c r="B234" i="5" l="1"/>
  <c r="C233" i="5"/>
  <c r="B235" i="5" l="1"/>
  <c r="C234" i="5"/>
  <c r="B236" i="5" l="1"/>
  <c r="C235" i="5"/>
  <c r="B237" i="5" l="1"/>
  <c r="C236" i="5"/>
  <c r="B238" i="5" l="1"/>
  <c r="C237" i="5"/>
  <c r="B239" i="5" l="1"/>
  <c r="C238" i="5"/>
  <c r="B240" i="5" l="1"/>
  <c r="C239" i="5"/>
  <c r="B241" i="5" l="1"/>
  <c r="C240" i="5"/>
  <c r="B242" i="5" l="1"/>
  <c r="C241" i="5"/>
  <c r="B243" i="5" l="1"/>
  <c r="C242" i="5"/>
  <c r="B244" i="5" l="1"/>
  <c r="C243" i="5"/>
  <c r="B245" i="5" l="1"/>
  <c r="C244" i="5"/>
  <c r="B246" i="5" l="1"/>
  <c r="C245" i="5"/>
  <c r="B247" i="5" l="1"/>
  <c r="C246" i="5"/>
  <c r="B248" i="5" l="1"/>
  <c r="C247" i="5"/>
  <c r="B249" i="5" l="1"/>
  <c r="C248" i="5"/>
  <c r="B250" i="5" l="1"/>
  <c r="C249" i="5"/>
  <c r="B251" i="5" l="1"/>
  <c r="C250" i="5"/>
  <c r="B252" i="5" l="1"/>
  <c r="C251" i="5"/>
  <c r="B253" i="5" l="1"/>
  <c r="C252" i="5"/>
  <c r="B254" i="5" l="1"/>
  <c r="C253" i="5"/>
  <c r="B255" i="5" l="1"/>
  <c r="C254" i="5"/>
  <c r="B256" i="5" l="1"/>
  <c r="C255" i="5"/>
  <c r="B257" i="5" l="1"/>
  <c r="C256" i="5"/>
  <c r="B258" i="5" l="1"/>
  <c r="C257" i="5"/>
  <c r="B259" i="5" l="1"/>
  <c r="C258" i="5"/>
  <c r="B260" i="5" l="1"/>
  <c r="C259" i="5"/>
  <c r="B261" i="5" l="1"/>
  <c r="C260" i="5"/>
  <c r="B262" i="5" l="1"/>
  <c r="C261" i="5"/>
  <c r="B263" i="5" l="1"/>
  <c r="C262" i="5"/>
  <c r="B264" i="5" l="1"/>
  <c r="C263" i="5"/>
  <c r="B265" i="5" l="1"/>
  <c r="C264" i="5"/>
  <c r="B266" i="5" l="1"/>
  <c r="C265" i="5"/>
  <c r="B267" i="5" l="1"/>
  <c r="C266" i="5"/>
  <c r="B268" i="5" l="1"/>
  <c r="C267" i="5"/>
  <c r="B269" i="5" l="1"/>
  <c r="C268" i="5"/>
  <c r="B270" i="5" l="1"/>
  <c r="C269" i="5"/>
  <c r="B271" i="5" l="1"/>
  <c r="C270" i="5"/>
  <c r="B272" i="5" l="1"/>
  <c r="C271" i="5"/>
  <c r="B273" i="5" l="1"/>
  <c r="C272" i="5"/>
  <c r="B274" i="5" l="1"/>
  <c r="C273" i="5"/>
  <c r="B275" i="5" l="1"/>
  <c r="C274" i="5"/>
  <c r="B276" i="5" l="1"/>
  <c r="C275" i="5"/>
  <c r="B277" i="5" l="1"/>
  <c r="C276" i="5"/>
  <c r="B278" i="5" l="1"/>
  <c r="C277" i="5"/>
  <c r="B279" i="5" l="1"/>
  <c r="C278" i="5"/>
  <c r="B280" i="5" l="1"/>
  <c r="C279" i="5"/>
  <c r="B281" i="5" l="1"/>
  <c r="C280" i="5"/>
  <c r="B282" i="5" l="1"/>
  <c r="C281" i="5"/>
  <c r="B283" i="5" l="1"/>
  <c r="C282" i="5"/>
  <c r="B284" i="5" l="1"/>
  <c r="C283" i="5"/>
  <c r="B285" i="5" l="1"/>
  <c r="C284" i="5"/>
  <c r="B286" i="5" l="1"/>
  <c r="C285" i="5"/>
  <c r="B287" i="5" l="1"/>
  <c r="C286" i="5"/>
  <c r="B288" i="5" l="1"/>
  <c r="C287" i="5"/>
  <c r="B289" i="5" l="1"/>
  <c r="C288" i="5"/>
  <c r="B290" i="5" l="1"/>
  <c r="C289" i="5"/>
  <c r="B291" i="5" l="1"/>
  <c r="C290" i="5"/>
  <c r="B292" i="5" l="1"/>
  <c r="C291" i="5"/>
  <c r="B293" i="5" l="1"/>
  <c r="C292" i="5"/>
  <c r="B294" i="5" l="1"/>
  <c r="C293" i="5"/>
  <c r="B295" i="5" l="1"/>
  <c r="C294" i="5"/>
  <c r="B296" i="5" l="1"/>
  <c r="C295" i="5"/>
  <c r="B297" i="5" l="1"/>
  <c r="C296" i="5"/>
  <c r="B298" i="5" l="1"/>
  <c r="C297" i="5"/>
  <c r="B299" i="5" l="1"/>
  <c r="C298" i="5"/>
  <c r="B300" i="5" l="1"/>
  <c r="C299" i="5"/>
  <c r="B301" i="5" l="1"/>
  <c r="C300" i="5"/>
  <c r="B302" i="5" l="1"/>
  <c r="C301" i="5"/>
  <c r="B303" i="5" l="1"/>
  <c r="C302" i="5"/>
  <c r="B304" i="5" l="1"/>
  <c r="C303" i="5"/>
  <c r="B305" i="5" l="1"/>
  <c r="C304" i="5"/>
  <c r="B306" i="5" l="1"/>
  <c r="C305" i="5"/>
  <c r="B307" i="5" l="1"/>
  <c r="C306" i="5"/>
  <c r="B308" i="5" l="1"/>
  <c r="C307" i="5"/>
  <c r="B309" i="5" l="1"/>
  <c r="C308" i="5"/>
  <c r="B310" i="5" l="1"/>
  <c r="C309" i="5"/>
  <c r="B311" i="5" l="1"/>
  <c r="C310" i="5"/>
  <c r="B312" i="5" l="1"/>
  <c r="C311" i="5"/>
  <c r="B313" i="5" l="1"/>
  <c r="C312" i="5"/>
  <c r="B314" i="5" l="1"/>
  <c r="C313" i="5"/>
  <c r="B315" i="5" l="1"/>
  <c r="C314" i="5"/>
  <c r="B316" i="5" l="1"/>
  <c r="C315" i="5"/>
  <c r="B317" i="5" l="1"/>
  <c r="C316" i="5"/>
  <c r="B318" i="5" l="1"/>
  <c r="C317" i="5"/>
  <c r="B319" i="5" l="1"/>
  <c r="C318" i="5"/>
  <c r="B320" i="5" l="1"/>
  <c r="C319" i="5"/>
  <c r="B321" i="5" l="1"/>
  <c r="C320" i="5"/>
  <c r="B322" i="5" l="1"/>
  <c r="C321" i="5"/>
  <c r="B323" i="5" l="1"/>
  <c r="C322" i="5"/>
  <c r="B324" i="5" l="1"/>
  <c r="C323" i="5"/>
  <c r="B325" i="5" l="1"/>
  <c r="C324" i="5"/>
  <c r="B326" i="5" l="1"/>
  <c r="C325" i="5"/>
  <c r="B327" i="5" l="1"/>
  <c r="C326" i="5"/>
  <c r="B328" i="5" l="1"/>
  <c r="C327" i="5"/>
  <c r="B329" i="5" l="1"/>
  <c r="C328" i="5"/>
  <c r="B330" i="5" l="1"/>
  <c r="C329" i="5"/>
  <c r="B331" i="5" l="1"/>
  <c r="C330" i="5"/>
  <c r="B332" i="5" l="1"/>
  <c r="C331" i="5"/>
  <c r="B333" i="5" l="1"/>
  <c r="C332" i="5"/>
  <c r="B334" i="5" l="1"/>
  <c r="C333" i="5"/>
  <c r="B335" i="5" l="1"/>
  <c r="C334" i="5"/>
  <c r="B336" i="5" l="1"/>
  <c r="C335" i="5"/>
  <c r="B337" i="5" l="1"/>
  <c r="C336" i="5"/>
  <c r="B338" i="5" l="1"/>
  <c r="C337" i="5"/>
  <c r="B339" i="5" l="1"/>
  <c r="C338" i="5"/>
  <c r="B340" i="5" l="1"/>
  <c r="C339" i="5"/>
  <c r="B341" i="5" l="1"/>
  <c r="C340" i="5"/>
  <c r="B342" i="5" l="1"/>
  <c r="C341" i="5"/>
  <c r="B343" i="5" l="1"/>
  <c r="C342" i="5"/>
  <c r="B344" i="5" l="1"/>
  <c r="C343" i="5"/>
  <c r="B345" i="5" l="1"/>
  <c r="C344" i="5"/>
  <c r="B346" i="5" l="1"/>
  <c r="C345" i="5"/>
  <c r="B347" i="5" l="1"/>
  <c r="C346" i="5"/>
  <c r="B348" i="5" l="1"/>
  <c r="C347" i="5"/>
  <c r="B349" i="5" l="1"/>
  <c r="C348" i="5"/>
  <c r="B350" i="5" l="1"/>
  <c r="C349" i="5"/>
  <c r="B351" i="5" l="1"/>
  <c r="C350" i="5"/>
  <c r="B352" i="5" l="1"/>
  <c r="C351" i="5"/>
  <c r="B353" i="5" l="1"/>
  <c r="C352" i="5"/>
  <c r="B354" i="5" l="1"/>
  <c r="C353" i="5"/>
  <c r="B355" i="5" l="1"/>
  <c r="C354" i="5"/>
  <c r="B356" i="5" l="1"/>
  <c r="C355" i="5"/>
  <c r="B357" i="5" l="1"/>
  <c r="C356" i="5"/>
  <c r="B358" i="5" l="1"/>
  <c r="C357" i="5"/>
  <c r="B359" i="5" l="1"/>
  <c r="C358" i="5"/>
  <c r="B360" i="5" l="1"/>
  <c r="C359" i="5"/>
  <c r="B361" i="5" l="1"/>
  <c r="C360" i="5"/>
  <c r="B362" i="5" l="1"/>
  <c r="C361" i="5"/>
  <c r="B363" i="5" l="1"/>
  <c r="C362" i="5"/>
  <c r="B364" i="5" l="1"/>
  <c r="C363" i="5"/>
  <c r="B365" i="5" l="1"/>
  <c r="C364" i="5"/>
  <c r="B366" i="5" l="1"/>
  <c r="C365" i="5"/>
  <c r="B367" i="5" l="1"/>
  <c r="C366" i="5"/>
  <c r="B368" i="5" l="1"/>
  <c r="C367" i="5"/>
  <c r="B369" i="5" l="1"/>
  <c r="C368" i="5"/>
  <c r="B370" i="5" l="1"/>
  <c r="C369" i="5"/>
  <c r="B371" i="5" l="1"/>
  <c r="C370" i="5"/>
  <c r="B372" i="5" l="1"/>
  <c r="C371" i="5"/>
  <c r="B373" i="5" l="1"/>
  <c r="C372" i="5"/>
  <c r="B374" i="5" l="1"/>
  <c r="C373" i="5"/>
  <c r="B375" i="5" l="1"/>
  <c r="C374" i="5"/>
  <c r="B376" i="5" l="1"/>
  <c r="C375" i="5"/>
  <c r="B377" i="5" l="1"/>
  <c r="C376" i="5"/>
  <c r="B378" i="5" l="1"/>
  <c r="C377" i="5"/>
  <c r="B379" i="5" l="1"/>
  <c r="C378" i="5"/>
  <c r="B380" i="5" l="1"/>
  <c r="C379" i="5"/>
  <c r="B381" i="5" l="1"/>
  <c r="C380" i="5"/>
  <c r="B382" i="5" l="1"/>
  <c r="C381" i="5"/>
  <c r="B383" i="5" l="1"/>
  <c r="C382" i="5"/>
  <c r="B384" i="5" l="1"/>
  <c r="C383" i="5"/>
  <c r="B385" i="5" l="1"/>
  <c r="C384" i="5"/>
  <c r="B386" i="5" l="1"/>
  <c r="C385" i="5"/>
  <c r="B387" i="5" l="1"/>
  <c r="C386" i="5"/>
  <c r="B388" i="5" l="1"/>
  <c r="C387" i="5"/>
  <c r="B389" i="5" l="1"/>
  <c r="C388" i="5"/>
  <c r="B390" i="5" l="1"/>
  <c r="C389" i="5"/>
  <c r="B391" i="5" l="1"/>
  <c r="C390" i="5"/>
  <c r="B392" i="5" l="1"/>
  <c r="C391" i="5"/>
  <c r="B393" i="5" l="1"/>
  <c r="C392" i="5"/>
  <c r="B394" i="5" l="1"/>
  <c r="C393" i="5"/>
  <c r="B395" i="5" l="1"/>
  <c r="C394" i="5"/>
  <c r="B396" i="5" l="1"/>
  <c r="C395" i="5"/>
  <c r="B397" i="5" l="1"/>
  <c r="C396" i="5"/>
  <c r="B398" i="5" l="1"/>
  <c r="C397" i="5"/>
  <c r="B399" i="5" l="1"/>
  <c r="C398" i="5"/>
  <c r="B400" i="5" l="1"/>
  <c r="C399" i="5"/>
  <c r="B401" i="5" l="1"/>
  <c r="C400" i="5"/>
  <c r="B402" i="5" l="1"/>
  <c r="C401" i="5"/>
  <c r="B403" i="5" l="1"/>
  <c r="C402" i="5"/>
  <c r="B404" i="5" l="1"/>
  <c r="C403" i="5"/>
  <c r="B405" i="5" l="1"/>
  <c r="C404" i="5"/>
  <c r="B406" i="5" l="1"/>
  <c r="C405" i="5"/>
  <c r="B407" i="5" l="1"/>
  <c r="C406" i="5"/>
  <c r="B408" i="5" l="1"/>
  <c r="C407" i="5"/>
  <c r="B409" i="5" l="1"/>
  <c r="C408" i="5"/>
  <c r="B410" i="5" l="1"/>
  <c r="C409" i="5"/>
  <c r="B411" i="5" l="1"/>
  <c r="C410" i="5"/>
  <c r="B412" i="5" l="1"/>
  <c r="C411" i="5"/>
  <c r="B413" i="5" l="1"/>
  <c r="C412" i="5"/>
  <c r="B414" i="5" l="1"/>
  <c r="C413" i="5"/>
  <c r="B415" i="5" l="1"/>
  <c r="C414" i="5"/>
  <c r="B416" i="5" l="1"/>
  <c r="C415" i="5"/>
  <c r="B417" i="5" l="1"/>
  <c r="C416" i="5"/>
  <c r="B418" i="5" l="1"/>
  <c r="C417" i="5"/>
  <c r="B419" i="5" l="1"/>
  <c r="C418" i="5"/>
  <c r="B420" i="5" l="1"/>
  <c r="C419" i="5"/>
  <c r="B421" i="5" l="1"/>
  <c r="C420" i="5"/>
  <c r="B422" i="5" l="1"/>
  <c r="C421" i="5"/>
  <c r="B423" i="5" l="1"/>
  <c r="C422" i="5"/>
  <c r="B424" i="5" l="1"/>
  <c r="C423" i="5"/>
  <c r="B425" i="5" l="1"/>
  <c r="C424" i="5"/>
  <c r="B426" i="5" l="1"/>
  <c r="C425" i="5"/>
  <c r="B427" i="5" l="1"/>
  <c r="C426" i="5"/>
  <c r="B428" i="5" l="1"/>
  <c r="C427" i="5"/>
  <c r="B429" i="5" l="1"/>
  <c r="C428" i="5"/>
  <c r="B430" i="5" l="1"/>
  <c r="C429" i="5"/>
  <c r="B431" i="5" l="1"/>
  <c r="C430" i="5"/>
  <c r="B432" i="5" l="1"/>
  <c r="C431" i="5"/>
  <c r="B433" i="5" l="1"/>
  <c r="C432" i="5"/>
  <c r="B434" i="5" l="1"/>
  <c r="C433" i="5"/>
  <c r="B435" i="5" l="1"/>
  <c r="C434" i="5"/>
  <c r="B436" i="5" l="1"/>
  <c r="C435" i="5"/>
  <c r="B437" i="5" l="1"/>
  <c r="C436" i="5"/>
  <c r="B438" i="5" l="1"/>
  <c r="C437" i="5"/>
  <c r="B439" i="5" l="1"/>
  <c r="C438" i="5"/>
  <c r="B440" i="5" l="1"/>
  <c r="C439" i="5"/>
  <c r="B441" i="5" l="1"/>
  <c r="C440" i="5"/>
  <c r="B442" i="5" l="1"/>
  <c r="C441" i="5"/>
  <c r="B443" i="5" l="1"/>
  <c r="C442" i="5"/>
  <c r="B444" i="5" l="1"/>
  <c r="C443" i="5"/>
  <c r="B445" i="5" l="1"/>
  <c r="C444" i="5"/>
  <c r="B446" i="5" l="1"/>
  <c r="C445" i="5"/>
  <c r="B447" i="5" l="1"/>
  <c r="C446" i="5"/>
  <c r="B448" i="5" l="1"/>
  <c r="C447" i="5"/>
  <c r="B449" i="5" l="1"/>
  <c r="C448" i="5"/>
  <c r="B450" i="5" l="1"/>
  <c r="C449" i="5"/>
  <c r="B451" i="5" l="1"/>
  <c r="C450" i="5"/>
  <c r="B452" i="5" l="1"/>
  <c r="C451" i="5"/>
  <c r="B453" i="5" l="1"/>
  <c r="C452" i="5"/>
  <c r="B454" i="5" l="1"/>
  <c r="C453" i="5"/>
  <c r="B455" i="5" l="1"/>
  <c r="C454" i="5"/>
  <c r="B456" i="5" l="1"/>
  <c r="C455" i="5"/>
  <c r="B457" i="5" l="1"/>
  <c r="C456" i="5"/>
  <c r="B458" i="5" l="1"/>
  <c r="C457" i="5"/>
  <c r="B459" i="5" l="1"/>
  <c r="C458" i="5"/>
  <c r="B460" i="5" l="1"/>
  <c r="C459" i="5"/>
  <c r="B461" i="5" l="1"/>
  <c r="C460" i="5"/>
  <c r="B462" i="5" l="1"/>
  <c r="C461" i="5"/>
  <c r="B463" i="5" l="1"/>
  <c r="C462" i="5"/>
  <c r="B464" i="5" l="1"/>
  <c r="C463" i="5"/>
  <c r="B465" i="5" l="1"/>
  <c r="C464" i="5"/>
  <c r="B466" i="5" l="1"/>
  <c r="C465" i="5"/>
  <c r="B467" i="5" l="1"/>
  <c r="C466" i="5"/>
  <c r="B468" i="5" l="1"/>
  <c r="C467" i="5"/>
  <c r="B469" i="5" l="1"/>
  <c r="C468" i="5"/>
  <c r="B470" i="5" l="1"/>
  <c r="C469" i="5"/>
  <c r="B471" i="5" l="1"/>
  <c r="C470" i="5"/>
  <c r="B472" i="5" l="1"/>
  <c r="C471" i="5"/>
  <c r="B473" i="5" l="1"/>
  <c r="C472" i="5"/>
  <c r="B474" i="5" l="1"/>
  <c r="C473" i="5"/>
  <c r="B475" i="5" l="1"/>
  <c r="C474" i="5"/>
  <c r="B476" i="5" l="1"/>
  <c r="C475" i="5"/>
  <c r="B477" i="5" l="1"/>
  <c r="C476" i="5"/>
  <c r="B478" i="5" l="1"/>
  <c r="C477" i="5"/>
  <c r="B479" i="5" l="1"/>
  <c r="C478" i="5"/>
  <c r="B480" i="5" l="1"/>
  <c r="C479" i="5"/>
  <c r="B481" i="5" l="1"/>
  <c r="C480" i="5"/>
  <c r="B482" i="5" l="1"/>
  <c r="C481" i="5"/>
  <c r="B483" i="5" l="1"/>
  <c r="C482" i="5"/>
  <c r="B484" i="5" l="1"/>
  <c r="C483" i="5"/>
  <c r="B485" i="5" l="1"/>
  <c r="C484" i="5"/>
  <c r="B486" i="5" l="1"/>
  <c r="C485" i="5"/>
  <c r="B487" i="5" l="1"/>
  <c r="C486" i="5"/>
  <c r="B488" i="5" l="1"/>
  <c r="C487" i="5"/>
  <c r="B489" i="5" l="1"/>
  <c r="C488" i="5"/>
  <c r="B490" i="5" l="1"/>
  <c r="C489" i="5"/>
  <c r="B491" i="5" l="1"/>
  <c r="C490" i="5"/>
  <c r="B492" i="5" l="1"/>
  <c r="C491" i="5"/>
  <c r="B493" i="5" l="1"/>
  <c r="C492" i="5"/>
  <c r="B494" i="5" l="1"/>
  <c r="C493" i="5"/>
  <c r="B495" i="5" l="1"/>
  <c r="C494" i="5"/>
  <c r="B496" i="5" l="1"/>
  <c r="C495" i="5"/>
  <c r="B497" i="5" l="1"/>
  <c r="C496" i="5"/>
  <c r="B498" i="5" l="1"/>
  <c r="C497" i="5"/>
  <c r="B499" i="5" l="1"/>
  <c r="C498" i="5"/>
  <c r="B500" i="5" l="1"/>
  <c r="C499" i="5"/>
  <c r="B501" i="5" l="1"/>
  <c r="C500" i="5"/>
  <c r="B502" i="5" l="1"/>
  <c r="C501" i="5"/>
  <c r="B503" i="5" l="1"/>
  <c r="C502" i="5"/>
  <c r="B504" i="5" l="1"/>
  <c r="C503" i="5"/>
  <c r="B505" i="5" l="1"/>
  <c r="C504" i="5"/>
  <c r="B506" i="5" l="1"/>
  <c r="C505" i="5"/>
  <c r="B507" i="5" l="1"/>
  <c r="C506" i="5"/>
  <c r="B508" i="5" l="1"/>
  <c r="C507" i="5"/>
  <c r="B509" i="5" l="1"/>
  <c r="C508" i="5"/>
  <c r="B510" i="5" l="1"/>
  <c r="C509" i="5"/>
  <c r="B511" i="5" l="1"/>
  <c r="C510" i="5"/>
  <c r="B512" i="5" l="1"/>
  <c r="C511" i="5"/>
  <c r="B513" i="5" l="1"/>
  <c r="C512" i="5"/>
  <c r="B514" i="5" l="1"/>
  <c r="C513" i="5"/>
  <c r="B515" i="5" l="1"/>
  <c r="C514" i="5"/>
  <c r="B516" i="5" l="1"/>
  <c r="C515" i="5"/>
  <c r="B517" i="5" l="1"/>
  <c r="C516" i="5"/>
  <c r="B518" i="5" l="1"/>
  <c r="C517" i="5"/>
  <c r="B519" i="5" l="1"/>
  <c r="C518" i="5"/>
  <c r="B520" i="5" l="1"/>
  <c r="C519" i="5"/>
  <c r="B521" i="5" l="1"/>
  <c r="C520" i="5"/>
  <c r="B522" i="5" l="1"/>
  <c r="C521" i="5"/>
  <c r="B523" i="5" l="1"/>
  <c r="C522" i="5"/>
  <c r="B524" i="5" l="1"/>
  <c r="C523" i="5"/>
  <c r="B525" i="5" l="1"/>
  <c r="C524" i="5"/>
  <c r="B526" i="5" l="1"/>
  <c r="C525" i="5"/>
  <c r="B527" i="5" l="1"/>
  <c r="C526" i="5"/>
  <c r="B528" i="5" l="1"/>
  <c r="C527" i="5"/>
  <c r="B529" i="5" l="1"/>
  <c r="C528" i="5"/>
  <c r="B530" i="5" l="1"/>
  <c r="C529" i="5"/>
  <c r="B531" i="5" l="1"/>
  <c r="C530" i="5"/>
  <c r="B532" i="5" l="1"/>
  <c r="C531" i="5"/>
  <c r="B533" i="5" l="1"/>
  <c r="C532" i="5"/>
  <c r="B534" i="5" l="1"/>
  <c r="C533" i="5"/>
  <c r="B535" i="5" l="1"/>
  <c r="C534" i="5"/>
  <c r="B536" i="5" l="1"/>
  <c r="C535" i="5"/>
  <c r="B537" i="5" l="1"/>
  <c r="C536" i="5"/>
  <c r="B538" i="5" l="1"/>
  <c r="C537" i="5"/>
  <c r="B539" i="5" l="1"/>
  <c r="C538" i="5"/>
  <c r="B540" i="5" l="1"/>
  <c r="C539" i="5"/>
  <c r="B541" i="5" l="1"/>
  <c r="C540" i="5"/>
  <c r="B542" i="5" l="1"/>
  <c r="C541" i="5"/>
  <c r="B543" i="5" l="1"/>
  <c r="C542" i="5"/>
  <c r="B544" i="5" l="1"/>
  <c r="C543" i="5"/>
  <c r="B545" i="5" l="1"/>
  <c r="C544" i="5"/>
  <c r="B546" i="5" l="1"/>
  <c r="C545" i="5"/>
  <c r="B547" i="5" l="1"/>
  <c r="C546" i="5"/>
  <c r="B548" i="5" l="1"/>
  <c r="C547" i="5"/>
  <c r="B549" i="5" l="1"/>
  <c r="C548" i="5"/>
  <c r="B550" i="5" l="1"/>
  <c r="C549" i="5"/>
  <c r="B551" i="5" l="1"/>
  <c r="C550" i="5"/>
  <c r="B552" i="5" l="1"/>
  <c r="C551" i="5"/>
  <c r="B553" i="5" l="1"/>
  <c r="C552" i="5"/>
  <c r="B554" i="5" l="1"/>
  <c r="C553" i="5"/>
  <c r="B555" i="5" l="1"/>
  <c r="C554" i="5"/>
  <c r="B556" i="5" l="1"/>
  <c r="C555" i="5"/>
  <c r="B557" i="5" l="1"/>
  <c r="C556" i="5"/>
  <c r="B558" i="5" l="1"/>
  <c r="C557" i="5"/>
  <c r="B559" i="5" l="1"/>
  <c r="C558" i="5"/>
  <c r="B560" i="5" l="1"/>
  <c r="C559" i="5"/>
  <c r="B561" i="5" l="1"/>
  <c r="C560" i="5"/>
  <c r="B562" i="5" l="1"/>
  <c r="C561" i="5"/>
  <c r="B563" i="5" l="1"/>
  <c r="C562" i="5"/>
  <c r="B564" i="5" l="1"/>
  <c r="C563" i="5"/>
  <c r="B565" i="5" l="1"/>
  <c r="C564" i="5"/>
  <c r="B566" i="5" l="1"/>
  <c r="C565" i="5"/>
  <c r="B567" i="5" l="1"/>
  <c r="C566" i="5"/>
  <c r="B568" i="5" l="1"/>
  <c r="C567" i="5"/>
  <c r="B569" i="5" l="1"/>
  <c r="C568" i="5"/>
  <c r="B570" i="5" l="1"/>
  <c r="C569" i="5"/>
  <c r="B571" i="5" l="1"/>
  <c r="C570" i="5"/>
  <c r="B572" i="5" l="1"/>
  <c r="C571" i="5"/>
  <c r="B573" i="5" l="1"/>
  <c r="C572" i="5"/>
  <c r="B574" i="5" l="1"/>
  <c r="C573" i="5"/>
  <c r="B575" i="5" l="1"/>
  <c r="C574" i="5"/>
  <c r="B576" i="5" l="1"/>
  <c r="C575" i="5"/>
  <c r="B577" i="5" l="1"/>
  <c r="C576" i="5"/>
  <c r="B578" i="5" l="1"/>
  <c r="C577" i="5"/>
  <c r="B579" i="5" l="1"/>
  <c r="C578" i="5"/>
  <c r="B580" i="5" l="1"/>
  <c r="C579" i="5"/>
  <c r="B581" i="5" l="1"/>
  <c r="C580" i="5"/>
  <c r="B582" i="5" l="1"/>
  <c r="C581" i="5"/>
  <c r="B583" i="5" l="1"/>
  <c r="C582" i="5"/>
  <c r="B584" i="5" l="1"/>
  <c r="C583" i="5"/>
  <c r="B585" i="5" l="1"/>
  <c r="C584" i="5"/>
  <c r="B586" i="5" l="1"/>
  <c r="C585" i="5"/>
  <c r="B587" i="5" l="1"/>
  <c r="C586" i="5"/>
  <c r="B588" i="5" l="1"/>
  <c r="C587" i="5"/>
  <c r="B589" i="5" l="1"/>
  <c r="C588" i="5"/>
  <c r="B590" i="5" l="1"/>
  <c r="C589" i="5"/>
  <c r="B591" i="5" l="1"/>
  <c r="C590" i="5"/>
  <c r="B592" i="5" l="1"/>
  <c r="C591" i="5"/>
  <c r="B593" i="5" l="1"/>
  <c r="C592" i="5"/>
  <c r="B594" i="5" l="1"/>
  <c r="C593" i="5"/>
  <c r="B595" i="5" l="1"/>
  <c r="C594" i="5"/>
  <c r="B596" i="5" l="1"/>
  <c r="C595" i="5"/>
  <c r="B597" i="5" l="1"/>
  <c r="C596" i="5"/>
  <c r="B598" i="5" l="1"/>
  <c r="C597" i="5"/>
  <c r="B599" i="5" l="1"/>
  <c r="C598" i="5"/>
  <c r="B600" i="5" l="1"/>
  <c r="C599" i="5"/>
  <c r="B601" i="5" l="1"/>
  <c r="C600" i="5"/>
  <c r="B602" i="5" l="1"/>
  <c r="C601" i="5"/>
  <c r="B603" i="5" l="1"/>
  <c r="C602" i="5"/>
  <c r="B604" i="5" l="1"/>
  <c r="C603" i="5"/>
  <c r="B605" i="5" l="1"/>
  <c r="C604" i="5"/>
  <c r="B606" i="5" l="1"/>
  <c r="C605" i="5"/>
  <c r="B607" i="5" l="1"/>
  <c r="C606" i="5"/>
  <c r="B608" i="5" l="1"/>
  <c r="C607" i="5"/>
  <c r="B609" i="5" l="1"/>
  <c r="C608" i="5"/>
  <c r="B610" i="5" l="1"/>
  <c r="C609" i="5"/>
  <c r="B611" i="5" l="1"/>
  <c r="C610" i="5"/>
  <c r="B612" i="5" l="1"/>
  <c r="C611" i="5"/>
  <c r="B613" i="5" l="1"/>
  <c r="C612" i="5"/>
  <c r="B614" i="5" l="1"/>
  <c r="C613" i="5"/>
  <c r="B615" i="5" l="1"/>
  <c r="C614" i="5"/>
  <c r="B616" i="5" l="1"/>
  <c r="C615" i="5"/>
  <c r="B617" i="5" l="1"/>
  <c r="C616" i="5"/>
  <c r="B618" i="5" l="1"/>
  <c r="C617" i="5"/>
  <c r="B619" i="5" l="1"/>
  <c r="C618" i="5"/>
  <c r="B620" i="5" l="1"/>
  <c r="C619" i="5"/>
  <c r="B621" i="5" l="1"/>
  <c r="C620" i="5"/>
  <c r="B622" i="5" l="1"/>
  <c r="C621" i="5"/>
  <c r="B623" i="5" l="1"/>
  <c r="C622" i="5"/>
  <c r="B624" i="5" l="1"/>
  <c r="C623" i="5"/>
  <c r="B625" i="5" l="1"/>
  <c r="C624" i="5"/>
  <c r="B626" i="5" l="1"/>
  <c r="C625" i="5"/>
  <c r="B627" i="5" l="1"/>
  <c r="C626" i="5"/>
  <c r="B628" i="5" l="1"/>
  <c r="C627" i="5"/>
  <c r="B629" i="5" l="1"/>
  <c r="C628" i="5"/>
  <c r="B630" i="5" l="1"/>
  <c r="C629" i="5"/>
  <c r="B631" i="5" l="1"/>
  <c r="C630" i="5"/>
  <c r="B632" i="5" l="1"/>
  <c r="C631" i="5"/>
  <c r="B633" i="5" l="1"/>
  <c r="C632" i="5"/>
  <c r="B634" i="5" l="1"/>
  <c r="C633" i="5"/>
  <c r="B635" i="5" l="1"/>
  <c r="C634" i="5"/>
  <c r="B636" i="5" l="1"/>
  <c r="C635" i="5"/>
  <c r="B637" i="5" l="1"/>
  <c r="C636" i="5"/>
  <c r="B638" i="5" l="1"/>
  <c r="C637" i="5"/>
  <c r="B639" i="5" l="1"/>
  <c r="C638" i="5"/>
  <c r="B640" i="5" l="1"/>
  <c r="C639" i="5"/>
  <c r="B641" i="5" l="1"/>
  <c r="C640" i="5"/>
  <c r="B642" i="5" l="1"/>
  <c r="C641" i="5"/>
  <c r="B643" i="5" l="1"/>
  <c r="C642" i="5"/>
  <c r="B644" i="5" l="1"/>
  <c r="C643" i="5"/>
  <c r="B645" i="5" l="1"/>
  <c r="C644" i="5"/>
  <c r="B646" i="5" l="1"/>
  <c r="C645" i="5"/>
  <c r="B647" i="5" l="1"/>
  <c r="C646" i="5"/>
  <c r="B648" i="5" l="1"/>
  <c r="C647" i="5"/>
  <c r="B649" i="5" l="1"/>
  <c r="C648" i="5"/>
  <c r="B650" i="5" l="1"/>
  <c r="C649" i="5"/>
  <c r="B651" i="5" l="1"/>
  <c r="C650" i="5"/>
  <c r="B652" i="5" l="1"/>
  <c r="C651" i="5"/>
  <c r="B653" i="5" l="1"/>
  <c r="C652" i="5"/>
  <c r="B654" i="5" l="1"/>
  <c r="C653" i="5"/>
  <c r="B655" i="5" l="1"/>
  <c r="C654" i="5"/>
  <c r="B656" i="5" l="1"/>
  <c r="C655" i="5"/>
  <c r="B657" i="5" l="1"/>
  <c r="C656" i="5"/>
  <c r="B658" i="5" l="1"/>
  <c r="C657" i="5"/>
  <c r="B659" i="5" l="1"/>
  <c r="C658" i="5"/>
  <c r="B660" i="5" l="1"/>
  <c r="C659" i="5"/>
  <c r="B661" i="5" l="1"/>
  <c r="C660" i="5"/>
  <c r="B662" i="5" l="1"/>
  <c r="C661" i="5"/>
  <c r="B663" i="5" l="1"/>
  <c r="C662" i="5"/>
  <c r="B664" i="5" l="1"/>
  <c r="C663" i="5"/>
  <c r="B665" i="5" l="1"/>
  <c r="C664" i="5"/>
  <c r="B666" i="5" l="1"/>
  <c r="C665" i="5"/>
  <c r="B667" i="5" l="1"/>
  <c r="C666" i="5"/>
  <c r="B668" i="5" l="1"/>
  <c r="C667" i="5"/>
  <c r="B669" i="5" l="1"/>
  <c r="C668" i="5"/>
  <c r="B670" i="5" l="1"/>
  <c r="C669" i="5"/>
  <c r="B671" i="5" l="1"/>
  <c r="C670" i="5"/>
  <c r="B672" i="5" l="1"/>
  <c r="C671" i="5"/>
  <c r="B673" i="5" l="1"/>
  <c r="C672" i="5"/>
  <c r="B674" i="5" l="1"/>
  <c r="C673" i="5"/>
  <c r="B675" i="5" l="1"/>
  <c r="C674" i="5"/>
  <c r="B676" i="5" l="1"/>
  <c r="C675" i="5"/>
  <c r="B677" i="5" l="1"/>
  <c r="C676" i="5"/>
  <c r="B678" i="5" l="1"/>
  <c r="C677" i="5"/>
  <c r="B679" i="5" l="1"/>
  <c r="C678" i="5"/>
  <c r="B680" i="5" l="1"/>
  <c r="C679" i="5"/>
  <c r="B681" i="5" l="1"/>
  <c r="C680" i="5"/>
  <c r="B682" i="5" l="1"/>
  <c r="C681" i="5"/>
  <c r="B683" i="5" l="1"/>
  <c r="C682" i="5"/>
  <c r="B684" i="5" l="1"/>
  <c r="C683" i="5"/>
  <c r="B685" i="5" l="1"/>
  <c r="C684" i="5"/>
  <c r="B686" i="5" l="1"/>
  <c r="C685" i="5"/>
  <c r="B687" i="5" l="1"/>
  <c r="C686" i="5"/>
  <c r="B688" i="5" l="1"/>
  <c r="C687" i="5"/>
  <c r="B689" i="5" l="1"/>
  <c r="C688" i="5"/>
  <c r="B690" i="5" l="1"/>
  <c r="C689" i="5"/>
  <c r="B691" i="5" l="1"/>
  <c r="C690" i="5"/>
  <c r="B692" i="5" l="1"/>
  <c r="C691" i="5"/>
  <c r="B693" i="5" l="1"/>
  <c r="C692" i="5"/>
  <c r="B694" i="5" l="1"/>
  <c r="C693" i="5"/>
  <c r="B695" i="5" l="1"/>
  <c r="C694" i="5"/>
  <c r="B696" i="5" l="1"/>
  <c r="C695" i="5"/>
  <c r="B697" i="5" l="1"/>
  <c r="C696" i="5"/>
  <c r="B698" i="5" l="1"/>
  <c r="C697" i="5"/>
  <c r="B699" i="5" l="1"/>
  <c r="C698" i="5"/>
  <c r="B700" i="5" l="1"/>
  <c r="C699" i="5"/>
  <c r="B701" i="5" l="1"/>
  <c r="C700" i="5"/>
  <c r="B702" i="5" l="1"/>
  <c r="C701" i="5"/>
  <c r="B703" i="5" l="1"/>
  <c r="C702" i="5"/>
  <c r="B704" i="5" l="1"/>
  <c r="C703" i="5"/>
  <c r="B705" i="5" l="1"/>
  <c r="C704" i="5"/>
  <c r="B706" i="5" l="1"/>
  <c r="C705" i="5"/>
  <c r="B707" i="5" l="1"/>
  <c r="C706" i="5"/>
  <c r="B708" i="5" l="1"/>
  <c r="C707" i="5"/>
  <c r="B709" i="5" l="1"/>
  <c r="C708" i="5"/>
  <c r="B710" i="5" l="1"/>
  <c r="C709" i="5"/>
  <c r="B711" i="5" l="1"/>
  <c r="C710" i="5"/>
  <c r="B712" i="5" l="1"/>
  <c r="C711" i="5"/>
  <c r="B713" i="5" l="1"/>
  <c r="C712" i="5"/>
  <c r="B714" i="5" l="1"/>
  <c r="C713" i="5"/>
  <c r="B715" i="5" l="1"/>
  <c r="C714" i="5"/>
  <c r="B716" i="5" l="1"/>
  <c r="C715" i="5"/>
  <c r="B717" i="5" l="1"/>
  <c r="C716" i="5"/>
  <c r="B718" i="5" l="1"/>
  <c r="C717" i="5"/>
  <c r="B719" i="5" l="1"/>
  <c r="C718" i="5"/>
  <c r="B720" i="5" l="1"/>
  <c r="C719" i="5"/>
  <c r="B721" i="5" l="1"/>
  <c r="C720" i="5"/>
  <c r="B722" i="5" l="1"/>
  <c r="C721" i="5"/>
  <c r="B723" i="5" l="1"/>
  <c r="C722" i="5"/>
  <c r="B724" i="5" l="1"/>
  <c r="C723" i="5"/>
  <c r="B725" i="5" l="1"/>
  <c r="C724" i="5"/>
  <c r="B726" i="5" l="1"/>
  <c r="C725" i="5"/>
  <c r="B727" i="5" l="1"/>
  <c r="C726" i="5"/>
  <c r="B728" i="5" l="1"/>
  <c r="C727" i="5"/>
  <c r="B729" i="5" l="1"/>
  <c r="C728" i="5"/>
  <c r="B730" i="5" l="1"/>
  <c r="C729" i="5"/>
  <c r="B731" i="5" l="1"/>
  <c r="C730" i="5"/>
  <c r="B732" i="5" l="1"/>
  <c r="C731" i="5"/>
  <c r="B733" i="5" l="1"/>
  <c r="C732" i="5"/>
  <c r="B734" i="5" l="1"/>
  <c r="C733" i="5"/>
  <c r="B735" i="5" l="1"/>
  <c r="C734" i="5"/>
  <c r="B736" i="5" l="1"/>
  <c r="C735" i="5"/>
  <c r="B737" i="5" l="1"/>
  <c r="C736" i="5"/>
  <c r="B738" i="5" l="1"/>
  <c r="C737" i="5"/>
  <c r="B739" i="5" l="1"/>
  <c r="C738" i="5"/>
  <c r="B740" i="5" l="1"/>
  <c r="C739" i="5"/>
  <c r="B741" i="5" l="1"/>
  <c r="C740" i="5"/>
  <c r="B742" i="5" l="1"/>
  <c r="C741" i="5"/>
  <c r="B743" i="5" l="1"/>
  <c r="C742" i="5"/>
  <c r="B744" i="5" l="1"/>
  <c r="C743" i="5"/>
  <c r="B745" i="5" l="1"/>
  <c r="C744" i="5"/>
  <c r="B746" i="5" l="1"/>
  <c r="C745" i="5"/>
  <c r="B747" i="5" l="1"/>
  <c r="C746" i="5"/>
  <c r="B748" i="5" l="1"/>
  <c r="C747" i="5"/>
  <c r="B749" i="5" l="1"/>
  <c r="C748" i="5"/>
  <c r="B750" i="5" l="1"/>
  <c r="C749" i="5"/>
  <c r="B751" i="5" l="1"/>
  <c r="C750" i="5"/>
  <c r="B752" i="5" l="1"/>
  <c r="C751" i="5"/>
  <c r="B753" i="5" l="1"/>
  <c r="C752" i="5"/>
  <c r="B754" i="5" l="1"/>
  <c r="C753" i="5"/>
  <c r="B755" i="5" l="1"/>
  <c r="C754" i="5"/>
  <c r="B756" i="5" l="1"/>
  <c r="C755" i="5"/>
  <c r="B757" i="5" l="1"/>
  <c r="C756" i="5"/>
  <c r="B758" i="5" l="1"/>
  <c r="C757" i="5"/>
  <c r="B759" i="5" l="1"/>
  <c r="C758" i="5"/>
  <c r="B760" i="5" l="1"/>
  <c r="C759" i="5"/>
  <c r="B761" i="5" l="1"/>
  <c r="C760" i="5"/>
  <c r="B762" i="5" l="1"/>
  <c r="C761" i="5"/>
  <c r="B763" i="5" l="1"/>
  <c r="C762" i="5"/>
  <c r="B764" i="5" l="1"/>
  <c r="C763" i="5"/>
  <c r="B765" i="5" l="1"/>
  <c r="C764" i="5"/>
  <c r="B766" i="5" l="1"/>
  <c r="C765" i="5"/>
  <c r="B767" i="5" l="1"/>
  <c r="C766" i="5"/>
  <c r="B768" i="5" l="1"/>
  <c r="C767" i="5"/>
  <c r="B769" i="5" l="1"/>
  <c r="C768" i="5"/>
  <c r="B770" i="5" l="1"/>
  <c r="C769" i="5"/>
  <c r="B771" i="5" l="1"/>
  <c r="C770" i="5"/>
  <c r="B772" i="5" l="1"/>
  <c r="C771" i="5"/>
  <c r="B773" i="5" l="1"/>
  <c r="C772" i="5"/>
  <c r="B774" i="5" l="1"/>
  <c r="C773" i="5"/>
  <c r="B775" i="5" l="1"/>
  <c r="C774" i="5"/>
  <c r="B776" i="5" l="1"/>
  <c r="C775" i="5"/>
  <c r="B777" i="5" l="1"/>
  <c r="C776" i="5"/>
  <c r="B778" i="5" l="1"/>
  <c r="C777" i="5"/>
  <c r="B779" i="5" l="1"/>
  <c r="C778" i="5"/>
  <c r="B780" i="5" l="1"/>
  <c r="C779" i="5"/>
  <c r="B781" i="5" l="1"/>
  <c r="C780" i="5"/>
  <c r="B782" i="5" l="1"/>
  <c r="C781" i="5"/>
  <c r="B783" i="5" l="1"/>
  <c r="C782" i="5"/>
  <c r="B784" i="5" l="1"/>
  <c r="C783" i="5"/>
  <c r="B785" i="5" l="1"/>
  <c r="C784" i="5"/>
  <c r="B786" i="5" l="1"/>
  <c r="C785" i="5"/>
  <c r="B787" i="5" l="1"/>
  <c r="C786" i="5"/>
  <c r="B788" i="5" l="1"/>
  <c r="C787" i="5"/>
  <c r="B789" i="5" l="1"/>
  <c r="C788" i="5"/>
  <c r="B790" i="5" l="1"/>
  <c r="C789" i="5"/>
  <c r="B791" i="5" l="1"/>
  <c r="C790" i="5"/>
  <c r="B792" i="5" l="1"/>
  <c r="C791" i="5"/>
  <c r="B793" i="5" l="1"/>
  <c r="C792" i="5"/>
  <c r="B794" i="5" l="1"/>
  <c r="C793" i="5"/>
  <c r="B795" i="5" l="1"/>
  <c r="C794" i="5"/>
  <c r="B796" i="5" l="1"/>
  <c r="C795" i="5"/>
  <c r="B797" i="5" l="1"/>
  <c r="C796" i="5"/>
  <c r="B798" i="5" l="1"/>
  <c r="C797" i="5"/>
  <c r="B799" i="5" l="1"/>
  <c r="C798" i="5"/>
  <c r="B800" i="5" l="1"/>
  <c r="C799" i="5"/>
  <c r="B801" i="5" l="1"/>
  <c r="C800" i="5"/>
  <c r="B802" i="5" l="1"/>
  <c r="C801" i="5"/>
  <c r="B803" i="5" l="1"/>
  <c r="C802" i="5"/>
  <c r="B804" i="5" l="1"/>
  <c r="C803" i="5"/>
  <c r="B805" i="5" l="1"/>
  <c r="C804" i="5"/>
  <c r="B806" i="5" l="1"/>
  <c r="C805" i="5"/>
  <c r="B807" i="5" l="1"/>
  <c r="C806" i="5"/>
  <c r="B808" i="5" l="1"/>
  <c r="C807" i="5"/>
  <c r="B809" i="5" l="1"/>
  <c r="C808" i="5"/>
  <c r="B810" i="5" l="1"/>
  <c r="C809" i="5"/>
  <c r="B811" i="5" l="1"/>
  <c r="C810" i="5"/>
  <c r="B812" i="5" l="1"/>
  <c r="C811" i="5"/>
  <c r="B813" i="5" l="1"/>
  <c r="C812" i="5"/>
  <c r="B814" i="5" l="1"/>
  <c r="C813" i="5"/>
  <c r="B815" i="5" l="1"/>
  <c r="C814" i="5"/>
  <c r="B816" i="5" l="1"/>
  <c r="C815" i="5"/>
  <c r="B817" i="5" l="1"/>
  <c r="C816" i="5"/>
  <c r="B818" i="5" l="1"/>
  <c r="C817" i="5"/>
  <c r="B819" i="5" l="1"/>
  <c r="C818" i="5"/>
  <c r="B820" i="5" l="1"/>
  <c r="C819" i="5"/>
  <c r="B821" i="5" l="1"/>
  <c r="C820" i="5"/>
  <c r="B822" i="5" l="1"/>
  <c r="C821" i="5"/>
  <c r="B823" i="5" l="1"/>
  <c r="C822" i="5"/>
  <c r="B824" i="5" l="1"/>
  <c r="C823" i="5"/>
  <c r="B825" i="5" l="1"/>
  <c r="C824" i="5"/>
  <c r="B826" i="5" l="1"/>
  <c r="C825" i="5"/>
  <c r="B827" i="5" l="1"/>
  <c r="C826" i="5"/>
  <c r="B828" i="5" l="1"/>
  <c r="C827" i="5"/>
  <c r="B829" i="5" l="1"/>
  <c r="C828" i="5"/>
  <c r="B830" i="5" l="1"/>
  <c r="C829" i="5"/>
  <c r="B831" i="5" l="1"/>
  <c r="C830" i="5"/>
  <c r="B832" i="5" l="1"/>
  <c r="C831" i="5"/>
  <c r="B833" i="5" l="1"/>
  <c r="C832" i="5"/>
  <c r="B834" i="5" l="1"/>
  <c r="C833" i="5"/>
  <c r="B835" i="5" l="1"/>
  <c r="C834" i="5"/>
  <c r="B836" i="5" l="1"/>
  <c r="C835" i="5"/>
  <c r="B837" i="5" l="1"/>
  <c r="C836" i="5"/>
  <c r="B838" i="5" l="1"/>
  <c r="C837" i="5"/>
  <c r="B839" i="5" l="1"/>
  <c r="C838" i="5"/>
  <c r="B840" i="5" l="1"/>
  <c r="C839" i="5"/>
  <c r="B841" i="5" l="1"/>
  <c r="C840" i="5"/>
  <c r="B842" i="5" l="1"/>
  <c r="C841" i="5"/>
  <c r="B843" i="5" l="1"/>
  <c r="C842" i="5"/>
  <c r="B844" i="5" l="1"/>
  <c r="C843" i="5"/>
  <c r="B845" i="5" l="1"/>
  <c r="C844" i="5"/>
  <c r="B846" i="5" l="1"/>
  <c r="C845" i="5"/>
  <c r="B847" i="5" l="1"/>
  <c r="C846" i="5"/>
  <c r="B848" i="5" l="1"/>
  <c r="C847" i="5"/>
  <c r="B849" i="5" l="1"/>
  <c r="C848" i="5"/>
  <c r="B850" i="5" l="1"/>
  <c r="C849" i="5"/>
  <c r="B851" i="5" l="1"/>
  <c r="C850" i="5"/>
  <c r="B852" i="5" l="1"/>
  <c r="C851" i="5"/>
  <c r="B853" i="5" l="1"/>
  <c r="C852" i="5"/>
  <c r="B854" i="5" l="1"/>
  <c r="C853" i="5"/>
  <c r="B855" i="5" l="1"/>
  <c r="C854" i="5"/>
  <c r="B856" i="5" l="1"/>
  <c r="C855" i="5"/>
  <c r="B857" i="5" l="1"/>
  <c r="C856" i="5"/>
  <c r="B858" i="5" l="1"/>
  <c r="C857" i="5"/>
  <c r="B859" i="5" l="1"/>
  <c r="C858" i="5"/>
  <c r="B860" i="5" l="1"/>
  <c r="C859" i="5"/>
  <c r="B861" i="5" l="1"/>
  <c r="C860" i="5"/>
  <c r="B862" i="5" l="1"/>
  <c r="C861" i="5"/>
  <c r="B863" i="5" l="1"/>
  <c r="C862" i="5"/>
  <c r="B864" i="5" l="1"/>
  <c r="C863" i="5"/>
  <c r="B865" i="5" l="1"/>
  <c r="C864" i="5"/>
  <c r="B866" i="5" l="1"/>
  <c r="C865" i="5"/>
  <c r="B867" i="5" l="1"/>
  <c r="C866" i="5"/>
  <c r="B868" i="5" l="1"/>
  <c r="C867" i="5"/>
  <c r="B869" i="5" l="1"/>
  <c r="C868" i="5"/>
  <c r="B870" i="5" l="1"/>
  <c r="C869" i="5"/>
  <c r="B871" i="5" l="1"/>
  <c r="C870" i="5"/>
  <c r="B872" i="5" l="1"/>
  <c r="C871" i="5"/>
  <c r="B873" i="5" l="1"/>
  <c r="C872" i="5"/>
  <c r="B874" i="5" l="1"/>
  <c r="C873" i="5"/>
  <c r="B875" i="5" l="1"/>
  <c r="C874" i="5"/>
  <c r="B876" i="5" l="1"/>
  <c r="C875" i="5"/>
  <c r="B877" i="5" l="1"/>
  <c r="C876" i="5"/>
  <c r="B878" i="5" l="1"/>
  <c r="C877" i="5"/>
  <c r="B879" i="5" l="1"/>
  <c r="C878" i="5"/>
  <c r="B880" i="5" l="1"/>
  <c r="C879" i="5"/>
  <c r="B881" i="5" l="1"/>
  <c r="C880" i="5"/>
  <c r="B882" i="5" l="1"/>
  <c r="C881" i="5"/>
  <c r="B883" i="5" l="1"/>
  <c r="C882" i="5"/>
  <c r="B884" i="5" l="1"/>
  <c r="C883" i="5"/>
  <c r="B885" i="5" l="1"/>
  <c r="C884" i="5"/>
  <c r="B886" i="5" l="1"/>
  <c r="C885" i="5"/>
  <c r="B887" i="5" l="1"/>
  <c r="C886" i="5"/>
  <c r="B888" i="5" l="1"/>
  <c r="C887" i="5"/>
  <c r="B889" i="5" l="1"/>
  <c r="C888" i="5"/>
  <c r="B890" i="5" l="1"/>
  <c r="C889" i="5"/>
  <c r="B891" i="5" l="1"/>
  <c r="C890" i="5"/>
  <c r="B892" i="5" l="1"/>
  <c r="C891" i="5"/>
  <c r="B893" i="5" l="1"/>
  <c r="C892" i="5"/>
  <c r="B894" i="5" l="1"/>
  <c r="C893" i="5"/>
  <c r="B895" i="5" l="1"/>
  <c r="C894" i="5"/>
  <c r="B896" i="5" l="1"/>
  <c r="C895" i="5"/>
  <c r="B897" i="5" l="1"/>
  <c r="C896" i="5"/>
  <c r="B898" i="5" l="1"/>
  <c r="C897" i="5"/>
  <c r="B899" i="5" l="1"/>
  <c r="C898" i="5"/>
  <c r="B900" i="5" l="1"/>
  <c r="C899" i="5"/>
  <c r="B901" i="5" l="1"/>
  <c r="C900" i="5"/>
  <c r="B902" i="5" l="1"/>
  <c r="C901" i="5"/>
  <c r="B903" i="5" l="1"/>
  <c r="C902" i="5"/>
  <c r="B904" i="5" l="1"/>
  <c r="C903" i="5"/>
  <c r="B905" i="5" l="1"/>
  <c r="C904" i="5"/>
  <c r="B906" i="5" l="1"/>
  <c r="C905" i="5"/>
  <c r="B907" i="5" l="1"/>
  <c r="C906" i="5"/>
  <c r="B908" i="5" l="1"/>
  <c r="C907" i="5"/>
  <c r="B909" i="5" l="1"/>
  <c r="C908" i="5"/>
  <c r="B910" i="5" l="1"/>
  <c r="C909" i="5"/>
  <c r="B911" i="5" l="1"/>
  <c r="C910" i="5"/>
  <c r="B912" i="5" l="1"/>
  <c r="C911" i="5"/>
  <c r="B913" i="5" l="1"/>
  <c r="C912" i="5"/>
  <c r="B914" i="5" l="1"/>
  <c r="C913" i="5"/>
  <c r="B915" i="5" l="1"/>
  <c r="C914" i="5"/>
  <c r="B916" i="5" l="1"/>
  <c r="C915" i="5"/>
  <c r="B917" i="5" l="1"/>
  <c r="C916" i="5"/>
  <c r="B918" i="5" l="1"/>
  <c r="C917" i="5"/>
  <c r="B919" i="5" l="1"/>
  <c r="C918" i="5"/>
  <c r="B920" i="5" l="1"/>
  <c r="C919" i="5"/>
  <c r="B921" i="5" l="1"/>
  <c r="C920" i="5"/>
  <c r="B922" i="5" l="1"/>
  <c r="C921" i="5"/>
  <c r="B923" i="5" l="1"/>
  <c r="C922" i="5"/>
  <c r="B924" i="5" l="1"/>
  <c r="C923" i="5"/>
  <c r="B925" i="5" l="1"/>
  <c r="C924" i="5"/>
  <c r="B926" i="5" l="1"/>
  <c r="C925" i="5"/>
  <c r="B927" i="5" l="1"/>
  <c r="C926" i="5"/>
  <c r="B928" i="5" l="1"/>
  <c r="C927" i="5"/>
  <c r="B929" i="5" l="1"/>
  <c r="C928" i="5"/>
  <c r="B930" i="5" l="1"/>
  <c r="C929" i="5"/>
  <c r="B931" i="5" l="1"/>
  <c r="C930" i="5"/>
  <c r="B932" i="5" l="1"/>
  <c r="C931" i="5"/>
  <c r="B933" i="5" l="1"/>
  <c r="C932" i="5"/>
  <c r="B934" i="5" l="1"/>
  <c r="C933" i="5"/>
  <c r="B935" i="5" l="1"/>
  <c r="C934" i="5"/>
  <c r="B936" i="5" l="1"/>
  <c r="C935" i="5"/>
  <c r="B937" i="5" l="1"/>
  <c r="C936" i="5"/>
  <c r="B938" i="5" l="1"/>
  <c r="C937" i="5"/>
  <c r="B939" i="5" l="1"/>
  <c r="C938" i="5"/>
  <c r="B940" i="5" l="1"/>
  <c r="C939" i="5"/>
  <c r="B941" i="5" l="1"/>
  <c r="C940" i="5"/>
  <c r="B942" i="5" l="1"/>
  <c r="C941" i="5"/>
  <c r="B943" i="5" l="1"/>
  <c r="C942" i="5"/>
  <c r="B944" i="5" l="1"/>
  <c r="C943" i="5"/>
  <c r="B945" i="5" l="1"/>
  <c r="C944" i="5"/>
  <c r="B946" i="5" l="1"/>
  <c r="C945" i="5"/>
  <c r="B947" i="5" l="1"/>
  <c r="C946" i="5"/>
  <c r="B948" i="5" l="1"/>
  <c r="C947" i="5"/>
  <c r="B949" i="5" l="1"/>
  <c r="C948" i="5"/>
  <c r="B950" i="5" l="1"/>
  <c r="C949" i="5"/>
  <c r="B951" i="5" l="1"/>
  <c r="C950" i="5"/>
  <c r="B952" i="5" l="1"/>
  <c r="C951" i="5"/>
  <c r="B953" i="5" l="1"/>
  <c r="C952" i="5"/>
  <c r="B954" i="5" l="1"/>
  <c r="C953" i="5"/>
  <c r="B955" i="5" l="1"/>
  <c r="C954" i="5"/>
  <c r="B956" i="5" l="1"/>
  <c r="C955" i="5"/>
  <c r="B957" i="5" l="1"/>
  <c r="C956" i="5"/>
  <c r="B958" i="5" l="1"/>
  <c r="C957" i="5"/>
  <c r="B959" i="5" l="1"/>
  <c r="C958" i="5"/>
  <c r="B960" i="5" l="1"/>
  <c r="C959" i="5"/>
  <c r="B961" i="5" l="1"/>
  <c r="C960" i="5"/>
  <c r="B962" i="5" l="1"/>
  <c r="C961" i="5"/>
  <c r="B963" i="5" l="1"/>
  <c r="C962" i="5"/>
  <c r="B964" i="5" l="1"/>
  <c r="C963" i="5"/>
  <c r="B965" i="5" l="1"/>
  <c r="C964" i="5"/>
  <c r="B966" i="5" l="1"/>
  <c r="C965" i="5"/>
  <c r="B967" i="5" l="1"/>
  <c r="C966" i="5"/>
  <c r="B968" i="5" l="1"/>
  <c r="C967" i="5"/>
  <c r="B969" i="5" l="1"/>
  <c r="C968" i="5"/>
  <c r="B970" i="5" l="1"/>
  <c r="C969" i="5"/>
  <c r="B971" i="5" l="1"/>
  <c r="C970" i="5"/>
  <c r="B972" i="5" l="1"/>
  <c r="C971" i="5"/>
  <c r="B973" i="5" l="1"/>
  <c r="C972" i="5"/>
  <c r="B974" i="5" l="1"/>
  <c r="C973" i="5"/>
  <c r="B975" i="5" l="1"/>
  <c r="C974" i="5"/>
  <c r="B976" i="5" l="1"/>
  <c r="C975" i="5"/>
  <c r="B977" i="5" l="1"/>
  <c r="C976" i="5"/>
  <c r="B978" i="5" l="1"/>
  <c r="C977" i="5"/>
  <c r="B979" i="5" l="1"/>
  <c r="C978" i="5"/>
  <c r="B980" i="5" l="1"/>
  <c r="C979" i="5"/>
  <c r="B981" i="5" l="1"/>
  <c r="C980" i="5"/>
  <c r="B982" i="5" l="1"/>
  <c r="C981" i="5"/>
  <c r="B983" i="5" l="1"/>
  <c r="C982" i="5"/>
  <c r="B984" i="5" l="1"/>
  <c r="C983" i="5"/>
  <c r="B985" i="5" l="1"/>
  <c r="C984" i="5"/>
  <c r="B986" i="5" l="1"/>
  <c r="C985" i="5"/>
  <c r="B987" i="5" l="1"/>
  <c r="C986" i="5"/>
  <c r="B988" i="5" l="1"/>
  <c r="C987" i="5"/>
  <c r="B989" i="5" l="1"/>
  <c r="C988" i="5"/>
  <c r="B990" i="5" l="1"/>
  <c r="C989" i="5"/>
  <c r="B991" i="5" l="1"/>
  <c r="C990" i="5"/>
  <c r="B992" i="5" l="1"/>
  <c r="C991" i="5"/>
  <c r="B993" i="5" l="1"/>
  <c r="C992" i="5"/>
  <c r="B994" i="5" l="1"/>
  <c r="C993" i="5"/>
  <c r="B995" i="5" l="1"/>
  <c r="C994" i="5"/>
  <c r="B996" i="5" l="1"/>
  <c r="C995" i="5"/>
  <c r="B997" i="5" l="1"/>
  <c r="C996" i="5"/>
  <c r="B998" i="5" l="1"/>
  <c r="C997" i="5"/>
  <c r="B999" i="5" l="1"/>
  <c r="C998" i="5"/>
  <c r="B1000" i="5" l="1"/>
  <c r="C999" i="5"/>
  <c r="B1001" i="5" l="1"/>
  <c r="C1000" i="5"/>
  <c r="B1002" i="5" l="1"/>
  <c r="C1001" i="5"/>
  <c r="B1003" i="5" l="1"/>
  <c r="C1002" i="5"/>
  <c r="B1004" i="5" l="1"/>
  <c r="C1003" i="5"/>
  <c r="B1005" i="5" l="1"/>
  <c r="C1004" i="5"/>
  <c r="B1006" i="5" l="1"/>
  <c r="C1005" i="5"/>
  <c r="B1007" i="5" l="1"/>
  <c r="C1006" i="5"/>
  <c r="B1008" i="5" l="1"/>
  <c r="C1007" i="5"/>
  <c r="B1009" i="5" l="1"/>
  <c r="C1008" i="5"/>
  <c r="B1010" i="5" l="1"/>
  <c r="C1009" i="5"/>
  <c r="B1011" i="5" l="1"/>
  <c r="C1010" i="5"/>
  <c r="B1012" i="5" l="1"/>
  <c r="C1011" i="5"/>
  <c r="B1013" i="5" l="1"/>
  <c r="C1012" i="5"/>
  <c r="B1014" i="5" l="1"/>
  <c r="C1013" i="5"/>
  <c r="B1015" i="5" l="1"/>
  <c r="C1014" i="5"/>
  <c r="B1016" i="5" l="1"/>
  <c r="C1015" i="5"/>
  <c r="B1017" i="5" l="1"/>
  <c r="C1016" i="5"/>
  <c r="B1018" i="5" l="1"/>
  <c r="C1017" i="5"/>
  <c r="B1019" i="5" l="1"/>
  <c r="C1018" i="5"/>
  <c r="B1020" i="5" l="1"/>
  <c r="C1019" i="5"/>
  <c r="B1021" i="5" l="1"/>
  <c r="C1020" i="5"/>
  <c r="B1022" i="5" l="1"/>
  <c r="C1021" i="5"/>
  <c r="B1023" i="5" l="1"/>
  <c r="C1022" i="5"/>
  <c r="B1024" i="5" l="1"/>
  <c r="C1023" i="5"/>
  <c r="B1025" i="5" l="1"/>
  <c r="C1024" i="5"/>
  <c r="B1026" i="5" l="1"/>
  <c r="C1025" i="5"/>
  <c r="B1027" i="5" l="1"/>
  <c r="C1026" i="5"/>
  <c r="B1028" i="5" l="1"/>
  <c r="C1027" i="5"/>
  <c r="B1029" i="5" l="1"/>
  <c r="C1028" i="5"/>
  <c r="B1030" i="5" l="1"/>
  <c r="C1029" i="5"/>
  <c r="B1031" i="5" l="1"/>
  <c r="C1030" i="5"/>
  <c r="B1032" i="5" l="1"/>
  <c r="C1031" i="5"/>
  <c r="B1033" i="5" l="1"/>
  <c r="C1032" i="5"/>
  <c r="B1034" i="5" l="1"/>
  <c r="C1033" i="5"/>
  <c r="B1035" i="5" l="1"/>
  <c r="C1034" i="5"/>
  <c r="B1036" i="5" l="1"/>
  <c r="C1035" i="5"/>
  <c r="B1037" i="5" l="1"/>
  <c r="C1036" i="5"/>
  <c r="B1038" i="5" l="1"/>
  <c r="C1037" i="5"/>
  <c r="B1039" i="5" l="1"/>
  <c r="C1038" i="5"/>
  <c r="B1040" i="5" l="1"/>
  <c r="C1039" i="5"/>
  <c r="B1041" i="5" l="1"/>
  <c r="C1040" i="5"/>
  <c r="B1042" i="5" l="1"/>
  <c r="C1041" i="5"/>
  <c r="B1043" i="5" l="1"/>
  <c r="C1042" i="5"/>
  <c r="B1044" i="5" l="1"/>
  <c r="C1043" i="5"/>
  <c r="B1045" i="5" l="1"/>
  <c r="C1044" i="5"/>
  <c r="B1046" i="5" l="1"/>
  <c r="C1045" i="5"/>
  <c r="B1047" i="5" l="1"/>
  <c r="C1046" i="5"/>
  <c r="B1048" i="5" l="1"/>
  <c r="C1047" i="5"/>
  <c r="B1049" i="5" l="1"/>
  <c r="C1048" i="5"/>
  <c r="B1050" i="5" l="1"/>
  <c r="C1049" i="5"/>
  <c r="B1051" i="5" l="1"/>
  <c r="C1050" i="5"/>
  <c r="B1052" i="5" l="1"/>
  <c r="C1051" i="5"/>
  <c r="B1053" i="5" l="1"/>
  <c r="C1052" i="5"/>
  <c r="B1054" i="5" l="1"/>
  <c r="C1053" i="5"/>
  <c r="B1055" i="5" l="1"/>
  <c r="C1054" i="5"/>
  <c r="B1056" i="5" l="1"/>
  <c r="C1055" i="5"/>
  <c r="B1057" i="5" l="1"/>
  <c r="C1056" i="5"/>
  <c r="B1058" i="5" l="1"/>
  <c r="C1057" i="5"/>
  <c r="B1059" i="5" l="1"/>
  <c r="C1058" i="5"/>
  <c r="B1060" i="5" l="1"/>
  <c r="C1059" i="5"/>
  <c r="B1061" i="5" l="1"/>
  <c r="C1060" i="5"/>
  <c r="B1062" i="5" l="1"/>
  <c r="C1061" i="5"/>
  <c r="B1063" i="5" l="1"/>
  <c r="C1062" i="5"/>
  <c r="B1064" i="5" l="1"/>
  <c r="C1063" i="5"/>
  <c r="B1065" i="5" l="1"/>
  <c r="C1064" i="5"/>
  <c r="B1066" i="5" l="1"/>
  <c r="C1065" i="5"/>
  <c r="B1067" i="5" l="1"/>
  <c r="C1066" i="5"/>
  <c r="B1068" i="5" l="1"/>
  <c r="C1067" i="5"/>
  <c r="B1069" i="5" l="1"/>
  <c r="C1068" i="5"/>
  <c r="B1070" i="5" l="1"/>
  <c r="C1069" i="5"/>
  <c r="B1071" i="5" l="1"/>
  <c r="C1070" i="5"/>
  <c r="B1072" i="5" l="1"/>
  <c r="C1071" i="5"/>
  <c r="B1073" i="5" l="1"/>
  <c r="C1072" i="5"/>
  <c r="B1074" i="5" l="1"/>
  <c r="C1073" i="5"/>
  <c r="B1075" i="5" l="1"/>
  <c r="C1074" i="5"/>
  <c r="B1076" i="5" l="1"/>
  <c r="C1075" i="5"/>
  <c r="B1077" i="5" l="1"/>
  <c r="C1076" i="5"/>
  <c r="B1078" i="5" l="1"/>
  <c r="C1077" i="5"/>
  <c r="B1079" i="5" l="1"/>
  <c r="C1078" i="5"/>
  <c r="B1080" i="5" l="1"/>
  <c r="C1079" i="5"/>
  <c r="B1081" i="5" l="1"/>
  <c r="C1080" i="5"/>
  <c r="B1082" i="5" l="1"/>
  <c r="C1081" i="5"/>
  <c r="B1083" i="5" l="1"/>
  <c r="C1082" i="5"/>
  <c r="B1084" i="5" l="1"/>
  <c r="C1083" i="5"/>
  <c r="B1085" i="5" l="1"/>
  <c r="C1084" i="5"/>
  <c r="B1086" i="5" l="1"/>
  <c r="C1085" i="5"/>
  <c r="B1087" i="5" l="1"/>
  <c r="C1086" i="5"/>
  <c r="B1088" i="5" l="1"/>
  <c r="C1087" i="5"/>
  <c r="B1089" i="5" l="1"/>
  <c r="C1088" i="5"/>
  <c r="B1090" i="5" l="1"/>
  <c r="C1089" i="5"/>
  <c r="B1091" i="5" l="1"/>
  <c r="C1090" i="5"/>
  <c r="B1092" i="5" l="1"/>
  <c r="C1091" i="5"/>
  <c r="B1093" i="5" l="1"/>
  <c r="C1092" i="5"/>
  <c r="B1094" i="5" l="1"/>
  <c r="C1093" i="5"/>
  <c r="B1095" i="5" l="1"/>
  <c r="C1094" i="5"/>
  <c r="B1096" i="5" l="1"/>
  <c r="C1095" i="5"/>
  <c r="B1097" i="5" l="1"/>
  <c r="C1096" i="5"/>
  <c r="B1098" i="5" l="1"/>
  <c r="C1097" i="5"/>
  <c r="B1099" i="5" l="1"/>
  <c r="C1098" i="5"/>
  <c r="B1100" i="5" l="1"/>
  <c r="C1099" i="5"/>
  <c r="B1101" i="5" l="1"/>
  <c r="C1100" i="5"/>
  <c r="B1102" i="5" l="1"/>
  <c r="C1101" i="5"/>
  <c r="B1103" i="5" l="1"/>
  <c r="C1102" i="5"/>
  <c r="B1104" i="5" l="1"/>
  <c r="C1103" i="5"/>
  <c r="B1105" i="5" l="1"/>
  <c r="C1104" i="5"/>
  <c r="B1106" i="5" l="1"/>
  <c r="C1105" i="5"/>
  <c r="B1107" i="5" l="1"/>
  <c r="C1106" i="5"/>
  <c r="B1108" i="5" l="1"/>
  <c r="C1107" i="5"/>
  <c r="B1109" i="5" l="1"/>
  <c r="C1108" i="5"/>
  <c r="B1110" i="5" l="1"/>
  <c r="C1109" i="5"/>
  <c r="B1111" i="5" l="1"/>
  <c r="C1110" i="5"/>
  <c r="B1112" i="5" l="1"/>
  <c r="C1111" i="5"/>
  <c r="B1113" i="5" l="1"/>
  <c r="C1112" i="5"/>
  <c r="B1114" i="5" l="1"/>
  <c r="C1113" i="5"/>
  <c r="B1115" i="5" l="1"/>
  <c r="C1114" i="5"/>
  <c r="B1116" i="5" l="1"/>
  <c r="C1115" i="5"/>
  <c r="B1117" i="5" l="1"/>
  <c r="C1116" i="5"/>
  <c r="B1118" i="5" l="1"/>
  <c r="C1117" i="5"/>
  <c r="B1119" i="5" l="1"/>
  <c r="C1118" i="5"/>
  <c r="B1120" i="5" l="1"/>
  <c r="C1119" i="5"/>
  <c r="B1121" i="5" l="1"/>
  <c r="C1120" i="5"/>
  <c r="B1122" i="5" l="1"/>
  <c r="C1121" i="5"/>
  <c r="B1123" i="5" l="1"/>
  <c r="C1122" i="5"/>
  <c r="B1124" i="5" l="1"/>
  <c r="C1123" i="5"/>
  <c r="B1125" i="5" l="1"/>
  <c r="C1124" i="5"/>
  <c r="B1126" i="5" l="1"/>
  <c r="C1125" i="5"/>
  <c r="B1127" i="5" l="1"/>
  <c r="C1126" i="5"/>
  <c r="B1128" i="5" l="1"/>
  <c r="C1127" i="5"/>
  <c r="B1129" i="5" l="1"/>
  <c r="C1128" i="5"/>
  <c r="B1130" i="5" l="1"/>
  <c r="C1129" i="5"/>
  <c r="B1131" i="5" l="1"/>
  <c r="C1130" i="5"/>
  <c r="B1132" i="5" l="1"/>
  <c r="C1131" i="5"/>
  <c r="B1133" i="5" l="1"/>
  <c r="C1132" i="5"/>
  <c r="B1134" i="5" l="1"/>
  <c r="C1133" i="5"/>
  <c r="B1135" i="5" l="1"/>
  <c r="C1134" i="5"/>
  <c r="B1136" i="5" l="1"/>
  <c r="C1135" i="5"/>
  <c r="B1137" i="5" l="1"/>
  <c r="C1136" i="5"/>
  <c r="B1138" i="5" l="1"/>
  <c r="C1137" i="5"/>
  <c r="B1139" i="5" l="1"/>
  <c r="C1138" i="5"/>
  <c r="B1140" i="5" l="1"/>
  <c r="C1139" i="5"/>
  <c r="B1141" i="5" l="1"/>
  <c r="C1140" i="5"/>
  <c r="B1142" i="5" l="1"/>
  <c r="C1141" i="5"/>
  <c r="B1143" i="5" l="1"/>
  <c r="C1142" i="5"/>
  <c r="B1144" i="5" l="1"/>
  <c r="C1143" i="5"/>
  <c r="B1145" i="5" l="1"/>
  <c r="C1144" i="5"/>
  <c r="B1146" i="5" l="1"/>
  <c r="C1145" i="5"/>
  <c r="B1147" i="5" l="1"/>
  <c r="C1146" i="5"/>
  <c r="B1148" i="5" l="1"/>
  <c r="C1147" i="5"/>
  <c r="B1149" i="5" l="1"/>
  <c r="C1148" i="5"/>
  <c r="B1150" i="5" l="1"/>
  <c r="C1149" i="5"/>
  <c r="B1151" i="5" l="1"/>
  <c r="C1150" i="5"/>
  <c r="B1152" i="5" l="1"/>
  <c r="C1151" i="5"/>
  <c r="B1153" i="5" l="1"/>
  <c r="C1152" i="5"/>
  <c r="B1154" i="5" l="1"/>
  <c r="C1153" i="5"/>
  <c r="B1155" i="5" l="1"/>
  <c r="C1154" i="5"/>
  <c r="B1156" i="5" l="1"/>
  <c r="C1155" i="5"/>
  <c r="B1157" i="5" l="1"/>
  <c r="C1156" i="5"/>
  <c r="B1158" i="5" l="1"/>
  <c r="C1157" i="5"/>
  <c r="B1159" i="5" l="1"/>
  <c r="C1158" i="5"/>
  <c r="B1160" i="5" l="1"/>
  <c r="C1159" i="5"/>
  <c r="B1161" i="5" l="1"/>
  <c r="C1160" i="5"/>
  <c r="B1162" i="5" l="1"/>
  <c r="C1161" i="5"/>
  <c r="B1163" i="5" l="1"/>
  <c r="C1162" i="5"/>
  <c r="B1164" i="5" l="1"/>
  <c r="C1163" i="5"/>
  <c r="B1165" i="5" l="1"/>
  <c r="C1164" i="5"/>
  <c r="B1166" i="5" l="1"/>
  <c r="C1165" i="5"/>
  <c r="B1167" i="5" l="1"/>
  <c r="C1166" i="5"/>
  <c r="B1168" i="5" l="1"/>
  <c r="C1167" i="5"/>
  <c r="B1169" i="5" l="1"/>
  <c r="C1168" i="5"/>
  <c r="B1170" i="5" l="1"/>
  <c r="C1169" i="5"/>
  <c r="B1171" i="5" l="1"/>
  <c r="C1170" i="5"/>
  <c r="B1172" i="5" l="1"/>
  <c r="C1171" i="5"/>
  <c r="B1173" i="5" l="1"/>
  <c r="C1172" i="5"/>
  <c r="B1174" i="5" l="1"/>
  <c r="C1173" i="5"/>
  <c r="B1175" i="5" l="1"/>
  <c r="C1174" i="5"/>
  <c r="B1176" i="5" l="1"/>
  <c r="C1175" i="5"/>
  <c r="B1177" i="5" l="1"/>
  <c r="C1176" i="5"/>
  <c r="B1178" i="5" l="1"/>
  <c r="C1177" i="5"/>
  <c r="B1179" i="5" l="1"/>
  <c r="C1178" i="5"/>
  <c r="B1180" i="5" l="1"/>
  <c r="C1179" i="5"/>
  <c r="B1181" i="5" l="1"/>
  <c r="C1180" i="5"/>
  <c r="B1182" i="5" l="1"/>
  <c r="C1181" i="5"/>
  <c r="B1183" i="5" l="1"/>
  <c r="C1182" i="5"/>
  <c r="B1184" i="5" l="1"/>
  <c r="C1183" i="5"/>
  <c r="B1185" i="5" l="1"/>
  <c r="C1184" i="5"/>
  <c r="B1186" i="5" l="1"/>
  <c r="C1185" i="5"/>
  <c r="B1187" i="5" l="1"/>
  <c r="C1186" i="5"/>
  <c r="B1188" i="5" l="1"/>
  <c r="C1187" i="5"/>
  <c r="B1189" i="5" l="1"/>
  <c r="C1188" i="5"/>
  <c r="B1190" i="5" l="1"/>
  <c r="C1189" i="5"/>
  <c r="B1191" i="5" l="1"/>
  <c r="C1190" i="5"/>
  <c r="B1192" i="5" l="1"/>
  <c r="C1191" i="5"/>
  <c r="B1193" i="5" l="1"/>
  <c r="C1192" i="5"/>
  <c r="B1194" i="5" l="1"/>
  <c r="C1193" i="5"/>
  <c r="B1195" i="5" l="1"/>
  <c r="C1194" i="5"/>
  <c r="B1196" i="5" l="1"/>
  <c r="C1195" i="5"/>
  <c r="B1197" i="5" l="1"/>
  <c r="C1196" i="5"/>
  <c r="B1198" i="5" l="1"/>
  <c r="C1197" i="5"/>
  <c r="B1199" i="5" l="1"/>
  <c r="C1198" i="5"/>
  <c r="B1200" i="5" l="1"/>
  <c r="C1199" i="5"/>
  <c r="B1201" i="5" l="1"/>
  <c r="C1200" i="5"/>
  <c r="B1202" i="5" l="1"/>
  <c r="C1201" i="5"/>
  <c r="B1203" i="5" l="1"/>
  <c r="C1202" i="5"/>
  <c r="B1204" i="5" l="1"/>
  <c r="C1203" i="5"/>
  <c r="B1205" i="5" l="1"/>
  <c r="C1204" i="5"/>
  <c r="B1206" i="5" l="1"/>
  <c r="C1205" i="5"/>
  <c r="B1207" i="5" l="1"/>
  <c r="C1206" i="5"/>
  <c r="B1208" i="5" l="1"/>
  <c r="C1207" i="5"/>
  <c r="B1209" i="5" l="1"/>
  <c r="C1208" i="5"/>
  <c r="B1210" i="5" l="1"/>
  <c r="C1209" i="5"/>
  <c r="B1211" i="5" l="1"/>
  <c r="C1210" i="5"/>
  <c r="B1212" i="5" l="1"/>
  <c r="C1211" i="5"/>
  <c r="B1213" i="5" l="1"/>
  <c r="C1212" i="5"/>
  <c r="B1214" i="5" l="1"/>
  <c r="C1213" i="5"/>
  <c r="B1215" i="5" l="1"/>
  <c r="C1214" i="5"/>
  <c r="B1216" i="5" l="1"/>
  <c r="C1215" i="5"/>
  <c r="B1217" i="5" l="1"/>
  <c r="C1216" i="5"/>
  <c r="B1218" i="5" l="1"/>
  <c r="C1217" i="5"/>
  <c r="B1219" i="5" l="1"/>
  <c r="C1218" i="5"/>
  <c r="B1220" i="5" l="1"/>
  <c r="C1219" i="5"/>
  <c r="B1221" i="5" l="1"/>
  <c r="C1220" i="5"/>
  <c r="B1222" i="5" l="1"/>
  <c r="C1221" i="5"/>
  <c r="B1223" i="5" l="1"/>
  <c r="C1222" i="5"/>
  <c r="B1224" i="5" l="1"/>
  <c r="C1223" i="5"/>
  <c r="B1225" i="5" l="1"/>
  <c r="C1224" i="5"/>
  <c r="B1226" i="5" l="1"/>
  <c r="C1225" i="5"/>
  <c r="B1227" i="5" l="1"/>
  <c r="C1226" i="5"/>
  <c r="B1228" i="5" l="1"/>
  <c r="C1227" i="5"/>
  <c r="B1229" i="5" l="1"/>
  <c r="C1228" i="5"/>
  <c r="B1230" i="5" l="1"/>
  <c r="C1229" i="5"/>
  <c r="B1231" i="5" l="1"/>
  <c r="C1230" i="5"/>
  <c r="B1232" i="5" l="1"/>
  <c r="C1231" i="5"/>
  <c r="B1233" i="5" l="1"/>
  <c r="C1232" i="5"/>
  <c r="B1234" i="5" l="1"/>
  <c r="C1233" i="5"/>
  <c r="B1235" i="5" l="1"/>
  <c r="C1234" i="5"/>
  <c r="B1236" i="5" l="1"/>
  <c r="C1235" i="5"/>
  <c r="B1237" i="5" l="1"/>
  <c r="C1236" i="5"/>
  <c r="B1238" i="5" l="1"/>
  <c r="C1237" i="5"/>
  <c r="B1239" i="5" l="1"/>
  <c r="C1238" i="5"/>
  <c r="B1240" i="5" l="1"/>
  <c r="C1239" i="5"/>
  <c r="B1241" i="5" l="1"/>
  <c r="C1240" i="5"/>
  <c r="B1242" i="5" l="1"/>
  <c r="C1241" i="5"/>
  <c r="B1243" i="5" l="1"/>
  <c r="C1242" i="5"/>
  <c r="B1244" i="5" l="1"/>
  <c r="C1243" i="5"/>
  <c r="B1245" i="5" l="1"/>
  <c r="C1244" i="5"/>
  <c r="B1246" i="5" l="1"/>
  <c r="C1245" i="5"/>
  <c r="B1247" i="5" l="1"/>
  <c r="C1246" i="5"/>
  <c r="B1248" i="5" l="1"/>
  <c r="C1247" i="5"/>
  <c r="B1249" i="5" l="1"/>
  <c r="C1248" i="5"/>
  <c r="B1250" i="5" l="1"/>
  <c r="C1249" i="5"/>
  <c r="B1251" i="5" l="1"/>
  <c r="C1250" i="5"/>
  <c r="B1252" i="5" l="1"/>
  <c r="C1251" i="5"/>
  <c r="B1253" i="5" l="1"/>
  <c r="C1252" i="5"/>
  <c r="B1254" i="5" l="1"/>
  <c r="C1253" i="5"/>
  <c r="B1255" i="5" l="1"/>
  <c r="C1254" i="5"/>
  <c r="B1256" i="5" l="1"/>
  <c r="C1255" i="5"/>
  <c r="B1257" i="5" l="1"/>
  <c r="C1256" i="5"/>
  <c r="B1258" i="5" l="1"/>
  <c r="C1257" i="5"/>
  <c r="B1259" i="5" l="1"/>
  <c r="C1258" i="5"/>
  <c r="B1260" i="5" l="1"/>
  <c r="C1259" i="5"/>
  <c r="B1261" i="5" l="1"/>
  <c r="C1260" i="5"/>
  <c r="B1262" i="5" l="1"/>
  <c r="C1261" i="5"/>
  <c r="B1263" i="5" l="1"/>
  <c r="C1262" i="5"/>
  <c r="B1264" i="5" l="1"/>
  <c r="C1263" i="5"/>
  <c r="B1265" i="5" l="1"/>
  <c r="C1264" i="5"/>
  <c r="B1266" i="5" l="1"/>
  <c r="C1265" i="5"/>
  <c r="B1267" i="5" l="1"/>
  <c r="C1266" i="5"/>
  <c r="B1268" i="5" l="1"/>
  <c r="C1267" i="5"/>
  <c r="B1269" i="5" l="1"/>
  <c r="C1268" i="5"/>
  <c r="B1270" i="5" l="1"/>
  <c r="C1269" i="5"/>
  <c r="B1271" i="5" l="1"/>
  <c r="C1270" i="5"/>
  <c r="B1272" i="5" l="1"/>
  <c r="C1271" i="5"/>
  <c r="B1273" i="5" l="1"/>
  <c r="C1272" i="5"/>
  <c r="B1274" i="5" l="1"/>
  <c r="C1273" i="5"/>
  <c r="B1275" i="5" l="1"/>
  <c r="C1274" i="5"/>
  <c r="B1276" i="5" l="1"/>
  <c r="C1275" i="5"/>
  <c r="B1277" i="5" l="1"/>
  <c r="C1276" i="5"/>
  <c r="B1278" i="5" l="1"/>
  <c r="C1277" i="5"/>
  <c r="B1279" i="5" l="1"/>
  <c r="C1278" i="5"/>
  <c r="B1280" i="5" l="1"/>
  <c r="C1279" i="5"/>
  <c r="B1281" i="5" l="1"/>
  <c r="C1280" i="5"/>
  <c r="B1282" i="5" l="1"/>
  <c r="C1281" i="5"/>
  <c r="B1283" i="5" l="1"/>
  <c r="C1282" i="5"/>
  <c r="B1284" i="5" l="1"/>
  <c r="C1283" i="5"/>
  <c r="B1285" i="5" l="1"/>
  <c r="C1284" i="5"/>
  <c r="B1286" i="5" l="1"/>
  <c r="C1285" i="5"/>
  <c r="B1287" i="5" l="1"/>
  <c r="C1286" i="5"/>
  <c r="B1288" i="5" l="1"/>
  <c r="C1287" i="5"/>
  <c r="B1289" i="5" l="1"/>
  <c r="C1288" i="5"/>
  <c r="B1290" i="5" l="1"/>
  <c r="C1289" i="5"/>
  <c r="B1291" i="5" l="1"/>
  <c r="C1290" i="5"/>
  <c r="B1292" i="5" l="1"/>
  <c r="C1291" i="5"/>
  <c r="B1293" i="5" l="1"/>
  <c r="C1292" i="5"/>
  <c r="B1294" i="5" l="1"/>
  <c r="C1293" i="5"/>
  <c r="B1295" i="5" l="1"/>
  <c r="C1294" i="5"/>
  <c r="B1296" i="5" l="1"/>
  <c r="C1295" i="5"/>
  <c r="B1297" i="5" l="1"/>
  <c r="C1296" i="5"/>
  <c r="B1298" i="5" l="1"/>
  <c r="C1297" i="5"/>
  <c r="B1299" i="5" l="1"/>
  <c r="C1298" i="5"/>
  <c r="B1300" i="5" l="1"/>
  <c r="C1299" i="5"/>
  <c r="B1301" i="5" l="1"/>
  <c r="C1300" i="5"/>
  <c r="B1302" i="5" l="1"/>
  <c r="C1301" i="5"/>
  <c r="B1303" i="5" l="1"/>
  <c r="C1302" i="5"/>
  <c r="B1304" i="5" l="1"/>
  <c r="C1303" i="5"/>
  <c r="B1305" i="5" l="1"/>
  <c r="C1304" i="5"/>
  <c r="B1306" i="5" l="1"/>
  <c r="C1305" i="5"/>
  <c r="B1307" i="5" l="1"/>
  <c r="C1306" i="5"/>
  <c r="B1308" i="5" l="1"/>
  <c r="C1307" i="5"/>
  <c r="B1309" i="5" l="1"/>
  <c r="C1308" i="5"/>
  <c r="B1310" i="5" l="1"/>
  <c r="C1309" i="5"/>
  <c r="B1311" i="5" l="1"/>
  <c r="C1310" i="5"/>
  <c r="B1312" i="5" l="1"/>
  <c r="C1311" i="5"/>
  <c r="B1313" i="5" l="1"/>
  <c r="C1312" i="5"/>
  <c r="B1314" i="5" l="1"/>
  <c r="C1313" i="5"/>
  <c r="B1315" i="5" l="1"/>
  <c r="C1314" i="5"/>
  <c r="B1316" i="5" l="1"/>
  <c r="C1315" i="5"/>
  <c r="B1317" i="5" l="1"/>
  <c r="C1316" i="5"/>
  <c r="B1318" i="5" l="1"/>
  <c r="C1317" i="5"/>
  <c r="B1319" i="5" l="1"/>
  <c r="C1318" i="5"/>
  <c r="B1320" i="5" l="1"/>
  <c r="C1319" i="5"/>
  <c r="B1321" i="5" l="1"/>
  <c r="C1320" i="5"/>
  <c r="B1322" i="5" l="1"/>
  <c r="C1321" i="5"/>
  <c r="B1323" i="5" l="1"/>
  <c r="C1322" i="5"/>
  <c r="B1324" i="5" l="1"/>
  <c r="C1323" i="5"/>
  <c r="B1325" i="5" l="1"/>
  <c r="C1324" i="5"/>
  <c r="B1326" i="5" l="1"/>
  <c r="C1325" i="5"/>
  <c r="B1327" i="5" l="1"/>
  <c r="C1326" i="5"/>
  <c r="B1328" i="5" l="1"/>
  <c r="C1327" i="5"/>
  <c r="B1329" i="5" l="1"/>
  <c r="C1328" i="5"/>
  <c r="B1330" i="5" l="1"/>
  <c r="C1329" i="5"/>
  <c r="B1331" i="5" l="1"/>
  <c r="C1330" i="5"/>
  <c r="B1332" i="5" l="1"/>
  <c r="C1331" i="5"/>
  <c r="B1333" i="5" l="1"/>
  <c r="C1332" i="5"/>
  <c r="B1334" i="5" l="1"/>
  <c r="C1333" i="5"/>
  <c r="B1335" i="5" l="1"/>
  <c r="C1334" i="5"/>
  <c r="B1336" i="5" l="1"/>
  <c r="C1335" i="5"/>
  <c r="B1337" i="5" l="1"/>
  <c r="C1336" i="5"/>
  <c r="B1338" i="5" l="1"/>
  <c r="C1337" i="5"/>
  <c r="B1339" i="5" l="1"/>
  <c r="C1338" i="5"/>
  <c r="B1340" i="5" l="1"/>
  <c r="C1339" i="5"/>
  <c r="B1341" i="5" l="1"/>
  <c r="C1340" i="5"/>
  <c r="B1342" i="5" l="1"/>
  <c r="C1341" i="5"/>
  <c r="B1343" i="5" l="1"/>
  <c r="C1342" i="5"/>
  <c r="B1344" i="5" l="1"/>
  <c r="C1343" i="5"/>
  <c r="B1345" i="5" l="1"/>
  <c r="C1344" i="5"/>
  <c r="B1346" i="5" l="1"/>
  <c r="C1345" i="5"/>
  <c r="B1347" i="5" l="1"/>
  <c r="C1346" i="5"/>
  <c r="B1348" i="5" l="1"/>
  <c r="C1347" i="5"/>
  <c r="B1349" i="5" l="1"/>
  <c r="C1348" i="5"/>
  <c r="B1350" i="5" l="1"/>
  <c r="C1349" i="5"/>
  <c r="B1351" i="5" l="1"/>
  <c r="C1350" i="5"/>
  <c r="B1352" i="5" l="1"/>
  <c r="C1351" i="5"/>
  <c r="B1353" i="5" l="1"/>
  <c r="C1352" i="5"/>
  <c r="B1354" i="5" l="1"/>
  <c r="C1353" i="5"/>
  <c r="B1355" i="5" l="1"/>
  <c r="C1354" i="5"/>
  <c r="B1356" i="5" l="1"/>
  <c r="C1355" i="5"/>
  <c r="B1357" i="5" l="1"/>
  <c r="C1356" i="5"/>
  <c r="B1358" i="5" l="1"/>
  <c r="C1357" i="5"/>
  <c r="B1359" i="5" l="1"/>
  <c r="C1358" i="5"/>
  <c r="B1360" i="5" l="1"/>
  <c r="C1359" i="5"/>
  <c r="B1361" i="5" l="1"/>
  <c r="C1360" i="5"/>
  <c r="B1362" i="5" l="1"/>
  <c r="C1361" i="5"/>
  <c r="B1363" i="5" l="1"/>
  <c r="C1362" i="5"/>
  <c r="B1364" i="5" l="1"/>
  <c r="C1363" i="5"/>
  <c r="B1365" i="5" l="1"/>
  <c r="C1364" i="5"/>
  <c r="B1366" i="5" l="1"/>
  <c r="C1365" i="5"/>
  <c r="B1367" i="5" l="1"/>
  <c r="C1366" i="5"/>
  <c r="B1368" i="5" l="1"/>
  <c r="C1367" i="5"/>
  <c r="B1369" i="5" l="1"/>
  <c r="C1368" i="5"/>
  <c r="B1370" i="5" l="1"/>
  <c r="C1369" i="5"/>
  <c r="B1371" i="5" l="1"/>
  <c r="C1370" i="5"/>
  <c r="B1372" i="5" l="1"/>
  <c r="C1371" i="5"/>
  <c r="B1373" i="5" l="1"/>
  <c r="C1372" i="5"/>
  <c r="B1374" i="5" l="1"/>
  <c r="C1373" i="5"/>
  <c r="B1375" i="5" l="1"/>
  <c r="C1374" i="5"/>
  <c r="B1376" i="5" l="1"/>
  <c r="C1375" i="5"/>
  <c r="B1377" i="5" l="1"/>
  <c r="C1376" i="5"/>
  <c r="B1378" i="5" l="1"/>
  <c r="C1377" i="5"/>
  <c r="B1379" i="5" l="1"/>
  <c r="C1378" i="5"/>
  <c r="B1380" i="5" l="1"/>
  <c r="C1379" i="5"/>
  <c r="B1381" i="5" l="1"/>
  <c r="C1380" i="5"/>
  <c r="B1382" i="5" l="1"/>
  <c r="C1381" i="5"/>
  <c r="B1383" i="5" l="1"/>
  <c r="C1382" i="5"/>
  <c r="B1384" i="5" l="1"/>
  <c r="C1383" i="5"/>
  <c r="B1385" i="5" l="1"/>
  <c r="C1384" i="5"/>
  <c r="B1386" i="5" l="1"/>
  <c r="C1385" i="5"/>
  <c r="B1387" i="5" l="1"/>
  <c r="C1386" i="5"/>
  <c r="B1388" i="5" l="1"/>
  <c r="C1387" i="5"/>
  <c r="B1389" i="5" l="1"/>
  <c r="C1388" i="5"/>
  <c r="B1390" i="5" l="1"/>
  <c r="C1389" i="5"/>
  <c r="B1391" i="5" l="1"/>
  <c r="C1390" i="5"/>
  <c r="B1392" i="5" l="1"/>
  <c r="C1391" i="5"/>
  <c r="B1393" i="5" l="1"/>
  <c r="C1392" i="5"/>
  <c r="B1394" i="5" l="1"/>
  <c r="C1393" i="5"/>
  <c r="B1395" i="5" l="1"/>
  <c r="C1394" i="5"/>
  <c r="B1396" i="5" l="1"/>
  <c r="C1395" i="5"/>
  <c r="B1397" i="5" l="1"/>
  <c r="C1396" i="5"/>
  <c r="B1398" i="5" l="1"/>
  <c r="C1397" i="5"/>
  <c r="B1399" i="5" l="1"/>
  <c r="C1398" i="5"/>
  <c r="B1400" i="5" l="1"/>
  <c r="C1399" i="5"/>
  <c r="B1401" i="5" l="1"/>
  <c r="C1400" i="5"/>
  <c r="B1402" i="5" l="1"/>
  <c r="C1401" i="5"/>
  <c r="B1403" i="5" l="1"/>
  <c r="C1402" i="5"/>
  <c r="B1404" i="5" l="1"/>
  <c r="C1403" i="5"/>
  <c r="B1405" i="5" l="1"/>
  <c r="C1404" i="5"/>
  <c r="B1406" i="5" l="1"/>
  <c r="C1405" i="5"/>
  <c r="B1407" i="5" l="1"/>
  <c r="C1406" i="5"/>
  <c r="B1408" i="5" l="1"/>
  <c r="C1407" i="5"/>
  <c r="B1409" i="5" l="1"/>
  <c r="C1408" i="5"/>
  <c r="B1410" i="5" l="1"/>
  <c r="C1409" i="5"/>
  <c r="B1411" i="5" l="1"/>
  <c r="C1410" i="5"/>
  <c r="B1412" i="5" l="1"/>
  <c r="C1411" i="5"/>
  <c r="B1413" i="5" l="1"/>
  <c r="C1412" i="5"/>
  <c r="B1414" i="5" l="1"/>
  <c r="C1413" i="5"/>
  <c r="B1415" i="5" l="1"/>
  <c r="C1414" i="5"/>
  <c r="B1416" i="5" l="1"/>
  <c r="C1415" i="5"/>
  <c r="B1417" i="5" l="1"/>
  <c r="C1416" i="5"/>
  <c r="B1418" i="5" l="1"/>
  <c r="C1417" i="5"/>
  <c r="B1419" i="5" l="1"/>
  <c r="C1418" i="5"/>
  <c r="B1420" i="5" l="1"/>
  <c r="C1419" i="5"/>
  <c r="B1421" i="5" l="1"/>
  <c r="C1420" i="5"/>
  <c r="B1422" i="5" l="1"/>
  <c r="C1421" i="5"/>
  <c r="B1423" i="5" l="1"/>
  <c r="C1422" i="5"/>
  <c r="B1424" i="5" l="1"/>
  <c r="C1423" i="5"/>
  <c r="B1425" i="5" l="1"/>
  <c r="C1424" i="5"/>
  <c r="B1426" i="5" l="1"/>
  <c r="C1425" i="5"/>
  <c r="B1427" i="5" l="1"/>
  <c r="C1426" i="5"/>
  <c r="B1428" i="5" l="1"/>
  <c r="C1427" i="5"/>
  <c r="B1429" i="5" l="1"/>
  <c r="C1428" i="5"/>
  <c r="B1430" i="5" l="1"/>
  <c r="C1429" i="5"/>
  <c r="B1431" i="5" l="1"/>
  <c r="C1430" i="5"/>
  <c r="B1432" i="5" l="1"/>
  <c r="C1431" i="5"/>
  <c r="B1433" i="5" l="1"/>
  <c r="C1432" i="5"/>
  <c r="B1434" i="5" l="1"/>
  <c r="C1433" i="5"/>
  <c r="B1435" i="5" l="1"/>
  <c r="C1434" i="5"/>
  <c r="B1436" i="5" l="1"/>
  <c r="C1435" i="5"/>
  <c r="B1437" i="5" l="1"/>
  <c r="C1436" i="5"/>
  <c r="B1438" i="5" l="1"/>
  <c r="C1437" i="5"/>
  <c r="B1439" i="5" l="1"/>
  <c r="C1438" i="5"/>
  <c r="B1440" i="5" l="1"/>
  <c r="C1439" i="5"/>
  <c r="B1441" i="5" l="1"/>
  <c r="C1440" i="5"/>
  <c r="B1442" i="5" l="1"/>
  <c r="C1441" i="5"/>
  <c r="B1443" i="5" l="1"/>
  <c r="C1442" i="5"/>
  <c r="B1444" i="5" l="1"/>
  <c r="C1443" i="5"/>
  <c r="B1445" i="5" l="1"/>
  <c r="C1444" i="5"/>
  <c r="B1446" i="5" l="1"/>
  <c r="C1445" i="5"/>
  <c r="B1447" i="5" l="1"/>
  <c r="C1446" i="5"/>
  <c r="B1448" i="5" l="1"/>
  <c r="C1447" i="5"/>
  <c r="B1449" i="5" l="1"/>
  <c r="C1448" i="5"/>
  <c r="B1450" i="5" l="1"/>
  <c r="C1449" i="5"/>
  <c r="B1451" i="5" l="1"/>
  <c r="C1450" i="5"/>
  <c r="B1452" i="5" l="1"/>
  <c r="C1451" i="5"/>
  <c r="B1453" i="5" l="1"/>
  <c r="C1452" i="5"/>
  <c r="B1454" i="5" l="1"/>
  <c r="C1453" i="5"/>
  <c r="B1455" i="5" l="1"/>
  <c r="C1454" i="5"/>
  <c r="B1456" i="5" l="1"/>
  <c r="C1455" i="5"/>
  <c r="B1457" i="5" l="1"/>
  <c r="C1456" i="5"/>
  <c r="B1458" i="5" l="1"/>
  <c r="C1457" i="5"/>
  <c r="B1459" i="5" l="1"/>
  <c r="C1458" i="5"/>
  <c r="B1460" i="5" l="1"/>
  <c r="C1459" i="5"/>
  <c r="B1461" i="5" l="1"/>
  <c r="C1460" i="5"/>
  <c r="B1462" i="5" l="1"/>
  <c r="C1461" i="5"/>
  <c r="B1463" i="5" l="1"/>
  <c r="C1462" i="5"/>
  <c r="B1464" i="5" l="1"/>
  <c r="C1463" i="5"/>
  <c r="B1465" i="5" l="1"/>
  <c r="C1464" i="5"/>
  <c r="B1466" i="5" l="1"/>
  <c r="C1465" i="5"/>
  <c r="B1467" i="5" l="1"/>
  <c r="C1466" i="5"/>
  <c r="B1468" i="5" l="1"/>
  <c r="C1467" i="5"/>
  <c r="B1469" i="5" l="1"/>
  <c r="C1468" i="5"/>
  <c r="B1470" i="5" l="1"/>
  <c r="C1469" i="5"/>
  <c r="B1471" i="5" l="1"/>
  <c r="C1470" i="5"/>
  <c r="B1472" i="5" l="1"/>
  <c r="C1471" i="5"/>
  <c r="B1473" i="5" l="1"/>
  <c r="C1472" i="5"/>
  <c r="B1474" i="5" l="1"/>
  <c r="C1473" i="5"/>
  <c r="B1475" i="5" l="1"/>
  <c r="C1474" i="5"/>
  <c r="B1476" i="5" l="1"/>
  <c r="C1475" i="5"/>
  <c r="B1477" i="5" l="1"/>
  <c r="C1476" i="5"/>
  <c r="B1478" i="5" l="1"/>
  <c r="C1477" i="5"/>
  <c r="B1479" i="5" l="1"/>
  <c r="C1478" i="5"/>
  <c r="B1480" i="5" l="1"/>
  <c r="C1479" i="5"/>
  <c r="B1481" i="5" l="1"/>
  <c r="C1480" i="5"/>
  <c r="B1482" i="5" l="1"/>
  <c r="C1481" i="5"/>
  <c r="B1483" i="5" l="1"/>
  <c r="C1482" i="5"/>
  <c r="B1484" i="5" l="1"/>
  <c r="C1483" i="5"/>
  <c r="B1485" i="5" l="1"/>
  <c r="C1484" i="5"/>
  <c r="B1486" i="5" l="1"/>
  <c r="C1485" i="5"/>
  <c r="B1487" i="5" l="1"/>
  <c r="C1486" i="5"/>
  <c r="B1488" i="5" l="1"/>
  <c r="C1487" i="5"/>
  <c r="B1489" i="5" l="1"/>
  <c r="C1488" i="5"/>
  <c r="B1490" i="5" l="1"/>
  <c r="C1489" i="5"/>
  <c r="B1491" i="5" l="1"/>
  <c r="C1490" i="5"/>
  <c r="B1492" i="5" l="1"/>
  <c r="C1491" i="5"/>
  <c r="B1493" i="5" l="1"/>
  <c r="C1492" i="5"/>
  <c r="B1494" i="5" l="1"/>
  <c r="C1493" i="5"/>
  <c r="B1495" i="5" l="1"/>
  <c r="C1494" i="5"/>
  <c r="B1496" i="5" l="1"/>
  <c r="C1495" i="5"/>
  <c r="B1497" i="5" l="1"/>
  <c r="C1496" i="5"/>
  <c r="B1498" i="5" l="1"/>
  <c r="C1497" i="5"/>
  <c r="B1499" i="5" l="1"/>
  <c r="C1498" i="5"/>
  <c r="B1500" i="5" l="1"/>
  <c r="C1499" i="5"/>
  <c r="B1501" i="5" l="1"/>
  <c r="C1500" i="5"/>
  <c r="B1502" i="5" l="1"/>
  <c r="C1501" i="5"/>
  <c r="B1503" i="5" l="1"/>
  <c r="C1502" i="5"/>
  <c r="B1504" i="5" l="1"/>
  <c r="C1503" i="5"/>
  <c r="B1505" i="5" l="1"/>
  <c r="C1504" i="5"/>
  <c r="B1506" i="5" l="1"/>
  <c r="C1505" i="5"/>
  <c r="B1507" i="5" l="1"/>
  <c r="C1506" i="5"/>
  <c r="B1508" i="5" l="1"/>
  <c r="C1507" i="5"/>
  <c r="B1509" i="5" l="1"/>
  <c r="C1508" i="5"/>
  <c r="B1510" i="5" l="1"/>
  <c r="C1509" i="5"/>
  <c r="B1511" i="5" l="1"/>
  <c r="C1510" i="5"/>
  <c r="B1512" i="5" l="1"/>
  <c r="C1511" i="5"/>
  <c r="B1513" i="5" l="1"/>
  <c r="C1512" i="5"/>
  <c r="B1514" i="5" l="1"/>
  <c r="C1513" i="5"/>
  <c r="B1515" i="5" l="1"/>
  <c r="C1514" i="5"/>
  <c r="B1516" i="5" l="1"/>
  <c r="C1515" i="5"/>
  <c r="B1517" i="5" l="1"/>
  <c r="C1516" i="5"/>
  <c r="B1518" i="5" l="1"/>
  <c r="C1517" i="5"/>
  <c r="B1519" i="5" l="1"/>
  <c r="C1518" i="5"/>
  <c r="B1520" i="5" l="1"/>
  <c r="C1519" i="5"/>
  <c r="B1521" i="5" l="1"/>
  <c r="C1520" i="5"/>
  <c r="B1522" i="5" l="1"/>
  <c r="C1521" i="5"/>
  <c r="B1523" i="5" l="1"/>
  <c r="C1522" i="5"/>
  <c r="B1524" i="5" l="1"/>
  <c r="C1523" i="5"/>
  <c r="B1525" i="5" l="1"/>
  <c r="C1524" i="5"/>
  <c r="B1526" i="5" l="1"/>
  <c r="C1525" i="5"/>
  <c r="B1527" i="5" l="1"/>
  <c r="C1526" i="5"/>
  <c r="B1528" i="5" l="1"/>
  <c r="C1527" i="5"/>
  <c r="B1529" i="5" l="1"/>
  <c r="C1528" i="5"/>
  <c r="B1530" i="5" l="1"/>
  <c r="C1529" i="5"/>
  <c r="B1531" i="5" l="1"/>
  <c r="C1530" i="5"/>
  <c r="B1532" i="5" l="1"/>
  <c r="C1531" i="5"/>
  <c r="B1533" i="5" l="1"/>
  <c r="C1532" i="5"/>
  <c r="B1534" i="5" l="1"/>
  <c r="C1533" i="5"/>
  <c r="B1535" i="5" l="1"/>
  <c r="C1534" i="5"/>
  <c r="B1536" i="5" l="1"/>
  <c r="C1535" i="5"/>
  <c r="B1537" i="5" l="1"/>
  <c r="C1536" i="5"/>
  <c r="B1538" i="5" l="1"/>
  <c r="C1537" i="5"/>
  <c r="B1539" i="5" l="1"/>
  <c r="C1538" i="5"/>
  <c r="B1540" i="5" l="1"/>
  <c r="C1539" i="5"/>
  <c r="B1541" i="5" l="1"/>
  <c r="C1540" i="5"/>
  <c r="B1542" i="5" l="1"/>
  <c r="C1541" i="5"/>
  <c r="B1543" i="5" l="1"/>
  <c r="C1542" i="5"/>
  <c r="B1544" i="5" l="1"/>
  <c r="C1543" i="5"/>
  <c r="B1545" i="5" l="1"/>
  <c r="C1544" i="5"/>
  <c r="B1546" i="5" l="1"/>
  <c r="C1545" i="5"/>
  <c r="B1547" i="5" l="1"/>
  <c r="C1546" i="5"/>
  <c r="B1548" i="5" l="1"/>
  <c r="C1547" i="5"/>
  <c r="B1549" i="5" l="1"/>
  <c r="C1548" i="5"/>
  <c r="B1550" i="5" l="1"/>
  <c r="C1549" i="5"/>
  <c r="B1551" i="5" l="1"/>
  <c r="C1550" i="5"/>
  <c r="B1552" i="5" l="1"/>
  <c r="C1551" i="5"/>
  <c r="B1553" i="5" l="1"/>
  <c r="C1552" i="5"/>
  <c r="B1554" i="5" l="1"/>
  <c r="C1553" i="5"/>
  <c r="B1555" i="5" l="1"/>
  <c r="C1554" i="5"/>
  <c r="B1556" i="5" l="1"/>
  <c r="C1555" i="5"/>
  <c r="B1557" i="5" l="1"/>
  <c r="C1556" i="5"/>
  <c r="B1558" i="5" l="1"/>
  <c r="C1557" i="5"/>
  <c r="B1559" i="5" l="1"/>
  <c r="C1558" i="5"/>
  <c r="B1560" i="5" l="1"/>
  <c r="C1559" i="5"/>
  <c r="B1561" i="5" l="1"/>
  <c r="C1560" i="5"/>
  <c r="B1562" i="5" l="1"/>
  <c r="C1561" i="5"/>
  <c r="B1563" i="5" l="1"/>
  <c r="C1562" i="5"/>
  <c r="B1564" i="5" l="1"/>
  <c r="C1563" i="5"/>
  <c r="B1565" i="5" l="1"/>
  <c r="C1564" i="5"/>
  <c r="B1566" i="5" l="1"/>
  <c r="C1565" i="5"/>
  <c r="B1567" i="5" l="1"/>
  <c r="C1566" i="5"/>
  <c r="B1568" i="5" l="1"/>
  <c r="C1567" i="5"/>
  <c r="B1569" i="5" l="1"/>
  <c r="C1568" i="5"/>
  <c r="B1570" i="5" l="1"/>
  <c r="C1569" i="5"/>
  <c r="B1571" i="5" l="1"/>
  <c r="C1570" i="5"/>
  <c r="B1572" i="5" l="1"/>
  <c r="C1571" i="5"/>
  <c r="B1573" i="5" l="1"/>
  <c r="C1572" i="5"/>
  <c r="B1574" i="5" l="1"/>
  <c r="C1573" i="5"/>
  <c r="B1575" i="5" l="1"/>
  <c r="C1574" i="5"/>
  <c r="B1576" i="5" l="1"/>
  <c r="C1575" i="5"/>
  <c r="B1577" i="5" l="1"/>
  <c r="C1576" i="5"/>
  <c r="B1578" i="5" l="1"/>
  <c r="C1577" i="5"/>
  <c r="B1579" i="5" l="1"/>
  <c r="C1578" i="5"/>
  <c r="B1580" i="5" l="1"/>
  <c r="C1579" i="5"/>
  <c r="B1581" i="5" l="1"/>
  <c r="C1580" i="5"/>
  <c r="B1582" i="5" l="1"/>
  <c r="C1581" i="5"/>
  <c r="B1583" i="5" l="1"/>
  <c r="C1582" i="5"/>
  <c r="B1584" i="5" l="1"/>
  <c r="C1583" i="5"/>
  <c r="B1585" i="5" l="1"/>
  <c r="C1584" i="5"/>
  <c r="B1586" i="5" l="1"/>
  <c r="C1585" i="5"/>
  <c r="B1587" i="5" l="1"/>
  <c r="C1586" i="5"/>
  <c r="B1588" i="5" l="1"/>
  <c r="C1587" i="5"/>
  <c r="B1589" i="5" l="1"/>
  <c r="C1588" i="5"/>
  <c r="B1590" i="5" l="1"/>
  <c r="C1589" i="5"/>
  <c r="B1591" i="5" l="1"/>
  <c r="C1590" i="5"/>
  <c r="B1592" i="5" l="1"/>
  <c r="C1591" i="5"/>
  <c r="B1593" i="5" l="1"/>
  <c r="C1592" i="5"/>
  <c r="B1594" i="5" l="1"/>
  <c r="C1593" i="5"/>
  <c r="B1595" i="5" l="1"/>
  <c r="C1594" i="5"/>
  <c r="B1596" i="5" l="1"/>
  <c r="C1595" i="5"/>
  <c r="B1597" i="5" l="1"/>
  <c r="C1596" i="5"/>
  <c r="B1598" i="5" l="1"/>
  <c r="C1597" i="5"/>
  <c r="B1599" i="5" l="1"/>
  <c r="C1598" i="5"/>
  <c r="B1600" i="5" l="1"/>
  <c r="C1599" i="5"/>
  <c r="B1601" i="5" l="1"/>
  <c r="C1600" i="5"/>
  <c r="B1602" i="5" l="1"/>
  <c r="C1601" i="5"/>
  <c r="B1603" i="5" l="1"/>
  <c r="C1602" i="5"/>
  <c r="B1604" i="5" l="1"/>
  <c r="C1603" i="5"/>
  <c r="B1605" i="5" l="1"/>
  <c r="C1604" i="5"/>
  <c r="B1606" i="5" l="1"/>
  <c r="C1605" i="5"/>
  <c r="B1607" i="5" l="1"/>
  <c r="C1606" i="5"/>
  <c r="B1608" i="5" l="1"/>
  <c r="C1607" i="5"/>
  <c r="B1609" i="5" l="1"/>
  <c r="C1608" i="5"/>
  <c r="B1610" i="5" l="1"/>
  <c r="C1609" i="5"/>
  <c r="B1611" i="5" l="1"/>
  <c r="C1610" i="5"/>
  <c r="B1612" i="5" l="1"/>
  <c r="C1611" i="5"/>
  <c r="B1613" i="5" l="1"/>
  <c r="C1612" i="5"/>
  <c r="B1614" i="5" l="1"/>
  <c r="C1613" i="5"/>
  <c r="B1615" i="5" l="1"/>
  <c r="C1614" i="5"/>
  <c r="B1616" i="5" l="1"/>
  <c r="C1615" i="5"/>
  <c r="B1617" i="5" l="1"/>
  <c r="C1616" i="5"/>
  <c r="B1618" i="5" l="1"/>
  <c r="C1617" i="5"/>
  <c r="B1619" i="5" l="1"/>
  <c r="C1618" i="5"/>
  <c r="B1620" i="5" l="1"/>
  <c r="C1619" i="5"/>
  <c r="B1621" i="5" l="1"/>
  <c r="C1620" i="5"/>
  <c r="B1622" i="5" l="1"/>
  <c r="C1621" i="5"/>
  <c r="B1623" i="5" l="1"/>
  <c r="C1622" i="5"/>
  <c r="B1624" i="5" l="1"/>
  <c r="C1623" i="5"/>
  <c r="B1625" i="5" l="1"/>
  <c r="C1624" i="5"/>
  <c r="B1626" i="5" l="1"/>
  <c r="C1625" i="5"/>
  <c r="B1627" i="5" l="1"/>
  <c r="C1626" i="5"/>
  <c r="B1628" i="5" l="1"/>
  <c r="C1627" i="5"/>
  <c r="B1629" i="5" l="1"/>
  <c r="C1628" i="5"/>
  <c r="B1630" i="5" l="1"/>
  <c r="C1629" i="5"/>
  <c r="B1631" i="5" l="1"/>
  <c r="C1630" i="5"/>
  <c r="B1632" i="5" l="1"/>
  <c r="C1631" i="5"/>
  <c r="B1633" i="5" l="1"/>
  <c r="C1632" i="5"/>
  <c r="B1634" i="5" l="1"/>
  <c r="C1633" i="5"/>
  <c r="B1635" i="5" l="1"/>
  <c r="C1634" i="5"/>
  <c r="B1636" i="5" l="1"/>
  <c r="C1635" i="5"/>
  <c r="B1637" i="5" l="1"/>
  <c r="C1636" i="5"/>
  <c r="B1638" i="5" l="1"/>
  <c r="C1637" i="5"/>
  <c r="B1639" i="5" l="1"/>
  <c r="C1638" i="5"/>
  <c r="B1640" i="5" l="1"/>
  <c r="C1639" i="5"/>
  <c r="B1641" i="5" l="1"/>
  <c r="C1640" i="5"/>
  <c r="B1642" i="5" l="1"/>
  <c r="C1641" i="5"/>
  <c r="B1643" i="5" l="1"/>
  <c r="C1642" i="5"/>
  <c r="B1644" i="5" l="1"/>
  <c r="C1643" i="5"/>
  <c r="B1645" i="5" l="1"/>
  <c r="C1644" i="5"/>
  <c r="B1646" i="5" l="1"/>
  <c r="C1645" i="5"/>
  <c r="B1647" i="5" l="1"/>
  <c r="C1646" i="5"/>
  <c r="B1648" i="5" l="1"/>
  <c r="C1647" i="5"/>
  <c r="B1649" i="5" l="1"/>
  <c r="C1648" i="5"/>
  <c r="B1650" i="5" l="1"/>
  <c r="C1649" i="5"/>
  <c r="B1651" i="5" l="1"/>
  <c r="C1650" i="5"/>
  <c r="B1652" i="5" l="1"/>
  <c r="C1651" i="5"/>
  <c r="B1653" i="5" l="1"/>
  <c r="C1652" i="5"/>
  <c r="B1654" i="5" l="1"/>
  <c r="C1653" i="5"/>
  <c r="B1655" i="5" l="1"/>
  <c r="C1654" i="5"/>
  <c r="B1656" i="5" l="1"/>
  <c r="C1655" i="5"/>
  <c r="B1657" i="5" l="1"/>
  <c r="C1656" i="5"/>
  <c r="B1658" i="5" l="1"/>
  <c r="C1657" i="5"/>
  <c r="B1659" i="5" l="1"/>
  <c r="C1658" i="5"/>
  <c r="B1660" i="5" l="1"/>
  <c r="C1659" i="5"/>
  <c r="B1661" i="5" l="1"/>
  <c r="C1660" i="5"/>
  <c r="B1662" i="5" l="1"/>
  <c r="C1661" i="5"/>
  <c r="B1663" i="5" l="1"/>
  <c r="C1662" i="5"/>
  <c r="B1664" i="5" l="1"/>
  <c r="C1663" i="5"/>
  <c r="B1665" i="5" l="1"/>
  <c r="C1664" i="5"/>
  <c r="B1666" i="5" l="1"/>
  <c r="C1665" i="5"/>
  <c r="B1667" i="5" l="1"/>
  <c r="C1666" i="5"/>
  <c r="B1668" i="5" l="1"/>
  <c r="C1667" i="5"/>
  <c r="B1669" i="5" l="1"/>
  <c r="C1668" i="5"/>
  <c r="B1670" i="5" l="1"/>
  <c r="C1669" i="5"/>
  <c r="B1671" i="5" l="1"/>
  <c r="C1670" i="5"/>
  <c r="B1672" i="5" l="1"/>
  <c r="C1671" i="5"/>
  <c r="B1673" i="5" l="1"/>
  <c r="C1672" i="5"/>
  <c r="B1674" i="5" l="1"/>
  <c r="C1673" i="5"/>
  <c r="B1675" i="5" l="1"/>
  <c r="C1674" i="5"/>
  <c r="B1676" i="5" l="1"/>
  <c r="C1675" i="5"/>
  <c r="B1677" i="5" l="1"/>
  <c r="C1676" i="5"/>
  <c r="B1678" i="5" l="1"/>
  <c r="C1677" i="5"/>
  <c r="B1679" i="5" l="1"/>
  <c r="C1678" i="5"/>
  <c r="B1680" i="5" l="1"/>
  <c r="C1679" i="5"/>
  <c r="B1681" i="5" l="1"/>
  <c r="C1680" i="5"/>
  <c r="B1682" i="5" l="1"/>
  <c r="C1681" i="5"/>
  <c r="B1683" i="5" l="1"/>
  <c r="C1682" i="5"/>
  <c r="B1684" i="5" l="1"/>
  <c r="C1683" i="5"/>
  <c r="B1685" i="5" l="1"/>
  <c r="C1684" i="5"/>
  <c r="B1686" i="5" l="1"/>
  <c r="C1685" i="5"/>
  <c r="B1687" i="5" l="1"/>
  <c r="C1686" i="5"/>
  <c r="B1688" i="5" l="1"/>
  <c r="C1687" i="5"/>
  <c r="B1689" i="5" l="1"/>
  <c r="C1688" i="5"/>
  <c r="B1690" i="5" l="1"/>
  <c r="C1689" i="5"/>
  <c r="B1691" i="5" l="1"/>
  <c r="C1690" i="5"/>
  <c r="B1692" i="5" l="1"/>
  <c r="C1691" i="5"/>
  <c r="B1693" i="5" l="1"/>
  <c r="C1692" i="5"/>
  <c r="B1694" i="5" l="1"/>
  <c r="C1693" i="5"/>
  <c r="B1695" i="5" l="1"/>
  <c r="C1694" i="5"/>
  <c r="B1696" i="5" l="1"/>
  <c r="C1695" i="5"/>
  <c r="B1697" i="5" l="1"/>
  <c r="C1696" i="5"/>
  <c r="B1698" i="5" l="1"/>
  <c r="C1697" i="5"/>
  <c r="B1699" i="5" l="1"/>
  <c r="C1698" i="5"/>
  <c r="B1700" i="5" l="1"/>
  <c r="C1699" i="5"/>
  <c r="B1701" i="5" l="1"/>
  <c r="C1700" i="5"/>
  <c r="B1702" i="5" l="1"/>
  <c r="C1701" i="5"/>
  <c r="B1703" i="5" l="1"/>
  <c r="C1702" i="5"/>
  <c r="B1704" i="5" l="1"/>
  <c r="C1703" i="5"/>
  <c r="B1705" i="5" l="1"/>
  <c r="C1704" i="5"/>
  <c r="B1706" i="5" l="1"/>
  <c r="C1705" i="5"/>
  <c r="B1707" i="5" l="1"/>
  <c r="C1706" i="5"/>
  <c r="B1708" i="5" l="1"/>
  <c r="C1707" i="5"/>
  <c r="B1709" i="5" l="1"/>
  <c r="C1708" i="5"/>
  <c r="B1710" i="5" l="1"/>
  <c r="C1709" i="5"/>
  <c r="B1711" i="5" l="1"/>
  <c r="C1710" i="5"/>
  <c r="B1712" i="5" l="1"/>
  <c r="C1711" i="5"/>
  <c r="B1713" i="5" l="1"/>
  <c r="C1712" i="5"/>
  <c r="B1714" i="5" l="1"/>
  <c r="C1713" i="5"/>
  <c r="B1715" i="5" l="1"/>
  <c r="C1714" i="5"/>
  <c r="B1716" i="5" l="1"/>
  <c r="C1715" i="5"/>
  <c r="B1717" i="5" l="1"/>
  <c r="C1716" i="5"/>
  <c r="B1718" i="5" l="1"/>
  <c r="C1717" i="5"/>
  <c r="B1719" i="5" l="1"/>
  <c r="C1718" i="5"/>
  <c r="B1720" i="5" l="1"/>
  <c r="C1719" i="5"/>
  <c r="B1721" i="5" l="1"/>
  <c r="C1720" i="5"/>
  <c r="B1722" i="5" l="1"/>
  <c r="C1721" i="5"/>
  <c r="B1723" i="5" l="1"/>
  <c r="C1722" i="5"/>
  <c r="B1724" i="5" l="1"/>
  <c r="C1723" i="5"/>
  <c r="B1725" i="5" l="1"/>
  <c r="C1724" i="5"/>
  <c r="B1726" i="5" l="1"/>
  <c r="C1725" i="5"/>
  <c r="B1727" i="5" l="1"/>
  <c r="C1726" i="5"/>
  <c r="B1728" i="5" l="1"/>
  <c r="C1727" i="5"/>
  <c r="B1729" i="5" l="1"/>
  <c r="C1728" i="5"/>
  <c r="B1730" i="5" l="1"/>
  <c r="C1729" i="5"/>
  <c r="B1731" i="5" l="1"/>
  <c r="C1730" i="5"/>
  <c r="B1732" i="5" l="1"/>
  <c r="C1731" i="5"/>
  <c r="B1733" i="5" l="1"/>
  <c r="C1732" i="5"/>
  <c r="B1734" i="5" l="1"/>
  <c r="C1733" i="5"/>
  <c r="B1735" i="5" l="1"/>
  <c r="C1734" i="5"/>
  <c r="B1736" i="5" l="1"/>
  <c r="C1735" i="5"/>
  <c r="B1737" i="5" l="1"/>
  <c r="C1736" i="5"/>
  <c r="B1738" i="5" l="1"/>
  <c r="C1737" i="5"/>
  <c r="B1739" i="5" l="1"/>
  <c r="C1738" i="5"/>
  <c r="B1740" i="5" l="1"/>
  <c r="C1739" i="5"/>
  <c r="B1741" i="5" l="1"/>
  <c r="C1740" i="5"/>
  <c r="B1742" i="5" l="1"/>
  <c r="C1741" i="5"/>
  <c r="B1743" i="5" l="1"/>
  <c r="C1742" i="5"/>
  <c r="B1744" i="5" l="1"/>
  <c r="C1743" i="5"/>
  <c r="B1745" i="5" l="1"/>
  <c r="C1744" i="5"/>
  <c r="B1746" i="5" l="1"/>
  <c r="C1745" i="5"/>
  <c r="B1747" i="5" l="1"/>
  <c r="C1746" i="5"/>
  <c r="B1748" i="5" l="1"/>
  <c r="C1747" i="5"/>
  <c r="B1749" i="5" l="1"/>
  <c r="C1748" i="5"/>
  <c r="B1750" i="5" l="1"/>
  <c r="C1749" i="5"/>
  <c r="B1751" i="5" l="1"/>
  <c r="C1750" i="5"/>
  <c r="B1752" i="5" l="1"/>
  <c r="C1751" i="5"/>
  <c r="B1753" i="5" l="1"/>
  <c r="C1752" i="5"/>
  <c r="B1754" i="5" l="1"/>
  <c r="C1753" i="5"/>
  <c r="B1755" i="5" l="1"/>
  <c r="C1754" i="5"/>
  <c r="B1756" i="5" l="1"/>
  <c r="C1755" i="5"/>
  <c r="B1757" i="5" l="1"/>
  <c r="C1756" i="5"/>
  <c r="B1758" i="5" l="1"/>
  <c r="C1757" i="5"/>
  <c r="B1759" i="5" l="1"/>
  <c r="C1758" i="5"/>
  <c r="B1760" i="5" l="1"/>
  <c r="C1759" i="5"/>
  <c r="B1761" i="5" l="1"/>
  <c r="C1760" i="5"/>
  <c r="B1762" i="5" l="1"/>
  <c r="C1761" i="5"/>
  <c r="B1763" i="5" l="1"/>
  <c r="C1762" i="5"/>
  <c r="B1764" i="5" l="1"/>
  <c r="C1763" i="5"/>
  <c r="B1765" i="5" l="1"/>
  <c r="C1764" i="5"/>
  <c r="B1766" i="5" l="1"/>
  <c r="C1765" i="5"/>
  <c r="B1767" i="5" l="1"/>
  <c r="C1766" i="5"/>
  <c r="B1768" i="5" l="1"/>
  <c r="C1767" i="5"/>
  <c r="B1769" i="5" l="1"/>
  <c r="C1768" i="5"/>
  <c r="B1770" i="5" l="1"/>
  <c r="C1769" i="5"/>
  <c r="B1771" i="5" l="1"/>
  <c r="C1770" i="5"/>
  <c r="B1772" i="5" l="1"/>
  <c r="C1771" i="5"/>
  <c r="B1773" i="5" l="1"/>
  <c r="C1772" i="5"/>
  <c r="B1774" i="5" l="1"/>
  <c r="C1773" i="5"/>
  <c r="B1775" i="5" l="1"/>
  <c r="C1774" i="5"/>
  <c r="B1776" i="5" l="1"/>
  <c r="C1775" i="5"/>
  <c r="B1777" i="5" l="1"/>
  <c r="C1776" i="5"/>
  <c r="B1778" i="5" l="1"/>
  <c r="C1777" i="5"/>
  <c r="B1779" i="5" l="1"/>
  <c r="C1778" i="5"/>
  <c r="B1780" i="5" l="1"/>
  <c r="C1779" i="5"/>
  <c r="B1781" i="5" l="1"/>
  <c r="C1780" i="5"/>
  <c r="B1782" i="5" l="1"/>
  <c r="C1781" i="5"/>
  <c r="B1783" i="5" l="1"/>
  <c r="C1782" i="5"/>
  <c r="B1784" i="5" l="1"/>
  <c r="C1783" i="5"/>
  <c r="B1785" i="5" l="1"/>
  <c r="C1784" i="5"/>
  <c r="B1786" i="5" l="1"/>
  <c r="C1785" i="5"/>
  <c r="B1787" i="5" l="1"/>
  <c r="C1786" i="5"/>
  <c r="B1788" i="5" l="1"/>
  <c r="C1787" i="5"/>
  <c r="B1789" i="5" l="1"/>
  <c r="C1788" i="5"/>
  <c r="B1790" i="5" l="1"/>
  <c r="C1789" i="5"/>
  <c r="B1791" i="5" l="1"/>
  <c r="C1790" i="5"/>
  <c r="B1792" i="5" l="1"/>
  <c r="C1791" i="5"/>
  <c r="B1793" i="5" l="1"/>
  <c r="C1792" i="5"/>
  <c r="B1794" i="5" l="1"/>
  <c r="C1793" i="5"/>
  <c r="B1795" i="5" l="1"/>
  <c r="C1794" i="5"/>
  <c r="B1796" i="5" l="1"/>
  <c r="C1795" i="5"/>
  <c r="B1797" i="5" l="1"/>
  <c r="C1796" i="5"/>
  <c r="B1798" i="5" l="1"/>
  <c r="C1797" i="5"/>
  <c r="B1799" i="5" l="1"/>
  <c r="C1798" i="5"/>
  <c r="B1800" i="5" l="1"/>
  <c r="C1799" i="5"/>
  <c r="B1801" i="5" l="1"/>
  <c r="C1800" i="5"/>
  <c r="B1802" i="5" l="1"/>
  <c r="C1801" i="5"/>
  <c r="B1803" i="5" l="1"/>
  <c r="C1802" i="5"/>
  <c r="B1804" i="5" l="1"/>
  <c r="C1803" i="5"/>
  <c r="B1805" i="5" l="1"/>
  <c r="C1804" i="5"/>
  <c r="B1806" i="5" l="1"/>
  <c r="C1805" i="5"/>
  <c r="B1807" i="5" l="1"/>
  <c r="C1806" i="5"/>
  <c r="B1808" i="5" l="1"/>
  <c r="C1807" i="5"/>
  <c r="B1809" i="5" l="1"/>
  <c r="C1808" i="5"/>
  <c r="B1810" i="5" l="1"/>
  <c r="C1809" i="5"/>
  <c r="B1811" i="5" l="1"/>
  <c r="C1810" i="5"/>
  <c r="B1812" i="5" l="1"/>
  <c r="C1811" i="5"/>
  <c r="B1813" i="5" l="1"/>
  <c r="C1812" i="5"/>
  <c r="B1814" i="5" l="1"/>
  <c r="C1813" i="5"/>
  <c r="B1815" i="5" l="1"/>
  <c r="C1814" i="5"/>
  <c r="B1816" i="5" l="1"/>
  <c r="C1815" i="5"/>
  <c r="B1817" i="5" l="1"/>
  <c r="C1816" i="5"/>
  <c r="B1818" i="5" l="1"/>
  <c r="C1817" i="5"/>
  <c r="B1819" i="5" l="1"/>
  <c r="C1818" i="5"/>
  <c r="B1820" i="5" l="1"/>
  <c r="C1819" i="5"/>
  <c r="B1821" i="5" l="1"/>
  <c r="C1820" i="5"/>
  <c r="B1822" i="5" l="1"/>
  <c r="C1821" i="5"/>
  <c r="B1823" i="5" l="1"/>
  <c r="C1822" i="5"/>
  <c r="B1824" i="5" l="1"/>
  <c r="C1823" i="5"/>
  <c r="B1825" i="5" l="1"/>
  <c r="C1824" i="5"/>
  <c r="B1826" i="5" l="1"/>
  <c r="C1825" i="5"/>
  <c r="B1827" i="5" l="1"/>
  <c r="C1826" i="5"/>
  <c r="B1828" i="5" l="1"/>
  <c r="C1827" i="5"/>
  <c r="B1829" i="5" l="1"/>
  <c r="C1828" i="5"/>
  <c r="B1830" i="5" l="1"/>
  <c r="C1829" i="5"/>
  <c r="B1831" i="5" l="1"/>
  <c r="C1830" i="5"/>
  <c r="B1832" i="5" l="1"/>
  <c r="C1831" i="5"/>
  <c r="B1833" i="5" l="1"/>
  <c r="C1832" i="5"/>
  <c r="B1834" i="5" l="1"/>
  <c r="C1833" i="5"/>
  <c r="B1835" i="5" l="1"/>
  <c r="C1834" i="5"/>
  <c r="B1836" i="5" l="1"/>
  <c r="C1835" i="5"/>
  <c r="B1837" i="5" l="1"/>
  <c r="C1836" i="5"/>
  <c r="B1838" i="5" l="1"/>
  <c r="C1837" i="5"/>
  <c r="B1839" i="5" l="1"/>
  <c r="C1838" i="5"/>
  <c r="B1840" i="5" l="1"/>
  <c r="C1839" i="5"/>
  <c r="B1841" i="5" l="1"/>
  <c r="C1840" i="5"/>
  <c r="B1842" i="5" l="1"/>
  <c r="C1841" i="5"/>
  <c r="B1843" i="5" l="1"/>
  <c r="C1842" i="5"/>
  <c r="B1844" i="5" l="1"/>
  <c r="C1843" i="5"/>
  <c r="B1845" i="5" l="1"/>
  <c r="C1844" i="5"/>
  <c r="B1846" i="5" l="1"/>
  <c r="C1845" i="5"/>
  <c r="B1847" i="5" l="1"/>
  <c r="C1846" i="5"/>
  <c r="B1848" i="5" l="1"/>
  <c r="C1847" i="5"/>
  <c r="B1849" i="5" l="1"/>
  <c r="C1848" i="5"/>
  <c r="B1850" i="5" l="1"/>
  <c r="C1849" i="5"/>
  <c r="B1851" i="5" l="1"/>
  <c r="C1850" i="5"/>
  <c r="B1852" i="5" l="1"/>
  <c r="C1851" i="5"/>
  <c r="B1853" i="5" l="1"/>
  <c r="C1852" i="5"/>
  <c r="B1854" i="5" l="1"/>
  <c r="C1853" i="5"/>
  <c r="B1855" i="5" l="1"/>
  <c r="C1854" i="5"/>
  <c r="B1856" i="5" l="1"/>
  <c r="C1855" i="5"/>
  <c r="B1857" i="5" l="1"/>
  <c r="C1856" i="5"/>
  <c r="B1858" i="5" l="1"/>
  <c r="C1857" i="5"/>
  <c r="B1859" i="5" l="1"/>
  <c r="C1858" i="5"/>
  <c r="B1860" i="5" l="1"/>
  <c r="C1859" i="5"/>
  <c r="B1861" i="5" l="1"/>
  <c r="C1860" i="5"/>
  <c r="B1862" i="5" l="1"/>
  <c r="C1861" i="5"/>
  <c r="B1863" i="5" l="1"/>
  <c r="C1862" i="5"/>
  <c r="B1864" i="5" l="1"/>
  <c r="C1863" i="5"/>
  <c r="B1865" i="5" l="1"/>
  <c r="C1864" i="5"/>
  <c r="B1866" i="5" l="1"/>
  <c r="C1865" i="5"/>
  <c r="B1867" i="5" l="1"/>
  <c r="C1866" i="5"/>
  <c r="B1868" i="5" l="1"/>
  <c r="C1867" i="5"/>
  <c r="B1869" i="5" l="1"/>
  <c r="C1868" i="5"/>
  <c r="B1870" i="5" l="1"/>
  <c r="C1869" i="5"/>
  <c r="B1871" i="5" l="1"/>
  <c r="C1870" i="5"/>
  <c r="B1872" i="5" l="1"/>
  <c r="C1871" i="5"/>
  <c r="B1873" i="5" l="1"/>
  <c r="C1872" i="5"/>
  <c r="B1874" i="5" l="1"/>
  <c r="C1873" i="5"/>
  <c r="B1875" i="5" l="1"/>
  <c r="C1874" i="5"/>
  <c r="B1876" i="5" l="1"/>
  <c r="C1875" i="5"/>
  <c r="B1877" i="5" l="1"/>
  <c r="C1876" i="5"/>
  <c r="B1878" i="5" l="1"/>
  <c r="C1877" i="5"/>
  <c r="B1879" i="5" l="1"/>
  <c r="C1878" i="5"/>
  <c r="B1880" i="5" l="1"/>
  <c r="C1879" i="5"/>
  <c r="B1881" i="5" l="1"/>
  <c r="C1880" i="5"/>
  <c r="B1882" i="5" l="1"/>
  <c r="C1881" i="5"/>
  <c r="B1883" i="5" l="1"/>
  <c r="C1882" i="5"/>
  <c r="B1884" i="5" l="1"/>
  <c r="C1883" i="5"/>
  <c r="B1885" i="5" l="1"/>
  <c r="C1884" i="5"/>
  <c r="B1886" i="5" l="1"/>
  <c r="C1885" i="5"/>
  <c r="B1887" i="5" l="1"/>
  <c r="C1886" i="5"/>
  <c r="B1888" i="5" l="1"/>
  <c r="C1887" i="5"/>
  <c r="B1889" i="5" l="1"/>
  <c r="C1888" i="5"/>
  <c r="B1890" i="5" l="1"/>
  <c r="C1889" i="5"/>
  <c r="B1891" i="5" l="1"/>
  <c r="C1890" i="5"/>
  <c r="B1892" i="5" l="1"/>
  <c r="C1891" i="5"/>
  <c r="B1893" i="5" l="1"/>
  <c r="C1892" i="5"/>
  <c r="B1894" i="5" l="1"/>
  <c r="C1893" i="5"/>
  <c r="B1895" i="5" l="1"/>
  <c r="C1894" i="5"/>
  <c r="B1896" i="5" l="1"/>
  <c r="C1895" i="5"/>
  <c r="B1897" i="5" l="1"/>
  <c r="C1896" i="5"/>
  <c r="B1898" i="5" l="1"/>
  <c r="C1897" i="5"/>
  <c r="B1899" i="5" l="1"/>
  <c r="C1898" i="5"/>
  <c r="B1900" i="5" l="1"/>
  <c r="C1899" i="5"/>
  <c r="B1901" i="5" l="1"/>
  <c r="C1900" i="5"/>
  <c r="B1902" i="5" l="1"/>
  <c r="C1901" i="5"/>
  <c r="B1903" i="5" l="1"/>
  <c r="C1902" i="5"/>
  <c r="B1904" i="5" l="1"/>
  <c r="C1903" i="5"/>
  <c r="B1905" i="5" l="1"/>
  <c r="C1904" i="5"/>
  <c r="B1906" i="5" l="1"/>
  <c r="C1905" i="5"/>
  <c r="B1907" i="5" l="1"/>
  <c r="C1906" i="5"/>
  <c r="B1908" i="5" l="1"/>
  <c r="C1907" i="5"/>
  <c r="B1909" i="5" l="1"/>
  <c r="C1908" i="5"/>
  <c r="B1910" i="5" l="1"/>
  <c r="C1909" i="5"/>
  <c r="B1911" i="5" l="1"/>
  <c r="C1910" i="5"/>
  <c r="B1912" i="5" l="1"/>
  <c r="C1911" i="5"/>
  <c r="B1913" i="5" l="1"/>
  <c r="C1912" i="5"/>
  <c r="B1914" i="5" l="1"/>
  <c r="C1913" i="5"/>
  <c r="B1915" i="5" l="1"/>
  <c r="C1914" i="5"/>
  <c r="B1916" i="5" l="1"/>
  <c r="C1915" i="5"/>
  <c r="B1917" i="5" l="1"/>
  <c r="C1916" i="5"/>
  <c r="B1918" i="5" l="1"/>
  <c r="C1917" i="5"/>
  <c r="B1919" i="5" l="1"/>
  <c r="C1918" i="5"/>
  <c r="B1920" i="5" l="1"/>
  <c r="C1919" i="5"/>
  <c r="B1921" i="5" l="1"/>
  <c r="C1920" i="5"/>
  <c r="B1922" i="5" l="1"/>
  <c r="C1921" i="5"/>
  <c r="B1923" i="5" l="1"/>
  <c r="C1922" i="5"/>
  <c r="B1924" i="5" l="1"/>
  <c r="C1923" i="5"/>
  <c r="B1925" i="5" l="1"/>
  <c r="C1924" i="5"/>
  <c r="B1926" i="5" l="1"/>
  <c r="C1925" i="5"/>
  <c r="B1927" i="5" l="1"/>
  <c r="C1926" i="5"/>
  <c r="B1928" i="5" l="1"/>
  <c r="C1927" i="5"/>
  <c r="B1929" i="5" l="1"/>
  <c r="C1928" i="5"/>
  <c r="B1930" i="5" l="1"/>
  <c r="C1929" i="5"/>
  <c r="B1931" i="5" l="1"/>
  <c r="C1930" i="5"/>
  <c r="B1932" i="5" l="1"/>
  <c r="C1931" i="5"/>
  <c r="B1933" i="5" l="1"/>
  <c r="C1932" i="5"/>
  <c r="B1934" i="5" l="1"/>
  <c r="C1933" i="5"/>
  <c r="B1935" i="5" l="1"/>
  <c r="C1934" i="5"/>
  <c r="B1936" i="5" l="1"/>
  <c r="C1935" i="5"/>
  <c r="B1937" i="5" l="1"/>
  <c r="C1936" i="5"/>
  <c r="B1938" i="5" l="1"/>
  <c r="C1937" i="5"/>
  <c r="B1939" i="5" l="1"/>
  <c r="C1938" i="5"/>
  <c r="B1940" i="5" l="1"/>
  <c r="C1939" i="5"/>
  <c r="B1941" i="5" l="1"/>
  <c r="C1940" i="5"/>
  <c r="B1942" i="5" l="1"/>
  <c r="C1941" i="5"/>
  <c r="B1943" i="5" l="1"/>
  <c r="C1942" i="5"/>
  <c r="B1944" i="5" l="1"/>
  <c r="C1943" i="5"/>
  <c r="B1945" i="5" l="1"/>
  <c r="C1944" i="5"/>
  <c r="B1946" i="5" l="1"/>
  <c r="C1945" i="5"/>
  <c r="B1947" i="5" l="1"/>
  <c r="C1946" i="5"/>
  <c r="B1948" i="5" l="1"/>
  <c r="C1947" i="5"/>
  <c r="B1949" i="5" l="1"/>
  <c r="C1948" i="5"/>
  <c r="B1950" i="5" l="1"/>
  <c r="C1949" i="5"/>
  <c r="B1951" i="5" l="1"/>
  <c r="C1950" i="5"/>
  <c r="B1952" i="5" l="1"/>
  <c r="C1951" i="5"/>
  <c r="B1953" i="5" l="1"/>
  <c r="C1952" i="5"/>
  <c r="B1954" i="5" l="1"/>
  <c r="C1953" i="5"/>
  <c r="B1955" i="5" l="1"/>
  <c r="C1954" i="5"/>
  <c r="B1956" i="5" l="1"/>
  <c r="C1955" i="5"/>
  <c r="B1957" i="5" l="1"/>
  <c r="C1956" i="5"/>
  <c r="B1958" i="5" l="1"/>
  <c r="C1957" i="5"/>
  <c r="B1959" i="5" l="1"/>
  <c r="C1958" i="5"/>
  <c r="B1960" i="5" l="1"/>
  <c r="C1959" i="5"/>
  <c r="B1961" i="5" l="1"/>
  <c r="C1960" i="5"/>
  <c r="B1962" i="5" l="1"/>
  <c r="C1961" i="5"/>
  <c r="B1963" i="5" l="1"/>
  <c r="C1962" i="5"/>
  <c r="B1964" i="5" l="1"/>
  <c r="C1963" i="5"/>
  <c r="B1965" i="5" l="1"/>
  <c r="C1964" i="5"/>
  <c r="B1966" i="5" l="1"/>
  <c r="C1965" i="5"/>
  <c r="B1967" i="5" l="1"/>
  <c r="C1966" i="5"/>
  <c r="B1968" i="5" l="1"/>
  <c r="C1967" i="5"/>
  <c r="B1969" i="5" l="1"/>
  <c r="C1968" i="5"/>
  <c r="B1970" i="5" l="1"/>
  <c r="C1969" i="5"/>
  <c r="B1971" i="5" l="1"/>
  <c r="C1970" i="5"/>
  <c r="B1972" i="5" l="1"/>
  <c r="C1971" i="5"/>
  <c r="B1973" i="5" l="1"/>
  <c r="C1972" i="5"/>
  <c r="B1974" i="5" l="1"/>
  <c r="C1973" i="5"/>
  <c r="B1975" i="5" l="1"/>
  <c r="C1974" i="5"/>
  <c r="B1976" i="5" l="1"/>
  <c r="C1975" i="5"/>
  <c r="B1977" i="5" l="1"/>
  <c r="C1976" i="5"/>
  <c r="B1978" i="5" l="1"/>
  <c r="C1977" i="5"/>
  <c r="B1979" i="5" l="1"/>
  <c r="C1978" i="5"/>
  <c r="B1980" i="5" l="1"/>
  <c r="C1979" i="5"/>
  <c r="B1981" i="5" l="1"/>
  <c r="C1980" i="5"/>
  <c r="B1982" i="5" l="1"/>
  <c r="C1981" i="5"/>
  <c r="B1983" i="5" l="1"/>
  <c r="C1982" i="5"/>
  <c r="B1984" i="5" l="1"/>
  <c r="C1983" i="5"/>
  <c r="B1985" i="5" l="1"/>
  <c r="C1984" i="5"/>
  <c r="B1986" i="5" l="1"/>
  <c r="C1985" i="5"/>
  <c r="B1987" i="5" l="1"/>
  <c r="C1986" i="5"/>
  <c r="B1988" i="5" l="1"/>
  <c r="C1987" i="5"/>
  <c r="B1989" i="5" l="1"/>
  <c r="C1988" i="5"/>
  <c r="B1990" i="5" l="1"/>
  <c r="C1989" i="5"/>
  <c r="B1991" i="5" l="1"/>
  <c r="C1990" i="5"/>
  <c r="B1992" i="5" l="1"/>
  <c r="C1991" i="5"/>
  <c r="B1993" i="5" l="1"/>
  <c r="C1992" i="5"/>
  <c r="B1994" i="5" l="1"/>
  <c r="C1993" i="5"/>
  <c r="B1995" i="5" l="1"/>
  <c r="C1994" i="5"/>
  <c r="B1996" i="5" l="1"/>
  <c r="C1995" i="5"/>
  <c r="B1997" i="5" l="1"/>
  <c r="C1996" i="5"/>
  <c r="B1998" i="5" l="1"/>
  <c r="C1997" i="5"/>
  <c r="B1999" i="5" l="1"/>
  <c r="C1998" i="5"/>
  <c r="B2000" i="5" l="1"/>
  <c r="C1999" i="5"/>
  <c r="B2001" i="5" l="1"/>
  <c r="C2000" i="5"/>
  <c r="B2002" i="5" l="1"/>
  <c r="C2001" i="5"/>
  <c r="B2003" i="5" l="1"/>
  <c r="C2002" i="5"/>
  <c r="B2004" i="5" l="1"/>
  <c r="C2003" i="5"/>
  <c r="B2005" i="5" l="1"/>
  <c r="C2004" i="5"/>
  <c r="B2006" i="5" l="1"/>
  <c r="C2005" i="5"/>
  <c r="B2007" i="5" l="1"/>
  <c r="C2006" i="5"/>
  <c r="B2008" i="5" l="1"/>
  <c r="C2007" i="5"/>
  <c r="B2009" i="5" l="1"/>
  <c r="C2008" i="5"/>
  <c r="B2010" i="5" l="1"/>
  <c r="C2009" i="5"/>
  <c r="B2011" i="5" l="1"/>
  <c r="C2010" i="5"/>
  <c r="B2012" i="5" l="1"/>
  <c r="C2011" i="5"/>
  <c r="B2013" i="5" l="1"/>
  <c r="C2012" i="5"/>
  <c r="B2014" i="5" l="1"/>
  <c r="C2013" i="5"/>
  <c r="B2015" i="5" l="1"/>
  <c r="C2014" i="5"/>
  <c r="B2016" i="5" l="1"/>
  <c r="C2015" i="5"/>
  <c r="B2017" i="5" l="1"/>
  <c r="C2016" i="5"/>
  <c r="B2018" i="5" l="1"/>
  <c r="C2017" i="5"/>
  <c r="B2019" i="5" l="1"/>
  <c r="C2018" i="5"/>
  <c r="B2020" i="5" l="1"/>
  <c r="C2019" i="5"/>
  <c r="B2021" i="5" l="1"/>
  <c r="C2020" i="5"/>
  <c r="B2022" i="5" l="1"/>
  <c r="C2021" i="5"/>
  <c r="B2023" i="5" l="1"/>
  <c r="C2022" i="5"/>
  <c r="B2024" i="5" l="1"/>
  <c r="C2023" i="5"/>
  <c r="B2025" i="5" l="1"/>
  <c r="C2024" i="5"/>
  <c r="B2026" i="5" l="1"/>
  <c r="C2025" i="5"/>
  <c r="B2027" i="5" l="1"/>
  <c r="C2026" i="5"/>
  <c r="B2028" i="5" l="1"/>
  <c r="C2027" i="5"/>
  <c r="B2029" i="5" l="1"/>
  <c r="C2028" i="5"/>
  <c r="B2030" i="5" l="1"/>
  <c r="C2029" i="5"/>
  <c r="B2031" i="5" l="1"/>
  <c r="C2030" i="5"/>
  <c r="B2032" i="5" l="1"/>
  <c r="C2031" i="5"/>
  <c r="B2033" i="5" l="1"/>
  <c r="C2032" i="5"/>
  <c r="B2034" i="5" l="1"/>
  <c r="C2033" i="5"/>
  <c r="B2035" i="5" l="1"/>
  <c r="C2034" i="5"/>
  <c r="B2036" i="5" l="1"/>
  <c r="C2035" i="5"/>
  <c r="B2037" i="5" l="1"/>
  <c r="C2036" i="5"/>
  <c r="B2038" i="5" l="1"/>
  <c r="C2037" i="5"/>
  <c r="B2039" i="5" l="1"/>
  <c r="C2038" i="5"/>
  <c r="B2040" i="5" l="1"/>
  <c r="C2039" i="5"/>
  <c r="B2041" i="5" l="1"/>
  <c r="C2040" i="5"/>
  <c r="B2042" i="5" l="1"/>
  <c r="C2041" i="5"/>
  <c r="B2043" i="5" l="1"/>
  <c r="C2042" i="5"/>
  <c r="B2044" i="5" l="1"/>
  <c r="C2043" i="5"/>
  <c r="B2045" i="5" l="1"/>
  <c r="C2044" i="5"/>
  <c r="B2046" i="5" l="1"/>
  <c r="C2045" i="5"/>
  <c r="B2047" i="5" l="1"/>
  <c r="C2046" i="5"/>
  <c r="B2048" i="5" l="1"/>
  <c r="C2047" i="5"/>
  <c r="B2049" i="5" l="1"/>
  <c r="C2048" i="5"/>
  <c r="B2050" i="5" l="1"/>
  <c r="C2049" i="5"/>
  <c r="B2051" i="5" l="1"/>
  <c r="C2050" i="5"/>
  <c r="B2052" i="5" l="1"/>
  <c r="C2051" i="5"/>
  <c r="B2053" i="5" l="1"/>
  <c r="C2052" i="5"/>
  <c r="B2054" i="5" l="1"/>
  <c r="C2053" i="5"/>
  <c r="B2055" i="5" l="1"/>
  <c r="C2054" i="5"/>
  <c r="B2056" i="5" l="1"/>
  <c r="C2055" i="5"/>
  <c r="B2057" i="5" l="1"/>
  <c r="C2056" i="5"/>
  <c r="B2058" i="5" l="1"/>
  <c r="C2057" i="5"/>
  <c r="B2059" i="5" l="1"/>
  <c r="C2058" i="5"/>
  <c r="B2060" i="5" l="1"/>
  <c r="C2059" i="5"/>
  <c r="B2061" i="5" l="1"/>
  <c r="C2060" i="5"/>
  <c r="B2062" i="5" l="1"/>
  <c r="C2061" i="5"/>
  <c r="B2063" i="5" l="1"/>
  <c r="C2062" i="5"/>
  <c r="B2064" i="5" l="1"/>
  <c r="C2063" i="5"/>
  <c r="B2065" i="5" l="1"/>
  <c r="C2064" i="5"/>
  <c r="B2066" i="5" l="1"/>
  <c r="C2065" i="5"/>
  <c r="B2067" i="5" l="1"/>
  <c r="C2066" i="5"/>
  <c r="B2068" i="5" l="1"/>
  <c r="C2067" i="5"/>
  <c r="B2069" i="5" l="1"/>
  <c r="C2068" i="5"/>
  <c r="B2070" i="5" l="1"/>
  <c r="C2069" i="5"/>
  <c r="B2071" i="5" l="1"/>
  <c r="C2070" i="5"/>
  <c r="B2072" i="5" l="1"/>
  <c r="C2071" i="5"/>
  <c r="B2073" i="5" l="1"/>
  <c r="C2072" i="5"/>
  <c r="B2074" i="5" l="1"/>
  <c r="C2073" i="5"/>
  <c r="B2075" i="5" l="1"/>
  <c r="C2074" i="5"/>
  <c r="B2076" i="5" l="1"/>
  <c r="C2075" i="5"/>
  <c r="B2077" i="5" l="1"/>
  <c r="C2076" i="5"/>
  <c r="B2078" i="5" l="1"/>
  <c r="C2077" i="5"/>
  <c r="B2079" i="5" l="1"/>
  <c r="C2078" i="5"/>
  <c r="B2080" i="5" l="1"/>
  <c r="C2079" i="5"/>
  <c r="B2081" i="5" l="1"/>
  <c r="C2080" i="5"/>
  <c r="B2082" i="5" l="1"/>
  <c r="C2081" i="5"/>
  <c r="B2083" i="5" l="1"/>
  <c r="C2082" i="5"/>
  <c r="B2084" i="5" l="1"/>
  <c r="C2083" i="5"/>
  <c r="B2085" i="5" l="1"/>
  <c r="C2084" i="5"/>
  <c r="B2086" i="5" l="1"/>
  <c r="C2085" i="5"/>
  <c r="B2087" i="5" l="1"/>
  <c r="C2086" i="5"/>
  <c r="B2088" i="5" l="1"/>
  <c r="C2087" i="5"/>
  <c r="B2089" i="5" l="1"/>
  <c r="C2088" i="5"/>
  <c r="B2090" i="5" l="1"/>
  <c r="C2089" i="5"/>
  <c r="B2091" i="5" l="1"/>
  <c r="C2090" i="5"/>
  <c r="B2092" i="5" l="1"/>
  <c r="C2091" i="5"/>
  <c r="B2093" i="5" l="1"/>
  <c r="C2092" i="5"/>
  <c r="B2094" i="5" l="1"/>
  <c r="C2093" i="5"/>
  <c r="B2095" i="5" l="1"/>
  <c r="C2094" i="5"/>
  <c r="B2096" i="5" l="1"/>
  <c r="C2095" i="5"/>
  <c r="B2097" i="5" l="1"/>
  <c r="C2096" i="5"/>
  <c r="B2098" i="5" l="1"/>
  <c r="C2097" i="5"/>
  <c r="B2099" i="5" l="1"/>
  <c r="C2098" i="5"/>
  <c r="B2100" i="5" l="1"/>
  <c r="C2099" i="5"/>
  <c r="B2101" i="5" l="1"/>
  <c r="C2100" i="5"/>
  <c r="B2102" i="5" l="1"/>
  <c r="C2101" i="5"/>
  <c r="B2103" i="5" l="1"/>
  <c r="C2102" i="5"/>
  <c r="B2104" i="5" l="1"/>
  <c r="C2103" i="5"/>
  <c r="B2105" i="5" l="1"/>
  <c r="C2104" i="5"/>
  <c r="B2106" i="5" l="1"/>
  <c r="C2105" i="5"/>
  <c r="B2107" i="5" l="1"/>
  <c r="C2106" i="5"/>
  <c r="B2108" i="5" l="1"/>
  <c r="C2107" i="5"/>
  <c r="B2109" i="5" l="1"/>
  <c r="C2108" i="5"/>
  <c r="B2110" i="5" l="1"/>
  <c r="C2109" i="5"/>
  <c r="B2111" i="5" l="1"/>
  <c r="C2110" i="5"/>
  <c r="B2112" i="5" l="1"/>
  <c r="C2111" i="5"/>
  <c r="B2113" i="5" l="1"/>
  <c r="C2112" i="5"/>
  <c r="B2114" i="5" l="1"/>
  <c r="C2113" i="5"/>
  <c r="B2115" i="5" l="1"/>
  <c r="C2114" i="5"/>
  <c r="B2116" i="5" l="1"/>
  <c r="C2115" i="5"/>
  <c r="B2117" i="5" l="1"/>
  <c r="C2116" i="5"/>
  <c r="B2118" i="5" l="1"/>
  <c r="C2117" i="5"/>
  <c r="B2119" i="5" l="1"/>
  <c r="C2118" i="5"/>
  <c r="B2120" i="5" l="1"/>
  <c r="C2119" i="5"/>
  <c r="B2121" i="5" l="1"/>
  <c r="C2120" i="5"/>
  <c r="B2122" i="5" l="1"/>
  <c r="C2121" i="5"/>
  <c r="B2123" i="5" l="1"/>
  <c r="C2122" i="5"/>
  <c r="B2124" i="5" l="1"/>
  <c r="C2123" i="5"/>
  <c r="B2125" i="5" l="1"/>
  <c r="C2124" i="5"/>
  <c r="B2126" i="5" l="1"/>
  <c r="C2125" i="5"/>
  <c r="B2127" i="5" l="1"/>
  <c r="C2126" i="5"/>
  <c r="B2128" i="5" l="1"/>
  <c r="C2127" i="5"/>
  <c r="B2129" i="5" l="1"/>
  <c r="C2128" i="5"/>
  <c r="B2130" i="5" l="1"/>
  <c r="C2129" i="5"/>
  <c r="B2131" i="5" l="1"/>
  <c r="C2130" i="5"/>
  <c r="B2132" i="5" l="1"/>
  <c r="C2131" i="5"/>
  <c r="B2133" i="5" l="1"/>
  <c r="C2132" i="5"/>
  <c r="B2134" i="5" l="1"/>
  <c r="C2133" i="5"/>
  <c r="B2135" i="5" l="1"/>
  <c r="C2134" i="5"/>
  <c r="B2136" i="5" l="1"/>
  <c r="C2135" i="5"/>
  <c r="B2137" i="5" l="1"/>
  <c r="C2136" i="5"/>
  <c r="B2138" i="5" l="1"/>
  <c r="C2137" i="5"/>
  <c r="B2139" i="5" l="1"/>
  <c r="C2138" i="5"/>
  <c r="B2140" i="5" l="1"/>
  <c r="C2139" i="5"/>
  <c r="B2141" i="5" l="1"/>
  <c r="C2140" i="5"/>
  <c r="B2142" i="5" l="1"/>
  <c r="C2141" i="5"/>
  <c r="B2143" i="5" l="1"/>
  <c r="C2142" i="5"/>
  <c r="B2144" i="5" l="1"/>
  <c r="C2143" i="5"/>
  <c r="B2145" i="5" l="1"/>
  <c r="C2144" i="5"/>
  <c r="B2146" i="5" l="1"/>
  <c r="C2145" i="5"/>
  <c r="B2147" i="5" l="1"/>
  <c r="C2146" i="5"/>
  <c r="B2148" i="5" l="1"/>
  <c r="C2147" i="5"/>
  <c r="B2149" i="5" l="1"/>
  <c r="C2148" i="5"/>
  <c r="B2150" i="5" l="1"/>
  <c r="C2149" i="5"/>
  <c r="B2151" i="5" l="1"/>
  <c r="C2150" i="5"/>
  <c r="B2152" i="5" l="1"/>
  <c r="C2151" i="5"/>
  <c r="B2153" i="5" l="1"/>
  <c r="C2152" i="5"/>
  <c r="B2154" i="5" l="1"/>
  <c r="C2153" i="5"/>
  <c r="B2155" i="5" l="1"/>
  <c r="C2154" i="5"/>
  <c r="B2156" i="5" l="1"/>
  <c r="C2155" i="5"/>
  <c r="B2157" i="5" l="1"/>
  <c r="C2156" i="5"/>
  <c r="B2158" i="5" l="1"/>
  <c r="C2157" i="5"/>
  <c r="B2159" i="5" l="1"/>
  <c r="C2158" i="5"/>
  <c r="B2160" i="5" l="1"/>
  <c r="C2159" i="5"/>
  <c r="B2161" i="5" l="1"/>
  <c r="C2160" i="5"/>
  <c r="B2162" i="5" l="1"/>
  <c r="C2161" i="5"/>
  <c r="B2163" i="5" l="1"/>
  <c r="C2162" i="5"/>
  <c r="B2164" i="5" l="1"/>
  <c r="C2163" i="5"/>
  <c r="B2165" i="5" l="1"/>
  <c r="C2164" i="5"/>
  <c r="B2166" i="5" l="1"/>
  <c r="C2165" i="5"/>
  <c r="B2167" i="5" l="1"/>
  <c r="C2166" i="5"/>
  <c r="B2168" i="5" l="1"/>
  <c r="C2167" i="5"/>
  <c r="B2169" i="5" l="1"/>
  <c r="C2168" i="5"/>
  <c r="B2170" i="5" l="1"/>
  <c r="C2169" i="5"/>
  <c r="B2171" i="5" l="1"/>
  <c r="C2170" i="5"/>
  <c r="B2172" i="5" l="1"/>
  <c r="C2171" i="5"/>
  <c r="B2173" i="5" l="1"/>
  <c r="C2172" i="5"/>
  <c r="B2174" i="5" l="1"/>
  <c r="C2173" i="5"/>
  <c r="B2175" i="5" l="1"/>
  <c r="C2174" i="5"/>
  <c r="B2176" i="5" l="1"/>
  <c r="C2175" i="5"/>
  <c r="B2177" i="5" l="1"/>
  <c r="C2176" i="5"/>
  <c r="B2178" i="5" l="1"/>
  <c r="C2177" i="5"/>
  <c r="B2179" i="5" l="1"/>
  <c r="C2178" i="5"/>
  <c r="B2180" i="5" l="1"/>
  <c r="C2179" i="5"/>
  <c r="B2181" i="5" l="1"/>
  <c r="C2180" i="5"/>
  <c r="B2182" i="5" l="1"/>
  <c r="C2181" i="5"/>
  <c r="B2183" i="5" l="1"/>
  <c r="C2182" i="5"/>
  <c r="B2184" i="5" l="1"/>
  <c r="C2183" i="5"/>
  <c r="B2185" i="5" l="1"/>
  <c r="C2184" i="5"/>
  <c r="B2186" i="5" l="1"/>
  <c r="C2185" i="5"/>
  <c r="B2187" i="5" l="1"/>
  <c r="C2186" i="5"/>
  <c r="B2188" i="5" l="1"/>
  <c r="C2187" i="5"/>
  <c r="B2189" i="5" l="1"/>
  <c r="C2188" i="5"/>
  <c r="B2190" i="5" l="1"/>
  <c r="C2189" i="5"/>
  <c r="B2191" i="5" l="1"/>
  <c r="C2190" i="5"/>
  <c r="B2192" i="5" l="1"/>
  <c r="C2191" i="5"/>
  <c r="B2193" i="5" l="1"/>
  <c r="C2192" i="5"/>
  <c r="B2194" i="5" l="1"/>
  <c r="C2193" i="5"/>
  <c r="B2195" i="5" l="1"/>
  <c r="C2194" i="5"/>
  <c r="B2196" i="5" l="1"/>
  <c r="C2195" i="5"/>
  <c r="B2197" i="5" l="1"/>
  <c r="C2196" i="5"/>
  <c r="B2198" i="5" l="1"/>
  <c r="C2197" i="5"/>
  <c r="B2199" i="5" l="1"/>
  <c r="C2198" i="5"/>
  <c r="B2200" i="5" l="1"/>
  <c r="C2199" i="5"/>
  <c r="B2201" i="5" l="1"/>
  <c r="C2200" i="5"/>
  <c r="B2202" i="5" l="1"/>
  <c r="C2201" i="5"/>
  <c r="B2203" i="5" l="1"/>
  <c r="C2202" i="5"/>
  <c r="B2204" i="5" l="1"/>
  <c r="C2203" i="5"/>
  <c r="B2205" i="5" l="1"/>
  <c r="C2204" i="5"/>
  <c r="B2206" i="5" l="1"/>
  <c r="C2205" i="5"/>
  <c r="B2207" i="5" l="1"/>
  <c r="C2206" i="5"/>
  <c r="B2208" i="5" l="1"/>
  <c r="C2207" i="5"/>
  <c r="B2209" i="5" l="1"/>
  <c r="C2208" i="5"/>
  <c r="B2210" i="5" l="1"/>
  <c r="C2209" i="5"/>
  <c r="B2211" i="5" l="1"/>
  <c r="C2210" i="5"/>
  <c r="B2212" i="5" l="1"/>
  <c r="C2211" i="5"/>
  <c r="B2213" i="5" l="1"/>
  <c r="C2212" i="5"/>
  <c r="B2214" i="5" l="1"/>
  <c r="C2213" i="5"/>
  <c r="B2215" i="5" l="1"/>
  <c r="C2214" i="5"/>
  <c r="B2216" i="5" l="1"/>
  <c r="C2215" i="5"/>
  <c r="B2217" i="5" l="1"/>
  <c r="C2216" i="5"/>
  <c r="B2218" i="5" l="1"/>
  <c r="C2217" i="5"/>
  <c r="B2219" i="5" l="1"/>
  <c r="C2218" i="5"/>
  <c r="B2220" i="5" l="1"/>
  <c r="C2219" i="5"/>
  <c r="B2221" i="5" l="1"/>
  <c r="C2220" i="5"/>
  <c r="B2222" i="5" l="1"/>
  <c r="C2221" i="5"/>
  <c r="B2223" i="5" l="1"/>
  <c r="C2222" i="5"/>
  <c r="B2224" i="5" l="1"/>
  <c r="C2223" i="5"/>
  <c r="B2225" i="5" l="1"/>
  <c r="C2224" i="5"/>
  <c r="B2226" i="5" l="1"/>
  <c r="C2225" i="5"/>
  <c r="B2227" i="5" l="1"/>
  <c r="C2226" i="5"/>
  <c r="B2228" i="5" l="1"/>
  <c r="C2227" i="5"/>
  <c r="B2229" i="5" l="1"/>
  <c r="C2228" i="5"/>
  <c r="B2230" i="5" l="1"/>
  <c r="C2229" i="5"/>
  <c r="B2231" i="5" l="1"/>
  <c r="C2230" i="5"/>
  <c r="B2232" i="5" l="1"/>
  <c r="C2231" i="5"/>
  <c r="B2233" i="5" l="1"/>
  <c r="C2232" i="5"/>
  <c r="B2234" i="5" l="1"/>
  <c r="C2233" i="5"/>
  <c r="B2235" i="5" l="1"/>
  <c r="C2234" i="5"/>
  <c r="B2236" i="5" l="1"/>
  <c r="C2235" i="5"/>
  <c r="B2237" i="5" l="1"/>
  <c r="C2236" i="5"/>
  <c r="B2238" i="5" l="1"/>
  <c r="C2237" i="5"/>
  <c r="B2239" i="5" l="1"/>
  <c r="C2238" i="5"/>
  <c r="B2240" i="5" l="1"/>
  <c r="C2239" i="5"/>
  <c r="B2241" i="5" l="1"/>
  <c r="C2240" i="5"/>
  <c r="B2242" i="5" l="1"/>
  <c r="C2241" i="5"/>
  <c r="B2243" i="5" l="1"/>
  <c r="C2242" i="5"/>
  <c r="B2244" i="5" l="1"/>
  <c r="C2243" i="5"/>
  <c r="B2245" i="5" l="1"/>
  <c r="C2244" i="5"/>
  <c r="B2246" i="5" l="1"/>
  <c r="C2245" i="5"/>
  <c r="B2247" i="5" l="1"/>
  <c r="C2246" i="5"/>
  <c r="B2248" i="5" l="1"/>
  <c r="C2247" i="5"/>
  <c r="B2249" i="5" l="1"/>
  <c r="C2248" i="5"/>
  <c r="B2250" i="5" l="1"/>
  <c r="C2249" i="5"/>
  <c r="B2251" i="5" l="1"/>
  <c r="C2250" i="5"/>
  <c r="B2252" i="5" l="1"/>
  <c r="C2251" i="5"/>
  <c r="B2253" i="5" l="1"/>
  <c r="C2252" i="5"/>
  <c r="B2254" i="5" l="1"/>
  <c r="C2253" i="5"/>
  <c r="B2255" i="5" l="1"/>
  <c r="C2254" i="5"/>
  <c r="B2256" i="5" l="1"/>
  <c r="C2255" i="5"/>
  <c r="B2257" i="5" l="1"/>
  <c r="C2256" i="5"/>
  <c r="B2258" i="5" l="1"/>
  <c r="C2257" i="5"/>
  <c r="B2259" i="5" l="1"/>
  <c r="C2258" i="5"/>
  <c r="B2260" i="5" l="1"/>
  <c r="C2259" i="5"/>
  <c r="B2261" i="5" l="1"/>
  <c r="C2260" i="5"/>
  <c r="B2262" i="5" l="1"/>
  <c r="C2261" i="5"/>
  <c r="B2263" i="5" l="1"/>
  <c r="C2262" i="5"/>
  <c r="B2264" i="5" l="1"/>
  <c r="C2263" i="5"/>
  <c r="B2265" i="5" l="1"/>
  <c r="C2264" i="5"/>
  <c r="B2266" i="5" l="1"/>
  <c r="C2265" i="5"/>
  <c r="B2267" i="5" l="1"/>
  <c r="C2266" i="5"/>
  <c r="B2268" i="5" l="1"/>
  <c r="C2267" i="5"/>
  <c r="B2269" i="5" l="1"/>
  <c r="C2268" i="5"/>
  <c r="B2270" i="5" l="1"/>
  <c r="C2269" i="5"/>
  <c r="B2271" i="5" l="1"/>
  <c r="C2270" i="5"/>
  <c r="B2272" i="5" l="1"/>
  <c r="C2271" i="5"/>
  <c r="B2273" i="5" l="1"/>
  <c r="C2272" i="5"/>
  <c r="B2274" i="5" l="1"/>
  <c r="C2273" i="5"/>
  <c r="B2275" i="5" l="1"/>
  <c r="C2274" i="5"/>
  <c r="B2276" i="5" l="1"/>
  <c r="C2275" i="5"/>
  <c r="B2277" i="5" l="1"/>
  <c r="C2276" i="5"/>
  <c r="B2278" i="5" l="1"/>
  <c r="C2277" i="5"/>
  <c r="B2279" i="5" l="1"/>
  <c r="C2278" i="5"/>
  <c r="B2280" i="5" l="1"/>
  <c r="C2279" i="5"/>
  <c r="B2281" i="5" l="1"/>
  <c r="C2280" i="5"/>
  <c r="B2282" i="5" l="1"/>
  <c r="C2281" i="5"/>
  <c r="B2283" i="5" l="1"/>
  <c r="C2282" i="5"/>
  <c r="B2284" i="5" l="1"/>
  <c r="C2283" i="5"/>
  <c r="B2285" i="5" l="1"/>
  <c r="C2284" i="5"/>
  <c r="B2286" i="5" l="1"/>
  <c r="C2285" i="5"/>
  <c r="B2287" i="5" l="1"/>
  <c r="C2286" i="5"/>
  <c r="B2288" i="5" l="1"/>
  <c r="C2287" i="5"/>
  <c r="B2289" i="5" l="1"/>
  <c r="C2288" i="5"/>
  <c r="B2290" i="5" l="1"/>
  <c r="C2289" i="5"/>
  <c r="B2291" i="5" l="1"/>
  <c r="C2290" i="5"/>
  <c r="B2292" i="5" l="1"/>
  <c r="C2291" i="5"/>
  <c r="B2293" i="5" l="1"/>
  <c r="C2292" i="5"/>
  <c r="B2294" i="5" l="1"/>
  <c r="C2293" i="5"/>
  <c r="B2295" i="5" l="1"/>
  <c r="C2294" i="5"/>
  <c r="B2296" i="5" l="1"/>
  <c r="C2295" i="5"/>
  <c r="B2297" i="5" l="1"/>
  <c r="C2296" i="5"/>
  <c r="B2298" i="5" l="1"/>
  <c r="C2297" i="5"/>
  <c r="B2299" i="5" l="1"/>
  <c r="C2298" i="5"/>
  <c r="B2300" i="5" l="1"/>
  <c r="C2299" i="5"/>
  <c r="B2301" i="5" l="1"/>
  <c r="C2300" i="5"/>
  <c r="B2302" i="5" l="1"/>
  <c r="C2301" i="5"/>
  <c r="B2303" i="5" l="1"/>
  <c r="C2302" i="5"/>
  <c r="B2304" i="5" l="1"/>
  <c r="C2303" i="5"/>
  <c r="B2305" i="5" l="1"/>
  <c r="C2304" i="5"/>
  <c r="B2306" i="5" l="1"/>
  <c r="C2305" i="5"/>
  <c r="B2307" i="5" l="1"/>
  <c r="C2306" i="5"/>
  <c r="B2308" i="5" l="1"/>
  <c r="C2307" i="5"/>
  <c r="B2309" i="5" l="1"/>
  <c r="C2308" i="5"/>
  <c r="B2310" i="5" l="1"/>
  <c r="C2309" i="5"/>
  <c r="B2311" i="5" l="1"/>
  <c r="C2310" i="5"/>
  <c r="B2312" i="5" l="1"/>
  <c r="C2311" i="5"/>
  <c r="B2313" i="5" l="1"/>
  <c r="C2312" i="5"/>
  <c r="B2314" i="5" l="1"/>
  <c r="C2313" i="5"/>
  <c r="B2315" i="5" l="1"/>
  <c r="C2314" i="5"/>
  <c r="B2316" i="5" l="1"/>
  <c r="C2315" i="5"/>
  <c r="B2317" i="5" l="1"/>
  <c r="C2316" i="5"/>
  <c r="B2318" i="5" l="1"/>
  <c r="C2317" i="5"/>
  <c r="B2319" i="5" l="1"/>
  <c r="C2318" i="5"/>
  <c r="B2320" i="5" l="1"/>
  <c r="C2319" i="5"/>
  <c r="B2321" i="5" l="1"/>
  <c r="C2320" i="5"/>
  <c r="B2322" i="5" l="1"/>
  <c r="C2321" i="5"/>
  <c r="B2323" i="5" l="1"/>
  <c r="C2322" i="5"/>
  <c r="B2324" i="5" l="1"/>
  <c r="C2323" i="5"/>
  <c r="B2325" i="5" l="1"/>
  <c r="C2324" i="5"/>
  <c r="B2326" i="5" l="1"/>
  <c r="C2325" i="5"/>
  <c r="B2327" i="5" l="1"/>
  <c r="C2326" i="5"/>
  <c r="B2328" i="5" l="1"/>
  <c r="C2327" i="5"/>
  <c r="B2329" i="5" l="1"/>
  <c r="C2328" i="5"/>
  <c r="B2330" i="5" l="1"/>
  <c r="C2329" i="5"/>
  <c r="B2331" i="5" l="1"/>
  <c r="C2330" i="5"/>
  <c r="B2332" i="5" l="1"/>
  <c r="C2331" i="5"/>
  <c r="B2333" i="5" l="1"/>
  <c r="C2332" i="5"/>
  <c r="B2334" i="5" l="1"/>
  <c r="C2333" i="5"/>
  <c r="B2335" i="5" l="1"/>
  <c r="C2334" i="5"/>
  <c r="B2336" i="5" l="1"/>
  <c r="C2335" i="5"/>
  <c r="B2337" i="5" l="1"/>
  <c r="C2336" i="5"/>
  <c r="B2338" i="5" l="1"/>
  <c r="C2337" i="5"/>
  <c r="B2339" i="5" l="1"/>
  <c r="C2338" i="5"/>
  <c r="B2340" i="5" l="1"/>
  <c r="C2339" i="5"/>
  <c r="B2341" i="5" l="1"/>
  <c r="C2340" i="5"/>
  <c r="B2342" i="5" l="1"/>
  <c r="C2341" i="5"/>
  <c r="B2343" i="5" l="1"/>
  <c r="C2342" i="5"/>
  <c r="B2344" i="5" l="1"/>
  <c r="C2343" i="5"/>
  <c r="B2345" i="5" l="1"/>
  <c r="C2344" i="5"/>
  <c r="B2346" i="5" l="1"/>
  <c r="C2345" i="5"/>
  <c r="B2347" i="5" l="1"/>
  <c r="C2346" i="5"/>
  <c r="B2348" i="5" l="1"/>
  <c r="C2347" i="5"/>
  <c r="B2349" i="5" l="1"/>
  <c r="C2348" i="5"/>
  <c r="B2350" i="5" l="1"/>
  <c r="C2349" i="5"/>
  <c r="B2351" i="5" l="1"/>
  <c r="C2350" i="5"/>
  <c r="B2352" i="5" l="1"/>
  <c r="C2351" i="5"/>
  <c r="B2353" i="5" l="1"/>
  <c r="C2352" i="5"/>
  <c r="B2354" i="5" l="1"/>
  <c r="C2353" i="5"/>
  <c r="B2355" i="5" l="1"/>
  <c r="C2354" i="5"/>
  <c r="B2356" i="5" l="1"/>
  <c r="C2355" i="5"/>
  <c r="B2357" i="5" l="1"/>
  <c r="C2356" i="5"/>
  <c r="B2358" i="5" l="1"/>
  <c r="C2357" i="5"/>
  <c r="B2359" i="5" l="1"/>
  <c r="C2358" i="5"/>
  <c r="B2360" i="5" l="1"/>
  <c r="C2359" i="5"/>
  <c r="B2361" i="5" l="1"/>
  <c r="C2360" i="5"/>
  <c r="B2362" i="5" l="1"/>
  <c r="C2361" i="5"/>
  <c r="B2363" i="5" l="1"/>
  <c r="C2362" i="5"/>
  <c r="B2364" i="5" l="1"/>
  <c r="C2363" i="5"/>
  <c r="B2365" i="5" l="1"/>
  <c r="C2364" i="5"/>
  <c r="B2366" i="5" l="1"/>
  <c r="C2365" i="5"/>
  <c r="B2367" i="5" l="1"/>
  <c r="C2366" i="5"/>
  <c r="B2368" i="5" l="1"/>
  <c r="C2367" i="5"/>
  <c r="B2369" i="5" l="1"/>
  <c r="C2368" i="5"/>
  <c r="B2370" i="5" l="1"/>
  <c r="C2369" i="5"/>
  <c r="B2371" i="5" l="1"/>
  <c r="C2370" i="5"/>
  <c r="B2372" i="5" l="1"/>
  <c r="C2371" i="5"/>
  <c r="B2373" i="5" l="1"/>
  <c r="C2372" i="5"/>
  <c r="B2374" i="5" l="1"/>
  <c r="C2373" i="5"/>
  <c r="B2375" i="5" l="1"/>
  <c r="C2374" i="5"/>
  <c r="B2376" i="5" l="1"/>
  <c r="C2375" i="5"/>
  <c r="B2377" i="5" l="1"/>
  <c r="C2376" i="5"/>
  <c r="B2378" i="5" l="1"/>
  <c r="C2377" i="5"/>
  <c r="B2379" i="5" l="1"/>
  <c r="C2378" i="5"/>
  <c r="B2380" i="5" l="1"/>
  <c r="C2379" i="5"/>
  <c r="B2381" i="5" l="1"/>
  <c r="C2380" i="5"/>
  <c r="B2382" i="5" l="1"/>
  <c r="C2381" i="5"/>
  <c r="B2383" i="5" l="1"/>
  <c r="C2382" i="5"/>
  <c r="B2384" i="5" l="1"/>
  <c r="C2383" i="5"/>
  <c r="B2385" i="5" l="1"/>
  <c r="C2384" i="5"/>
  <c r="B2386" i="5" l="1"/>
  <c r="C2385" i="5"/>
  <c r="B2387" i="5" l="1"/>
  <c r="C2386" i="5"/>
  <c r="B2388" i="5" l="1"/>
  <c r="C2387" i="5"/>
  <c r="B2389" i="5" l="1"/>
  <c r="C2388" i="5"/>
  <c r="B2390" i="5" l="1"/>
  <c r="C2389" i="5"/>
  <c r="B2391" i="5" l="1"/>
  <c r="C2390" i="5"/>
  <c r="B2392" i="5" l="1"/>
  <c r="C2391" i="5"/>
  <c r="B2393" i="5" l="1"/>
  <c r="C2392" i="5"/>
  <c r="B2394" i="5" l="1"/>
  <c r="C2393" i="5"/>
  <c r="B2395" i="5" l="1"/>
  <c r="C2394" i="5"/>
  <c r="B2396" i="5" l="1"/>
  <c r="C2395" i="5"/>
  <c r="B2397" i="5" l="1"/>
  <c r="C2396" i="5"/>
  <c r="B2398" i="5" l="1"/>
  <c r="C2397" i="5"/>
  <c r="B2399" i="5" l="1"/>
  <c r="C2398" i="5"/>
  <c r="B2400" i="5" l="1"/>
  <c r="C2399" i="5"/>
  <c r="B2401" i="5" l="1"/>
  <c r="C2400" i="5"/>
  <c r="B2402" i="5" l="1"/>
  <c r="C2401" i="5"/>
  <c r="B2403" i="5" l="1"/>
  <c r="C2402" i="5"/>
  <c r="B2404" i="5" l="1"/>
  <c r="C2403" i="5"/>
  <c r="B2405" i="5" l="1"/>
  <c r="C2404" i="5"/>
  <c r="B2406" i="5" l="1"/>
  <c r="C2405" i="5"/>
  <c r="B2407" i="5" l="1"/>
  <c r="C2406" i="5"/>
  <c r="B2408" i="5" l="1"/>
  <c r="C2407" i="5"/>
  <c r="B2409" i="5" l="1"/>
  <c r="C2408" i="5"/>
  <c r="B2410" i="5" l="1"/>
  <c r="C2409" i="5"/>
  <c r="B2411" i="5" l="1"/>
  <c r="C2410" i="5"/>
  <c r="B2412" i="5" l="1"/>
  <c r="C2411" i="5"/>
  <c r="B2413" i="5" l="1"/>
  <c r="C2412" i="5"/>
  <c r="B2414" i="5" l="1"/>
  <c r="C2413" i="5"/>
  <c r="B2415" i="5" l="1"/>
  <c r="C2414" i="5"/>
  <c r="B2416" i="5" l="1"/>
  <c r="C2415" i="5"/>
  <c r="B2417" i="5" l="1"/>
  <c r="C2416" i="5"/>
  <c r="B2418" i="5" l="1"/>
  <c r="C2417" i="5"/>
  <c r="B2419" i="5" l="1"/>
  <c r="C2418" i="5"/>
  <c r="B2420" i="5" l="1"/>
  <c r="C2419" i="5"/>
  <c r="B2421" i="5" l="1"/>
  <c r="C2420" i="5"/>
  <c r="B2422" i="5" l="1"/>
  <c r="C2421" i="5"/>
  <c r="B2423" i="5" l="1"/>
  <c r="C2422" i="5"/>
  <c r="B2424" i="5" l="1"/>
  <c r="C2423" i="5"/>
  <c r="B2425" i="5" l="1"/>
  <c r="C2424" i="5"/>
  <c r="B2426" i="5" l="1"/>
  <c r="C2425" i="5"/>
  <c r="B2427" i="5" l="1"/>
  <c r="C2426" i="5"/>
  <c r="B2428" i="5" l="1"/>
  <c r="C2427" i="5"/>
  <c r="B2429" i="5" l="1"/>
  <c r="C2428" i="5"/>
  <c r="B2430" i="5" l="1"/>
  <c r="C2429" i="5"/>
  <c r="B2431" i="5" l="1"/>
  <c r="C2430" i="5"/>
  <c r="B2432" i="5" l="1"/>
  <c r="C2431" i="5"/>
  <c r="B2433" i="5" l="1"/>
  <c r="C2432" i="5"/>
  <c r="B2434" i="5" l="1"/>
  <c r="C2433" i="5"/>
  <c r="B2435" i="5" l="1"/>
  <c r="C2434" i="5"/>
  <c r="B2436" i="5" l="1"/>
  <c r="C2435" i="5"/>
  <c r="B2437" i="5" l="1"/>
  <c r="C2436" i="5"/>
  <c r="B2438" i="5" l="1"/>
  <c r="C2437" i="5"/>
  <c r="B2439" i="5" l="1"/>
  <c r="C2438" i="5"/>
  <c r="B2440" i="5" l="1"/>
  <c r="C2439" i="5"/>
  <c r="B2441" i="5" l="1"/>
  <c r="C2440" i="5"/>
  <c r="B2442" i="5" l="1"/>
  <c r="C2441" i="5"/>
  <c r="B2443" i="5" l="1"/>
  <c r="C2442" i="5"/>
  <c r="B2444" i="5" l="1"/>
  <c r="C2443" i="5"/>
  <c r="B2445" i="5" l="1"/>
  <c r="C2444" i="5"/>
  <c r="B2446" i="5" l="1"/>
  <c r="C2445" i="5"/>
  <c r="B2447" i="5" l="1"/>
  <c r="C2446" i="5"/>
  <c r="B2448" i="5" l="1"/>
  <c r="C2447" i="5"/>
  <c r="B2449" i="5" l="1"/>
  <c r="C2448" i="5"/>
  <c r="B2450" i="5" l="1"/>
  <c r="C2449" i="5"/>
  <c r="B2451" i="5" l="1"/>
  <c r="C2450" i="5"/>
  <c r="B2452" i="5" l="1"/>
  <c r="C2451" i="5"/>
  <c r="B2453" i="5" l="1"/>
  <c r="C2452" i="5"/>
  <c r="B2454" i="5" l="1"/>
  <c r="C2453" i="5"/>
  <c r="B2455" i="5" l="1"/>
  <c r="C2454" i="5"/>
  <c r="B2456" i="5" l="1"/>
  <c r="C2455" i="5"/>
  <c r="B2457" i="5" l="1"/>
  <c r="C2456" i="5"/>
  <c r="B2458" i="5" l="1"/>
  <c r="C2457" i="5"/>
  <c r="B2459" i="5" l="1"/>
  <c r="C2458" i="5"/>
  <c r="B2460" i="5" l="1"/>
  <c r="C2459" i="5"/>
  <c r="B2461" i="5" l="1"/>
  <c r="C2460" i="5"/>
  <c r="B2462" i="5" l="1"/>
  <c r="C2461" i="5"/>
  <c r="B2463" i="5" l="1"/>
  <c r="C2462" i="5"/>
  <c r="B2464" i="5" l="1"/>
  <c r="C2463" i="5"/>
  <c r="B2465" i="5" l="1"/>
  <c r="C2464" i="5"/>
  <c r="B2466" i="5" l="1"/>
  <c r="C2465" i="5"/>
  <c r="B2467" i="5" l="1"/>
  <c r="C2466" i="5"/>
  <c r="B2468" i="5" l="1"/>
  <c r="C2467" i="5"/>
  <c r="B2469" i="5" l="1"/>
  <c r="C2468" i="5"/>
  <c r="B2470" i="5" l="1"/>
  <c r="C2469" i="5"/>
  <c r="B2471" i="5" l="1"/>
  <c r="C2470" i="5"/>
  <c r="B2472" i="5" l="1"/>
  <c r="C2471" i="5"/>
  <c r="B2473" i="5" l="1"/>
  <c r="C2472" i="5"/>
  <c r="B2474" i="5" l="1"/>
  <c r="C2473" i="5"/>
  <c r="B2475" i="5" l="1"/>
  <c r="C2474" i="5"/>
  <c r="B2476" i="5" l="1"/>
  <c r="C2475" i="5"/>
  <c r="B2477" i="5" l="1"/>
  <c r="C2476" i="5"/>
  <c r="B2478" i="5" l="1"/>
  <c r="C2477" i="5"/>
  <c r="B2479" i="5" l="1"/>
  <c r="C2478" i="5"/>
  <c r="B2480" i="5" l="1"/>
  <c r="C2479" i="5"/>
  <c r="B2481" i="5" l="1"/>
  <c r="C2480" i="5"/>
  <c r="B2482" i="5" l="1"/>
  <c r="C2481" i="5"/>
  <c r="B2483" i="5" l="1"/>
  <c r="C2482" i="5"/>
  <c r="B2484" i="5" l="1"/>
  <c r="C2483" i="5"/>
  <c r="B2485" i="5" l="1"/>
  <c r="C2484" i="5"/>
  <c r="B2486" i="5" l="1"/>
  <c r="C2485" i="5"/>
  <c r="B2487" i="5" l="1"/>
  <c r="C2486" i="5"/>
  <c r="B2488" i="5" l="1"/>
  <c r="C2487" i="5"/>
  <c r="B2489" i="5" l="1"/>
  <c r="C2488" i="5"/>
  <c r="B2490" i="5" l="1"/>
  <c r="C2489" i="5"/>
  <c r="B2491" i="5" l="1"/>
  <c r="C2490" i="5"/>
  <c r="B2492" i="5" l="1"/>
  <c r="C2491" i="5"/>
  <c r="B2493" i="5" l="1"/>
  <c r="C2492" i="5"/>
  <c r="B2494" i="5" l="1"/>
  <c r="C2493" i="5"/>
  <c r="B2495" i="5" l="1"/>
  <c r="C2494" i="5"/>
  <c r="B2496" i="5" l="1"/>
  <c r="C2495" i="5"/>
  <c r="B2497" i="5" l="1"/>
  <c r="C2496" i="5"/>
  <c r="B2498" i="5" l="1"/>
  <c r="C2497" i="5"/>
  <c r="B2499" i="5" l="1"/>
  <c r="C2498" i="5"/>
  <c r="B2500" i="5" l="1"/>
  <c r="C2499" i="5"/>
  <c r="B2501" i="5" l="1"/>
  <c r="C2500" i="5"/>
  <c r="B2502" i="5" l="1"/>
  <c r="C2501" i="5"/>
  <c r="B2503" i="5" l="1"/>
  <c r="C2502" i="5"/>
  <c r="B2504" i="5" l="1"/>
  <c r="C2503" i="5"/>
  <c r="B2505" i="5" l="1"/>
  <c r="C2504" i="5"/>
  <c r="B2506" i="5" l="1"/>
  <c r="C2505" i="5"/>
  <c r="B2507" i="5" l="1"/>
  <c r="C2506" i="5"/>
  <c r="B2508" i="5" l="1"/>
  <c r="C2507" i="5"/>
  <c r="B2509" i="5" l="1"/>
  <c r="C2508" i="5"/>
  <c r="B2510" i="5" l="1"/>
  <c r="C2509" i="5"/>
  <c r="B2511" i="5" l="1"/>
  <c r="C2510" i="5"/>
  <c r="B2512" i="5" l="1"/>
  <c r="C2511" i="5"/>
  <c r="B2513" i="5" l="1"/>
  <c r="C2512" i="5"/>
  <c r="B2514" i="5" l="1"/>
  <c r="C2513" i="5"/>
  <c r="B2515" i="5" l="1"/>
  <c r="C2514" i="5"/>
  <c r="B2516" i="5" l="1"/>
  <c r="C2515" i="5"/>
  <c r="B2517" i="5" l="1"/>
  <c r="C2516" i="5"/>
  <c r="B2518" i="5" l="1"/>
  <c r="C2517" i="5"/>
  <c r="B2519" i="5" l="1"/>
  <c r="C2518" i="5"/>
  <c r="B2520" i="5" l="1"/>
  <c r="C2519" i="5"/>
  <c r="B2521" i="5" l="1"/>
  <c r="C2520" i="5"/>
  <c r="B2522" i="5" l="1"/>
  <c r="C2521" i="5"/>
  <c r="B2523" i="5" l="1"/>
  <c r="C2522" i="5"/>
  <c r="B2524" i="5" l="1"/>
  <c r="C2523" i="5"/>
  <c r="B2525" i="5" l="1"/>
  <c r="C2524" i="5"/>
  <c r="B2526" i="5" l="1"/>
  <c r="C2525" i="5"/>
  <c r="B2527" i="5" l="1"/>
  <c r="C2526" i="5"/>
  <c r="B2528" i="5" l="1"/>
  <c r="C2527" i="5"/>
  <c r="B2529" i="5" l="1"/>
  <c r="C2528" i="5"/>
  <c r="B2530" i="5" l="1"/>
  <c r="C2529" i="5"/>
  <c r="B2531" i="5" l="1"/>
  <c r="C2530" i="5"/>
  <c r="B2532" i="5" l="1"/>
  <c r="C2531" i="5"/>
  <c r="B2533" i="5" l="1"/>
  <c r="C2532" i="5"/>
  <c r="B2534" i="5" l="1"/>
  <c r="C2533" i="5"/>
  <c r="B2535" i="5" l="1"/>
  <c r="C2534" i="5"/>
  <c r="B2536" i="5" l="1"/>
  <c r="C2535" i="5"/>
  <c r="B2537" i="5" l="1"/>
  <c r="C2536" i="5"/>
  <c r="B2538" i="5" l="1"/>
  <c r="C2537" i="5"/>
  <c r="B2539" i="5" l="1"/>
  <c r="C2538" i="5"/>
  <c r="B2540" i="5" l="1"/>
  <c r="C2539" i="5"/>
  <c r="B2541" i="5" l="1"/>
  <c r="C2540" i="5"/>
  <c r="B2542" i="5" l="1"/>
  <c r="C2541" i="5"/>
  <c r="B2543" i="5" l="1"/>
  <c r="C2542" i="5"/>
  <c r="B2544" i="5" l="1"/>
  <c r="C2543" i="5"/>
  <c r="B2545" i="5" l="1"/>
  <c r="C2544" i="5"/>
  <c r="B2546" i="5" l="1"/>
  <c r="C2545" i="5"/>
  <c r="B2547" i="5" l="1"/>
  <c r="C2546" i="5"/>
  <c r="B2548" i="5" l="1"/>
  <c r="C2547" i="5"/>
  <c r="B2549" i="5" l="1"/>
  <c r="C2548" i="5"/>
  <c r="B2550" i="5" l="1"/>
  <c r="C2549" i="5"/>
  <c r="B2551" i="5" l="1"/>
  <c r="C2550" i="5"/>
  <c r="B2552" i="5" l="1"/>
  <c r="C2551" i="5"/>
  <c r="B2553" i="5" l="1"/>
  <c r="C2552" i="5"/>
  <c r="B2554" i="5" l="1"/>
  <c r="C2553" i="5"/>
  <c r="B2555" i="5" l="1"/>
  <c r="C2554" i="5"/>
  <c r="B2556" i="5" l="1"/>
  <c r="C2555" i="5"/>
  <c r="B2557" i="5" l="1"/>
  <c r="C2556" i="5"/>
  <c r="B2558" i="5" l="1"/>
  <c r="C2557" i="5"/>
  <c r="B2559" i="5" l="1"/>
  <c r="C2558" i="5"/>
  <c r="B2560" i="5" l="1"/>
  <c r="C2559" i="5"/>
  <c r="B2561" i="5" l="1"/>
  <c r="C2560" i="5"/>
  <c r="B2562" i="5" l="1"/>
  <c r="C2561" i="5"/>
  <c r="B2563" i="5" l="1"/>
  <c r="C2562" i="5"/>
  <c r="B2564" i="5" l="1"/>
  <c r="C2563" i="5"/>
  <c r="B2565" i="5" l="1"/>
  <c r="C2564" i="5"/>
  <c r="B2566" i="5" l="1"/>
  <c r="C2565" i="5"/>
  <c r="B2567" i="5" l="1"/>
  <c r="C2566" i="5"/>
  <c r="B2568" i="5" l="1"/>
  <c r="C2567" i="5"/>
  <c r="B2569" i="5" l="1"/>
  <c r="C2568" i="5"/>
  <c r="B2570" i="5" l="1"/>
  <c r="C2569" i="5"/>
  <c r="B2571" i="5" l="1"/>
  <c r="C2570" i="5"/>
  <c r="B2572" i="5" l="1"/>
  <c r="C2571" i="5"/>
  <c r="B2573" i="5" l="1"/>
  <c r="C2572" i="5"/>
  <c r="B2574" i="5" l="1"/>
  <c r="C2573" i="5"/>
  <c r="B2575" i="5" l="1"/>
  <c r="C2574" i="5"/>
  <c r="B2576" i="5" l="1"/>
  <c r="C2575" i="5"/>
  <c r="B2577" i="5" l="1"/>
  <c r="C2576" i="5"/>
  <c r="B2578" i="5" l="1"/>
  <c r="C2577" i="5"/>
  <c r="B2579" i="5" l="1"/>
  <c r="C2578" i="5"/>
  <c r="B2580" i="5" l="1"/>
  <c r="C2579" i="5"/>
  <c r="B2581" i="5" l="1"/>
  <c r="C2580" i="5"/>
  <c r="B2582" i="5" l="1"/>
  <c r="C2581" i="5"/>
  <c r="B2583" i="5" l="1"/>
  <c r="C2582" i="5"/>
  <c r="B2584" i="5" l="1"/>
  <c r="C2583" i="5"/>
  <c r="B2585" i="5" l="1"/>
  <c r="C2584" i="5"/>
  <c r="B2586" i="5" l="1"/>
  <c r="C2585" i="5"/>
  <c r="B2587" i="5" l="1"/>
  <c r="C2586" i="5"/>
  <c r="B2588" i="5" l="1"/>
  <c r="C2587" i="5"/>
  <c r="B2589" i="5" l="1"/>
  <c r="C2588" i="5"/>
  <c r="B2590" i="5" l="1"/>
  <c r="C2589" i="5"/>
  <c r="B2591" i="5" l="1"/>
  <c r="C2590" i="5"/>
  <c r="B2592" i="5" l="1"/>
  <c r="C2591" i="5"/>
  <c r="B2593" i="5" l="1"/>
  <c r="C2592" i="5"/>
  <c r="B2594" i="5" l="1"/>
  <c r="C2593" i="5"/>
  <c r="B2595" i="5" l="1"/>
  <c r="C2594" i="5"/>
  <c r="B2596" i="5" l="1"/>
  <c r="C2595" i="5"/>
  <c r="B2597" i="5" l="1"/>
  <c r="C2596" i="5"/>
  <c r="B2598" i="5" l="1"/>
  <c r="C2597" i="5"/>
  <c r="B2599" i="5" l="1"/>
  <c r="C2598" i="5"/>
  <c r="B2600" i="5" l="1"/>
  <c r="C2599" i="5"/>
  <c r="B2601" i="5" l="1"/>
  <c r="C2600" i="5"/>
  <c r="B2602" i="5" l="1"/>
  <c r="C2601" i="5"/>
  <c r="B2603" i="5" l="1"/>
  <c r="C2602" i="5"/>
  <c r="B2604" i="5" l="1"/>
  <c r="C2603" i="5"/>
  <c r="B2605" i="5" l="1"/>
  <c r="C2604" i="5"/>
  <c r="B2606" i="5" l="1"/>
  <c r="C2605" i="5"/>
  <c r="B2607" i="5" l="1"/>
  <c r="C2606" i="5"/>
  <c r="B2608" i="5" l="1"/>
  <c r="C2607" i="5"/>
  <c r="B2609" i="5" l="1"/>
  <c r="C2608" i="5"/>
  <c r="B2610" i="5" l="1"/>
  <c r="C2609" i="5"/>
  <c r="B2611" i="5" l="1"/>
  <c r="C2610" i="5"/>
  <c r="B2612" i="5" l="1"/>
  <c r="C2611" i="5"/>
  <c r="B2613" i="5" l="1"/>
  <c r="C2612" i="5"/>
  <c r="B2614" i="5" l="1"/>
  <c r="C2613" i="5"/>
  <c r="B2615" i="5" l="1"/>
  <c r="C2614" i="5"/>
  <c r="B2616" i="5" l="1"/>
  <c r="C2615" i="5"/>
  <c r="B2617" i="5" l="1"/>
  <c r="C2616" i="5"/>
  <c r="B2618" i="5" l="1"/>
  <c r="C2617" i="5"/>
  <c r="B2619" i="5" l="1"/>
  <c r="C2618" i="5"/>
  <c r="B2620" i="5" l="1"/>
  <c r="C2619" i="5"/>
  <c r="B2621" i="5" l="1"/>
  <c r="C2620" i="5"/>
  <c r="B2622" i="5" l="1"/>
  <c r="C2621" i="5"/>
  <c r="B2623" i="5" l="1"/>
  <c r="C2622" i="5"/>
  <c r="B2624" i="5" l="1"/>
  <c r="C2623" i="5"/>
  <c r="B2625" i="5" l="1"/>
  <c r="C2624" i="5"/>
  <c r="B2626" i="5" l="1"/>
  <c r="C2625" i="5"/>
  <c r="B2627" i="5" l="1"/>
  <c r="C2626" i="5"/>
  <c r="B2628" i="5" l="1"/>
  <c r="C2627" i="5"/>
  <c r="B2629" i="5" l="1"/>
  <c r="C2628" i="5"/>
  <c r="B2630" i="5" l="1"/>
  <c r="C2629" i="5"/>
  <c r="B2631" i="5" l="1"/>
  <c r="C2630" i="5"/>
  <c r="B2632" i="5" l="1"/>
  <c r="C2631" i="5"/>
  <c r="B2633" i="5" l="1"/>
  <c r="C2632" i="5"/>
  <c r="B2634" i="5" l="1"/>
  <c r="C2633" i="5"/>
  <c r="B2635" i="5" l="1"/>
  <c r="C2634" i="5"/>
  <c r="B2636" i="5" l="1"/>
  <c r="C2635" i="5"/>
  <c r="B2637" i="5" l="1"/>
  <c r="C2636" i="5"/>
  <c r="B2638" i="5" l="1"/>
  <c r="C2637" i="5"/>
  <c r="B2639" i="5" l="1"/>
  <c r="C2638" i="5"/>
  <c r="B2640" i="5" l="1"/>
  <c r="C2639" i="5"/>
  <c r="B2641" i="5" l="1"/>
  <c r="C2640" i="5"/>
  <c r="B2642" i="5" l="1"/>
  <c r="C2641" i="5"/>
  <c r="B2643" i="5" l="1"/>
  <c r="C2642" i="5"/>
  <c r="B2644" i="5" l="1"/>
  <c r="C2643" i="5"/>
  <c r="B2645" i="5" l="1"/>
  <c r="C2644" i="5"/>
  <c r="B2646" i="5" l="1"/>
  <c r="C2645" i="5"/>
  <c r="B2647" i="5" l="1"/>
  <c r="C2646" i="5"/>
  <c r="B2648" i="5" l="1"/>
  <c r="C2647" i="5"/>
  <c r="B2649" i="5" l="1"/>
  <c r="C2648" i="5"/>
  <c r="B2650" i="5" l="1"/>
  <c r="C2649" i="5"/>
  <c r="B2651" i="5" l="1"/>
  <c r="C2650" i="5"/>
  <c r="B2652" i="5" l="1"/>
  <c r="C2651" i="5"/>
  <c r="B2653" i="5" l="1"/>
  <c r="C2652" i="5"/>
  <c r="B2654" i="5" l="1"/>
  <c r="C2653" i="5"/>
  <c r="B2655" i="5" l="1"/>
  <c r="C2654" i="5"/>
  <c r="B2656" i="5" l="1"/>
  <c r="C2655" i="5"/>
  <c r="B2657" i="5" l="1"/>
  <c r="C2656" i="5"/>
  <c r="B2658" i="5" l="1"/>
  <c r="C2657" i="5"/>
  <c r="B2659" i="5" l="1"/>
  <c r="C2658" i="5"/>
  <c r="B2660" i="5" l="1"/>
  <c r="C2659" i="5"/>
  <c r="B2661" i="5" l="1"/>
  <c r="C2660" i="5"/>
  <c r="B2662" i="5" l="1"/>
  <c r="C2661" i="5"/>
  <c r="B2663" i="5" l="1"/>
  <c r="C2662" i="5"/>
  <c r="B2664" i="5" l="1"/>
  <c r="C2663" i="5"/>
  <c r="B2665" i="5" l="1"/>
  <c r="C2664" i="5"/>
  <c r="B2666" i="5" l="1"/>
  <c r="C2665" i="5"/>
  <c r="B2667" i="5" l="1"/>
  <c r="C2666" i="5"/>
  <c r="B2668" i="5" l="1"/>
  <c r="C2667" i="5"/>
  <c r="B2669" i="5" l="1"/>
  <c r="C2668" i="5"/>
  <c r="B2670" i="5" l="1"/>
  <c r="C2669" i="5"/>
  <c r="B2671" i="5" l="1"/>
  <c r="C2670" i="5"/>
  <c r="B2672" i="5" l="1"/>
  <c r="C2671" i="5"/>
  <c r="B2673" i="5" l="1"/>
  <c r="C2672" i="5"/>
  <c r="B2674" i="5" l="1"/>
  <c r="C2673" i="5"/>
  <c r="B2675" i="5" l="1"/>
  <c r="C2674" i="5"/>
  <c r="B2676" i="5" l="1"/>
  <c r="C2675" i="5"/>
  <c r="B2677" i="5" l="1"/>
  <c r="C2676" i="5"/>
  <c r="B2678" i="5" l="1"/>
  <c r="C2677" i="5"/>
  <c r="B2679" i="5" l="1"/>
  <c r="C2678" i="5"/>
  <c r="B2680" i="5" l="1"/>
  <c r="C2679" i="5"/>
  <c r="B2681" i="5" l="1"/>
  <c r="C2680" i="5"/>
  <c r="B2682" i="5" l="1"/>
  <c r="C2681" i="5"/>
  <c r="B2683" i="5" l="1"/>
  <c r="C2682" i="5"/>
  <c r="B2684" i="5" l="1"/>
  <c r="C2683" i="5"/>
  <c r="B2685" i="5" l="1"/>
  <c r="C2684" i="5"/>
  <c r="B2686" i="5" l="1"/>
  <c r="C2685" i="5"/>
  <c r="B2687" i="5" l="1"/>
  <c r="C2686" i="5"/>
  <c r="B2688" i="5" l="1"/>
  <c r="C2687" i="5"/>
  <c r="B2689" i="5" l="1"/>
  <c r="C2688" i="5"/>
  <c r="B2690" i="5" l="1"/>
  <c r="C2689" i="5"/>
  <c r="B2691" i="5" l="1"/>
  <c r="C2690" i="5"/>
  <c r="B2692" i="5" l="1"/>
  <c r="C2691" i="5"/>
  <c r="B2693" i="5" l="1"/>
  <c r="C2692" i="5"/>
  <c r="B2694" i="5" l="1"/>
  <c r="C2693" i="5"/>
  <c r="B2695" i="5" l="1"/>
  <c r="C2694" i="5"/>
  <c r="B2696" i="5" l="1"/>
  <c r="C2695" i="5"/>
  <c r="B2697" i="5" l="1"/>
  <c r="C2696" i="5"/>
  <c r="B2698" i="5" l="1"/>
  <c r="C2697" i="5"/>
  <c r="B2699" i="5" l="1"/>
  <c r="C2698" i="5"/>
  <c r="B2700" i="5" l="1"/>
  <c r="C2699" i="5"/>
  <c r="B2701" i="5" l="1"/>
  <c r="C2700" i="5"/>
  <c r="B2702" i="5" l="1"/>
  <c r="C2701" i="5"/>
  <c r="B2703" i="5" l="1"/>
  <c r="C2702" i="5"/>
  <c r="B2704" i="5" l="1"/>
  <c r="C2703" i="5"/>
  <c r="B2705" i="5" l="1"/>
  <c r="C2704" i="5"/>
  <c r="B2706" i="5" l="1"/>
  <c r="C2705" i="5"/>
  <c r="B2707" i="5" l="1"/>
  <c r="C2706" i="5"/>
  <c r="B2708" i="5" l="1"/>
  <c r="C2707" i="5"/>
  <c r="B2709" i="5" l="1"/>
  <c r="C2708" i="5"/>
  <c r="B2710" i="5" l="1"/>
  <c r="C2709" i="5"/>
  <c r="B2711" i="5" l="1"/>
  <c r="C2710" i="5"/>
  <c r="B2712" i="5" l="1"/>
  <c r="C2711" i="5"/>
  <c r="B2713" i="5" l="1"/>
  <c r="C2712" i="5"/>
  <c r="B2714" i="5" l="1"/>
  <c r="C2713" i="5"/>
  <c r="B2715" i="5" l="1"/>
  <c r="C2714" i="5"/>
  <c r="B2716" i="5" l="1"/>
  <c r="C2715" i="5"/>
  <c r="B2717" i="5" l="1"/>
  <c r="C2716" i="5"/>
  <c r="B2718" i="5" l="1"/>
  <c r="C2717" i="5"/>
  <c r="B2719" i="5" l="1"/>
  <c r="C2718" i="5"/>
  <c r="B2720" i="5" l="1"/>
  <c r="C2719" i="5"/>
  <c r="B2721" i="5" l="1"/>
  <c r="C2720" i="5"/>
  <c r="B2722" i="5" l="1"/>
  <c r="C2721" i="5"/>
  <c r="B2723" i="5" l="1"/>
  <c r="C2722" i="5"/>
  <c r="B2724" i="5" l="1"/>
  <c r="C2723" i="5"/>
  <c r="B2725" i="5" l="1"/>
  <c r="C2724" i="5"/>
  <c r="B2726" i="5" l="1"/>
  <c r="C2725" i="5"/>
  <c r="B2727" i="5" l="1"/>
  <c r="C2726" i="5"/>
  <c r="B2728" i="5" l="1"/>
  <c r="C2727" i="5"/>
  <c r="B2729" i="5" l="1"/>
  <c r="C2728" i="5"/>
  <c r="B2730" i="5" l="1"/>
  <c r="C2729" i="5"/>
  <c r="B2731" i="5" l="1"/>
  <c r="C2730" i="5"/>
  <c r="B2732" i="5" l="1"/>
  <c r="C2731" i="5"/>
  <c r="B2733" i="5" l="1"/>
  <c r="C2732" i="5"/>
  <c r="B2734" i="5" l="1"/>
  <c r="C2733" i="5"/>
  <c r="B2735" i="5" l="1"/>
  <c r="C2734" i="5"/>
  <c r="B2736" i="5" l="1"/>
  <c r="C2735" i="5"/>
  <c r="B2737" i="5" l="1"/>
  <c r="C2736" i="5"/>
  <c r="B2738" i="5" l="1"/>
  <c r="C2737" i="5"/>
  <c r="B2739" i="5" l="1"/>
  <c r="C2738" i="5"/>
  <c r="B2740" i="5" l="1"/>
  <c r="C2739" i="5"/>
  <c r="B2741" i="5" l="1"/>
  <c r="C2740" i="5"/>
  <c r="B2742" i="5" l="1"/>
  <c r="C2741" i="5"/>
  <c r="B2743" i="5" l="1"/>
  <c r="C2742" i="5"/>
  <c r="B2744" i="5" l="1"/>
  <c r="C2743" i="5"/>
  <c r="B2745" i="5" l="1"/>
  <c r="C2744" i="5"/>
  <c r="B2746" i="5" l="1"/>
  <c r="C2745" i="5"/>
  <c r="B2747" i="5" l="1"/>
  <c r="C2746" i="5"/>
  <c r="B2748" i="5" l="1"/>
  <c r="C2747" i="5"/>
  <c r="B2749" i="5" l="1"/>
  <c r="C2748" i="5"/>
  <c r="B2750" i="5" l="1"/>
  <c r="C2749" i="5"/>
  <c r="B2751" i="5" l="1"/>
  <c r="C2750" i="5"/>
  <c r="B2752" i="5" l="1"/>
  <c r="C2751" i="5"/>
  <c r="B2753" i="5" l="1"/>
  <c r="C2752" i="5"/>
  <c r="B2754" i="5" l="1"/>
  <c r="C2753" i="5"/>
  <c r="B2755" i="5" l="1"/>
  <c r="C2754" i="5"/>
  <c r="B2756" i="5" l="1"/>
  <c r="C2755" i="5"/>
  <c r="B2757" i="5" l="1"/>
  <c r="C2756" i="5"/>
  <c r="B2758" i="5" l="1"/>
  <c r="C2757" i="5"/>
  <c r="B2759" i="5" l="1"/>
  <c r="C2758" i="5"/>
  <c r="B2760" i="5" l="1"/>
  <c r="C2759" i="5"/>
  <c r="B2761" i="5" l="1"/>
  <c r="C2760" i="5"/>
  <c r="B2762" i="5" l="1"/>
  <c r="C2761" i="5"/>
  <c r="B2763" i="5" l="1"/>
  <c r="C2762" i="5"/>
  <c r="B2764" i="5" l="1"/>
  <c r="C2763" i="5"/>
  <c r="B2765" i="5" l="1"/>
  <c r="C2764" i="5"/>
  <c r="B2766" i="5" l="1"/>
  <c r="C2765" i="5"/>
  <c r="B2767" i="5" l="1"/>
  <c r="C2766" i="5"/>
  <c r="B2768" i="5" l="1"/>
  <c r="C2767" i="5"/>
  <c r="B2769" i="5" l="1"/>
  <c r="C2768" i="5"/>
  <c r="B2770" i="5" l="1"/>
  <c r="C2769" i="5"/>
  <c r="B2771" i="5" l="1"/>
  <c r="C2770" i="5"/>
  <c r="B2772" i="5" l="1"/>
  <c r="C2771" i="5"/>
  <c r="B2773" i="5" l="1"/>
  <c r="C2772" i="5"/>
  <c r="B2774" i="5" l="1"/>
  <c r="C2773" i="5"/>
  <c r="B2775" i="5" l="1"/>
  <c r="C2774" i="5"/>
  <c r="B2776" i="5" l="1"/>
  <c r="C2775" i="5"/>
  <c r="B2777" i="5" l="1"/>
  <c r="C2776" i="5"/>
  <c r="B2778" i="5" l="1"/>
  <c r="C2777" i="5"/>
  <c r="B2779" i="5" l="1"/>
  <c r="C2778" i="5"/>
  <c r="B2780" i="5" l="1"/>
  <c r="C2779" i="5"/>
  <c r="B2781" i="5" l="1"/>
  <c r="C2780" i="5"/>
  <c r="B2782" i="5" l="1"/>
  <c r="C2781" i="5"/>
  <c r="B2783" i="5" l="1"/>
  <c r="C2782" i="5"/>
  <c r="B2784" i="5" l="1"/>
  <c r="C2783" i="5"/>
  <c r="B2785" i="5" l="1"/>
  <c r="C2784" i="5"/>
  <c r="B2786" i="5" l="1"/>
  <c r="C2785" i="5"/>
  <c r="B2787" i="5" l="1"/>
  <c r="C2786" i="5"/>
  <c r="B2788" i="5" l="1"/>
  <c r="C2787" i="5"/>
  <c r="B2789" i="5" l="1"/>
  <c r="C2788" i="5"/>
  <c r="B2790" i="5" l="1"/>
  <c r="C2789" i="5"/>
  <c r="B2791" i="5" l="1"/>
  <c r="C2790" i="5"/>
  <c r="B2792" i="5" l="1"/>
  <c r="C2791" i="5"/>
  <c r="B2793" i="5" l="1"/>
  <c r="C2792" i="5"/>
  <c r="B2794" i="5" l="1"/>
  <c r="C2793" i="5"/>
  <c r="B2795" i="5" l="1"/>
  <c r="C2794" i="5"/>
  <c r="B2796" i="5" l="1"/>
  <c r="C2795" i="5"/>
  <c r="B2797" i="5" l="1"/>
  <c r="C2796" i="5"/>
  <c r="B2798" i="5" l="1"/>
  <c r="C2797" i="5"/>
  <c r="B2799" i="5" l="1"/>
  <c r="C2798" i="5"/>
  <c r="B2800" i="5" l="1"/>
  <c r="C2799" i="5"/>
  <c r="B2801" i="5" l="1"/>
  <c r="C2800" i="5"/>
  <c r="B2802" i="5" l="1"/>
  <c r="C2801" i="5"/>
  <c r="B2803" i="5" l="1"/>
  <c r="C2802" i="5"/>
  <c r="B2804" i="5" l="1"/>
  <c r="C2803" i="5"/>
  <c r="B2805" i="5" l="1"/>
  <c r="C2804" i="5"/>
  <c r="B2806" i="5" l="1"/>
  <c r="C2805" i="5"/>
  <c r="B2807" i="5" l="1"/>
  <c r="C2806" i="5"/>
  <c r="B2808" i="5" l="1"/>
  <c r="C2807" i="5"/>
  <c r="B2809" i="5" l="1"/>
  <c r="C2808" i="5"/>
  <c r="B2810" i="5" l="1"/>
  <c r="C2809" i="5"/>
  <c r="B2811" i="5" l="1"/>
  <c r="C2810" i="5"/>
  <c r="B2812" i="5" l="1"/>
  <c r="C2811" i="5"/>
  <c r="B2813" i="5" l="1"/>
  <c r="C2812" i="5"/>
  <c r="B2814" i="5" l="1"/>
  <c r="C2813" i="5"/>
  <c r="B2815" i="5" l="1"/>
  <c r="C2814" i="5"/>
  <c r="B2816" i="5" l="1"/>
  <c r="C2815" i="5"/>
  <c r="B2817" i="5" l="1"/>
  <c r="C2816" i="5"/>
  <c r="B2818" i="5" l="1"/>
  <c r="C2817" i="5"/>
  <c r="B2819" i="5" l="1"/>
  <c r="C2818" i="5"/>
  <c r="B2820" i="5" l="1"/>
  <c r="C2819" i="5"/>
  <c r="B2821" i="5" l="1"/>
  <c r="C2820" i="5"/>
  <c r="B2822" i="5" l="1"/>
  <c r="C2821" i="5"/>
  <c r="B2823" i="5" l="1"/>
  <c r="C2822" i="5"/>
  <c r="B2824" i="5" l="1"/>
  <c r="C2823" i="5"/>
  <c r="B2825" i="5" l="1"/>
  <c r="C2824" i="5"/>
  <c r="B2826" i="5" l="1"/>
  <c r="C2825" i="5"/>
  <c r="B2827" i="5" l="1"/>
  <c r="C2826" i="5"/>
  <c r="B2828" i="5" l="1"/>
  <c r="C2827" i="5"/>
  <c r="B2829" i="5" l="1"/>
  <c r="C2828" i="5"/>
  <c r="B2830" i="5" l="1"/>
  <c r="C2829" i="5"/>
  <c r="B2831" i="5" l="1"/>
  <c r="C2830" i="5"/>
  <c r="B2832" i="5" l="1"/>
  <c r="C2831" i="5"/>
  <c r="B2833" i="5" l="1"/>
  <c r="C2832" i="5"/>
  <c r="B2834" i="5" l="1"/>
  <c r="C2833" i="5"/>
  <c r="B2835" i="5" l="1"/>
  <c r="C2834" i="5"/>
  <c r="B2836" i="5" l="1"/>
  <c r="C2835" i="5"/>
  <c r="B2837" i="5" l="1"/>
  <c r="C2836" i="5"/>
  <c r="B2838" i="5" l="1"/>
  <c r="C2837" i="5"/>
  <c r="B2839" i="5" l="1"/>
  <c r="C2838" i="5"/>
  <c r="B2840" i="5" l="1"/>
  <c r="C2839" i="5"/>
  <c r="B2841" i="5" l="1"/>
  <c r="C2840" i="5"/>
  <c r="B2842" i="5" l="1"/>
  <c r="C2841" i="5"/>
  <c r="B2843" i="5" l="1"/>
  <c r="C2842" i="5"/>
  <c r="B2844" i="5" l="1"/>
  <c r="C2843" i="5"/>
  <c r="B2845" i="5" l="1"/>
  <c r="C2844" i="5"/>
  <c r="B2846" i="5" l="1"/>
  <c r="C2845" i="5"/>
  <c r="B2847" i="5" l="1"/>
  <c r="C2846" i="5"/>
  <c r="B2848" i="5" l="1"/>
  <c r="C2847" i="5"/>
  <c r="B2849" i="5" l="1"/>
  <c r="C2848" i="5"/>
  <c r="B2850" i="5" l="1"/>
  <c r="C2849" i="5"/>
  <c r="B2851" i="5" l="1"/>
  <c r="C2850" i="5"/>
  <c r="B2852" i="5" l="1"/>
  <c r="C2851" i="5"/>
  <c r="B2853" i="5" l="1"/>
  <c r="C2852" i="5"/>
  <c r="B2854" i="5" l="1"/>
  <c r="C2853" i="5"/>
  <c r="B2855" i="5" l="1"/>
  <c r="C2854" i="5"/>
  <c r="B2856" i="5" l="1"/>
  <c r="C2855" i="5"/>
  <c r="B2857" i="5" l="1"/>
  <c r="C2856" i="5"/>
  <c r="B2858" i="5" l="1"/>
  <c r="C2857" i="5"/>
  <c r="B2859" i="5" l="1"/>
  <c r="C2858" i="5"/>
  <c r="B2860" i="5" l="1"/>
  <c r="C2859" i="5"/>
  <c r="B2861" i="5" l="1"/>
  <c r="C2860" i="5"/>
  <c r="B2862" i="5" l="1"/>
  <c r="C2861" i="5"/>
  <c r="B2863" i="5" l="1"/>
  <c r="C2862" i="5"/>
  <c r="B2864" i="5" l="1"/>
  <c r="C2863" i="5"/>
  <c r="B2865" i="5" l="1"/>
  <c r="C2864" i="5"/>
  <c r="B2866" i="5" l="1"/>
  <c r="C2865" i="5"/>
  <c r="B2867" i="5" l="1"/>
  <c r="C2866" i="5"/>
  <c r="B2868" i="5" l="1"/>
  <c r="C2867" i="5"/>
  <c r="B2869" i="5" l="1"/>
  <c r="C2868" i="5"/>
  <c r="B2870" i="5" l="1"/>
  <c r="C2869" i="5"/>
  <c r="B2871" i="5" l="1"/>
  <c r="C2870" i="5"/>
  <c r="B2872" i="5" l="1"/>
  <c r="C2871" i="5"/>
  <c r="B2873" i="5" l="1"/>
  <c r="C2872" i="5"/>
  <c r="B2874" i="5" l="1"/>
  <c r="C2873" i="5"/>
  <c r="B2875" i="5" l="1"/>
  <c r="C2874" i="5"/>
  <c r="B2876" i="5" l="1"/>
  <c r="C2875" i="5"/>
  <c r="B2877" i="5" l="1"/>
  <c r="C2876" i="5"/>
  <c r="B2878" i="5" l="1"/>
  <c r="C2877" i="5"/>
  <c r="B2879" i="5" l="1"/>
  <c r="C2878" i="5"/>
  <c r="B2880" i="5" l="1"/>
  <c r="C2879" i="5"/>
  <c r="B2881" i="5" l="1"/>
  <c r="C2880" i="5"/>
  <c r="B2882" i="5" l="1"/>
  <c r="C2881" i="5"/>
  <c r="B2883" i="5" l="1"/>
  <c r="C2882" i="5"/>
  <c r="B2884" i="5" l="1"/>
  <c r="C2883" i="5"/>
  <c r="B2885" i="5" l="1"/>
  <c r="C2884" i="5"/>
  <c r="B2886" i="5" l="1"/>
  <c r="C2885" i="5"/>
  <c r="B2887" i="5" l="1"/>
  <c r="C2886" i="5"/>
  <c r="B2888" i="5" l="1"/>
  <c r="C2887" i="5"/>
  <c r="B2889" i="5" l="1"/>
  <c r="C2888" i="5"/>
  <c r="B2890" i="5" l="1"/>
  <c r="C2889" i="5"/>
  <c r="B2891" i="5" l="1"/>
  <c r="C2890" i="5"/>
  <c r="B2892" i="5" l="1"/>
  <c r="C2891" i="5"/>
  <c r="B2893" i="5" l="1"/>
  <c r="C2892" i="5"/>
  <c r="B2894" i="5" l="1"/>
  <c r="C2893" i="5"/>
  <c r="B2895" i="5" l="1"/>
  <c r="C2894" i="5"/>
  <c r="B2896" i="5" l="1"/>
  <c r="C2895" i="5"/>
  <c r="B2897" i="5" l="1"/>
  <c r="C2896" i="5"/>
  <c r="B2898" i="5" l="1"/>
  <c r="C2897" i="5"/>
  <c r="B2899" i="5" l="1"/>
  <c r="C2898" i="5"/>
  <c r="B2900" i="5" l="1"/>
  <c r="C2899" i="5"/>
  <c r="B2901" i="5" l="1"/>
  <c r="C2900" i="5"/>
  <c r="B2902" i="5" l="1"/>
  <c r="C2901" i="5"/>
  <c r="B2903" i="5" l="1"/>
  <c r="C2902" i="5"/>
  <c r="B2904" i="5" l="1"/>
  <c r="C2903" i="5"/>
  <c r="B2905" i="5" l="1"/>
  <c r="C2904" i="5"/>
  <c r="B2906" i="5" l="1"/>
  <c r="C2905" i="5"/>
  <c r="B2907" i="5" l="1"/>
  <c r="C2906" i="5"/>
  <c r="B2908" i="5" l="1"/>
  <c r="C2907" i="5"/>
  <c r="B2909" i="5" l="1"/>
  <c r="C2908" i="5"/>
  <c r="B2910" i="5" l="1"/>
  <c r="C2909" i="5"/>
  <c r="B2911" i="5" l="1"/>
  <c r="C2910" i="5"/>
  <c r="B2912" i="5" l="1"/>
  <c r="C2911" i="5"/>
  <c r="B2913" i="5" l="1"/>
  <c r="C2912" i="5"/>
  <c r="B2914" i="5" l="1"/>
  <c r="C2913" i="5"/>
  <c r="B2915" i="5" l="1"/>
  <c r="C2914" i="5"/>
  <c r="B2916" i="5" l="1"/>
  <c r="C2915" i="5"/>
  <c r="B2917" i="5" l="1"/>
  <c r="C2916" i="5"/>
  <c r="B2918" i="5" l="1"/>
  <c r="C2917" i="5"/>
  <c r="B2919" i="5" l="1"/>
  <c r="C2918" i="5"/>
  <c r="B2920" i="5" l="1"/>
  <c r="C2919" i="5"/>
  <c r="B2921" i="5" l="1"/>
  <c r="C2920" i="5"/>
  <c r="B2922" i="5" l="1"/>
  <c r="C2921" i="5"/>
  <c r="B2923" i="5" l="1"/>
  <c r="C2922" i="5"/>
  <c r="B2924" i="5" l="1"/>
  <c r="C2923" i="5"/>
  <c r="B2925" i="5" l="1"/>
  <c r="C2924" i="5"/>
  <c r="B2926" i="5" l="1"/>
  <c r="C2925" i="5"/>
  <c r="B2927" i="5" l="1"/>
  <c r="C2926" i="5"/>
  <c r="B2928" i="5" l="1"/>
  <c r="C2927" i="5"/>
  <c r="B2929" i="5" l="1"/>
  <c r="C2928" i="5"/>
  <c r="B2930" i="5" l="1"/>
  <c r="C2929" i="5"/>
  <c r="B2931" i="5" l="1"/>
  <c r="C2930" i="5"/>
  <c r="B2932" i="5" l="1"/>
  <c r="C2931" i="5"/>
  <c r="B2933" i="5" l="1"/>
  <c r="C2932" i="5"/>
  <c r="B2934" i="5" l="1"/>
  <c r="C2933" i="5"/>
  <c r="B2935" i="5" l="1"/>
  <c r="C2934" i="5"/>
  <c r="B2936" i="5" l="1"/>
  <c r="C2935" i="5"/>
  <c r="B2937" i="5" l="1"/>
  <c r="C2936" i="5"/>
  <c r="B2938" i="5" l="1"/>
  <c r="C2937" i="5"/>
  <c r="B2939" i="5" l="1"/>
  <c r="C2938" i="5"/>
  <c r="B2940" i="5" l="1"/>
  <c r="C2939" i="5"/>
  <c r="B2941" i="5" l="1"/>
  <c r="C2940" i="5"/>
  <c r="B2942" i="5" l="1"/>
  <c r="C2941" i="5"/>
  <c r="B2943" i="5" l="1"/>
  <c r="C2942" i="5"/>
  <c r="B2944" i="5" l="1"/>
  <c r="C2943" i="5"/>
  <c r="B2945" i="5" l="1"/>
  <c r="C2944" i="5"/>
  <c r="B2946" i="5" l="1"/>
  <c r="C2945" i="5"/>
  <c r="B2947" i="5" l="1"/>
  <c r="C2946" i="5"/>
  <c r="B2948" i="5" l="1"/>
  <c r="C2947" i="5"/>
  <c r="B2949" i="5" l="1"/>
  <c r="C2948" i="5"/>
  <c r="B2950" i="5" l="1"/>
  <c r="C2949" i="5"/>
  <c r="B2951" i="5" l="1"/>
  <c r="C2950" i="5"/>
  <c r="B2952" i="5" l="1"/>
  <c r="C2951" i="5"/>
  <c r="B2953" i="5" l="1"/>
  <c r="C2952" i="5"/>
  <c r="B2954" i="5" l="1"/>
  <c r="C2953" i="5"/>
  <c r="B2955" i="5" l="1"/>
  <c r="C2954" i="5"/>
  <c r="B2956" i="5" l="1"/>
  <c r="C2955" i="5"/>
  <c r="B2957" i="5" l="1"/>
  <c r="C2956" i="5"/>
  <c r="B2958" i="5" l="1"/>
  <c r="C2957" i="5"/>
  <c r="B2959" i="5" l="1"/>
  <c r="C2958" i="5"/>
  <c r="B2960" i="5" l="1"/>
  <c r="C2959" i="5"/>
  <c r="B2961" i="5" l="1"/>
  <c r="C2960" i="5"/>
  <c r="B2962" i="5" l="1"/>
  <c r="C2961" i="5"/>
  <c r="B2963" i="5" l="1"/>
  <c r="C2962" i="5"/>
  <c r="B2964" i="5" l="1"/>
  <c r="C2963" i="5"/>
  <c r="B2965" i="5" l="1"/>
  <c r="C2964" i="5"/>
  <c r="B2966" i="5" l="1"/>
  <c r="C2965" i="5"/>
  <c r="B2967" i="5" l="1"/>
  <c r="C2966" i="5"/>
  <c r="B2968" i="5" l="1"/>
  <c r="C2967" i="5"/>
  <c r="B2969" i="5" l="1"/>
  <c r="C2968" i="5"/>
  <c r="B2970" i="5" l="1"/>
  <c r="C2969" i="5"/>
  <c r="B2971" i="5" l="1"/>
  <c r="C2970" i="5"/>
  <c r="B2972" i="5" l="1"/>
  <c r="C2971" i="5"/>
  <c r="B2973" i="5" l="1"/>
  <c r="C2972" i="5"/>
  <c r="B2974" i="5" l="1"/>
  <c r="C2973" i="5"/>
  <c r="B2975" i="5" l="1"/>
  <c r="C2974" i="5"/>
  <c r="B2976" i="5" l="1"/>
  <c r="C2975" i="5"/>
  <c r="B2977" i="5" l="1"/>
  <c r="C2976" i="5"/>
  <c r="B2978" i="5" l="1"/>
  <c r="C2977" i="5"/>
  <c r="B2979" i="5" l="1"/>
  <c r="C2978" i="5"/>
  <c r="B2980" i="5" l="1"/>
  <c r="C2979" i="5"/>
  <c r="B2981" i="5" l="1"/>
  <c r="C2980" i="5"/>
  <c r="B2982" i="5" l="1"/>
  <c r="C2981" i="5"/>
  <c r="B2983" i="5" l="1"/>
  <c r="C2982" i="5"/>
  <c r="B2984" i="5" l="1"/>
  <c r="C2983" i="5"/>
  <c r="B2985" i="5" l="1"/>
  <c r="C2984" i="5"/>
  <c r="B2986" i="5" l="1"/>
  <c r="C2985" i="5"/>
  <c r="B2987" i="5" l="1"/>
  <c r="C2986" i="5"/>
  <c r="B2988" i="5" l="1"/>
  <c r="C2987" i="5"/>
  <c r="B2989" i="5" l="1"/>
  <c r="C2988" i="5"/>
  <c r="B2990" i="5" l="1"/>
  <c r="C2989" i="5"/>
  <c r="B2991" i="5" l="1"/>
  <c r="C2990" i="5"/>
  <c r="B2992" i="5" l="1"/>
  <c r="C2991" i="5"/>
  <c r="B2993" i="5" l="1"/>
  <c r="C2992" i="5"/>
  <c r="B2994" i="5" l="1"/>
  <c r="C2993" i="5"/>
  <c r="B2995" i="5" l="1"/>
  <c r="C2994" i="5"/>
  <c r="B2996" i="5" l="1"/>
  <c r="C2995" i="5"/>
  <c r="B2997" i="5" l="1"/>
  <c r="C2996" i="5"/>
  <c r="B2998" i="5" l="1"/>
  <c r="C2997" i="5"/>
  <c r="B2999" i="5" l="1"/>
  <c r="C2998" i="5"/>
  <c r="B3000" i="5" l="1"/>
  <c r="C2999" i="5"/>
  <c r="B3001" i="5" l="1"/>
  <c r="C3000" i="5"/>
  <c r="B3002" i="5" l="1"/>
  <c r="C3001" i="5"/>
  <c r="B3003" i="5" l="1"/>
  <c r="C3002" i="5"/>
  <c r="B3004" i="5" l="1"/>
  <c r="C3003" i="5"/>
  <c r="B3005" i="5" l="1"/>
  <c r="C3004" i="5"/>
  <c r="B3006" i="5" l="1"/>
  <c r="C3005" i="5"/>
  <c r="B3007" i="5" l="1"/>
  <c r="C3006" i="5"/>
  <c r="B3008" i="5" l="1"/>
  <c r="C3007" i="5"/>
  <c r="B3009" i="5" l="1"/>
  <c r="C3008" i="5"/>
  <c r="B3010" i="5" l="1"/>
  <c r="C3009" i="5"/>
  <c r="B3011" i="5" l="1"/>
  <c r="C3010" i="5"/>
  <c r="B3012" i="5" l="1"/>
  <c r="C3011" i="5"/>
  <c r="B3013" i="5" l="1"/>
  <c r="C3012" i="5"/>
  <c r="B3014" i="5" l="1"/>
  <c r="C3013" i="5"/>
  <c r="B3015" i="5" l="1"/>
  <c r="C3014" i="5"/>
  <c r="B3016" i="5" l="1"/>
  <c r="C3015" i="5"/>
  <c r="B3017" i="5" l="1"/>
  <c r="C3016" i="5"/>
  <c r="B3018" i="5" l="1"/>
  <c r="C3017" i="5"/>
  <c r="B3019" i="5" l="1"/>
  <c r="C3018" i="5"/>
  <c r="B3020" i="5" l="1"/>
  <c r="C3019" i="5"/>
  <c r="B3021" i="5" l="1"/>
  <c r="C3020" i="5"/>
  <c r="B3022" i="5" l="1"/>
  <c r="C3021" i="5"/>
  <c r="B3023" i="5" l="1"/>
  <c r="C3022" i="5"/>
  <c r="B3024" i="5" l="1"/>
  <c r="C3023" i="5"/>
  <c r="B3025" i="5" l="1"/>
  <c r="C3024" i="5"/>
  <c r="B3026" i="5" l="1"/>
  <c r="C3025" i="5"/>
  <c r="B3027" i="5" l="1"/>
  <c r="C3026" i="5"/>
  <c r="B3028" i="5" l="1"/>
  <c r="C3027" i="5"/>
  <c r="B3029" i="5" l="1"/>
  <c r="C3028" i="5"/>
  <c r="B3030" i="5" l="1"/>
  <c r="C3029" i="5"/>
  <c r="B3031" i="5" l="1"/>
  <c r="C3030" i="5"/>
  <c r="B3032" i="5" l="1"/>
  <c r="C3031" i="5"/>
  <c r="B3033" i="5" l="1"/>
  <c r="C3032" i="5"/>
  <c r="B3034" i="5" l="1"/>
  <c r="C3033" i="5"/>
  <c r="B3035" i="5" l="1"/>
  <c r="C3034" i="5"/>
  <c r="B3036" i="5" l="1"/>
  <c r="C3035" i="5"/>
  <c r="B3037" i="5" l="1"/>
  <c r="C3036" i="5"/>
  <c r="B3038" i="5" l="1"/>
  <c r="C3037" i="5"/>
  <c r="B3039" i="5" l="1"/>
  <c r="C3038" i="5"/>
  <c r="B3040" i="5" l="1"/>
  <c r="C3039" i="5"/>
  <c r="B3041" i="5" l="1"/>
  <c r="C3040" i="5"/>
  <c r="B3042" i="5" l="1"/>
  <c r="C3041" i="5"/>
  <c r="B3043" i="5" l="1"/>
  <c r="C3042" i="5"/>
  <c r="B3044" i="5" l="1"/>
  <c r="C3043" i="5"/>
  <c r="B3045" i="5" l="1"/>
  <c r="C3044" i="5"/>
  <c r="B3046" i="5" l="1"/>
  <c r="C3045" i="5"/>
  <c r="B3047" i="5" l="1"/>
  <c r="C3046" i="5"/>
  <c r="B3048" i="5" l="1"/>
  <c r="C3047" i="5"/>
  <c r="B3049" i="5" l="1"/>
  <c r="C3048" i="5"/>
  <c r="B3050" i="5" l="1"/>
  <c r="C3049" i="5"/>
  <c r="B3051" i="5" l="1"/>
  <c r="C3050" i="5"/>
  <c r="B3052" i="5" l="1"/>
  <c r="C3051" i="5"/>
  <c r="B3053" i="5" l="1"/>
  <c r="C3052" i="5"/>
  <c r="B3054" i="5" l="1"/>
  <c r="C3053" i="5"/>
  <c r="B3055" i="5" l="1"/>
  <c r="C3054" i="5"/>
  <c r="B3056" i="5" l="1"/>
  <c r="C3055" i="5"/>
  <c r="B3057" i="5" l="1"/>
  <c r="C3056" i="5"/>
  <c r="B3058" i="5" l="1"/>
  <c r="C3057" i="5"/>
  <c r="B3059" i="5" l="1"/>
  <c r="C3058" i="5"/>
  <c r="B3060" i="5" l="1"/>
  <c r="C3059" i="5"/>
  <c r="B3061" i="5" l="1"/>
  <c r="C3060" i="5"/>
  <c r="B3062" i="5" l="1"/>
  <c r="C3061" i="5"/>
  <c r="B3063" i="5" l="1"/>
  <c r="C3062" i="5"/>
  <c r="B3064" i="5" l="1"/>
  <c r="C3063" i="5"/>
  <c r="B3065" i="5" l="1"/>
  <c r="C3064" i="5"/>
  <c r="B3066" i="5" l="1"/>
  <c r="C3065" i="5"/>
  <c r="B3067" i="5" l="1"/>
  <c r="C3066" i="5"/>
  <c r="B3068" i="5" l="1"/>
  <c r="C3067" i="5"/>
  <c r="B3069" i="5" l="1"/>
  <c r="C3068" i="5"/>
  <c r="B3070" i="5" l="1"/>
  <c r="C3069" i="5"/>
  <c r="B3071" i="5" l="1"/>
  <c r="C3070" i="5"/>
  <c r="B3072" i="5" l="1"/>
  <c r="C3071" i="5"/>
  <c r="B3073" i="5" l="1"/>
  <c r="C3072" i="5"/>
  <c r="B3074" i="5" l="1"/>
  <c r="C3073" i="5"/>
  <c r="B3075" i="5" l="1"/>
  <c r="C3074" i="5"/>
  <c r="B3076" i="5" l="1"/>
  <c r="C3075" i="5"/>
  <c r="B3077" i="5" l="1"/>
  <c r="C3076" i="5"/>
  <c r="B3078" i="5" l="1"/>
  <c r="C3077" i="5"/>
  <c r="B3079" i="5" l="1"/>
  <c r="C3078" i="5"/>
  <c r="B3080" i="5" l="1"/>
  <c r="C3079" i="5"/>
  <c r="B3081" i="5" l="1"/>
  <c r="C3080" i="5"/>
  <c r="B3082" i="5" l="1"/>
  <c r="C3081" i="5"/>
  <c r="B3083" i="5" l="1"/>
  <c r="C3082" i="5"/>
  <c r="B3084" i="5" l="1"/>
  <c r="C3083" i="5"/>
  <c r="B3085" i="5" l="1"/>
  <c r="C3084" i="5"/>
  <c r="B3086" i="5" l="1"/>
  <c r="C3085" i="5"/>
  <c r="B3087" i="5" l="1"/>
  <c r="C3086" i="5"/>
  <c r="B3088" i="5" l="1"/>
  <c r="C3087" i="5"/>
  <c r="B3089" i="5" l="1"/>
  <c r="C3088" i="5"/>
  <c r="B3090" i="5" l="1"/>
  <c r="C3089" i="5"/>
  <c r="B3091" i="5" l="1"/>
  <c r="C3090" i="5"/>
  <c r="B3092" i="5" l="1"/>
  <c r="C3091" i="5"/>
  <c r="B3093" i="5" l="1"/>
  <c r="C3092" i="5"/>
  <c r="B3094" i="5" l="1"/>
  <c r="C3093" i="5"/>
  <c r="B3095" i="5" l="1"/>
  <c r="C3094" i="5"/>
  <c r="B3096" i="5" l="1"/>
  <c r="C3095" i="5"/>
  <c r="B3097" i="5" l="1"/>
  <c r="C3096" i="5"/>
  <c r="B3098" i="5" l="1"/>
  <c r="C3097" i="5"/>
  <c r="B3099" i="5" l="1"/>
  <c r="C3098" i="5"/>
  <c r="B3100" i="5" l="1"/>
  <c r="C3099" i="5"/>
  <c r="B3101" i="5" l="1"/>
  <c r="C3100" i="5"/>
  <c r="B3102" i="5" l="1"/>
  <c r="C3101" i="5"/>
  <c r="B3103" i="5" l="1"/>
  <c r="C3102" i="5"/>
  <c r="B3104" i="5" l="1"/>
  <c r="C3103" i="5"/>
  <c r="B3105" i="5" l="1"/>
  <c r="C3104" i="5"/>
  <c r="B3106" i="5" l="1"/>
  <c r="C3105" i="5"/>
  <c r="B3107" i="5" l="1"/>
  <c r="C3106" i="5"/>
  <c r="B3108" i="5" l="1"/>
  <c r="C3107" i="5"/>
  <c r="B3109" i="5" l="1"/>
  <c r="C3108" i="5"/>
  <c r="B3110" i="5" l="1"/>
  <c r="C3109" i="5"/>
  <c r="B3111" i="5" l="1"/>
  <c r="C3110" i="5"/>
  <c r="B3112" i="5" l="1"/>
  <c r="C3111" i="5"/>
  <c r="B3113" i="5" l="1"/>
  <c r="C3112" i="5"/>
  <c r="B3114" i="5" l="1"/>
  <c r="C3113" i="5"/>
  <c r="B3115" i="5" l="1"/>
  <c r="C3114" i="5"/>
  <c r="B3116" i="5" l="1"/>
  <c r="C3115" i="5"/>
  <c r="B3117" i="5" l="1"/>
  <c r="C3116" i="5"/>
  <c r="B3118" i="5" l="1"/>
  <c r="C3117" i="5"/>
  <c r="B3119" i="5" l="1"/>
  <c r="C3118" i="5"/>
  <c r="B3120" i="5" l="1"/>
  <c r="C3119" i="5"/>
  <c r="B3121" i="5" l="1"/>
  <c r="C3120" i="5"/>
  <c r="B3122" i="5" l="1"/>
  <c r="C3121" i="5"/>
  <c r="B3123" i="5" l="1"/>
  <c r="C3122" i="5"/>
  <c r="B3124" i="5" l="1"/>
  <c r="C3123" i="5"/>
  <c r="B3125" i="5" l="1"/>
  <c r="C3124" i="5"/>
  <c r="B3126" i="5" l="1"/>
  <c r="C3125" i="5"/>
  <c r="B3127" i="5" l="1"/>
  <c r="C3126" i="5"/>
  <c r="B3128" i="5" l="1"/>
  <c r="C3127" i="5"/>
  <c r="B3129" i="5" l="1"/>
  <c r="C3128" i="5"/>
  <c r="B3130" i="5" l="1"/>
  <c r="C3129" i="5"/>
  <c r="B3131" i="5" l="1"/>
  <c r="C3130" i="5"/>
  <c r="B3132" i="5" l="1"/>
  <c r="C3131" i="5"/>
  <c r="B3133" i="5" l="1"/>
  <c r="C3132" i="5"/>
  <c r="B3134" i="5" l="1"/>
  <c r="C3133" i="5"/>
  <c r="B3135" i="5" l="1"/>
  <c r="C3134" i="5"/>
  <c r="B3136" i="5" l="1"/>
  <c r="C3135" i="5"/>
  <c r="B3137" i="5" l="1"/>
  <c r="C3136" i="5"/>
  <c r="B3138" i="5" l="1"/>
  <c r="C3137" i="5"/>
  <c r="B3139" i="5" l="1"/>
  <c r="C3138" i="5"/>
  <c r="B3140" i="5" l="1"/>
  <c r="C3139" i="5"/>
  <c r="B3141" i="5" l="1"/>
  <c r="C3140" i="5"/>
  <c r="B3142" i="5" l="1"/>
  <c r="C3141" i="5"/>
  <c r="B3143" i="5" l="1"/>
  <c r="C3142" i="5"/>
  <c r="B3144" i="5" l="1"/>
  <c r="C3143" i="5"/>
  <c r="B3145" i="5" l="1"/>
  <c r="C3144" i="5"/>
  <c r="B3146" i="5" l="1"/>
  <c r="C3145" i="5"/>
  <c r="B3147" i="5" l="1"/>
  <c r="C3146" i="5"/>
  <c r="B3148" i="5" l="1"/>
  <c r="C3147" i="5"/>
  <c r="B3149" i="5" l="1"/>
  <c r="C3148" i="5"/>
  <c r="B3150" i="5" l="1"/>
  <c r="C3149" i="5"/>
  <c r="B3151" i="5" l="1"/>
  <c r="C3150" i="5"/>
  <c r="B3152" i="5" l="1"/>
  <c r="C3151" i="5"/>
  <c r="B3153" i="5" l="1"/>
  <c r="C3152" i="5"/>
  <c r="B3154" i="5" l="1"/>
  <c r="C3153" i="5"/>
  <c r="B3155" i="5" l="1"/>
  <c r="C3154" i="5"/>
  <c r="B3156" i="5" l="1"/>
  <c r="C3155" i="5"/>
  <c r="B3157" i="5" l="1"/>
  <c r="C3156" i="5"/>
  <c r="B3158" i="5" l="1"/>
  <c r="C3157" i="5"/>
  <c r="B3159" i="5" l="1"/>
  <c r="C3158" i="5"/>
  <c r="B3160" i="5" l="1"/>
  <c r="C3159" i="5"/>
  <c r="B3161" i="5" l="1"/>
  <c r="C3160" i="5"/>
  <c r="B3162" i="5" l="1"/>
  <c r="C3161" i="5"/>
  <c r="B3163" i="5" l="1"/>
  <c r="C3162" i="5"/>
  <c r="B3164" i="5" l="1"/>
  <c r="C3163" i="5"/>
  <c r="B3165" i="5" l="1"/>
  <c r="C3164" i="5"/>
  <c r="B3166" i="5" l="1"/>
  <c r="C3165" i="5"/>
  <c r="B3167" i="5" l="1"/>
  <c r="C3166" i="5"/>
  <c r="B3168" i="5" l="1"/>
  <c r="C3167" i="5"/>
  <c r="B3169" i="5" l="1"/>
  <c r="C3168" i="5"/>
  <c r="B3170" i="5" l="1"/>
  <c r="C3169" i="5"/>
  <c r="B3171" i="5" l="1"/>
  <c r="C3170" i="5"/>
  <c r="B3172" i="5" l="1"/>
  <c r="C3171" i="5"/>
  <c r="B3173" i="5" l="1"/>
  <c r="C3172" i="5"/>
  <c r="B3174" i="5" l="1"/>
  <c r="C3173" i="5"/>
  <c r="B3175" i="5" l="1"/>
  <c r="C3174" i="5"/>
  <c r="B3176" i="5" l="1"/>
  <c r="C3175" i="5"/>
  <c r="B3177" i="5" l="1"/>
  <c r="C3176" i="5"/>
  <c r="B3178" i="5" l="1"/>
  <c r="C3177" i="5"/>
  <c r="B3179" i="5" l="1"/>
  <c r="C3178" i="5"/>
  <c r="B3180" i="5" l="1"/>
  <c r="C3179" i="5"/>
  <c r="B3181" i="5" l="1"/>
  <c r="C3180" i="5"/>
  <c r="B3182" i="5" l="1"/>
  <c r="C3181" i="5"/>
  <c r="B3183" i="5" l="1"/>
  <c r="C3182" i="5"/>
  <c r="B3184" i="5" l="1"/>
  <c r="C3183" i="5"/>
  <c r="B3185" i="5" l="1"/>
  <c r="C3184" i="5"/>
  <c r="B3186" i="5" l="1"/>
  <c r="C3185" i="5"/>
  <c r="B3187" i="5" l="1"/>
  <c r="C3186" i="5"/>
  <c r="B3188" i="5" l="1"/>
  <c r="C3187" i="5"/>
  <c r="B3189" i="5" l="1"/>
  <c r="C3188" i="5"/>
  <c r="B3190" i="5" l="1"/>
  <c r="C3189" i="5"/>
  <c r="B3191" i="5" l="1"/>
  <c r="C3190" i="5"/>
  <c r="B3192" i="5" l="1"/>
  <c r="C3191" i="5"/>
  <c r="B3193" i="5" l="1"/>
  <c r="C3192" i="5"/>
  <c r="B3194" i="5" l="1"/>
  <c r="C3193" i="5"/>
  <c r="B3195" i="5" l="1"/>
  <c r="C3194" i="5"/>
  <c r="B3196" i="5" l="1"/>
  <c r="C3195" i="5"/>
  <c r="B3197" i="5" l="1"/>
  <c r="C3196" i="5"/>
  <c r="B3198" i="5" l="1"/>
  <c r="C3197" i="5"/>
  <c r="B3199" i="5" l="1"/>
  <c r="C3198" i="5"/>
  <c r="B3200" i="5" l="1"/>
  <c r="C3199" i="5"/>
  <c r="B3201" i="5" l="1"/>
  <c r="C3200" i="5"/>
  <c r="B3202" i="5" l="1"/>
  <c r="C3201" i="5"/>
  <c r="B3203" i="5" l="1"/>
  <c r="C3202" i="5"/>
  <c r="B3204" i="5" l="1"/>
  <c r="C3203" i="5"/>
  <c r="B3205" i="5" l="1"/>
  <c r="C3204" i="5"/>
  <c r="B3206" i="5" l="1"/>
  <c r="C3205" i="5"/>
  <c r="B3207" i="5" l="1"/>
  <c r="C3206" i="5"/>
  <c r="B3208" i="5" l="1"/>
  <c r="C3207" i="5"/>
  <c r="B3209" i="5" l="1"/>
  <c r="C3208" i="5"/>
  <c r="B3210" i="5" l="1"/>
  <c r="C3209" i="5"/>
  <c r="B3211" i="5" l="1"/>
  <c r="C3210" i="5"/>
  <c r="B3212" i="5" l="1"/>
  <c r="C3211" i="5"/>
  <c r="B3213" i="5" l="1"/>
  <c r="C3212" i="5"/>
  <c r="B3214" i="5" l="1"/>
  <c r="C3213" i="5"/>
  <c r="B3215" i="5" l="1"/>
  <c r="C3214" i="5"/>
  <c r="B3216" i="5" l="1"/>
  <c r="C3215" i="5"/>
  <c r="B3217" i="5" l="1"/>
  <c r="C3216" i="5"/>
  <c r="B3218" i="5" l="1"/>
  <c r="C3217" i="5"/>
  <c r="B3219" i="5" l="1"/>
  <c r="C3218" i="5"/>
  <c r="B3220" i="5" l="1"/>
  <c r="C3219" i="5"/>
  <c r="B3221" i="5" l="1"/>
  <c r="C3220" i="5"/>
  <c r="B3222" i="5" l="1"/>
  <c r="C3221" i="5"/>
  <c r="B3223" i="5" l="1"/>
  <c r="C3222" i="5"/>
  <c r="B3224" i="5" l="1"/>
  <c r="C3223" i="5"/>
  <c r="B3225" i="5" l="1"/>
  <c r="C3224" i="5"/>
  <c r="B3226" i="5" l="1"/>
  <c r="C3225" i="5"/>
  <c r="B3227" i="5" l="1"/>
  <c r="C3226" i="5"/>
  <c r="B3228" i="5" l="1"/>
  <c r="C3227" i="5"/>
  <c r="B3229" i="5" l="1"/>
  <c r="C3228" i="5"/>
  <c r="B3230" i="5" l="1"/>
  <c r="C3229" i="5"/>
  <c r="B3231" i="5" l="1"/>
  <c r="C3230" i="5"/>
  <c r="B3232" i="5" l="1"/>
  <c r="C3231" i="5"/>
  <c r="B3233" i="5" l="1"/>
  <c r="C3232" i="5"/>
  <c r="B3234" i="5" l="1"/>
  <c r="C3233" i="5"/>
  <c r="B3235" i="5" l="1"/>
  <c r="C3234" i="5"/>
  <c r="B3236" i="5" l="1"/>
  <c r="C3235" i="5"/>
  <c r="B3237" i="5" l="1"/>
  <c r="C3236" i="5"/>
  <c r="B3238" i="5" l="1"/>
  <c r="C3237" i="5"/>
  <c r="B3239" i="5" l="1"/>
  <c r="C3238" i="5"/>
  <c r="B3240" i="5" l="1"/>
  <c r="C3239" i="5"/>
  <c r="B3241" i="5" l="1"/>
  <c r="C3240" i="5"/>
  <c r="B3242" i="5" l="1"/>
  <c r="C3241" i="5"/>
  <c r="B3243" i="5" l="1"/>
  <c r="C3242" i="5"/>
  <c r="B3244" i="5" l="1"/>
  <c r="C3243" i="5"/>
  <c r="B3245" i="5" l="1"/>
  <c r="C3244" i="5"/>
  <c r="B3246" i="5" l="1"/>
  <c r="C3245" i="5"/>
  <c r="B3247" i="5" l="1"/>
  <c r="C3246" i="5"/>
  <c r="B3248" i="5" l="1"/>
  <c r="C3247" i="5"/>
  <c r="B3249" i="5" l="1"/>
  <c r="C3248" i="5"/>
  <c r="B3250" i="5" l="1"/>
  <c r="C3249" i="5"/>
  <c r="B3251" i="5" l="1"/>
  <c r="C3250" i="5"/>
  <c r="B3252" i="5" l="1"/>
  <c r="C3251" i="5"/>
  <c r="B3253" i="5" l="1"/>
  <c r="C3252" i="5"/>
  <c r="B3254" i="5" l="1"/>
  <c r="C3253" i="5"/>
  <c r="B3255" i="5" l="1"/>
  <c r="C3254" i="5"/>
  <c r="B3256" i="5" l="1"/>
  <c r="C3255" i="5"/>
  <c r="B3257" i="5" l="1"/>
  <c r="C3256" i="5"/>
  <c r="B3258" i="5" l="1"/>
  <c r="C3257" i="5"/>
  <c r="B3259" i="5" l="1"/>
  <c r="C3258" i="5"/>
  <c r="B3260" i="5" l="1"/>
  <c r="C3259" i="5"/>
  <c r="B3261" i="5" l="1"/>
  <c r="C3260" i="5"/>
  <c r="B3262" i="5" l="1"/>
  <c r="C3261" i="5"/>
  <c r="B3263" i="5" l="1"/>
  <c r="C3262" i="5"/>
  <c r="B3264" i="5" l="1"/>
  <c r="C3263" i="5"/>
  <c r="B3265" i="5" l="1"/>
  <c r="C3264" i="5"/>
  <c r="B3266" i="5" l="1"/>
  <c r="C3265" i="5"/>
  <c r="B3267" i="5" l="1"/>
  <c r="C3266" i="5"/>
  <c r="B3268" i="5" l="1"/>
  <c r="C3267" i="5"/>
  <c r="B3269" i="5" l="1"/>
  <c r="C3268" i="5"/>
  <c r="B3270" i="5" l="1"/>
  <c r="C3269" i="5"/>
  <c r="B3271" i="5" l="1"/>
  <c r="C3270" i="5"/>
  <c r="B3272" i="5" l="1"/>
  <c r="C3271" i="5"/>
  <c r="B3273" i="5" l="1"/>
  <c r="C3272" i="5"/>
  <c r="B3274" i="5" l="1"/>
  <c r="C3273" i="5"/>
  <c r="B3275" i="5" l="1"/>
  <c r="C3274" i="5"/>
  <c r="B3276" i="5" l="1"/>
  <c r="C3275" i="5"/>
  <c r="B3277" i="5" l="1"/>
  <c r="C3276" i="5"/>
  <c r="B3278" i="5" l="1"/>
  <c r="C3277" i="5"/>
  <c r="B3279" i="5" l="1"/>
  <c r="C3278" i="5"/>
  <c r="B3280" i="5" l="1"/>
  <c r="C3279" i="5"/>
  <c r="B3281" i="5" l="1"/>
  <c r="C3280" i="5"/>
  <c r="B3282" i="5" l="1"/>
  <c r="C3281" i="5"/>
  <c r="B3283" i="5" l="1"/>
  <c r="C3282" i="5"/>
  <c r="B3284" i="5" l="1"/>
  <c r="C3283" i="5"/>
  <c r="B3285" i="5" l="1"/>
  <c r="C3284" i="5"/>
  <c r="B3286" i="5" l="1"/>
  <c r="C3285" i="5"/>
  <c r="B3287" i="5" l="1"/>
  <c r="C3286" i="5"/>
  <c r="B3288" i="5" l="1"/>
  <c r="C3287" i="5"/>
  <c r="B3289" i="5" l="1"/>
  <c r="C3288" i="5"/>
  <c r="B3290" i="5" l="1"/>
  <c r="C3289" i="5"/>
  <c r="B3291" i="5" l="1"/>
  <c r="C3290" i="5"/>
  <c r="B3292" i="5" l="1"/>
  <c r="C3291" i="5"/>
  <c r="B3293" i="5" l="1"/>
  <c r="C3292" i="5"/>
  <c r="B3294" i="5" l="1"/>
  <c r="C3293" i="5"/>
  <c r="B3295" i="5" l="1"/>
  <c r="C3294" i="5"/>
  <c r="B3296" i="5" l="1"/>
  <c r="C3295" i="5"/>
  <c r="B3297" i="5" l="1"/>
  <c r="C3296" i="5"/>
  <c r="B3298" i="5" l="1"/>
  <c r="C3297" i="5"/>
  <c r="B3299" i="5" l="1"/>
  <c r="C3298" i="5"/>
  <c r="B3300" i="5" l="1"/>
  <c r="C3299" i="5"/>
  <c r="B3301" i="5" l="1"/>
  <c r="C3300" i="5"/>
  <c r="B3302" i="5" l="1"/>
  <c r="C3301" i="5"/>
  <c r="B3303" i="5" l="1"/>
  <c r="C3302" i="5"/>
  <c r="B3304" i="5" l="1"/>
  <c r="C3303" i="5"/>
  <c r="B3305" i="5" l="1"/>
  <c r="C3304" i="5"/>
  <c r="B3306" i="5" l="1"/>
  <c r="C3305" i="5"/>
  <c r="B3307" i="5" l="1"/>
  <c r="C3306" i="5"/>
  <c r="B3308" i="5" l="1"/>
  <c r="C3307" i="5"/>
  <c r="B3309" i="5" l="1"/>
  <c r="C3308" i="5"/>
  <c r="B3310" i="5" l="1"/>
  <c r="C3309" i="5"/>
  <c r="B3311" i="5" l="1"/>
  <c r="C3310" i="5"/>
  <c r="B3312" i="5" l="1"/>
  <c r="C3311" i="5"/>
  <c r="B3313" i="5" l="1"/>
  <c r="C3312" i="5"/>
  <c r="B3314" i="5" l="1"/>
  <c r="C3313" i="5"/>
  <c r="B3315" i="5" l="1"/>
  <c r="C3314" i="5"/>
  <c r="B3316" i="5" l="1"/>
  <c r="C3315" i="5"/>
  <c r="B3317" i="5" l="1"/>
  <c r="C3316" i="5"/>
  <c r="B3318" i="5" l="1"/>
  <c r="C3317" i="5"/>
  <c r="B3319" i="5" l="1"/>
  <c r="C3318" i="5"/>
  <c r="B3320" i="5" l="1"/>
  <c r="C3319" i="5"/>
  <c r="B3321" i="5" l="1"/>
  <c r="C3320" i="5"/>
  <c r="B3322" i="5" l="1"/>
  <c r="C3321" i="5"/>
  <c r="B3323" i="5" l="1"/>
  <c r="C3322" i="5"/>
  <c r="B3324" i="5" l="1"/>
  <c r="C3323" i="5"/>
  <c r="B3325" i="5" l="1"/>
  <c r="C3324" i="5"/>
  <c r="B3326" i="5" l="1"/>
  <c r="C3325" i="5"/>
  <c r="B3327" i="5" l="1"/>
  <c r="C3326" i="5"/>
  <c r="B3328" i="5" l="1"/>
  <c r="C3327" i="5"/>
  <c r="B3329" i="5" l="1"/>
  <c r="C3328" i="5"/>
  <c r="B3330" i="5" l="1"/>
  <c r="C3329" i="5"/>
  <c r="B3331" i="5" l="1"/>
  <c r="C3330" i="5"/>
  <c r="B3332" i="5" l="1"/>
  <c r="C3331" i="5"/>
  <c r="B3333" i="5" l="1"/>
  <c r="C3332" i="5"/>
  <c r="B3334" i="5" l="1"/>
  <c r="C3333" i="5"/>
  <c r="B3335" i="5" l="1"/>
  <c r="C3334" i="5"/>
  <c r="B3336" i="5" l="1"/>
  <c r="C3335" i="5"/>
  <c r="B3337" i="5" l="1"/>
  <c r="C3336" i="5"/>
  <c r="B3338" i="5" l="1"/>
  <c r="C3337" i="5"/>
  <c r="B3339" i="5" l="1"/>
  <c r="C3338" i="5"/>
  <c r="B3340" i="5" l="1"/>
  <c r="C3339" i="5"/>
  <c r="B3341" i="5" l="1"/>
  <c r="C3340" i="5"/>
  <c r="B3342" i="5" l="1"/>
  <c r="C3341" i="5"/>
  <c r="B3343" i="5" l="1"/>
  <c r="C3342" i="5"/>
  <c r="B3344" i="5" l="1"/>
  <c r="C3343" i="5"/>
  <c r="B3345" i="5" l="1"/>
  <c r="C3344" i="5"/>
  <c r="B3346" i="5" l="1"/>
  <c r="C3345" i="5"/>
  <c r="B3347" i="5" l="1"/>
  <c r="C3346" i="5"/>
  <c r="B3348" i="5" l="1"/>
  <c r="C3347" i="5"/>
  <c r="B3349" i="5" l="1"/>
  <c r="C3348" i="5"/>
  <c r="B3350" i="5" l="1"/>
  <c r="C3349" i="5"/>
  <c r="B3351" i="5" l="1"/>
  <c r="C3350" i="5"/>
  <c r="B3352" i="5" l="1"/>
  <c r="C3351" i="5"/>
  <c r="B3353" i="5" l="1"/>
  <c r="C3352" i="5"/>
  <c r="B3354" i="5" l="1"/>
  <c r="C3353" i="5"/>
  <c r="B3355" i="5" l="1"/>
  <c r="C3354" i="5"/>
  <c r="B3356" i="5" l="1"/>
  <c r="C3355" i="5"/>
  <c r="B3357" i="5" l="1"/>
  <c r="C3356" i="5"/>
  <c r="B3358" i="5" l="1"/>
  <c r="C3357" i="5"/>
  <c r="B3359" i="5" l="1"/>
  <c r="C3358" i="5"/>
  <c r="B3360" i="5" l="1"/>
  <c r="C3359" i="5"/>
  <c r="B3361" i="5" l="1"/>
  <c r="C3360" i="5"/>
  <c r="B3362" i="5" l="1"/>
  <c r="C3361" i="5"/>
  <c r="B3363" i="5" l="1"/>
  <c r="C3362" i="5"/>
  <c r="B3364" i="5" l="1"/>
  <c r="C3363" i="5"/>
  <c r="B3365" i="5" l="1"/>
  <c r="C3364" i="5"/>
  <c r="B3366" i="5" l="1"/>
  <c r="C3365" i="5"/>
  <c r="B3367" i="5" l="1"/>
  <c r="C3366" i="5"/>
  <c r="B3368" i="5" l="1"/>
  <c r="C3367" i="5"/>
  <c r="B3369" i="5" l="1"/>
  <c r="C3368" i="5"/>
  <c r="B3370" i="5" l="1"/>
  <c r="C3369" i="5"/>
  <c r="B3371" i="5" l="1"/>
  <c r="C3370" i="5"/>
  <c r="B3372" i="5" l="1"/>
  <c r="C3371" i="5"/>
  <c r="B3373" i="5" l="1"/>
  <c r="C3372" i="5"/>
  <c r="B3374" i="5" l="1"/>
  <c r="C3373" i="5"/>
  <c r="B3375" i="5" l="1"/>
  <c r="C3374" i="5"/>
  <c r="B3376" i="5" l="1"/>
  <c r="C3375" i="5"/>
  <c r="B3377" i="5" l="1"/>
  <c r="C3376" i="5"/>
  <c r="B3378" i="5" l="1"/>
  <c r="C3377" i="5"/>
  <c r="B3379" i="5" l="1"/>
  <c r="C3378" i="5"/>
  <c r="B3380" i="5" l="1"/>
  <c r="C3379" i="5"/>
  <c r="B3381" i="5" l="1"/>
  <c r="C3380" i="5"/>
  <c r="B3382" i="5" l="1"/>
  <c r="C3381" i="5"/>
  <c r="B3383" i="5" l="1"/>
  <c r="C3382" i="5"/>
  <c r="B3384" i="5" l="1"/>
  <c r="C3383" i="5"/>
  <c r="B3385" i="5" l="1"/>
  <c r="C3384" i="5"/>
  <c r="B3386" i="5" l="1"/>
  <c r="C3385" i="5"/>
  <c r="B3387" i="5" l="1"/>
  <c r="C3386" i="5"/>
  <c r="B3388" i="5" l="1"/>
  <c r="C3387" i="5"/>
  <c r="B3389" i="5" l="1"/>
  <c r="C3388" i="5"/>
  <c r="B3390" i="5" l="1"/>
  <c r="C3389" i="5"/>
  <c r="B3391" i="5" l="1"/>
  <c r="C3390" i="5"/>
  <c r="B3392" i="5" l="1"/>
  <c r="C3391" i="5"/>
  <c r="B3393" i="5" l="1"/>
  <c r="C3392" i="5"/>
  <c r="B3394" i="5" l="1"/>
  <c r="C3393" i="5"/>
  <c r="B3395" i="5" l="1"/>
  <c r="C3394" i="5"/>
  <c r="B3396" i="5" l="1"/>
  <c r="C3395" i="5"/>
  <c r="B3397" i="5" l="1"/>
  <c r="C3396" i="5"/>
  <c r="B3398" i="5" l="1"/>
  <c r="C3397" i="5"/>
  <c r="B3399" i="5" l="1"/>
  <c r="C3398" i="5"/>
  <c r="B3400" i="5" l="1"/>
  <c r="C3399" i="5"/>
  <c r="B3401" i="5" l="1"/>
  <c r="C3400" i="5"/>
  <c r="B3402" i="5" l="1"/>
  <c r="C3401" i="5"/>
  <c r="B3403" i="5" l="1"/>
  <c r="C3402" i="5"/>
  <c r="B3404" i="5" l="1"/>
  <c r="C3403" i="5"/>
  <c r="B3405" i="5" l="1"/>
  <c r="C3404" i="5"/>
  <c r="B3406" i="5" l="1"/>
  <c r="C3405" i="5"/>
  <c r="B3407" i="5" l="1"/>
  <c r="C3406" i="5"/>
  <c r="B3408" i="5" l="1"/>
  <c r="C3407" i="5"/>
  <c r="B3409" i="5" l="1"/>
  <c r="C3408" i="5"/>
  <c r="B3410" i="5" l="1"/>
  <c r="C3409" i="5"/>
  <c r="B3411" i="5" l="1"/>
  <c r="C3410" i="5"/>
  <c r="B3412" i="5" l="1"/>
  <c r="C3411" i="5"/>
  <c r="B3413" i="5" l="1"/>
  <c r="C3412" i="5"/>
  <c r="B3414" i="5" l="1"/>
  <c r="C3413" i="5"/>
  <c r="B3415" i="5" l="1"/>
  <c r="C3414" i="5"/>
  <c r="B3416" i="5" l="1"/>
  <c r="C3415" i="5"/>
  <c r="B3417" i="5" l="1"/>
  <c r="C3416" i="5"/>
  <c r="B3418" i="5" l="1"/>
  <c r="C3417" i="5"/>
  <c r="B3419" i="5" l="1"/>
  <c r="C3418" i="5"/>
  <c r="B3420" i="5" l="1"/>
  <c r="C3419" i="5"/>
  <c r="B3421" i="5" l="1"/>
  <c r="C3420" i="5"/>
  <c r="B3422" i="5" l="1"/>
  <c r="C3421" i="5"/>
  <c r="B3423" i="5" l="1"/>
  <c r="C3422" i="5"/>
  <c r="B3424" i="5" l="1"/>
  <c r="C3423" i="5"/>
  <c r="B3425" i="5" l="1"/>
  <c r="C3424" i="5"/>
  <c r="B3426" i="5" l="1"/>
  <c r="C3425" i="5"/>
  <c r="B3427" i="5" l="1"/>
  <c r="C3426" i="5"/>
  <c r="B3428" i="5" l="1"/>
  <c r="C3427" i="5"/>
  <c r="B3429" i="5" l="1"/>
  <c r="C3428" i="5"/>
  <c r="B3430" i="5" l="1"/>
  <c r="C3429" i="5"/>
  <c r="B3431" i="5" l="1"/>
  <c r="C3430" i="5"/>
  <c r="B3432" i="5" l="1"/>
  <c r="C3431" i="5"/>
  <c r="B3433" i="5" l="1"/>
  <c r="C3432" i="5"/>
  <c r="B3434" i="5" l="1"/>
  <c r="C3433" i="5"/>
  <c r="B3435" i="5" l="1"/>
  <c r="C3434" i="5"/>
  <c r="B3436" i="5" l="1"/>
  <c r="C3435" i="5"/>
  <c r="B3437" i="5" l="1"/>
  <c r="C3436" i="5"/>
  <c r="B3438" i="5" l="1"/>
  <c r="C3437" i="5"/>
  <c r="B3439" i="5" l="1"/>
  <c r="C3438" i="5"/>
  <c r="B3440" i="5" l="1"/>
  <c r="C3439" i="5"/>
  <c r="B3441" i="5" l="1"/>
  <c r="C3440" i="5"/>
  <c r="B3442" i="5" l="1"/>
  <c r="C3441" i="5"/>
  <c r="B3443" i="5" l="1"/>
  <c r="C3442" i="5"/>
  <c r="B3444" i="5" l="1"/>
  <c r="C3443" i="5"/>
  <c r="B3445" i="5" l="1"/>
  <c r="C3444" i="5"/>
  <c r="B3446" i="5" l="1"/>
  <c r="C3445" i="5"/>
  <c r="B3447" i="5" l="1"/>
  <c r="C3446" i="5"/>
  <c r="B3448" i="5" l="1"/>
  <c r="C3447" i="5"/>
  <c r="B3449" i="5" l="1"/>
  <c r="C3448" i="5"/>
  <c r="B3450" i="5" l="1"/>
  <c r="C3449" i="5"/>
  <c r="B3451" i="5" l="1"/>
  <c r="C3450" i="5"/>
  <c r="B3452" i="5" l="1"/>
  <c r="C3451" i="5"/>
  <c r="B3453" i="5" l="1"/>
  <c r="C3452" i="5"/>
  <c r="B3454" i="5" l="1"/>
  <c r="C3453" i="5"/>
  <c r="B3455" i="5" l="1"/>
  <c r="C3454" i="5"/>
  <c r="B3456" i="5" l="1"/>
  <c r="C3455" i="5"/>
  <c r="B3457" i="5" l="1"/>
  <c r="C3456" i="5"/>
  <c r="B3458" i="5" l="1"/>
  <c r="C3457" i="5"/>
  <c r="B3459" i="5" l="1"/>
  <c r="C3458" i="5"/>
  <c r="B3460" i="5" l="1"/>
  <c r="C3459" i="5"/>
  <c r="B3461" i="5" l="1"/>
  <c r="C3460" i="5"/>
  <c r="B3462" i="5" l="1"/>
  <c r="C3461" i="5"/>
  <c r="B3463" i="5" l="1"/>
  <c r="C3462" i="5"/>
  <c r="B3464" i="5" l="1"/>
  <c r="C3463" i="5"/>
  <c r="B3465" i="5" l="1"/>
  <c r="C3464" i="5"/>
  <c r="B3466" i="5" l="1"/>
  <c r="C3465" i="5"/>
  <c r="B3467" i="5" l="1"/>
  <c r="C3466" i="5"/>
  <c r="B3468" i="5" l="1"/>
  <c r="C3467" i="5"/>
  <c r="B3469" i="5" l="1"/>
  <c r="C3468" i="5"/>
  <c r="B3470" i="5" l="1"/>
  <c r="C3469" i="5"/>
  <c r="B3471" i="5" l="1"/>
  <c r="C3470" i="5"/>
  <c r="B3472" i="5" l="1"/>
  <c r="C3471" i="5"/>
  <c r="B3473" i="5" l="1"/>
  <c r="C3472" i="5"/>
  <c r="B3474" i="5" l="1"/>
  <c r="C3473" i="5"/>
  <c r="B3475" i="5" l="1"/>
  <c r="C3474" i="5"/>
  <c r="B3476" i="5" l="1"/>
  <c r="C3475" i="5"/>
  <c r="B3477" i="5" l="1"/>
  <c r="C3476" i="5"/>
  <c r="B3478" i="5" l="1"/>
  <c r="C3477" i="5"/>
  <c r="B3479" i="5" l="1"/>
  <c r="C3478" i="5"/>
  <c r="B3480" i="5" l="1"/>
  <c r="C3479" i="5"/>
  <c r="B3481" i="5" l="1"/>
  <c r="C3480" i="5"/>
  <c r="B3482" i="5" l="1"/>
  <c r="C3481" i="5"/>
  <c r="B3483" i="5" l="1"/>
  <c r="C3482" i="5"/>
  <c r="B3484" i="5" l="1"/>
  <c r="C3483" i="5"/>
  <c r="B3485" i="5" l="1"/>
  <c r="C3484" i="5"/>
  <c r="B3486" i="5" l="1"/>
  <c r="C3485" i="5"/>
  <c r="B3487" i="5" l="1"/>
  <c r="C3486" i="5"/>
  <c r="B3488" i="5" l="1"/>
  <c r="C3487" i="5"/>
  <c r="B3489" i="5" l="1"/>
  <c r="C3488" i="5"/>
  <c r="B3490" i="5" l="1"/>
  <c r="C3489" i="5"/>
  <c r="B3491" i="5" l="1"/>
  <c r="C3490" i="5"/>
  <c r="B3492" i="5" l="1"/>
  <c r="C3491" i="5"/>
  <c r="B3493" i="5" l="1"/>
  <c r="C3492" i="5"/>
  <c r="B3494" i="5" l="1"/>
  <c r="C3493" i="5"/>
  <c r="B3495" i="5" l="1"/>
  <c r="C3494" i="5"/>
  <c r="B3496" i="5" l="1"/>
  <c r="C3495" i="5"/>
  <c r="B3497" i="5" l="1"/>
  <c r="C3496" i="5"/>
  <c r="B3498" i="5" l="1"/>
  <c r="C3497" i="5"/>
  <c r="B3499" i="5" l="1"/>
  <c r="C3498" i="5"/>
  <c r="B3500" i="5" l="1"/>
  <c r="C3499" i="5"/>
  <c r="B3501" i="5" l="1"/>
  <c r="C3500" i="5"/>
  <c r="B3502" i="5" l="1"/>
  <c r="C3501" i="5"/>
  <c r="B3503" i="5" l="1"/>
  <c r="C3502" i="5"/>
  <c r="B3504" i="5" l="1"/>
  <c r="C3503" i="5"/>
  <c r="B3505" i="5" l="1"/>
  <c r="C3504" i="5"/>
  <c r="B3506" i="5" l="1"/>
  <c r="C3505" i="5"/>
  <c r="B3507" i="5" l="1"/>
  <c r="C3506" i="5"/>
  <c r="B3508" i="5" l="1"/>
  <c r="C3507" i="5"/>
  <c r="B3509" i="5" l="1"/>
  <c r="C3508" i="5"/>
  <c r="B3510" i="5" l="1"/>
  <c r="C3509" i="5"/>
  <c r="B3511" i="5" l="1"/>
  <c r="C3510" i="5"/>
  <c r="B3512" i="5" l="1"/>
  <c r="C3511" i="5"/>
  <c r="B3513" i="5" l="1"/>
  <c r="C3512" i="5"/>
  <c r="B3514" i="5" l="1"/>
  <c r="C3513" i="5"/>
  <c r="B3515" i="5" l="1"/>
  <c r="C3514" i="5"/>
  <c r="B3516" i="5" l="1"/>
  <c r="C3515" i="5"/>
  <c r="B3517" i="5" l="1"/>
  <c r="C3516" i="5"/>
  <c r="B3518" i="5" l="1"/>
  <c r="C3517" i="5"/>
  <c r="B3519" i="5" l="1"/>
  <c r="C3518" i="5"/>
  <c r="B3520" i="5" l="1"/>
  <c r="C3519" i="5"/>
  <c r="B3521" i="5" l="1"/>
  <c r="C3520" i="5"/>
  <c r="B3522" i="5" l="1"/>
  <c r="C3521" i="5"/>
  <c r="B3523" i="5" l="1"/>
  <c r="C3522" i="5"/>
  <c r="B3524" i="5" l="1"/>
  <c r="C3523" i="5"/>
  <c r="B3525" i="5" l="1"/>
  <c r="C3524" i="5"/>
  <c r="B3526" i="5" l="1"/>
  <c r="C3525" i="5"/>
  <c r="B3527" i="5" l="1"/>
  <c r="C3526" i="5"/>
  <c r="B3528" i="5" l="1"/>
  <c r="C3527" i="5"/>
  <c r="B3529" i="5" l="1"/>
  <c r="C3528" i="5"/>
  <c r="B3530" i="5" l="1"/>
  <c r="C3529" i="5"/>
  <c r="B3531" i="5" l="1"/>
  <c r="C3530" i="5"/>
  <c r="B3532" i="5" l="1"/>
  <c r="C3531" i="5"/>
  <c r="B3533" i="5" l="1"/>
  <c r="C3532" i="5"/>
  <c r="B3534" i="5" l="1"/>
  <c r="C3533" i="5"/>
  <c r="B3535" i="5" l="1"/>
  <c r="C3534" i="5"/>
  <c r="B3536" i="5" l="1"/>
  <c r="C3535" i="5"/>
  <c r="B3537" i="5" l="1"/>
  <c r="C3536" i="5"/>
  <c r="B3538" i="5" l="1"/>
  <c r="C3537" i="5"/>
  <c r="B3539" i="5" l="1"/>
  <c r="C3538" i="5"/>
  <c r="B3540" i="5" l="1"/>
  <c r="C3539" i="5"/>
  <c r="B3541" i="5" l="1"/>
  <c r="C3540" i="5"/>
  <c r="B3542" i="5" l="1"/>
  <c r="C3541" i="5"/>
  <c r="B3543" i="5" l="1"/>
  <c r="C3542" i="5"/>
  <c r="B3544" i="5" l="1"/>
  <c r="C3543" i="5"/>
  <c r="B3545" i="5" l="1"/>
  <c r="C3544" i="5"/>
  <c r="B3546" i="5" l="1"/>
  <c r="C3545" i="5"/>
  <c r="B3547" i="5" l="1"/>
  <c r="C3546" i="5"/>
  <c r="B3548" i="5" l="1"/>
  <c r="C3547" i="5"/>
  <c r="B3549" i="5" l="1"/>
  <c r="C3548" i="5"/>
  <c r="B3550" i="5" l="1"/>
  <c r="C3549" i="5"/>
  <c r="B3551" i="5" l="1"/>
  <c r="C3550" i="5"/>
  <c r="B3552" i="5" l="1"/>
  <c r="C3551" i="5"/>
  <c r="B3553" i="5" l="1"/>
  <c r="C3552" i="5"/>
  <c r="B3554" i="5" l="1"/>
  <c r="C3553" i="5"/>
  <c r="B3555" i="5" l="1"/>
  <c r="C3554" i="5"/>
  <c r="B3556" i="5" l="1"/>
  <c r="C3555" i="5"/>
  <c r="B3557" i="5" l="1"/>
  <c r="C3556" i="5"/>
  <c r="B3558" i="5" l="1"/>
  <c r="C3557" i="5"/>
  <c r="B3559" i="5" l="1"/>
  <c r="C3558" i="5"/>
  <c r="B3560" i="5" l="1"/>
  <c r="C3559" i="5"/>
  <c r="B3561" i="5" l="1"/>
  <c r="C3560" i="5"/>
  <c r="B3562" i="5" l="1"/>
  <c r="C3561" i="5"/>
  <c r="B3563" i="5" l="1"/>
  <c r="C3562" i="5"/>
  <c r="B3564" i="5" l="1"/>
  <c r="C3563" i="5"/>
  <c r="B3565" i="5" l="1"/>
  <c r="C3564" i="5"/>
  <c r="B3566" i="5" l="1"/>
  <c r="C3565" i="5"/>
  <c r="B3567" i="5" l="1"/>
  <c r="C3566" i="5"/>
  <c r="B3568" i="5" l="1"/>
  <c r="C3567" i="5"/>
  <c r="B3569" i="5" l="1"/>
  <c r="C3568" i="5"/>
  <c r="B3570" i="5" l="1"/>
  <c r="C3569" i="5"/>
  <c r="B3571" i="5" l="1"/>
  <c r="C3570" i="5"/>
  <c r="B3572" i="5" l="1"/>
  <c r="C3571" i="5"/>
  <c r="B3573" i="5" l="1"/>
  <c r="C3572" i="5"/>
  <c r="B3574" i="5" l="1"/>
  <c r="C3573" i="5"/>
  <c r="B3575" i="5" l="1"/>
  <c r="C3574" i="5"/>
  <c r="B3576" i="5" l="1"/>
  <c r="C3575" i="5"/>
  <c r="B3577" i="5" l="1"/>
  <c r="C3576" i="5"/>
  <c r="B3578" i="5" l="1"/>
  <c r="C3577" i="5"/>
  <c r="B3579" i="5" l="1"/>
  <c r="C3578" i="5"/>
  <c r="B3580" i="5" l="1"/>
  <c r="C3579" i="5"/>
  <c r="B3581" i="5" l="1"/>
  <c r="C3580" i="5"/>
  <c r="B3582" i="5" l="1"/>
  <c r="C3581" i="5"/>
  <c r="B3583" i="5" l="1"/>
  <c r="C3582" i="5"/>
  <c r="B3584" i="5" l="1"/>
  <c r="C3583" i="5"/>
  <c r="B3585" i="5" l="1"/>
  <c r="C3584" i="5"/>
  <c r="B3586" i="5" l="1"/>
  <c r="C3585" i="5"/>
  <c r="B3587" i="5" l="1"/>
  <c r="C3586" i="5"/>
  <c r="B3588" i="5" l="1"/>
  <c r="C3587" i="5"/>
  <c r="B3589" i="5" l="1"/>
  <c r="C3588" i="5"/>
  <c r="B3590" i="5" l="1"/>
  <c r="C3589" i="5"/>
  <c r="B3591" i="5" l="1"/>
  <c r="C3590" i="5"/>
  <c r="B3592" i="5" l="1"/>
  <c r="C3591" i="5"/>
  <c r="B3593" i="5" l="1"/>
  <c r="C3592" i="5"/>
  <c r="B3594" i="5" l="1"/>
  <c r="C3593" i="5"/>
  <c r="B3595" i="5" l="1"/>
  <c r="C3594" i="5"/>
  <c r="B3596" i="5" l="1"/>
  <c r="C3595" i="5"/>
  <c r="B3597" i="5" l="1"/>
  <c r="C3596" i="5"/>
  <c r="B3598" i="5" l="1"/>
  <c r="C3597" i="5"/>
  <c r="B3599" i="5" l="1"/>
  <c r="C3598" i="5"/>
  <c r="B3600" i="5" l="1"/>
  <c r="C3599" i="5"/>
  <c r="B3601" i="5" l="1"/>
  <c r="C3600" i="5"/>
  <c r="B3602" i="5" l="1"/>
  <c r="C3601" i="5"/>
  <c r="B3603" i="5" l="1"/>
  <c r="C3602" i="5"/>
  <c r="B3604" i="5" l="1"/>
  <c r="C3603" i="5"/>
  <c r="B3605" i="5" l="1"/>
  <c r="C3604" i="5"/>
  <c r="B3606" i="5" l="1"/>
  <c r="C3605" i="5"/>
  <c r="B3607" i="5" l="1"/>
  <c r="C3606" i="5"/>
  <c r="B3608" i="5" l="1"/>
  <c r="C3607" i="5"/>
  <c r="B3609" i="5" l="1"/>
  <c r="C3608" i="5"/>
  <c r="B3610" i="5" l="1"/>
  <c r="C3609" i="5"/>
  <c r="B3611" i="5" l="1"/>
  <c r="C3610" i="5"/>
  <c r="B3612" i="5" l="1"/>
  <c r="C3611" i="5"/>
  <c r="B3613" i="5" l="1"/>
  <c r="C3612" i="5"/>
  <c r="B3614" i="5" l="1"/>
  <c r="C3613" i="5"/>
  <c r="B3615" i="5" l="1"/>
  <c r="C3614" i="5"/>
  <c r="B3616" i="5" l="1"/>
  <c r="C3615" i="5"/>
  <c r="B3617" i="5" l="1"/>
  <c r="C3616" i="5"/>
  <c r="B3618" i="5" l="1"/>
  <c r="C3617" i="5"/>
  <c r="B3619" i="5" l="1"/>
  <c r="C3618" i="5"/>
  <c r="B3620" i="5" l="1"/>
  <c r="C3619" i="5"/>
  <c r="B3621" i="5" l="1"/>
  <c r="C3620" i="5"/>
  <c r="B3622" i="5" l="1"/>
  <c r="C3621" i="5"/>
  <c r="B3623" i="5" l="1"/>
  <c r="C3622" i="5"/>
  <c r="B3624" i="5" l="1"/>
  <c r="C3623" i="5"/>
  <c r="B3625" i="5" l="1"/>
  <c r="C3624" i="5"/>
  <c r="B3626" i="5" l="1"/>
  <c r="C3625" i="5"/>
  <c r="B3627" i="5" l="1"/>
  <c r="C3626" i="5"/>
  <c r="B3628" i="5" l="1"/>
  <c r="C3627" i="5"/>
  <c r="B3629" i="5" l="1"/>
  <c r="C3628" i="5"/>
  <c r="B3630" i="5" l="1"/>
  <c r="C3629" i="5"/>
  <c r="B3631" i="5" l="1"/>
  <c r="C3630" i="5"/>
  <c r="B3632" i="5" l="1"/>
  <c r="C3631" i="5"/>
  <c r="B3633" i="5" l="1"/>
  <c r="C3632" i="5"/>
  <c r="B3634" i="5" l="1"/>
  <c r="C3633" i="5"/>
  <c r="B3635" i="5" l="1"/>
  <c r="C3634" i="5"/>
  <c r="B3636" i="5" l="1"/>
  <c r="C3635" i="5"/>
  <c r="B3637" i="5" l="1"/>
  <c r="C3636" i="5"/>
  <c r="B3638" i="5" l="1"/>
  <c r="C3637" i="5"/>
  <c r="B3639" i="5" l="1"/>
  <c r="C3638" i="5"/>
  <c r="B3640" i="5" l="1"/>
  <c r="C3639" i="5"/>
  <c r="B3641" i="5" l="1"/>
  <c r="C3640" i="5"/>
  <c r="B3642" i="5" l="1"/>
  <c r="C3641" i="5"/>
  <c r="B3643" i="5" l="1"/>
  <c r="C3642" i="5"/>
  <c r="B3644" i="5" l="1"/>
  <c r="C3643" i="5"/>
  <c r="B3645" i="5" l="1"/>
  <c r="C3644" i="5"/>
  <c r="B3646" i="5" l="1"/>
  <c r="C3645" i="5"/>
  <c r="B3647" i="5" l="1"/>
  <c r="C3646" i="5"/>
  <c r="B3648" i="5" l="1"/>
  <c r="C3647" i="5"/>
  <c r="B3649" i="5" l="1"/>
  <c r="C3648" i="5"/>
  <c r="B3650" i="5" l="1"/>
  <c r="C3649" i="5"/>
  <c r="B3651" i="5" l="1"/>
  <c r="C3650" i="5"/>
  <c r="B3652" i="5" l="1"/>
  <c r="C3651" i="5"/>
  <c r="B3653" i="5" l="1"/>
  <c r="C3652" i="5"/>
  <c r="B3654" i="5" l="1"/>
  <c r="C3653" i="5"/>
  <c r="B3655" i="5" l="1"/>
  <c r="C3654" i="5"/>
  <c r="B3656" i="5" l="1"/>
  <c r="C3655" i="5"/>
  <c r="B3657" i="5" l="1"/>
  <c r="C3656" i="5"/>
  <c r="B3658" i="5" l="1"/>
  <c r="C3657" i="5"/>
  <c r="B3659" i="5" l="1"/>
  <c r="C3658" i="5"/>
  <c r="B3660" i="5" l="1"/>
  <c r="C3659" i="5"/>
  <c r="B3661" i="5" l="1"/>
  <c r="C3660" i="5"/>
  <c r="B3662" i="5" l="1"/>
  <c r="C3661" i="5"/>
  <c r="B3663" i="5" l="1"/>
  <c r="C3662" i="5"/>
  <c r="B3664" i="5" l="1"/>
  <c r="C3663" i="5"/>
  <c r="B3665" i="5" l="1"/>
  <c r="C3664" i="5"/>
  <c r="B3666" i="5" l="1"/>
  <c r="C3665" i="5"/>
  <c r="B3667" i="5" l="1"/>
  <c r="C3666" i="5"/>
  <c r="B3668" i="5" l="1"/>
  <c r="C3667" i="5"/>
  <c r="B3669" i="5" l="1"/>
  <c r="C3668" i="5"/>
  <c r="B3670" i="5" l="1"/>
  <c r="C3669" i="5"/>
  <c r="B3671" i="5" l="1"/>
  <c r="C3670" i="5"/>
  <c r="B3672" i="5" l="1"/>
  <c r="C3671" i="5"/>
  <c r="B3673" i="5" l="1"/>
  <c r="C3672" i="5"/>
  <c r="B3674" i="5" l="1"/>
  <c r="C3673" i="5"/>
  <c r="B3675" i="5" l="1"/>
  <c r="C3674" i="5"/>
  <c r="B3676" i="5" l="1"/>
  <c r="C3675" i="5"/>
  <c r="B3677" i="5" l="1"/>
  <c r="C3676" i="5"/>
  <c r="B3678" i="5" l="1"/>
  <c r="C3677" i="5"/>
  <c r="B3679" i="5" l="1"/>
  <c r="C3678" i="5"/>
  <c r="B3680" i="5" l="1"/>
  <c r="C3679" i="5"/>
  <c r="B3681" i="5" l="1"/>
  <c r="C3680" i="5"/>
  <c r="B3682" i="5" l="1"/>
  <c r="C3681" i="5"/>
  <c r="B3683" i="5" l="1"/>
  <c r="C3682" i="5"/>
  <c r="B3684" i="5" l="1"/>
  <c r="C3683" i="5"/>
  <c r="B3685" i="5" l="1"/>
  <c r="C3684" i="5"/>
  <c r="B3686" i="5" l="1"/>
  <c r="C3685" i="5"/>
  <c r="B3687" i="5" l="1"/>
  <c r="C3686" i="5"/>
  <c r="B3688" i="5" l="1"/>
  <c r="C3687" i="5"/>
  <c r="B3689" i="5" l="1"/>
  <c r="C3688" i="5"/>
  <c r="B3690" i="5" l="1"/>
  <c r="C3689" i="5"/>
  <c r="B3691" i="5" l="1"/>
  <c r="C3690" i="5"/>
  <c r="B3692" i="5" l="1"/>
  <c r="C3691" i="5"/>
  <c r="B3693" i="5" l="1"/>
  <c r="C3692" i="5"/>
  <c r="B3694" i="5" l="1"/>
  <c r="C3693" i="5"/>
  <c r="B3695" i="5" l="1"/>
  <c r="C3694" i="5"/>
  <c r="B3696" i="5" l="1"/>
  <c r="C3695" i="5"/>
  <c r="B3697" i="5" l="1"/>
  <c r="C3696" i="5"/>
  <c r="B3698" i="5" l="1"/>
  <c r="C3697" i="5"/>
  <c r="B3699" i="5" l="1"/>
  <c r="C3698" i="5"/>
  <c r="B3700" i="5" l="1"/>
  <c r="C3699" i="5"/>
  <c r="B3701" i="5" l="1"/>
  <c r="C3700" i="5"/>
  <c r="B3702" i="5" l="1"/>
  <c r="C3701" i="5"/>
  <c r="B3703" i="5" l="1"/>
  <c r="C3702" i="5"/>
  <c r="B3704" i="5" l="1"/>
  <c r="C3703" i="5"/>
  <c r="B3705" i="5" l="1"/>
  <c r="C3704" i="5"/>
  <c r="B3706" i="5" l="1"/>
  <c r="C3705" i="5"/>
  <c r="B3707" i="5" l="1"/>
  <c r="C3706" i="5"/>
  <c r="B3708" i="5" l="1"/>
  <c r="C3707" i="5"/>
  <c r="B3709" i="5" l="1"/>
  <c r="C3708" i="5"/>
  <c r="B3710" i="5" l="1"/>
  <c r="C3709" i="5"/>
  <c r="B3711" i="5" l="1"/>
  <c r="C3710" i="5"/>
  <c r="B3712" i="5" l="1"/>
  <c r="C3711" i="5"/>
  <c r="B3713" i="5" l="1"/>
  <c r="C3712" i="5"/>
  <c r="B3714" i="5" l="1"/>
  <c r="C3713" i="5"/>
  <c r="B3715" i="5" l="1"/>
  <c r="C3714" i="5"/>
  <c r="B3716" i="5" l="1"/>
  <c r="C3715" i="5"/>
  <c r="B3717" i="5" l="1"/>
  <c r="C3716" i="5"/>
  <c r="B3718" i="5" l="1"/>
  <c r="C3717" i="5"/>
  <c r="B3719" i="5" l="1"/>
  <c r="C3718" i="5"/>
  <c r="B3720" i="5" l="1"/>
  <c r="C3719" i="5"/>
  <c r="B3721" i="5" l="1"/>
  <c r="C3720" i="5"/>
  <c r="B3722" i="5" l="1"/>
  <c r="C3721" i="5"/>
  <c r="B3723" i="5" l="1"/>
  <c r="C3722" i="5"/>
  <c r="B3724" i="5" l="1"/>
  <c r="C3723" i="5"/>
  <c r="B3725" i="5" l="1"/>
  <c r="C3724" i="5"/>
  <c r="B3726" i="5" l="1"/>
  <c r="C3725" i="5"/>
  <c r="B3727" i="5" l="1"/>
  <c r="C3726" i="5"/>
  <c r="B3728" i="5" l="1"/>
  <c r="C3727" i="5"/>
  <c r="B3729" i="5" l="1"/>
  <c r="C3728" i="5"/>
  <c r="B3730" i="5" l="1"/>
  <c r="C3729" i="5"/>
  <c r="B3731" i="5" l="1"/>
  <c r="C3730" i="5"/>
  <c r="B3732" i="5" l="1"/>
  <c r="C3731" i="5"/>
  <c r="B3733" i="5" l="1"/>
  <c r="C3732" i="5"/>
  <c r="B3734" i="5" l="1"/>
  <c r="C3733" i="5"/>
  <c r="B3735" i="5" l="1"/>
  <c r="C3734" i="5"/>
  <c r="B3736" i="5" l="1"/>
  <c r="C3735" i="5"/>
  <c r="B3737" i="5" l="1"/>
  <c r="C3736" i="5"/>
  <c r="B3738" i="5" l="1"/>
  <c r="C3737" i="5"/>
  <c r="B3739" i="5" l="1"/>
  <c r="C3738" i="5"/>
  <c r="B3740" i="5" l="1"/>
  <c r="C3739" i="5"/>
  <c r="B3741" i="5" l="1"/>
  <c r="C3740" i="5"/>
  <c r="B3742" i="5" l="1"/>
  <c r="C3741" i="5"/>
  <c r="B3743" i="5" l="1"/>
  <c r="C3742" i="5"/>
  <c r="B3744" i="5" l="1"/>
  <c r="C3743" i="5"/>
  <c r="B3745" i="5" l="1"/>
  <c r="C3744" i="5"/>
  <c r="B3746" i="5" l="1"/>
  <c r="C3745" i="5"/>
  <c r="B3747" i="5" l="1"/>
  <c r="C3746" i="5"/>
  <c r="B3748" i="5" l="1"/>
  <c r="C3747" i="5"/>
  <c r="B3749" i="5" l="1"/>
  <c r="C3748" i="5"/>
  <c r="B3750" i="5" l="1"/>
  <c r="C3749" i="5"/>
  <c r="B3751" i="5" l="1"/>
  <c r="C3750" i="5"/>
  <c r="B3752" i="5" l="1"/>
  <c r="C3751" i="5"/>
  <c r="B3753" i="5" l="1"/>
  <c r="C3752" i="5"/>
  <c r="B3754" i="5" l="1"/>
  <c r="C3753" i="5"/>
  <c r="B3755" i="5" l="1"/>
  <c r="C3754" i="5"/>
  <c r="B3756" i="5" l="1"/>
  <c r="C3755" i="5"/>
  <c r="B3757" i="5" l="1"/>
  <c r="C3756" i="5"/>
  <c r="B3758" i="5" l="1"/>
  <c r="C3757" i="5"/>
  <c r="B3759" i="5" l="1"/>
  <c r="C3758" i="5"/>
  <c r="B3760" i="5" l="1"/>
  <c r="C3759" i="5"/>
  <c r="B3761" i="5" l="1"/>
  <c r="C3760" i="5"/>
  <c r="B3762" i="5" l="1"/>
  <c r="C3761" i="5"/>
  <c r="B3763" i="5" l="1"/>
  <c r="C3762" i="5"/>
  <c r="B3764" i="5" l="1"/>
  <c r="C3763" i="5"/>
  <c r="B3765" i="5" l="1"/>
  <c r="C3764" i="5"/>
  <c r="B3766" i="5" l="1"/>
  <c r="C3765" i="5"/>
  <c r="B3767" i="5" l="1"/>
  <c r="C3766" i="5"/>
  <c r="B3768" i="5" l="1"/>
  <c r="C3767" i="5"/>
  <c r="B3769" i="5" l="1"/>
  <c r="C3768" i="5"/>
  <c r="B3770" i="5" l="1"/>
  <c r="C3769" i="5"/>
  <c r="B3771" i="5" l="1"/>
  <c r="C3770" i="5"/>
  <c r="B3772" i="5" l="1"/>
  <c r="C3771" i="5"/>
  <c r="B3773" i="5" l="1"/>
  <c r="C3772" i="5"/>
  <c r="B3774" i="5" l="1"/>
  <c r="C3773" i="5"/>
  <c r="B3775" i="5" l="1"/>
  <c r="C3774" i="5"/>
  <c r="B3776" i="5" l="1"/>
  <c r="C3775" i="5"/>
  <c r="B3777" i="5" l="1"/>
  <c r="C3776" i="5"/>
  <c r="B3778" i="5" l="1"/>
  <c r="C3777" i="5"/>
  <c r="B3779" i="5" l="1"/>
  <c r="C3778" i="5"/>
  <c r="B3780" i="5" l="1"/>
  <c r="C3779" i="5"/>
  <c r="B3781" i="5" l="1"/>
  <c r="C3780" i="5"/>
  <c r="B3782" i="5" l="1"/>
  <c r="C3781" i="5"/>
  <c r="B3783" i="5" l="1"/>
  <c r="C3782" i="5"/>
  <c r="B3784" i="5" l="1"/>
  <c r="C3783" i="5"/>
  <c r="B3785" i="5" l="1"/>
  <c r="C3784" i="5"/>
  <c r="B3786" i="5" l="1"/>
  <c r="C3785" i="5"/>
  <c r="B3787" i="5" l="1"/>
  <c r="C3786" i="5"/>
  <c r="B3788" i="5" l="1"/>
  <c r="C3787" i="5"/>
  <c r="B3789" i="5" l="1"/>
  <c r="C3788" i="5"/>
  <c r="B3790" i="5" l="1"/>
  <c r="C3789" i="5"/>
  <c r="B3791" i="5" l="1"/>
  <c r="C3790" i="5"/>
  <c r="B3792" i="5" l="1"/>
  <c r="C3791" i="5"/>
  <c r="B3793" i="5" l="1"/>
  <c r="C3792" i="5"/>
  <c r="B3794" i="5" l="1"/>
  <c r="C3793" i="5"/>
  <c r="B3795" i="5" l="1"/>
  <c r="C3794" i="5"/>
  <c r="B3796" i="5" l="1"/>
  <c r="C3795" i="5"/>
  <c r="B3797" i="5" l="1"/>
  <c r="C3796" i="5"/>
  <c r="B3798" i="5" l="1"/>
  <c r="C3797" i="5"/>
  <c r="B3799" i="5" l="1"/>
  <c r="C3798" i="5"/>
  <c r="B3800" i="5" l="1"/>
  <c r="C3799" i="5"/>
  <c r="B3801" i="5" l="1"/>
  <c r="C3800" i="5"/>
  <c r="B3802" i="5" l="1"/>
  <c r="C3801" i="5"/>
  <c r="B3803" i="5" l="1"/>
  <c r="C3802" i="5"/>
  <c r="B3804" i="5" l="1"/>
  <c r="C3803" i="5"/>
  <c r="B3805" i="5" l="1"/>
  <c r="C3804" i="5"/>
  <c r="B3806" i="5" l="1"/>
  <c r="C3805" i="5"/>
  <c r="B3807" i="5" l="1"/>
  <c r="C3806" i="5"/>
  <c r="B3808" i="5" l="1"/>
  <c r="C3807" i="5"/>
  <c r="B3809" i="5" l="1"/>
  <c r="C3808" i="5"/>
  <c r="B3810" i="5" l="1"/>
  <c r="C3809" i="5"/>
  <c r="B3811" i="5" l="1"/>
  <c r="C3810" i="5"/>
  <c r="B3812" i="5" l="1"/>
  <c r="C3811" i="5"/>
  <c r="B3813" i="5" l="1"/>
  <c r="C3812" i="5"/>
  <c r="B3814" i="5" l="1"/>
  <c r="C3813" i="5"/>
  <c r="B3815" i="5" l="1"/>
  <c r="C3814" i="5"/>
  <c r="B3816" i="5" l="1"/>
  <c r="C3815" i="5"/>
  <c r="B3817" i="5" l="1"/>
  <c r="C3816" i="5"/>
  <c r="B3818" i="5" l="1"/>
  <c r="C3817" i="5"/>
  <c r="B3819" i="5" l="1"/>
  <c r="C3818" i="5"/>
  <c r="B3820" i="5" l="1"/>
  <c r="C3819" i="5"/>
  <c r="B3821" i="5" l="1"/>
  <c r="C3820" i="5"/>
  <c r="B3822" i="5" l="1"/>
  <c r="C3821" i="5"/>
  <c r="B3823" i="5" l="1"/>
  <c r="C3822" i="5"/>
  <c r="B3824" i="5" l="1"/>
  <c r="C3823" i="5"/>
  <c r="B3825" i="5" l="1"/>
  <c r="C3824" i="5"/>
  <c r="B3826" i="5" l="1"/>
  <c r="C3825" i="5"/>
  <c r="B3827" i="5" l="1"/>
  <c r="C3826" i="5"/>
  <c r="B3828" i="5" l="1"/>
  <c r="C3827" i="5"/>
  <c r="B3829" i="5" l="1"/>
  <c r="C3828" i="5"/>
  <c r="B3830" i="5" l="1"/>
  <c r="C3829" i="5"/>
  <c r="B3831" i="5" l="1"/>
  <c r="C3830" i="5"/>
  <c r="B3832" i="5" l="1"/>
  <c r="C3831" i="5"/>
  <c r="B3833" i="5" l="1"/>
  <c r="C3832" i="5"/>
  <c r="B3834" i="5" l="1"/>
  <c r="C3833" i="5"/>
  <c r="B3835" i="5" l="1"/>
  <c r="C3834" i="5"/>
  <c r="B3836" i="5" l="1"/>
  <c r="C3835" i="5"/>
  <c r="B3837" i="5" l="1"/>
  <c r="C3836" i="5"/>
  <c r="B3838" i="5" l="1"/>
  <c r="C3837" i="5"/>
  <c r="B3839" i="5" l="1"/>
  <c r="C3838" i="5"/>
  <c r="B3840" i="5" l="1"/>
  <c r="C3839" i="5"/>
  <c r="B3841" i="5" l="1"/>
  <c r="C3840" i="5"/>
  <c r="B3842" i="5" l="1"/>
  <c r="C3841" i="5"/>
  <c r="B3843" i="5" l="1"/>
  <c r="C3842" i="5"/>
  <c r="B3844" i="5" l="1"/>
  <c r="C3843" i="5"/>
  <c r="B3845" i="5" l="1"/>
  <c r="C3844" i="5"/>
  <c r="B3846" i="5" l="1"/>
  <c r="C3845" i="5"/>
  <c r="B3847" i="5" l="1"/>
  <c r="C3846" i="5"/>
  <c r="B3848" i="5" l="1"/>
  <c r="C3847" i="5"/>
  <c r="B3849" i="5" l="1"/>
  <c r="C3848" i="5"/>
  <c r="B3850" i="5" l="1"/>
  <c r="C3849" i="5"/>
  <c r="B3851" i="5" l="1"/>
  <c r="C3850" i="5"/>
  <c r="B3852" i="5" l="1"/>
  <c r="C3851" i="5"/>
  <c r="B3853" i="5" l="1"/>
  <c r="C3852" i="5"/>
  <c r="B3854" i="5" l="1"/>
  <c r="C3853" i="5"/>
  <c r="B3855" i="5" l="1"/>
  <c r="C3854" i="5"/>
  <c r="B3856" i="5" l="1"/>
  <c r="C3855" i="5"/>
  <c r="B3857" i="5" l="1"/>
  <c r="C3856" i="5"/>
  <c r="B3858" i="5" l="1"/>
  <c r="C3857" i="5"/>
  <c r="B3859" i="5" l="1"/>
  <c r="C3858" i="5"/>
  <c r="B3860" i="5" l="1"/>
  <c r="C3859" i="5"/>
  <c r="B3861" i="5" l="1"/>
  <c r="C3860" i="5"/>
  <c r="B3862" i="5" l="1"/>
  <c r="C3861" i="5"/>
  <c r="B3863" i="5" l="1"/>
  <c r="C3862" i="5"/>
  <c r="B3864" i="5" l="1"/>
  <c r="C3863" i="5"/>
  <c r="B3865" i="5" l="1"/>
  <c r="C3864" i="5"/>
  <c r="B3866" i="5" l="1"/>
  <c r="C3865" i="5"/>
  <c r="B3867" i="5" l="1"/>
  <c r="C3866" i="5"/>
  <c r="B3868" i="5" l="1"/>
  <c r="C3867" i="5"/>
  <c r="B3869" i="5" l="1"/>
  <c r="C3868" i="5"/>
  <c r="B3870" i="5" l="1"/>
  <c r="C3869" i="5"/>
  <c r="B3871" i="5" l="1"/>
  <c r="C3870" i="5"/>
  <c r="B3872" i="5" l="1"/>
  <c r="C3871" i="5"/>
  <c r="B3873" i="5" l="1"/>
  <c r="C3872" i="5"/>
  <c r="B3874" i="5" l="1"/>
  <c r="C3873" i="5"/>
  <c r="B3875" i="5" l="1"/>
  <c r="C3874" i="5"/>
  <c r="B3876" i="5" l="1"/>
  <c r="C3875" i="5"/>
  <c r="B3877" i="5" l="1"/>
  <c r="C3876" i="5"/>
  <c r="B3878" i="5" l="1"/>
  <c r="C3877" i="5"/>
  <c r="B3879" i="5" l="1"/>
  <c r="C3878" i="5"/>
  <c r="B3880" i="5" l="1"/>
  <c r="C3879" i="5"/>
  <c r="B3881" i="5" l="1"/>
  <c r="C3880" i="5"/>
  <c r="B3882" i="5" l="1"/>
  <c r="C3881" i="5"/>
  <c r="B3883" i="5" l="1"/>
  <c r="C3882" i="5"/>
  <c r="B3884" i="5" l="1"/>
  <c r="C3883" i="5"/>
  <c r="B3885" i="5" l="1"/>
  <c r="C3884" i="5"/>
  <c r="B3886" i="5" l="1"/>
  <c r="C3885" i="5"/>
  <c r="B3887" i="5" l="1"/>
  <c r="C3886" i="5"/>
  <c r="B3888" i="5" l="1"/>
  <c r="C3887" i="5"/>
  <c r="B3889" i="5" l="1"/>
  <c r="C3888" i="5"/>
  <c r="B3890" i="5" l="1"/>
  <c r="C3889" i="5"/>
  <c r="B3891" i="5" l="1"/>
  <c r="C3890" i="5"/>
  <c r="B3892" i="5" l="1"/>
  <c r="C3891" i="5"/>
  <c r="B3893" i="5" l="1"/>
  <c r="C3892" i="5"/>
  <c r="B3894" i="5" l="1"/>
  <c r="C3893" i="5"/>
  <c r="B3895" i="5" l="1"/>
  <c r="C3894" i="5"/>
  <c r="B3896" i="5" l="1"/>
  <c r="C3895" i="5"/>
  <c r="B3897" i="5" l="1"/>
  <c r="C3896" i="5"/>
  <c r="B3898" i="5" l="1"/>
  <c r="C3897" i="5"/>
  <c r="B3899" i="5" l="1"/>
  <c r="C3898" i="5"/>
  <c r="B3900" i="5" l="1"/>
  <c r="C3899" i="5"/>
  <c r="B3901" i="5" l="1"/>
  <c r="C3900" i="5"/>
  <c r="B3902" i="5" l="1"/>
  <c r="C3901" i="5"/>
  <c r="B3903" i="5" l="1"/>
  <c r="C3902" i="5"/>
  <c r="B3904" i="5" l="1"/>
  <c r="C3903" i="5"/>
  <c r="B3905" i="5" l="1"/>
  <c r="C3904" i="5"/>
  <c r="B3906" i="5" l="1"/>
  <c r="C3905" i="5"/>
  <c r="B3907" i="5" l="1"/>
  <c r="C3906" i="5"/>
  <c r="B3908" i="5" l="1"/>
  <c r="C3907" i="5"/>
  <c r="B3909" i="5" l="1"/>
  <c r="C3908" i="5"/>
  <c r="B3910" i="5" l="1"/>
  <c r="C3909" i="5"/>
  <c r="B3911" i="5" l="1"/>
  <c r="C3910" i="5"/>
  <c r="B3912" i="5" l="1"/>
  <c r="C3911" i="5"/>
  <c r="B3913" i="5" l="1"/>
  <c r="C3912" i="5"/>
  <c r="B3914" i="5" l="1"/>
  <c r="C3913" i="5"/>
  <c r="B3915" i="5" l="1"/>
  <c r="C3914" i="5"/>
  <c r="B3916" i="5" l="1"/>
  <c r="C3915" i="5"/>
  <c r="B3917" i="5" l="1"/>
  <c r="C3916" i="5"/>
  <c r="B3918" i="5" l="1"/>
  <c r="C3917" i="5"/>
  <c r="B3919" i="5" l="1"/>
  <c r="C3918" i="5"/>
  <c r="B3920" i="5" l="1"/>
  <c r="C3919" i="5"/>
  <c r="B3921" i="5" l="1"/>
  <c r="C3920" i="5"/>
  <c r="B3922" i="5" l="1"/>
  <c r="C3921" i="5"/>
  <c r="B3923" i="5" l="1"/>
  <c r="C3922" i="5"/>
  <c r="B3924" i="5" l="1"/>
  <c r="C3923" i="5"/>
  <c r="B3925" i="5" l="1"/>
  <c r="C3924" i="5"/>
  <c r="B3926" i="5" l="1"/>
  <c r="C3925" i="5"/>
  <c r="B3927" i="5" l="1"/>
  <c r="C3926" i="5"/>
  <c r="B3928" i="5" l="1"/>
  <c r="C3927" i="5"/>
  <c r="B3929" i="5" l="1"/>
  <c r="C3928" i="5"/>
  <c r="B3930" i="5" l="1"/>
  <c r="C3929" i="5"/>
  <c r="B3931" i="5" l="1"/>
  <c r="C3930" i="5"/>
  <c r="B3932" i="5" l="1"/>
  <c r="C3931" i="5"/>
  <c r="B3933" i="5" l="1"/>
  <c r="C3932" i="5"/>
  <c r="B3934" i="5" l="1"/>
  <c r="C3933" i="5"/>
  <c r="B3935" i="5" l="1"/>
  <c r="C3934" i="5"/>
  <c r="B3936" i="5" l="1"/>
  <c r="C3935" i="5"/>
  <c r="B3937" i="5" l="1"/>
  <c r="C3936" i="5"/>
  <c r="B3938" i="5" l="1"/>
  <c r="C3937" i="5"/>
  <c r="B3939" i="5" l="1"/>
  <c r="C3938" i="5"/>
  <c r="B3940" i="5" l="1"/>
  <c r="C3939" i="5"/>
  <c r="B3941" i="5" l="1"/>
  <c r="C3940" i="5"/>
  <c r="B3942" i="5" l="1"/>
  <c r="C3941" i="5"/>
  <c r="B3943" i="5" l="1"/>
  <c r="C3942" i="5"/>
  <c r="B3944" i="5" l="1"/>
  <c r="C3943" i="5"/>
  <c r="B3945" i="5" l="1"/>
  <c r="C3944" i="5"/>
  <c r="B3946" i="5" l="1"/>
  <c r="C3945" i="5"/>
  <c r="B3947" i="5" l="1"/>
  <c r="C3946" i="5"/>
  <c r="B3948" i="5" l="1"/>
  <c r="C3947" i="5"/>
  <c r="B3949" i="5" l="1"/>
  <c r="C3948" i="5"/>
  <c r="B3950" i="5" l="1"/>
  <c r="C3949" i="5"/>
  <c r="B3951" i="5" l="1"/>
  <c r="C3950" i="5"/>
  <c r="B3952" i="5" l="1"/>
  <c r="C3951" i="5"/>
  <c r="B3953" i="5" l="1"/>
  <c r="C3952" i="5"/>
  <c r="B3954" i="5" l="1"/>
  <c r="C3953" i="5"/>
  <c r="B3955" i="5" l="1"/>
  <c r="C3954" i="5"/>
  <c r="B3956" i="5" l="1"/>
  <c r="C3955" i="5"/>
  <c r="B3957" i="5" l="1"/>
  <c r="C3956" i="5"/>
  <c r="B3958" i="5" l="1"/>
  <c r="C3957" i="5"/>
  <c r="B3959" i="5" l="1"/>
  <c r="C3958" i="5"/>
  <c r="B3960" i="5" l="1"/>
  <c r="C3959" i="5"/>
  <c r="B3961" i="5" l="1"/>
  <c r="C3960" i="5"/>
  <c r="B3962" i="5" l="1"/>
  <c r="C3961" i="5"/>
  <c r="B3963" i="5" l="1"/>
  <c r="C3962" i="5"/>
  <c r="B3964" i="5" l="1"/>
  <c r="C3963" i="5"/>
  <c r="B3965" i="5" l="1"/>
  <c r="C3964" i="5"/>
  <c r="B3966" i="5" l="1"/>
  <c r="C3965" i="5"/>
  <c r="B3967" i="5" l="1"/>
  <c r="C3966" i="5"/>
  <c r="B3968" i="5" l="1"/>
  <c r="C3967" i="5"/>
  <c r="B3969" i="5" l="1"/>
  <c r="C3968" i="5"/>
  <c r="B3970" i="5" l="1"/>
  <c r="C3969" i="5"/>
  <c r="B3971" i="5" l="1"/>
  <c r="C3970" i="5"/>
  <c r="B3972" i="5" l="1"/>
  <c r="C3971" i="5"/>
  <c r="B3973" i="5" l="1"/>
  <c r="C3972" i="5"/>
  <c r="B3974" i="5" l="1"/>
  <c r="C3973" i="5"/>
  <c r="B3975" i="5" l="1"/>
  <c r="C3974" i="5"/>
  <c r="B3976" i="5" l="1"/>
  <c r="C3975" i="5"/>
  <c r="B3977" i="5" l="1"/>
  <c r="C3976" i="5"/>
  <c r="B3978" i="5" l="1"/>
  <c r="C3977" i="5"/>
  <c r="B3979" i="5" l="1"/>
  <c r="C3978" i="5"/>
  <c r="B3980" i="5" l="1"/>
  <c r="C3979" i="5"/>
  <c r="B3981" i="5" l="1"/>
  <c r="C3980" i="5"/>
  <c r="B3982" i="5" l="1"/>
  <c r="C3981" i="5"/>
  <c r="B3983" i="5" l="1"/>
  <c r="C3982" i="5"/>
  <c r="B3984" i="5" l="1"/>
  <c r="C3983" i="5"/>
  <c r="B3985" i="5" l="1"/>
  <c r="C3984" i="5"/>
  <c r="B3986" i="5" l="1"/>
  <c r="C3985" i="5"/>
  <c r="B3987" i="5" l="1"/>
  <c r="C3986" i="5"/>
  <c r="B3988" i="5" l="1"/>
  <c r="C3987" i="5"/>
  <c r="B3989" i="5" l="1"/>
  <c r="C3988" i="5"/>
  <c r="B3990" i="5" l="1"/>
  <c r="C3989" i="5"/>
  <c r="B3991" i="5" l="1"/>
  <c r="C3990" i="5"/>
  <c r="B3992" i="5" l="1"/>
  <c r="C3991" i="5"/>
  <c r="B3993" i="5" l="1"/>
  <c r="C3992" i="5"/>
  <c r="B3994" i="5" l="1"/>
  <c r="C3993" i="5"/>
  <c r="B3995" i="5" l="1"/>
  <c r="C3994" i="5"/>
  <c r="B3996" i="5" l="1"/>
  <c r="C3995" i="5"/>
  <c r="B3997" i="5" l="1"/>
  <c r="C3996" i="5"/>
  <c r="B3998" i="5" l="1"/>
  <c r="C3997" i="5"/>
  <c r="B3999" i="5" l="1"/>
  <c r="C3998" i="5"/>
  <c r="B4000" i="5" l="1"/>
  <c r="C3999" i="5"/>
  <c r="B4001" i="5" l="1"/>
  <c r="C4000" i="5"/>
  <c r="B4002" i="5" l="1"/>
  <c r="C4001" i="5"/>
  <c r="B4003" i="5" l="1"/>
  <c r="C4002" i="5"/>
  <c r="B4004" i="5" l="1"/>
  <c r="C4003" i="5"/>
  <c r="B4005" i="5" l="1"/>
  <c r="C4004" i="5"/>
  <c r="B4006" i="5" l="1"/>
  <c r="C4005" i="5"/>
  <c r="B4007" i="5" l="1"/>
  <c r="C4006" i="5"/>
  <c r="B4008" i="5" l="1"/>
  <c r="C4007" i="5"/>
  <c r="B4009" i="5" l="1"/>
  <c r="C4008" i="5"/>
  <c r="B4010" i="5" l="1"/>
  <c r="C4009" i="5"/>
  <c r="B4011" i="5" l="1"/>
  <c r="C4010" i="5"/>
  <c r="B4012" i="5" l="1"/>
  <c r="C4011" i="5"/>
  <c r="B4013" i="5" l="1"/>
  <c r="C4012" i="5"/>
  <c r="B4014" i="5" l="1"/>
  <c r="C4013" i="5"/>
  <c r="B4015" i="5" l="1"/>
  <c r="C4014" i="5"/>
  <c r="B4016" i="5" l="1"/>
  <c r="C4015" i="5"/>
  <c r="B4017" i="5" l="1"/>
  <c r="C4016" i="5"/>
  <c r="B4018" i="5" l="1"/>
  <c r="C4017" i="5"/>
  <c r="B4019" i="5" l="1"/>
  <c r="C4018" i="5"/>
  <c r="B4020" i="5" l="1"/>
  <c r="C4019" i="5"/>
  <c r="B4021" i="5" l="1"/>
  <c r="C4020" i="5"/>
  <c r="B4022" i="5" l="1"/>
  <c r="C4021" i="5"/>
  <c r="B4023" i="5" l="1"/>
  <c r="C4022" i="5"/>
  <c r="B4024" i="5" l="1"/>
  <c r="C4023" i="5"/>
  <c r="B4025" i="5" l="1"/>
  <c r="C4024" i="5"/>
  <c r="B4026" i="5" l="1"/>
  <c r="C4025" i="5"/>
  <c r="B4027" i="5" l="1"/>
  <c r="C4026" i="5"/>
  <c r="B4028" i="5" l="1"/>
  <c r="C4027" i="5"/>
  <c r="B4029" i="5" l="1"/>
  <c r="C4028" i="5"/>
  <c r="B4030" i="5" l="1"/>
  <c r="C4029" i="5"/>
  <c r="B4031" i="5" l="1"/>
  <c r="C4030" i="5"/>
  <c r="B4032" i="5" l="1"/>
  <c r="C4031" i="5"/>
  <c r="B4033" i="5" l="1"/>
  <c r="C4032" i="5"/>
  <c r="B4034" i="5" l="1"/>
  <c r="C4033" i="5"/>
  <c r="B4035" i="5" l="1"/>
  <c r="C4034" i="5"/>
  <c r="B4036" i="5" l="1"/>
  <c r="C4035" i="5"/>
  <c r="B4037" i="5" l="1"/>
  <c r="C4036" i="5"/>
  <c r="B4038" i="5" l="1"/>
  <c r="C4037" i="5"/>
  <c r="B4039" i="5" l="1"/>
  <c r="C4038" i="5"/>
  <c r="B4040" i="5" l="1"/>
  <c r="C4039" i="5"/>
  <c r="B4041" i="5" l="1"/>
  <c r="C4040" i="5"/>
  <c r="B4042" i="5" l="1"/>
  <c r="C4041" i="5"/>
  <c r="B4043" i="5" l="1"/>
  <c r="C4042" i="5"/>
  <c r="B4044" i="5" l="1"/>
  <c r="C4043" i="5"/>
  <c r="B4045" i="5" l="1"/>
  <c r="C4044" i="5"/>
  <c r="B4046" i="5" l="1"/>
  <c r="C4045" i="5"/>
  <c r="B4047" i="5" l="1"/>
  <c r="C4046" i="5"/>
  <c r="B4048" i="5" l="1"/>
  <c r="C4047" i="5"/>
  <c r="B4049" i="5" l="1"/>
  <c r="C4048" i="5"/>
  <c r="B4050" i="5" l="1"/>
  <c r="C4049" i="5"/>
  <c r="B4051" i="5" l="1"/>
  <c r="C4050" i="5"/>
  <c r="B4052" i="5" l="1"/>
  <c r="C4051" i="5"/>
  <c r="B4053" i="5" l="1"/>
  <c r="C4052" i="5"/>
  <c r="B4054" i="5" l="1"/>
  <c r="C4053" i="5"/>
  <c r="B4055" i="5" l="1"/>
  <c r="C4054" i="5"/>
  <c r="B4056" i="5" l="1"/>
  <c r="C4055" i="5"/>
  <c r="B4057" i="5" l="1"/>
  <c r="C4056" i="5"/>
  <c r="B4058" i="5" l="1"/>
  <c r="C4057" i="5"/>
  <c r="B4059" i="5" l="1"/>
  <c r="C4058" i="5"/>
  <c r="B4060" i="5" l="1"/>
  <c r="C4059" i="5"/>
  <c r="B4061" i="5" l="1"/>
  <c r="C4060" i="5"/>
  <c r="B4062" i="5" l="1"/>
  <c r="C4061" i="5"/>
  <c r="B4063" i="5" l="1"/>
  <c r="C4062" i="5"/>
  <c r="B4064" i="5" l="1"/>
  <c r="C4063" i="5"/>
  <c r="B4065" i="5" l="1"/>
  <c r="C4064" i="5"/>
  <c r="B4066" i="5" l="1"/>
  <c r="C4065" i="5"/>
  <c r="B4067" i="5" l="1"/>
  <c r="C4066" i="5"/>
  <c r="B4068" i="5" l="1"/>
  <c r="C4067" i="5"/>
  <c r="B4069" i="5" l="1"/>
  <c r="C4068" i="5"/>
  <c r="B4070" i="5" l="1"/>
  <c r="C4069" i="5"/>
  <c r="B4071" i="5" l="1"/>
  <c r="C4070" i="5"/>
  <c r="B4072" i="5" l="1"/>
  <c r="C4071" i="5"/>
  <c r="B4073" i="5" l="1"/>
  <c r="C4072" i="5"/>
  <c r="B4074" i="5" l="1"/>
  <c r="C4073" i="5"/>
  <c r="B4075" i="5" l="1"/>
  <c r="C4074" i="5"/>
  <c r="B4076" i="5" l="1"/>
  <c r="C4075" i="5"/>
  <c r="B4077" i="5" l="1"/>
  <c r="C4076" i="5"/>
  <c r="B4078" i="5" l="1"/>
  <c r="C4077" i="5"/>
  <c r="B4079" i="5" l="1"/>
  <c r="C4078" i="5"/>
  <c r="B4080" i="5" l="1"/>
  <c r="C4079" i="5"/>
  <c r="B4081" i="5" l="1"/>
  <c r="C4080" i="5"/>
  <c r="B4082" i="5" l="1"/>
  <c r="C4081" i="5"/>
  <c r="B4083" i="5" l="1"/>
  <c r="C4082" i="5"/>
  <c r="B4084" i="5" l="1"/>
  <c r="C4083" i="5"/>
  <c r="B4085" i="5" l="1"/>
  <c r="C4084" i="5"/>
  <c r="B4086" i="5" l="1"/>
  <c r="C4085" i="5"/>
  <c r="B4087" i="5" l="1"/>
  <c r="C4086" i="5"/>
  <c r="B4088" i="5" l="1"/>
  <c r="C4087" i="5"/>
  <c r="B4089" i="5" l="1"/>
  <c r="C4088" i="5"/>
  <c r="B4090" i="5" l="1"/>
  <c r="C4089" i="5"/>
  <c r="B4091" i="5" l="1"/>
  <c r="C4090" i="5"/>
  <c r="B4092" i="5" l="1"/>
  <c r="C4091" i="5"/>
  <c r="B4093" i="5" l="1"/>
  <c r="C4092" i="5"/>
  <c r="B4094" i="5" l="1"/>
  <c r="C4093" i="5"/>
  <c r="B4095" i="5" l="1"/>
  <c r="C4094" i="5"/>
  <c r="B4096" i="5" l="1"/>
  <c r="C4095" i="5"/>
  <c r="B4097" i="5" l="1"/>
  <c r="C4096" i="5"/>
  <c r="B4098" i="5" l="1"/>
  <c r="C4097" i="5"/>
  <c r="B4099" i="5" l="1"/>
  <c r="C4098" i="5"/>
  <c r="B4100" i="5" l="1"/>
  <c r="C4099" i="5"/>
  <c r="B4101" i="5" l="1"/>
  <c r="C4100" i="5"/>
  <c r="B4102" i="5" l="1"/>
  <c r="C4101" i="5"/>
  <c r="B4103" i="5" l="1"/>
  <c r="C4102" i="5"/>
  <c r="B4104" i="5" l="1"/>
  <c r="C4103" i="5"/>
  <c r="B4105" i="5" l="1"/>
  <c r="C4104" i="5"/>
  <c r="B4106" i="5" l="1"/>
  <c r="C4105" i="5"/>
  <c r="B4107" i="5" l="1"/>
  <c r="C4106" i="5"/>
  <c r="B4108" i="5" l="1"/>
  <c r="C4107" i="5"/>
  <c r="B4109" i="5" l="1"/>
  <c r="C4108" i="5"/>
  <c r="B4110" i="5" l="1"/>
  <c r="C4109" i="5"/>
  <c r="B4111" i="5" l="1"/>
  <c r="C4110" i="5"/>
  <c r="B4112" i="5" l="1"/>
  <c r="C4111" i="5"/>
  <c r="B4113" i="5" l="1"/>
  <c r="C4112" i="5"/>
  <c r="B4114" i="5" l="1"/>
  <c r="C4113" i="5"/>
  <c r="B4115" i="5" l="1"/>
  <c r="C4114" i="5"/>
  <c r="B4116" i="5" l="1"/>
  <c r="C4115" i="5"/>
  <c r="B4117" i="5" l="1"/>
  <c r="C4116" i="5"/>
  <c r="B4118" i="5" l="1"/>
  <c r="C4117" i="5"/>
  <c r="B4119" i="5" l="1"/>
  <c r="C4118" i="5"/>
  <c r="B4120" i="5" l="1"/>
  <c r="C4119" i="5"/>
  <c r="B4121" i="5" l="1"/>
  <c r="C4120" i="5"/>
  <c r="B4122" i="5" l="1"/>
  <c r="C4121" i="5"/>
  <c r="B4123" i="5" l="1"/>
  <c r="C4122" i="5"/>
  <c r="B4124" i="5" l="1"/>
  <c r="C4123" i="5"/>
  <c r="B4125" i="5" l="1"/>
  <c r="C4124" i="5"/>
  <c r="B4126" i="5" l="1"/>
  <c r="C4125" i="5"/>
  <c r="B4127" i="5" l="1"/>
  <c r="C4126" i="5"/>
  <c r="B4128" i="5" l="1"/>
  <c r="C4127" i="5"/>
  <c r="B4129" i="5" l="1"/>
  <c r="C4128" i="5"/>
  <c r="B4130" i="5" l="1"/>
  <c r="C4129" i="5"/>
  <c r="B4131" i="5" l="1"/>
  <c r="C4130" i="5"/>
  <c r="B4132" i="5" l="1"/>
  <c r="C4131" i="5"/>
  <c r="B4133" i="5" l="1"/>
  <c r="C4132" i="5"/>
  <c r="B4134" i="5" l="1"/>
  <c r="C4133" i="5"/>
  <c r="B4135" i="5" l="1"/>
  <c r="C4134" i="5"/>
  <c r="B4136" i="5" l="1"/>
  <c r="C4135" i="5"/>
  <c r="B4137" i="5" l="1"/>
  <c r="C4136" i="5"/>
  <c r="B4138" i="5" l="1"/>
  <c r="C4137" i="5"/>
  <c r="B4139" i="5" l="1"/>
  <c r="C4138" i="5"/>
  <c r="B4140" i="5" l="1"/>
  <c r="C4139" i="5"/>
  <c r="B4141" i="5" l="1"/>
  <c r="C4140" i="5"/>
  <c r="B4142" i="5" l="1"/>
  <c r="C4141" i="5"/>
  <c r="B4143" i="5" l="1"/>
  <c r="C4142" i="5"/>
  <c r="B4144" i="5" l="1"/>
  <c r="C4143" i="5"/>
  <c r="B4145" i="5" l="1"/>
  <c r="C4144" i="5"/>
  <c r="B4146" i="5" l="1"/>
  <c r="C4145" i="5"/>
  <c r="B4147" i="5" l="1"/>
  <c r="C4146" i="5"/>
  <c r="B4148" i="5" l="1"/>
  <c r="C4147" i="5"/>
  <c r="B4149" i="5" l="1"/>
  <c r="C4148" i="5"/>
  <c r="B4150" i="5" l="1"/>
  <c r="C4149" i="5"/>
  <c r="B4151" i="5" l="1"/>
  <c r="C4150" i="5"/>
  <c r="B4152" i="5" l="1"/>
  <c r="C4151" i="5"/>
  <c r="B4153" i="5" l="1"/>
  <c r="C4152" i="5"/>
  <c r="B4154" i="5" l="1"/>
  <c r="C4153" i="5"/>
  <c r="B4155" i="5" l="1"/>
  <c r="C4154" i="5"/>
  <c r="B4156" i="5" l="1"/>
  <c r="C4155" i="5"/>
  <c r="B4157" i="5" l="1"/>
  <c r="C4156" i="5"/>
  <c r="B4158" i="5" l="1"/>
  <c r="C4157" i="5"/>
  <c r="B4159" i="5" l="1"/>
  <c r="C4158" i="5"/>
  <c r="B4160" i="5" l="1"/>
  <c r="C4159" i="5"/>
  <c r="B4161" i="5" l="1"/>
  <c r="C4160" i="5"/>
  <c r="B4162" i="5" l="1"/>
  <c r="C4161" i="5"/>
  <c r="B4163" i="5" l="1"/>
  <c r="C4162" i="5"/>
  <c r="B4164" i="5" l="1"/>
  <c r="C4163" i="5"/>
  <c r="B4165" i="5" l="1"/>
  <c r="C4164" i="5"/>
  <c r="B4166" i="5" l="1"/>
  <c r="C4165" i="5"/>
  <c r="B4167" i="5" l="1"/>
  <c r="C4166" i="5"/>
  <c r="B4168" i="5" l="1"/>
  <c r="C4167" i="5"/>
  <c r="B4169" i="5" l="1"/>
  <c r="C4168" i="5"/>
  <c r="B4170" i="5" l="1"/>
  <c r="C4169" i="5"/>
  <c r="B4171" i="5" l="1"/>
  <c r="C4170" i="5"/>
  <c r="B4172" i="5" l="1"/>
  <c r="C4171" i="5"/>
  <c r="B4173" i="5" l="1"/>
  <c r="C4172" i="5"/>
  <c r="B4174" i="5" l="1"/>
  <c r="C4173" i="5"/>
  <c r="B4175" i="5" l="1"/>
  <c r="C4174" i="5"/>
  <c r="B4176" i="5" l="1"/>
  <c r="C4175" i="5"/>
  <c r="B4177" i="5" l="1"/>
  <c r="C4176" i="5"/>
  <c r="B4178" i="5" l="1"/>
  <c r="C4177" i="5"/>
  <c r="B4179" i="5" l="1"/>
  <c r="C4178" i="5"/>
  <c r="B4180" i="5" l="1"/>
  <c r="C4179" i="5"/>
  <c r="B4181" i="5" l="1"/>
  <c r="C4180" i="5"/>
  <c r="B4182" i="5" l="1"/>
  <c r="C4181" i="5"/>
  <c r="B4183" i="5" l="1"/>
  <c r="C4182" i="5"/>
  <c r="B4184" i="5" l="1"/>
  <c r="C4183" i="5"/>
  <c r="B4185" i="5" l="1"/>
  <c r="C4184" i="5"/>
  <c r="B4186" i="5" l="1"/>
  <c r="C4185" i="5"/>
  <c r="B4187" i="5" l="1"/>
  <c r="C4186" i="5"/>
  <c r="B4188" i="5" l="1"/>
  <c r="C4187" i="5"/>
  <c r="B4189" i="5" l="1"/>
  <c r="C4188" i="5"/>
  <c r="B4190" i="5" l="1"/>
  <c r="C4189" i="5"/>
  <c r="B4191" i="5" l="1"/>
  <c r="C4190" i="5"/>
  <c r="B4192" i="5" l="1"/>
  <c r="C4191" i="5"/>
  <c r="B4193" i="5" l="1"/>
  <c r="C4192" i="5"/>
  <c r="B4194" i="5" l="1"/>
  <c r="C4193" i="5"/>
  <c r="B4195" i="5" l="1"/>
  <c r="C4194" i="5"/>
  <c r="B4196" i="5" l="1"/>
  <c r="C4195" i="5"/>
  <c r="B4197" i="5" l="1"/>
  <c r="C4196" i="5"/>
  <c r="B4198" i="5" l="1"/>
  <c r="C4197" i="5"/>
  <c r="B4199" i="5" l="1"/>
  <c r="C4198" i="5"/>
  <c r="B4200" i="5" l="1"/>
  <c r="C4199" i="5"/>
  <c r="B4201" i="5" l="1"/>
  <c r="C4200" i="5"/>
  <c r="B4202" i="5" l="1"/>
  <c r="C4201" i="5"/>
  <c r="B4203" i="5" l="1"/>
  <c r="C4202" i="5"/>
  <c r="B4204" i="5" l="1"/>
  <c r="C4203" i="5"/>
  <c r="B4205" i="5" l="1"/>
  <c r="C4204" i="5"/>
  <c r="B4206" i="5" l="1"/>
  <c r="C4205" i="5"/>
  <c r="B4207" i="5" l="1"/>
  <c r="C4206" i="5"/>
  <c r="B4208" i="5" l="1"/>
  <c r="C4207" i="5"/>
  <c r="B4209" i="5" l="1"/>
  <c r="C4208" i="5"/>
  <c r="B4210" i="5" l="1"/>
  <c r="C4209" i="5"/>
  <c r="B4211" i="5" l="1"/>
  <c r="C4210" i="5"/>
  <c r="B4212" i="5" l="1"/>
  <c r="C4211" i="5"/>
  <c r="B4213" i="5" l="1"/>
  <c r="C4212" i="5"/>
  <c r="B4214" i="5" l="1"/>
  <c r="C4213" i="5"/>
  <c r="B4215" i="5" l="1"/>
  <c r="C4214" i="5"/>
  <c r="B4216" i="5" l="1"/>
  <c r="C4215" i="5"/>
  <c r="B4217" i="5" l="1"/>
  <c r="C4216" i="5"/>
  <c r="B4218" i="5" l="1"/>
  <c r="C4217" i="5"/>
  <c r="B4219" i="5" l="1"/>
  <c r="C4218" i="5"/>
  <c r="B4220" i="5" l="1"/>
  <c r="C4219" i="5"/>
  <c r="B4221" i="5" l="1"/>
  <c r="C4220" i="5"/>
  <c r="B4222" i="5" l="1"/>
  <c r="C4221" i="5"/>
  <c r="B4223" i="5" l="1"/>
  <c r="C4222" i="5"/>
  <c r="B4224" i="5" l="1"/>
  <c r="C4223" i="5"/>
  <c r="B4225" i="5" l="1"/>
  <c r="C4224" i="5"/>
  <c r="B4226" i="5" l="1"/>
  <c r="C4225" i="5"/>
  <c r="B4227" i="5" l="1"/>
  <c r="C4226" i="5"/>
  <c r="B4228" i="5" l="1"/>
  <c r="C4227" i="5"/>
  <c r="B4229" i="5" l="1"/>
  <c r="C4228" i="5"/>
  <c r="B4230" i="5" l="1"/>
  <c r="C4229" i="5"/>
  <c r="B4231" i="5" l="1"/>
  <c r="C4230" i="5"/>
  <c r="B4232" i="5" l="1"/>
  <c r="C4231" i="5"/>
  <c r="B4233" i="5" l="1"/>
  <c r="C4232" i="5"/>
  <c r="B4234" i="5" l="1"/>
  <c r="C4233" i="5"/>
  <c r="B4235" i="5" l="1"/>
  <c r="C4234" i="5"/>
  <c r="B4236" i="5" l="1"/>
  <c r="C4235" i="5"/>
  <c r="B4237" i="5" l="1"/>
  <c r="C4236" i="5"/>
  <c r="B4238" i="5" l="1"/>
  <c r="C4237" i="5"/>
  <c r="B4239" i="5" l="1"/>
  <c r="C4238" i="5"/>
  <c r="B4240" i="5" l="1"/>
  <c r="C4239" i="5"/>
  <c r="B4241" i="5" l="1"/>
  <c r="C4240" i="5"/>
  <c r="B4242" i="5" l="1"/>
  <c r="C4241" i="5"/>
  <c r="B4243" i="5" l="1"/>
  <c r="C4242" i="5"/>
  <c r="B4244" i="5" l="1"/>
  <c r="C4243" i="5"/>
  <c r="B4245" i="5" l="1"/>
  <c r="C4244" i="5"/>
  <c r="B4246" i="5" l="1"/>
  <c r="C4245" i="5"/>
  <c r="B4247" i="5" l="1"/>
  <c r="C4246" i="5"/>
  <c r="B4248" i="5" l="1"/>
  <c r="C4247" i="5"/>
  <c r="B4249" i="5" l="1"/>
  <c r="C4248" i="5"/>
  <c r="B4250" i="5" l="1"/>
  <c r="C4249" i="5"/>
  <c r="B4251" i="5" l="1"/>
  <c r="C4250" i="5"/>
  <c r="B4252" i="5" l="1"/>
  <c r="C4251" i="5"/>
  <c r="B4253" i="5" l="1"/>
  <c r="C4252" i="5"/>
  <c r="B4254" i="5" l="1"/>
  <c r="C4253" i="5"/>
  <c r="B4255" i="5" l="1"/>
  <c r="C4254" i="5"/>
  <c r="B4256" i="5" l="1"/>
  <c r="C4255" i="5"/>
  <c r="B4257" i="5" l="1"/>
  <c r="C4256" i="5"/>
  <c r="B4258" i="5" l="1"/>
  <c r="C4257" i="5"/>
  <c r="B4259" i="5" l="1"/>
  <c r="C4258" i="5"/>
  <c r="B4260" i="5" l="1"/>
  <c r="C4259" i="5"/>
  <c r="B4261" i="5" l="1"/>
  <c r="C4260" i="5"/>
  <c r="B4262" i="5" l="1"/>
  <c r="C4261" i="5"/>
  <c r="B4263" i="5" l="1"/>
  <c r="C4262" i="5"/>
  <c r="B4264" i="5" l="1"/>
  <c r="C4263" i="5"/>
  <c r="B4265" i="5" l="1"/>
  <c r="C4264" i="5"/>
  <c r="B4266" i="5" l="1"/>
  <c r="C4265" i="5"/>
  <c r="B4267" i="5" l="1"/>
  <c r="C4266" i="5"/>
  <c r="B4268" i="5" l="1"/>
  <c r="C4267" i="5"/>
  <c r="B4269" i="5" l="1"/>
  <c r="C4269" i="5" s="1"/>
  <c r="C4268" i="5"/>
</calcChain>
</file>

<file path=xl/sharedStrings.xml><?xml version="1.0" encoding="utf-8"?>
<sst xmlns="http://schemas.openxmlformats.org/spreadsheetml/2006/main" count="1324" uniqueCount="859">
  <si>
    <t>                           _none_                    </t>
  </si>
  <si>
    <t>                           ESCAPE                    </t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</si>
  <si>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'1'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</si>
  <si>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'2'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</si>
  <si>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'3'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</si>
  <si>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'4'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</si>
  <si>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'5'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</si>
  <si>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'6'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</si>
  <si>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'7'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</si>
  <si>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'8'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</si>
  <si>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'9'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</si>
  <si>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'0'</t>
    </r>
    <r>
      <rPr>
        <sz val="10"/>
        <color rgb="FF000000"/>
        <rFont val="Consolas"/>
        <family val="3"/>
        <charset val="238"/>
      </rPr>
      <t>                       </t>
    </r>
  </si>
  <si>
    <t>                           OEM_MINUS                 </t>
  </si>
  <si>
    <t>OEM_PLUS,OEM_4,   OEM_PLUS,OEM_PLUS,OEM_PLUS,OEM_PLUS</t>
  </si>
  <si>
    <t>                           BACK                      </t>
  </si>
  <si>
    <t>                           TAB                       </t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</si>
  <si>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'Q'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</si>
  <si>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'W'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</si>
  <si>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'E'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</si>
  <si>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'R'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</si>
  <si>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'T'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</si>
  <si>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'Y'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</si>
  <si>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'U'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</si>
  <si>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'I'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</si>
  <si>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'O'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</si>
  <si>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'P'</t>
    </r>
    <r>
      <rPr>
        <sz val="10"/>
        <color rgb="FF000000"/>
        <rFont val="Consolas"/>
        <family val="3"/>
        <charset val="238"/>
      </rPr>
      <t>                       </t>
    </r>
  </si>
  <si>
    <t>OEM_4,   OEM_6,   OEM_4,   OEM_4,   OEM_4,   OEM_4   </t>
  </si>
  <si>
    <t>OEM_6,   OEM_1,   OEM_6,   OEM_6,   OEM_6,   OEM_6   </t>
  </si>
  <si>
    <t>                           RETURN                    </t>
  </si>
  <si>
    <t>                           LCONTROL                  </t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</si>
  <si>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'A'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</si>
  <si>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'S'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</si>
  <si>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'D'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</si>
  <si>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'F'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</si>
  <si>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'G'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</si>
  <si>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'H'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</si>
  <si>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'J'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</si>
  <si>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'K'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</si>
  <si>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'L'</t>
    </r>
    <r>
      <rPr>
        <sz val="10"/>
        <color rgb="FF000000"/>
        <rFont val="Consolas"/>
        <family val="3"/>
        <charset val="238"/>
      </rPr>
      <t>                       </t>
    </r>
  </si>
  <si>
    <t>OEM_1,   OEM_PLUS,OEM_1,   OEM_1,   OEM_1,   OEM_1   </t>
  </si>
  <si>
    <t>OEM_7,   OEM_3,   OEM_7,   OEM_7,   OEM_3,   OEM_3   </t>
  </si>
  <si>
    <t>OEM_3,   OEM_7,   OEM_3,   OEM_3,   OEM_7,   OEM_7   </t>
  </si>
  <si>
    <t>                           LSHIFT                    </t>
  </si>
  <si>
    <t>                           OEM_5                     </t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</si>
  <si>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'Z'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</si>
  <si>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'X'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</si>
  <si>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'C'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</si>
  <si>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'V'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</si>
  <si>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'B'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</si>
  <si>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'N'</t>
    </r>
    <r>
      <rPr>
        <sz val="10"/>
        <color rgb="FF000000"/>
        <rFont val="Consolas"/>
        <family val="3"/>
        <charset val="238"/>
      </rPr>
      <t>                       </t>
    </r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</si>
  <si>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'M'</t>
    </r>
    <r>
      <rPr>
        <sz val="10"/>
        <color rgb="FF000000"/>
        <rFont val="Consolas"/>
        <family val="3"/>
        <charset val="238"/>
      </rPr>
      <t>                       </t>
    </r>
  </si>
  <si>
    <t>                           OEM_COMMA                 </t>
  </si>
  <si>
    <t>                           OEM_PERIOD                </t>
  </si>
  <si>
    <t>                           OEM_2                     </t>
  </si>
  <si>
    <t>                           RSHIFT                    </t>
  </si>
  <si>
    <t>                           MULTIPLY                  </t>
  </si>
  <si>
    <t>                           LMENU                     </t>
  </si>
  <si>
    <r>
      <t>                           </t>
    </r>
    <r>
      <rPr>
        <sz val="10"/>
        <color rgb="FFA31515"/>
        <rFont val="Consolas"/>
        <family val="3"/>
        <charset val="238"/>
      </rPr>
      <t>' '</t>
    </r>
    <r>
      <rPr>
        <sz val="10"/>
        <color rgb="FF000000"/>
        <rFont val="Consolas"/>
        <family val="3"/>
        <charset val="238"/>
      </rPr>
      <t>                       </t>
    </r>
  </si>
  <si>
    <t>                           CAPITAL                   </t>
  </si>
  <si>
    <t>                           F1                        </t>
  </si>
  <si>
    <t>                           F2                        </t>
  </si>
  <si>
    <t>                           F3                        </t>
  </si>
  <si>
    <t>                           F4                        </t>
  </si>
  <si>
    <t>                           F5                        </t>
  </si>
  <si>
    <t>                           F6                        </t>
  </si>
  <si>
    <t>                           F7                        </t>
  </si>
  <si>
    <t>                           F8                        </t>
  </si>
  <si>
    <t>                           F9                        </t>
  </si>
  <si>
    <t>                           F10                       </t>
  </si>
  <si>
    <t>                           NUMLOCK                   </t>
  </si>
  <si>
    <t>                           SCROLL                    </t>
  </si>
  <si>
    <t>                           HOME                      </t>
  </si>
  <si>
    <t>                           UP                        </t>
  </si>
  <si>
    <t>                           PRIOR                     </t>
  </si>
  <si>
    <t>                           SUBTRACT                  </t>
  </si>
  <si>
    <t>                           LEFT                      </t>
  </si>
  <si>
    <t>                           CLEAR                     </t>
  </si>
  <si>
    <t>                           RIGHT                     </t>
  </si>
  <si>
    <t>                           ADD                       </t>
  </si>
  <si>
    <t>                           END                       </t>
  </si>
  <si>
    <t>                           DOWN                      </t>
  </si>
  <si>
    <t>                           NEXT                      </t>
  </si>
  <si>
    <t>                           INSERT                    </t>
  </si>
  <si>
    <r>
      <t>                           </t>
    </r>
    <r>
      <rPr>
        <sz val="10"/>
        <color rgb="FF6F008A"/>
        <rFont val="Consolas"/>
        <family val="3"/>
        <charset val="238"/>
      </rPr>
      <t>DELETE</t>
    </r>
    <r>
      <rPr>
        <sz val="10"/>
        <color rgb="FF000000"/>
        <rFont val="Consolas"/>
        <family val="3"/>
        <charset val="238"/>
      </rPr>
      <t>                    </t>
    </r>
  </si>
  <si>
    <t>                           SNAPSHOT                  </t>
  </si>
  <si>
    <t>OEM_102, HELP,    OEM_102, OEM_102, _none_,  OEM_PA2 </t>
  </si>
  <si>
    <t>F11,     RETURN,  F11,     F11,     _none_,  HELP    </t>
  </si>
  <si>
    <t>F12,     LEFT,    F12,     F12,     _none_,  OEM_102 </t>
  </si>
  <si>
    <t>                           OEM_WSCTRL                </t>
  </si>
  <si>
    <t>                           OEM_FINISH                </t>
  </si>
  <si>
    <t>                           OEM_JUMP                  </t>
  </si>
  <si>
    <t>                           EREOF                     </t>
  </si>
  <si>
    <t>                           OEM_BACKTAB               </t>
  </si>
  <si>
    <t>                           OEM_AUTO                  </t>
  </si>
  <si>
    <t>                           ZOOM                      </t>
  </si>
  <si>
    <t>                           HELP                      </t>
  </si>
  <si>
    <t>                           F13                       </t>
  </si>
  <si>
    <t>                           F14                       </t>
  </si>
  <si>
    <t>                           F15                       </t>
  </si>
  <si>
    <t>                           F16                       </t>
  </si>
  <si>
    <t>                           F17                       </t>
  </si>
  <si>
    <t>                           F18                       </t>
  </si>
  <si>
    <t>                           F19                       </t>
  </si>
  <si>
    <t>                           F20                       </t>
  </si>
  <si>
    <t>                           F21                       </t>
  </si>
  <si>
    <t>                           F22                       </t>
  </si>
  <si>
    <t>                           F23                       </t>
  </si>
  <si>
    <t>                           OEM_PA3                   </t>
  </si>
  <si>
    <t>                           OEM_RESET                 </t>
  </si>
  <si>
    <t>                           ABNT_C1                   </t>
  </si>
  <si>
    <t>                           F24                       </t>
  </si>
  <si>
    <t>                           OEM_PA1                   </t>
  </si>
  <si>
    <t>                           ABNT_C2                   </t>
  </si>
  <si>
    <t>                           OEM_PA2                   </t>
  </si>
  <si>
    <t>Number</t>
  </si>
  <si>
    <t>Variable</t>
  </si>
  <si>
    <t>From kbd.h</t>
  </si>
  <si>
    <t>XML</t>
  </si>
  <si>
    <t>                           MEDIA_PREV_TRACK          </t>
  </si>
  <si>
    <t>                           MEDIA_NEXT_TRACK          </t>
  </si>
  <si>
    <t>                           RCONTROL                  </t>
  </si>
  <si>
    <t>                           VOLUME_MUTE               </t>
  </si>
  <si>
    <t>                           LAUNCH_APP2               </t>
  </si>
  <si>
    <t>                           MEDIA_PLAY_PAUSE          </t>
  </si>
  <si>
    <t>                           MEDIA_STOP                </t>
  </si>
  <si>
    <t>                           VOLUME_DOWN               </t>
  </si>
  <si>
    <t>                           VOLUME_UP                 </t>
  </si>
  <si>
    <t>                           BROWSER_HOME              </t>
  </si>
  <si>
    <t>                           DIVIDE                    </t>
  </si>
  <si>
    <t>                           RMENU                     </t>
  </si>
  <si>
    <t>                           CANCEL                    </t>
  </si>
  <si>
    <t>NEXT,    F1,      NEXT,    NEXT,    _none_, OEM_PA2  </t>
  </si>
  <si>
    <t>                           LWIN                      </t>
  </si>
  <si>
    <t>                           RWIN                      </t>
  </si>
  <si>
    <t>                           APPS                      </t>
  </si>
  <si>
    <t>                           POWER                     </t>
  </si>
  <si>
    <t>                           SLEEP                     </t>
  </si>
  <si>
    <t>                           BROWSER_SEARCH            </t>
  </si>
  <si>
    <t>                           BROWSER_FAVORITES         </t>
  </si>
  <si>
    <t>                           BROWSER_REFRESH           </t>
  </si>
  <si>
    <t>                           BROWSER_STOP              </t>
  </si>
  <si>
    <t>                           BROWSER_FORWARD           </t>
  </si>
  <si>
    <t>                           BROWSER_BACK              </t>
  </si>
  <si>
    <t>                           LAUNCH_APP1               </t>
  </si>
  <si>
    <t>                           LAUNCH_MAIL               </t>
  </si>
  <si>
    <t>                           LAUNCH_MEDIA_SELECT       </t>
  </si>
  <si>
    <t>X10</t>
  </si>
  <si>
    <t>X19</t>
  </si>
  <si>
    <t>X1C</t>
  </si>
  <si>
    <t>X1D</t>
  </si>
  <si>
    <t>X20</t>
  </si>
  <si>
    <t>X21</t>
  </si>
  <si>
    <t>X22</t>
  </si>
  <si>
    <t>X24</t>
  </si>
  <si>
    <t>X2E</t>
  </si>
  <si>
    <t>X30</t>
  </si>
  <si>
    <t>X32</t>
  </si>
  <si>
    <t>X35</t>
  </si>
  <si>
    <t>X37</t>
  </si>
  <si>
    <t>X38</t>
  </si>
  <si>
    <t>X46</t>
  </si>
  <si>
    <t>X47</t>
  </si>
  <si>
    <t>X48</t>
  </si>
  <si>
    <t>X49</t>
  </si>
  <si>
    <t>X4B</t>
  </si>
  <si>
    <t>X4D</t>
  </si>
  <si>
    <t>X4F</t>
  </si>
  <si>
    <t>X50</t>
  </si>
  <si>
    <t>X51</t>
  </si>
  <si>
    <t>X52</t>
  </si>
  <si>
    <t>X53</t>
  </si>
  <si>
    <t>X5B</t>
  </si>
  <si>
    <t>X5C</t>
  </si>
  <si>
    <t>X5D</t>
  </si>
  <si>
    <t>X5E</t>
  </si>
  <si>
    <t>X5F</t>
  </si>
  <si>
    <t>X65</t>
  </si>
  <si>
    <t>X66</t>
  </si>
  <si>
    <t>X67</t>
  </si>
  <si>
    <t>X68</t>
  </si>
  <si>
    <t>X69</t>
  </si>
  <si>
    <t>X6A</t>
  </si>
  <si>
    <t>X6B</t>
  </si>
  <si>
    <t>X6C</t>
  </si>
  <si>
    <t>X6D</t>
  </si>
  <si>
    <t>           _none_                                                           </t>
  </si>
  <si>
    <t>           ESCAPE                                                           </t>
  </si>
  <si>
    <r>
      <t>           </t>
    </r>
    <r>
      <rPr>
        <sz val="10"/>
        <color rgb="FFA31515"/>
        <rFont val="Consolas"/>
        <family val="3"/>
        <charset val="238"/>
      </rPr>
      <t>'1'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</si>
  <si>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'2'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</si>
  <si>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'3'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</si>
  <si>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'4'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</si>
  <si>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'5'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</si>
  <si>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'6'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</si>
  <si>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'7'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</si>
  <si>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'8'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</si>
  <si>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'9'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</si>
  <si>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'0'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</si>
  <si>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t>           OEM_MINUS                                                        </t>
  </si>
  <si>
    <t>OEM_7,     OEM_7,     OEM_PLUS,  OEM_PLUS,  OEM_PLUS,  OEM_PLUS,  OEM_PLUS  </t>
  </si>
  <si>
    <t>           BACK                                                             </t>
  </si>
  <si>
    <t>           TAB                                                              </t>
  </si>
  <si>
    <r>
      <t>           </t>
    </r>
    <r>
      <rPr>
        <sz val="10"/>
        <color rgb="FFA31515"/>
        <rFont val="Consolas"/>
        <family val="3"/>
        <charset val="238"/>
      </rPr>
      <t>'Q'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</si>
  <si>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'W'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</si>
  <si>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'E'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</si>
  <si>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'R'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</si>
  <si>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'T'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</si>
  <si>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'Y'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</si>
  <si>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'U'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</si>
  <si>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'I'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</si>
  <si>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'O'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</si>
  <si>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'P'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</si>
  <si>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t>OEM_4,     OEM_3,     OEM_4,     OEM_4,     OEM_4,     OEM_4,     OEM_4     </t>
  </si>
  <si>
    <t>OEM_6,     OEM_4,     OEM_6,     OEM_6,     OEM_6,     OEM_6,     OEM_6     </t>
  </si>
  <si>
    <t>           RETURN                                                           </t>
  </si>
  <si>
    <t>           LCONTROL                                                         </t>
  </si>
  <si>
    <r>
      <t>           </t>
    </r>
    <r>
      <rPr>
        <sz val="10"/>
        <color rgb="FFA31515"/>
        <rFont val="Consolas"/>
        <family val="3"/>
        <charset val="238"/>
      </rPr>
      <t>'A'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</si>
  <si>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'S'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</si>
  <si>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'D'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</si>
  <si>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'F'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</si>
  <si>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'G'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</si>
  <si>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'H'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</si>
  <si>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'J'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</si>
  <si>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'K'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</si>
  <si>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'L'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</si>
  <si>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t>OEM_PLUS,  OEM_PLUS,  OEM_1,     OEM_1,     OEM_1,     OEM_1,     OEM_1     </t>
  </si>
  <si>
    <t>OEM_1,     OEM_1,     OEM_7,     OEM_7,     OEM_7,     OEM_7,     OEM_7     </t>
  </si>
  <si>
    <t>OEM_3,     DBE_SBCSCHAR,OEM_3,   OEM_3,     OEM_3,     OEM_3,     OEM_3     </t>
  </si>
  <si>
    <t>           LSHIFT                                                           </t>
  </si>
  <si>
    <t>OEM_5,     OEM_6,     OEM_5,     OEM_5,     OEM_5,     OEM_5,     OEM_5     </t>
  </si>
  <si>
    <r>
      <t>           </t>
    </r>
    <r>
      <rPr>
        <sz val="10"/>
        <color rgb="FFA31515"/>
        <rFont val="Consolas"/>
        <family val="3"/>
        <charset val="238"/>
      </rPr>
      <t>'Z'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</si>
  <si>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'X'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</si>
  <si>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'C'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</si>
  <si>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'V'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</si>
  <si>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'B'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</si>
  <si>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'N'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</si>
  <si>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r>
      <t>           </t>
    </r>
    <r>
      <rPr>
        <sz val="10"/>
        <color rgb="FFA31515"/>
        <rFont val="Consolas"/>
        <family val="3"/>
        <charset val="238"/>
      </rPr>
      <t>'M'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</si>
  <si>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t>           OEM_COMMA                                                        </t>
  </si>
  <si>
    <t>           OEM_PERIOD                                                       </t>
  </si>
  <si>
    <t>           OEM_2                                                            </t>
  </si>
  <si>
    <t>           RSHIFT                                                           </t>
  </si>
  <si>
    <t>           MULTIPLY                                                         </t>
  </si>
  <si>
    <t>           LMENU                                                            </t>
  </si>
  <si>
    <r>
      <t>           </t>
    </r>
    <r>
      <rPr>
        <sz val="10"/>
        <color rgb="FFA31515"/>
        <rFont val="Consolas"/>
        <family val="3"/>
        <charset val="238"/>
      </rPr>
      <t>' '</t>
    </r>
    <r>
      <rPr>
        <sz val="10"/>
        <color rgb="FF000000"/>
        <rFont val="Consolas"/>
        <family val="3"/>
        <charset val="238"/>
      </rPr>
      <t>                                                              </t>
    </r>
  </si>
  <si>
    <t>DBE_ALPHANUMERIC,DBE_ALPHANUMERIC,CAPITAL,CAPITAL,CAPITAL,CAPITAL,CAPITAL   </t>
  </si>
  <si>
    <t>           F1                                                               </t>
  </si>
  <si>
    <t>           F2                                                               </t>
  </si>
  <si>
    <t>           F3                                                               </t>
  </si>
  <si>
    <t>           F4                                                               </t>
  </si>
  <si>
    <t>           F5                                                               </t>
  </si>
  <si>
    <t>           F6                                                               </t>
  </si>
  <si>
    <t>           F7                                                               </t>
  </si>
  <si>
    <t>           F8                                                               </t>
  </si>
  <si>
    <t>           F9                                                               </t>
  </si>
  <si>
    <t>           F10                                                              </t>
  </si>
  <si>
    <t>           NUMLOCK                                                          </t>
  </si>
  <si>
    <t>           SCROLL                                                           </t>
  </si>
  <si>
    <t>           HOME                                                             </t>
  </si>
  <si>
    <t>           UP                                                               </t>
  </si>
  <si>
    <t>           PRIOR                                                            </t>
  </si>
  <si>
    <t>           SUBTRACT                                                         </t>
  </si>
  <si>
    <t>           LEFT                                                             </t>
  </si>
  <si>
    <t>           CLEAR                                                            </t>
  </si>
  <si>
    <t>           RIGHT                                                            </t>
  </si>
  <si>
    <t>           ADD                                                              </t>
  </si>
  <si>
    <t>           END                                                              </t>
  </si>
  <si>
    <t>           DOWN                                                             </t>
  </si>
  <si>
    <t>           NEXT                                                             </t>
  </si>
  <si>
    <t>           INSERT                                                           </t>
  </si>
  <si>
    <t>           DELETE                                                           </t>
  </si>
  <si>
    <t>           SNAPSHOT                                                         </t>
  </si>
  <si>
    <t>_none_,    _none_,    OEM_102,   OEM_102,   OEM_102,   OEM_102,   OEM_102   </t>
  </si>
  <si>
    <t>           F11                                                              </t>
  </si>
  <si>
    <t>           F12                                                              </t>
  </si>
  <si>
    <t>NONAME,    NONAME,    NONCONVERT,OEM_WSCTRL,OEM_WSCTRL,OEM_WSCTRL,OEM_WSCTRL</t>
  </si>
  <si>
    <t>NONAME,    NONAME,    CONVERT,   OEM_FINISH,OEM_FINISH,OEM_FINISH,OEM_FINISH</t>
  </si>
  <si>
    <t>NONAME,    NONAME,    OEM_AX,    OEM_JUMP,  OEM_JUMP,  OEM_JUMP,  OEM_JUMP  </t>
  </si>
  <si>
    <t>           EREOF                                                            </t>
  </si>
  <si>
    <t>_none_,    _none_,    _none_,    OEM_BACKTAB,OEM_BACKTAB,OEM_BACKTAB,OEM_BAC</t>
  </si>
  <si>
    <t>NONAME,    NONAME,    NONAME,    OEM_AUTO,  OEM_AUTO,  OEM_AUTO,  OEM_AUTO  </t>
  </si>
  <si>
    <t>_none_,    _none_,    _none_,    ZOOM,      ZOOM,      ZOOM,      ZOOM      </t>
  </si>
  <si>
    <t>_none_,    _none_,    _none_,    HELP,      HELP,      HELP,      HELP      </t>
  </si>
  <si>
    <t>           F13                                                              </t>
  </si>
  <si>
    <t>           F14                                                              </t>
  </si>
  <si>
    <t>           F15                                                              </t>
  </si>
  <si>
    <t>           F16                                                              </t>
  </si>
  <si>
    <t>           F17                                                              </t>
  </si>
  <si>
    <t>           F18                                                              </t>
  </si>
  <si>
    <t>           F19                                                              </t>
  </si>
  <si>
    <t>           F20                                                              </t>
  </si>
  <si>
    <t>           F21                                                              </t>
  </si>
  <si>
    <t>           F22                                                              </t>
  </si>
  <si>
    <t>           F23                                                              </t>
  </si>
  <si>
    <t>_none_,    _none_,    _none_,    OEM_PA3,   OEM_PA3,   OEM_PA3,   OEM_PA3   </t>
  </si>
  <si>
    <t>DBE_KATAKANA,DBE_HIRAGANA,_none_,_none_,    _none_,    _none_,    _none_    </t>
  </si>
  <si>
    <t>_none_,    _none_,    _none_,    OEM_RESET, OEM_RESET, OEM_RESET, OEM_RESET </t>
  </si>
  <si>
    <t>OEM_102,   OEM_102,   _none_,    ABNT_C1,   ABNT_C1,   ABNT_C1,   ABNT_C1   </t>
  </si>
  <si>
    <t>           F24                                                              </t>
  </si>
  <si>
    <t>DBE_SBCSCHAR,_none_,  _none_,    _none_,    _none_,    _none_,    _none_    </t>
  </si>
  <si>
    <t>CONVERT,   CONVERT,   _none_,    _none_,    _none_,    _none_,    _none_    </t>
  </si>
  <si>
    <t>NONCONVERT,NONCONVERT,_none_,    OEM_PA1,   OEM_PA1,   OEM_PA1,   OEM_PA1   </t>
  </si>
  <si>
    <t>_none_,    OEM_5,     _none_,    _none_,    _none_,    _none_,    _none_    </t>
  </si>
  <si>
    <t>           ABNT_C2                                                          </t>
  </si>
  <si>
    <t>           OEM_PA2                                                          </t>
  </si>
  <si>
    <t>           MEDIA_PREV_TRACK                                                 </t>
  </si>
  <si>
    <t>           MEDIA_NEXT_TRACK                                                 </t>
  </si>
  <si>
    <t>RCONTROL,  RCONTROL,DBE_KATAKANA,HANJA,     HANGEUL,   RCONTROL,  RCONTROL  </t>
  </si>
  <si>
    <t>           VOLUME_MUTE                                                      </t>
  </si>
  <si>
    <t>           LAUNCH_APP2                                                      </t>
  </si>
  <si>
    <t>           MEDIA_PLAY_PAUSE                                                 </t>
  </si>
  <si>
    <t>           MEDIA_STOP                                                       </t>
  </si>
  <si>
    <t>           VOLUME_DOWN                                                      </t>
  </si>
  <si>
    <t>           VOLUME_UP                                                        </t>
  </si>
  <si>
    <t>           BROWSER_HOME                                                     </t>
  </si>
  <si>
    <t>OEM_8,     _none_,    _none_,    _none_,    _none_,    _none_,    _none_    </t>
  </si>
  <si>
    <t>           DIVIDE                                                           </t>
  </si>
  <si>
    <t>DBE_HIRAGANA,RMENU,   KANJI,     HANGEUL,   HANJA,     RMENU,     RMENU     </t>
  </si>
  <si>
    <t>           CANCEL                                                           </t>
  </si>
  <si>
    <t>           LWIN                                                             </t>
  </si>
  <si>
    <t>           RWIN                                                             </t>
  </si>
  <si>
    <t>           APPS                                                             </t>
  </si>
  <si>
    <t>           POWER                                                            </t>
  </si>
  <si>
    <t>           SLEEP                                                            </t>
  </si>
  <si>
    <t>           BROWSER_SEARCH                                                   </t>
  </si>
  <si>
    <t>           BROWSER_FAVORITES                                                </t>
  </si>
  <si>
    <t>           BROWSER_REFRESH                                                  </t>
  </si>
  <si>
    <t>           BROWSER_STOP                                                     </t>
  </si>
  <si>
    <t>           BROWSER_FORWARD                                                  </t>
  </si>
  <si>
    <t>           BROWSER_BACK                                                     </t>
  </si>
  <si>
    <t>           LAUNCH_APP1                                                      </t>
  </si>
  <si>
    <t>           LAUNCH_MAIL                                                      </t>
  </si>
  <si>
    <t>           LAUNCH_MEDIA_SELECT                                              </t>
  </si>
  <si>
    <t>_none_,    _none_,    _none_,    HANJA,     HANJA,     HANJA,     HANJA     </t>
  </si>
  <si>
    <t>_none_,    _none_,    _none_,    HANGEUL,   HANGEUL,   HANGEUL,   HANGEUL   </t>
  </si>
  <si>
    <t>X33</t>
  </si>
  <si>
    <t>X42</t>
  </si>
  <si>
    <t>X43</t>
  </si>
  <si>
    <t>X44</t>
  </si>
  <si>
    <t>XF1</t>
  </si>
  <si>
    <t>XF2</t>
  </si>
  <si>
    <t>Y1D</t>
  </si>
  <si>
    <t>PAUSE</t>
  </si>
  <si>
    <t>From kbh.h</t>
  </si>
  <si>
    <t>                      _none_    </t>
  </si>
  <si>
    <t>                      ESCAPE    </t>
  </si>
  <si>
    <r>
      <t>                      </t>
    </r>
    <r>
      <rPr>
        <sz val="10"/>
        <color rgb="FFA31515"/>
        <rFont val="Consolas"/>
        <family val="3"/>
        <charset val="238"/>
      </rPr>
      <t>'1'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</si>
  <si>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'2'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</si>
  <si>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'3'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</si>
  <si>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'4'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</si>
  <si>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'5'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</si>
  <si>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'6'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</si>
  <si>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'7'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</si>
  <si>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'8'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</si>
  <si>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'9'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</si>
  <si>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'0'</t>
    </r>
    <r>
      <rPr>
        <sz val="10"/>
        <color rgb="FF000000"/>
        <rFont val="Consolas"/>
        <family val="3"/>
        <charset val="238"/>
      </rPr>
      <t>       </t>
    </r>
  </si>
  <si>
    <t>                      OEM_MINUS </t>
  </si>
  <si>
    <t>                      OEM_7     </t>
  </si>
  <si>
    <t>OEM_5,     OEM_5,     BACK      </t>
  </si>
  <si>
    <t>BACK,      BACK,      TAB       </t>
  </si>
  <si>
    <r>
      <t>TAB,       TAB,       </t>
    </r>
    <r>
      <rPr>
        <sz val="10"/>
        <color rgb="FFA31515"/>
        <rFont val="Consolas"/>
        <family val="3"/>
        <charset val="238"/>
      </rPr>
      <t>'Q'</t>
    </r>
    <r>
      <rPr>
        <sz val="10"/>
        <color rgb="FF000000"/>
        <rFont val="Consolas"/>
        <family val="3"/>
        <charset val="238"/>
      </rPr>
      <t>       </t>
    </r>
  </si>
  <si>
    <r>
      <t>'Q'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'Q'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'W'</t>
    </r>
    <r>
      <rPr>
        <sz val="10"/>
        <color rgb="FF000000"/>
        <rFont val="Consolas"/>
        <family val="3"/>
        <charset val="238"/>
      </rPr>
      <t>       </t>
    </r>
  </si>
  <si>
    <r>
      <t>'W'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'W'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'E'</t>
    </r>
    <r>
      <rPr>
        <sz val="10"/>
        <color rgb="FF000000"/>
        <rFont val="Consolas"/>
        <family val="3"/>
        <charset val="238"/>
      </rPr>
      <t>       </t>
    </r>
  </si>
  <si>
    <r>
      <t>'E'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'E'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'R'</t>
    </r>
    <r>
      <rPr>
        <sz val="10"/>
        <color rgb="FF000000"/>
        <rFont val="Consolas"/>
        <family val="3"/>
        <charset val="238"/>
      </rPr>
      <t>       </t>
    </r>
  </si>
  <si>
    <r>
      <t>'R'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'R'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'T'</t>
    </r>
    <r>
      <rPr>
        <sz val="10"/>
        <color rgb="FF000000"/>
        <rFont val="Consolas"/>
        <family val="3"/>
        <charset val="238"/>
      </rPr>
      <t>       </t>
    </r>
  </si>
  <si>
    <r>
      <t>'T'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'T'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'Y'</t>
    </r>
    <r>
      <rPr>
        <sz val="10"/>
        <color rgb="FF000000"/>
        <rFont val="Consolas"/>
        <family val="3"/>
        <charset val="238"/>
      </rPr>
      <t>       </t>
    </r>
  </si>
  <si>
    <r>
      <t>'Y'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'Y'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'U'</t>
    </r>
    <r>
      <rPr>
        <sz val="10"/>
        <color rgb="FF000000"/>
        <rFont val="Consolas"/>
        <family val="3"/>
        <charset val="238"/>
      </rPr>
      <t>       </t>
    </r>
  </si>
  <si>
    <r>
      <t>'U'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'U'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'I'</t>
    </r>
    <r>
      <rPr>
        <sz val="10"/>
        <color rgb="FF000000"/>
        <rFont val="Consolas"/>
        <family val="3"/>
        <charset val="238"/>
      </rPr>
      <t>       </t>
    </r>
  </si>
  <si>
    <r>
      <t>'I'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'I'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'O'</t>
    </r>
    <r>
      <rPr>
        <sz val="10"/>
        <color rgb="FF000000"/>
        <rFont val="Consolas"/>
        <family val="3"/>
        <charset val="238"/>
      </rPr>
      <t>       </t>
    </r>
  </si>
  <si>
    <r>
      <t>'O'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'O'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'P'</t>
    </r>
    <r>
      <rPr>
        <sz val="10"/>
        <color rgb="FF000000"/>
        <rFont val="Consolas"/>
        <family val="3"/>
        <charset val="238"/>
      </rPr>
      <t>       </t>
    </r>
  </si>
  <si>
    <r>
      <t>'P'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'P'</t>
    </r>
    <r>
      <rPr>
        <sz val="10"/>
        <color rgb="FF000000"/>
        <rFont val="Consolas"/>
        <family val="3"/>
        <charset val="238"/>
      </rPr>
      <t>,       OEM_3     </t>
    </r>
  </si>
  <si>
    <t>OEM_3,     OEM_3,     OEM_4     </t>
  </si>
  <si>
    <t>OEM_4,     OEM_4,     RETURN    </t>
  </si>
  <si>
    <t>RETURN,    RETURN,    LCONTROL  </t>
  </si>
  <si>
    <r>
      <t>                      </t>
    </r>
    <r>
      <rPr>
        <sz val="10"/>
        <color rgb="FFA31515"/>
        <rFont val="Consolas"/>
        <family val="3"/>
        <charset val="238"/>
      </rPr>
      <t>'A'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</si>
  <si>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'S'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</si>
  <si>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'D'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</si>
  <si>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'F'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</si>
  <si>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'G'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</si>
  <si>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'H'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</si>
  <si>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'J'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</si>
  <si>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'K'</t>
    </r>
    <r>
      <rPr>
        <sz val="10"/>
        <color rgb="FF000000"/>
        <rFont val="Consolas"/>
        <family val="3"/>
        <charset val="238"/>
      </rPr>
      <t>       </t>
    </r>
  </si>
  <si>
    <r>
      <t>                      </t>
    </r>
    <r>
      <rPr>
        <sz val="10"/>
        <color rgb="FFA31515"/>
        <rFont val="Consolas"/>
        <family val="3"/>
        <charset val="238"/>
      </rPr>
      <t>'L'</t>
    </r>
    <r>
      <rPr>
        <sz val="10"/>
        <color rgb="FF000000"/>
        <rFont val="Consolas"/>
        <family val="3"/>
        <charset val="238"/>
      </rPr>
      <t>       </t>
    </r>
  </si>
  <si>
    <t>                      OEM_PLUS  </t>
  </si>
  <si>
    <t>                      OEM_1     </t>
  </si>
  <si>
    <t>OEM_6,     OEM_6,     DBE_SBCSCH</t>
  </si>
  <si>
    <r>
      <t>'Z'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'Z'</t>
    </r>
    <r>
      <rPr>
        <sz val="10"/>
        <color rgb="FF000000"/>
        <rFont val="Consolas"/>
        <family val="3"/>
        <charset val="238"/>
      </rPr>
      <t>,       LSHIFT    </t>
    </r>
  </si>
  <si>
    <r>
      <t>'X'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'X'</t>
    </r>
    <r>
      <rPr>
        <sz val="10"/>
        <color rgb="FF000000"/>
        <rFont val="Consolas"/>
        <family val="3"/>
        <charset val="238"/>
      </rPr>
      <t>,       OEM_6     </t>
    </r>
  </si>
  <si>
    <r>
      <t>'C'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'C'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'Z'</t>
    </r>
    <r>
      <rPr>
        <sz val="10"/>
        <color rgb="FF000000"/>
        <rFont val="Consolas"/>
        <family val="3"/>
        <charset val="238"/>
      </rPr>
      <t>       </t>
    </r>
  </si>
  <si>
    <r>
      <t>'V'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'V'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'X'</t>
    </r>
    <r>
      <rPr>
        <sz val="10"/>
        <color rgb="FF000000"/>
        <rFont val="Consolas"/>
        <family val="3"/>
        <charset val="238"/>
      </rPr>
      <t>       </t>
    </r>
  </si>
  <si>
    <r>
      <t>'B'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'B'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'C'</t>
    </r>
    <r>
      <rPr>
        <sz val="10"/>
        <color rgb="FF000000"/>
        <rFont val="Consolas"/>
        <family val="3"/>
        <charset val="238"/>
      </rPr>
      <t>       </t>
    </r>
  </si>
  <si>
    <r>
      <t>'N'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'N'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'V'</t>
    </r>
    <r>
      <rPr>
        <sz val="10"/>
        <color rgb="FF000000"/>
        <rFont val="Consolas"/>
        <family val="3"/>
        <charset val="238"/>
      </rPr>
      <t>       </t>
    </r>
  </si>
  <si>
    <r>
      <t>'M'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'M'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'B'</t>
    </r>
    <r>
      <rPr>
        <sz val="10"/>
        <color rgb="FF000000"/>
        <rFont val="Consolas"/>
        <family val="3"/>
        <charset val="238"/>
      </rPr>
      <t>       </t>
    </r>
  </si>
  <si>
    <r>
      <t>OEM_COMMA, OEM_COMMA, </t>
    </r>
    <r>
      <rPr>
        <sz val="10"/>
        <color rgb="FFA31515"/>
        <rFont val="Consolas"/>
        <family val="3"/>
        <charset val="238"/>
      </rPr>
      <t>'N'</t>
    </r>
    <r>
      <rPr>
        <sz val="10"/>
        <color rgb="FF000000"/>
        <rFont val="Consolas"/>
        <family val="3"/>
        <charset val="238"/>
      </rPr>
      <t>       </t>
    </r>
  </si>
  <si>
    <r>
      <t>OEM_PERIOD,OEM_PERIOD,</t>
    </r>
    <r>
      <rPr>
        <sz val="10"/>
        <color rgb="FFA31515"/>
        <rFont val="Consolas"/>
        <family val="3"/>
        <charset val="238"/>
      </rPr>
      <t>'M'</t>
    </r>
    <r>
      <rPr>
        <sz val="10"/>
        <color rgb="FF000000"/>
        <rFont val="Consolas"/>
        <family val="3"/>
        <charset val="238"/>
      </rPr>
      <t>       </t>
    </r>
  </si>
  <si>
    <t>OEM_2,     OEM_2,     OEM_COMMA </t>
  </si>
  <si>
    <t>OEM_8,     OEM_8,     OEM_PERIOD</t>
  </si>
  <si>
    <r>
      <t>' '</t>
    </r>
    <r>
      <rPr>
        <sz val="10"/>
        <color rgb="FF000000"/>
        <rFont val="Consolas"/>
        <family val="3"/>
        <charset val="238"/>
      </rPr>
      <t>,       </t>
    </r>
    <r>
      <rPr>
        <sz val="10"/>
        <color rgb="FFA31515"/>
        <rFont val="Consolas"/>
        <family val="3"/>
        <charset val="238"/>
      </rPr>
      <t>' '</t>
    </r>
    <r>
      <rPr>
        <sz val="10"/>
        <color rgb="FF000000"/>
        <rFont val="Consolas"/>
        <family val="3"/>
        <charset val="238"/>
      </rPr>
      <t>,       OEM_2     </t>
    </r>
  </si>
  <si>
    <t>MULTIPLY,  MULTIPLY,  RSHIFT    </t>
  </si>
  <si>
    <t>DIVIDE,    DIVIDE,    MULTIPLY  </t>
  </si>
  <si>
    <t>ADD,       ADD,       LMENU     </t>
  </si>
  <si>
    <r>
      <t>SUBTRACT,  SUBTRACT,  </t>
    </r>
    <r>
      <rPr>
        <sz val="10"/>
        <color rgb="FFA31515"/>
        <rFont val="Consolas"/>
        <family val="3"/>
        <charset val="238"/>
      </rPr>
      <t>' '</t>
    </r>
    <r>
      <rPr>
        <sz val="10"/>
        <color rgb="FF000000"/>
        <rFont val="Consolas"/>
        <family val="3"/>
        <charset val="238"/>
      </rPr>
      <t>       </t>
    </r>
  </si>
  <si>
    <t>NUMPAD7,   NUMPAD7,   DBE_ALPHAN</t>
  </si>
  <si>
    <t>NUMPAD8,   NUMPAD8,   F1        </t>
  </si>
  <si>
    <t>NUMPAD9,   NUMPAD9,   F2        </t>
  </si>
  <si>
    <t>EQUAL,     EQUAL,     F3        </t>
  </si>
  <si>
    <t>NUMPAD4,   NUMPAD4,   F4        </t>
  </si>
  <si>
    <t>NUMPAD5,   NUMPAD5,   F5        </t>
  </si>
  <si>
    <t>NUMPAD6,   NUMPAD6,   F6        </t>
  </si>
  <si>
    <t>SEPARATOR, SEPARATOR, F7        </t>
  </si>
  <si>
    <t>NUMPAD1,   NUMPAD1,   F8        </t>
  </si>
  <si>
    <t>NUMPAD2,   NUMPAD2,   F9        </t>
  </si>
  <si>
    <t>NUMPAD3,   NUMPAD3,   F10       </t>
  </si>
  <si>
    <t>RETURN,    RETURN,    NUMLOCK   </t>
  </si>
  <si>
    <t>NUMPAD0,   NUMPAD0,   SCROLL    </t>
  </si>
  <si>
    <t>DECIMAL,   DECIMAL,   HOME      </t>
  </si>
  <si>
    <t>INSERT,    INSERT,    UP        </t>
  </si>
  <si>
    <t>OEM_00,    OEM_00,    PRIOR     </t>
  </si>
  <si>
    <t>OEM_000,   OEM_000,   SUBTRACT  </t>
  </si>
  <si>
    <t>DELETE,    DELETE,    LEFT      </t>
  </si>
  <si>
    <t>_none_,    _none_,    CLEAR     </t>
  </si>
  <si>
    <t>UP,        UP,        RIGHT     </t>
  </si>
  <si>
    <t>HOME,      HOME,      ADD       </t>
  </si>
  <si>
    <t>LEFT,      LEFT,      END       </t>
  </si>
  <si>
    <t>                      DOWN      </t>
  </si>
  <si>
    <t>RIGHT,     RIGHT,     NEXT      </t>
  </si>
  <si>
    <t>LCONTROL,  LCONTROL,  INSERT    </t>
  </si>
  <si>
    <t>LSHIFT,    LSHIFT,    DELETE    </t>
  </si>
  <si>
    <t>_none_,    _none_,    SNAPSHOT  </t>
  </si>
  <si>
    <t>CAPITAL,   _none_,    _none_    </t>
  </si>
  <si>
    <t>DBE_HIRAGANA,_none_,  _none_    </t>
  </si>
  <si>
    <t>NONCONVERT,NONCONVERT,F11       </t>
  </si>
  <si>
    <t>CONVERT,   CONVERT,   F12       </t>
  </si>
  <si>
    <t>KANJI,     KANJI,     CLEAR     </t>
  </si>
  <si>
    <t>DBE_KATAKANA,_none_,  NONAME    </t>
  </si>
  <si>
    <t>F12,       F12,       NONAME    </t>
  </si>
  <si>
    <t>LMENU,     LMENU,     NONAME    </t>
  </si>
  <si>
    <t>F1,        F1,        EREOF     </t>
  </si>
  <si>
    <t>F2,        F2,        _none_    </t>
  </si>
  <si>
    <t>F3,        F3,        NONAME    </t>
  </si>
  <si>
    <t>F4,        F4,        _none_    </t>
  </si>
  <si>
    <t>F5,        F5,        _none_    </t>
  </si>
  <si>
    <t>F6,        F6,        _none_    </t>
  </si>
  <si>
    <t>F7,        F7,        _none_    </t>
  </si>
  <si>
    <t>F8,        F8,        F13       </t>
  </si>
  <si>
    <t>F9,        F9,        F14       </t>
  </si>
  <si>
    <t>F10,       F10,       F15       </t>
  </si>
  <si>
    <t>_none_,    OEM_LOYA,  F16       </t>
  </si>
  <si>
    <t>_none_,    OEM_ROYA,  F17       </t>
  </si>
  <si>
    <t>F11,       F11,       F18       </t>
  </si>
  <si>
    <t>_none_,    DBE_ALPHANUMERIC,F19 </t>
  </si>
  <si>
    <t>OEM_JISHO, OEM_JISHO, F20       </t>
  </si>
  <si>
    <t>OEM_MASSHOU,OEM_MASSHOU,F21     </t>
  </si>
  <si>
    <t>_none_,    _none_,    F22       </t>
  </si>
  <si>
    <t>PRIOR,     PRIOR,     F23       </t>
  </si>
  <si>
    <t>_none_,    DBE_KATAKANA,_none_  </t>
  </si>
  <si>
    <t>NEXT,      NEXT,      DBE_HIRAGA</t>
  </si>
  <si>
    <t>CANCEL,    CANCEL,    _none_    </t>
  </si>
  <si>
    <t>EXECUTE,   EXECUTE,   OEM_102   </t>
  </si>
  <si>
    <t>F13,       F13,       _none_    </t>
  </si>
  <si>
    <t>F14,       F14,       _none_    </t>
  </si>
  <si>
    <t>F15,       F15,       F24       </t>
  </si>
  <si>
    <t>F16,       F16,       _none_    </t>
  </si>
  <si>
    <t>CLEAR,     CLEAR,     _none_    </t>
  </si>
  <si>
    <t>HELP,      HELP,      CONVERT   </t>
  </si>
  <si>
    <t>END,       END,       _none_    </t>
  </si>
  <si>
    <t>SCROLL,    SCROLL,    NONCONVERT</t>
  </si>
  <si>
    <t>PAUSE,     PAUSE,     TAB       </t>
  </si>
  <si>
    <t>SNAPSHOT,  SNAPSHOT,  OEM_5     </t>
  </si>
  <si>
    <t>_none_,    _none_,    ABNT_C2   </t>
  </si>
  <si>
    <t>_none_,    _none_,    OEM_PA2   </t>
  </si>
  <si>
    <t>_none_,    _none_,    RETURN    </t>
  </si>
  <si>
    <t>_none_,    _none_,    RCONTROL  </t>
  </si>
  <si>
    <t>_none_,    _none_,    DIVIDE    </t>
  </si>
  <si>
    <t>_none_,    _none_,    RMENU     </t>
  </si>
  <si>
    <t>_none_,    _none_,    CANCEL    </t>
  </si>
  <si>
    <t>_none_,    _none_,    HOME      </t>
  </si>
  <si>
    <t>_none_,    _none_,    UP        </t>
  </si>
  <si>
    <t>_none_,    _none_,    PRIOR     </t>
  </si>
  <si>
    <t>_none_,    _none_,    LEFT      </t>
  </si>
  <si>
    <t>_none_,    _none_,    RIGHT     </t>
  </si>
  <si>
    <t>_none_,    _none_,    END       </t>
  </si>
  <si>
    <t>_none_,    _none_,    DOWN      </t>
  </si>
  <si>
    <t>_none_,    _none_,    NEXT      </t>
  </si>
  <si>
    <t>_none_,    _none_,    INSERT    </t>
  </si>
  <si>
    <t>_none_,    _none_,    DELETE    </t>
  </si>
  <si>
    <t>_none_,    _none_,    LWIN      </t>
  </si>
  <si>
    <t>_none_,    _none_,    RWIN      </t>
  </si>
  <si>
    <t>_none_,    _none_,    APPS      </t>
  </si>
  <si>
    <t>                      POWER     </t>
  </si>
  <si>
    <t>                      SLEEP     </t>
  </si>
  <si>
    <t>X60</t>
  </si>
  <si>
    <t>X61</t>
  </si>
  <si>
    <t>X62</t>
  </si>
  <si>
    <t>X63</t>
  </si>
  <si>
    <t>X64</t>
  </si>
  <si>
    <t>SCROLL,    SCROLL,    _none_    </t>
  </si>
  <si>
    <t>HOME,      HOME,      _none_    </t>
  </si>
  <si>
    <t>X71</t>
  </si>
  <si>
    <t>X74</t>
  </si>
  <si>
    <t>X75</t>
  </si>
  <si>
    <t>X76</t>
  </si>
  <si>
    <t>X77</t>
  </si>
  <si>
    <t>X78</t>
  </si>
  <si>
    <t>X79</t>
  </si>
  <si>
    <t>X7A</t>
  </si>
  <si>
    <t>X7B</t>
  </si>
  <si>
    <t>OEM_TOUROKU,OEM_TOUROKU,_none_  </t>
  </si>
  <si>
    <t>DBE_SBCSCHAR,DBE_SBCSCHAR,_none_</t>
  </si>
  <si>
    <t>_none_                          </t>
  </si>
  <si>
    <t>ESCAPE                          </t>
  </si>
  <si>
    <r>
      <t>'1'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</si>
  <si>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'2'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</si>
  <si>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'3'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</si>
  <si>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'4'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</si>
  <si>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'5'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</si>
  <si>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'6'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</si>
  <si>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'7'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</si>
  <si>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'8'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</si>
  <si>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'9'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</si>
  <si>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'0'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</si>
  <si>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t>OEM_MINUS                       </t>
  </si>
  <si>
    <t>OEM_7,     OEM_7,     OEM_PLUS  </t>
  </si>
  <si>
    <t>BACK                            </t>
  </si>
  <si>
    <t>TAB                             </t>
  </si>
  <si>
    <r>
      <t>'Q'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</si>
  <si>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'W'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</si>
  <si>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'E'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</si>
  <si>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'R'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</si>
  <si>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'T'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</si>
  <si>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'Y'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</si>
  <si>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'U'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</si>
  <si>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'I'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</si>
  <si>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'O'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</si>
  <si>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'P'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</si>
  <si>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t>OEM_4,     OEM_4,     OEM_6     </t>
  </si>
  <si>
    <t>RETURN                          </t>
  </si>
  <si>
    <t>LCONTROL                        </t>
  </si>
  <si>
    <r>
      <t>'A'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</si>
  <si>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'S'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</si>
  <si>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'D'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</si>
  <si>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'F'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</si>
  <si>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'G'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</si>
  <si>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'H'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</si>
  <si>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'J'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</si>
  <si>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'K'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</si>
  <si>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'L'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</si>
  <si>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t>OEM_PLUS,  OEM_PLUS,  OEM_1     </t>
  </si>
  <si>
    <t>OEM_1,     OEM_1,     OEM_7     </t>
  </si>
  <si>
    <t>DBE_SBCSCHAR, DBE_SBCSCHAR, OEM_3</t>
  </si>
  <si>
    <t>LSHIFT                          </t>
  </si>
  <si>
    <t>OEM_6,     OEM_6,     OEM_5     </t>
  </si>
  <si>
    <r>
      <t>'Z'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</si>
  <si>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'X'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</si>
  <si>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'C'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</si>
  <si>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'V'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</si>
  <si>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'B'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</si>
  <si>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'N'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</si>
  <si>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r>
      <t>'M'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</si>
  <si>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t>OEM_COMMA                       </t>
  </si>
  <si>
    <t>OEM_PERIOD                      </t>
  </si>
  <si>
    <t>OEM_2                           </t>
  </si>
  <si>
    <t>RSHIFT                          </t>
  </si>
  <si>
    <t>MULTIPLY                        </t>
  </si>
  <si>
    <t>LMENU                           </t>
  </si>
  <si>
    <r>
      <t>' '</t>
    </r>
    <r>
      <rPr>
        <sz val="10"/>
        <color rgb="FF000000"/>
        <rFont val="Consolas"/>
        <family val="3"/>
        <charset val="238"/>
      </rPr>
      <t>                             </t>
    </r>
  </si>
  <si>
    <t>CAPITAL                         </t>
  </si>
  <si>
    <t>F1                              </t>
  </si>
  <si>
    <t>F2                              </t>
  </si>
  <si>
    <t>F3                              </t>
  </si>
  <si>
    <t>F4                              </t>
  </si>
  <si>
    <t>F5                              </t>
  </si>
  <si>
    <t>F6                              </t>
  </si>
  <si>
    <t>F7                              </t>
  </si>
  <si>
    <t>F8                              </t>
  </si>
  <si>
    <t>F9                              </t>
  </si>
  <si>
    <t>F10                             </t>
  </si>
  <si>
    <t>NUMLOCK                         </t>
  </si>
  <si>
    <t>SCROLL                          </t>
  </si>
  <si>
    <t>HOME                            </t>
  </si>
  <si>
    <t>UP                              </t>
  </si>
  <si>
    <t>PRIOR                           </t>
  </si>
  <si>
    <t>SUBTRACT                        </t>
  </si>
  <si>
    <t>LEFT                            </t>
  </si>
  <si>
    <t>CLEAR                           </t>
  </si>
  <si>
    <t>RIGHT                           </t>
  </si>
  <si>
    <t>ADD                             </t>
  </si>
  <si>
    <t>END                             </t>
  </si>
  <si>
    <t>DOWN                            </t>
  </si>
  <si>
    <t>NEXT                            </t>
  </si>
  <si>
    <t>INSERT                          </t>
  </si>
  <si>
    <t>DELETE                          </t>
  </si>
  <si>
    <t>SNAPSHOT                        </t>
  </si>
  <si>
    <t>_none_,    _none_,    OEM_8     </t>
  </si>
  <si>
    <t>F11                             </t>
  </si>
  <si>
    <t>F12                             </t>
  </si>
  <si>
    <t>OEM_NEC_EQUAL                   </t>
  </si>
  <si>
    <t>NONAME,    NONAME,    NONCONVERT</t>
  </si>
  <si>
    <t>_none_,    _none_,    NONAME    </t>
  </si>
  <si>
    <t>SEPARATOR                       </t>
  </si>
  <si>
    <t>F13                             </t>
  </si>
  <si>
    <t>F14                             </t>
  </si>
  <si>
    <t>F15                             </t>
  </si>
  <si>
    <t>_none_,    _none_,    F13       </t>
  </si>
  <si>
    <t>_none_,    _none_,    F14       </t>
  </si>
  <si>
    <t>_none_,    _none_,    F15       </t>
  </si>
  <si>
    <t>_none_,    _none_,    F16       </t>
  </si>
  <si>
    <t>_none_,    _none_,    F17       </t>
  </si>
  <si>
    <t>_none_,    _none_,    F18       </t>
  </si>
  <si>
    <t>_none_,    _none_,    F19       </t>
  </si>
  <si>
    <t>_none_,    _none_,    F20       </t>
  </si>
  <si>
    <t>_none_,    _none_,    F21       </t>
  </si>
  <si>
    <t>_none_,    _none_,    F23       </t>
  </si>
  <si>
    <t>KANA,      KANA,      DBE_HIRAGANA</t>
  </si>
  <si>
    <t>OEM_8,     OEM_8,     _none_    </t>
  </si>
  <si>
    <t>_none_,    OEM_NEC_EQUAL, _none_</t>
  </si>
  <si>
    <t>_none_,    SEPARATOR, _none_    </t>
  </si>
  <si>
    <t>_none_,    _none_,    F24       </t>
  </si>
  <si>
    <t>_none_,    _none_,    DBE_SBCSCHAR</t>
  </si>
  <si>
    <t>CONVERT                         </t>
  </si>
  <si>
    <t>NONCONVERT                      </t>
  </si>
  <si>
    <t>TAB,       _none_,    _none_    </t>
  </si>
  <si>
    <t>OEM_5,     OEM_5,     _none_    </t>
  </si>
  <si>
    <t>ABNT_C2,   ABNT_C2,   _none_    </t>
  </si>
  <si>
    <t>OEM_PA2,   OEM_PA2,   _none_    </t>
  </si>
  <si>
    <t>RCONTROL,  RCONTROL,  KANA      </t>
  </si>
  <si>
    <t>DIVIDE                          </t>
  </si>
  <si>
    <t>_none_,    _none_,    KANJI     </t>
  </si>
  <si>
    <t>CANCEL                          </t>
  </si>
  <si>
    <t>LWIN                            </t>
  </si>
  <si>
    <t>RWIN                            </t>
  </si>
  <si>
    <t>APPS                            </t>
  </si>
  <si>
    <t>POWER                           </t>
  </si>
  <si>
    <t>SLEEP                           </t>
  </si>
  <si>
    <t>ESCAPE    </t>
  </si>
  <si>
    <r>
      <t>'1'</t>
    </r>
    <r>
      <rPr>
        <sz val="10"/>
        <color rgb="FF000000"/>
        <rFont val="Consolas"/>
        <family val="3"/>
        <charset val="238"/>
      </rPr>
      <t>       </t>
    </r>
  </si>
  <si>
    <r>
      <t>'2'</t>
    </r>
    <r>
      <rPr>
        <sz val="10"/>
        <color rgb="FF000000"/>
        <rFont val="Consolas"/>
        <family val="3"/>
        <charset val="238"/>
      </rPr>
      <t>       </t>
    </r>
  </si>
  <si>
    <r>
      <t>'3'</t>
    </r>
    <r>
      <rPr>
        <sz val="10"/>
        <color rgb="FF000000"/>
        <rFont val="Consolas"/>
        <family val="3"/>
        <charset val="238"/>
      </rPr>
      <t>       </t>
    </r>
  </si>
  <si>
    <r>
      <t>'4'</t>
    </r>
    <r>
      <rPr>
        <sz val="10"/>
        <color rgb="FF000000"/>
        <rFont val="Consolas"/>
        <family val="3"/>
        <charset val="238"/>
      </rPr>
      <t>       </t>
    </r>
  </si>
  <si>
    <r>
      <t>'5'</t>
    </r>
    <r>
      <rPr>
        <sz val="10"/>
        <color rgb="FF000000"/>
        <rFont val="Consolas"/>
        <family val="3"/>
        <charset val="238"/>
      </rPr>
      <t>       </t>
    </r>
  </si>
  <si>
    <r>
      <t>'6'</t>
    </r>
    <r>
      <rPr>
        <sz val="10"/>
        <color rgb="FF000000"/>
        <rFont val="Consolas"/>
        <family val="3"/>
        <charset val="238"/>
      </rPr>
      <t>       </t>
    </r>
  </si>
  <si>
    <r>
      <t>'7'</t>
    </r>
    <r>
      <rPr>
        <sz val="10"/>
        <color rgb="FF000000"/>
        <rFont val="Consolas"/>
        <family val="3"/>
        <charset val="238"/>
      </rPr>
      <t>       </t>
    </r>
  </si>
  <si>
    <r>
      <t>'8'</t>
    </r>
    <r>
      <rPr>
        <sz val="10"/>
        <color rgb="FF000000"/>
        <rFont val="Consolas"/>
        <family val="3"/>
        <charset val="238"/>
      </rPr>
      <t>       </t>
    </r>
  </si>
  <si>
    <r>
      <t>'9'</t>
    </r>
    <r>
      <rPr>
        <sz val="10"/>
        <color rgb="FF000000"/>
        <rFont val="Consolas"/>
        <family val="3"/>
        <charset val="238"/>
      </rPr>
      <t>       </t>
    </r>
  </si>
  <si>
    <r>
      <t>'0'</t>
    </r>
    <r>
      <rPr>
        <sz val="10"/>
        <color rgb="FF000000"/>
        <rFont val="Consolas"/>
        <family val="3"/>
        <charset val="238"/>
      </rPr>
      <t>       </t>
    </r>
  </si>
  <si>
    <t>OEM_MINUS </t>
  </si>
  <si>
    <t>OEM_7     </t>
  </si>
  <si>
    <t>OEM_5     </t>
  </si>
  <si>
    <t>BACK      </t>
  </si>
  <si>
    <t>TAB       </t>
  </si>
  <si>
    <r>
      <t>'Q'</t>
    </r>
    <r>
      <rPr>
        <sz val="10"/>
        <color rgb="FF000000"/>
        <rFont val="Consolas"/>
        <family val="3"/>
        <charset val="238"/>
      </rPr>
      <t>       </t>
    </r>
  </si>
  <si>
    <r>
      <t>'W'</t>
    </r>
    <r>
      <rPr>
        <sz val="10"/>
        <color rgb="FF000000"/>
        <rFont val="Consolas"/>
        <family val="3"/>
        <charset val="238"/>
      </rPr>
      <t>       </t>
    </r>
  </si>
  <si>
    <r>
      <t>'E'</t>
    </r>
    <r>
      <rPr>
        <sz val="10"/>
        <color rgb="FF000000"/>
        <rFont val="Consolas"/>
        <family val="3"/>
        <charset val="238"/>
      </rPr>
      <t>       </t>
    </r>
  </si>
  <si>
    <r>
      <t>'R'</t>
    </r>
    <r>
      <rPr>
        <sz val="10"/>
        <color rgb="FF000000"/>
        <rFont val="Consolas"/>
        <family val="3"/>
        <charset val="238"/>
      </rPr>
      <t>       </t>
    </r>
  </si>
  <si>
    <r>
      <t>'T'</t>
    </r>
    <r>
      <rPr>
        <sz val="10"/>
        <color rgb="FF000000"/>
        <rFont val="Consolas"/>
        <family val="3"/>
        <charset val="238"/>
      </rPr>
      <t>       </t>
    </r>
  </si>
  <si>
    <r>
      <t>'Y'</t>
    </r>
    <r>
      <rPr>
        <sz val="10"/>
        <color rgb="FF000000"/>
        <rFont val="Consolas"/>
        <family val="3"/>
        <charset val="238"/>
      </rPr>
      <t>       </t>
    </r>
  </si>
  <si>
    <r>
      <t>'U'</t>
    </r>
    <r>
      <rPr>
        <sz val="10"/>
        <color rgb="FF000000"/>
        <rFont val="Consolas"/>
        <family val="3"/>
        <charset val="238"/>
      </rPr>
      <t>       </t>
    </r>
  </si>
  <si>
    <r>
      <t>'I'</t>
    </r>
    <r>
      <rPr>
        <sz val="10"/>
        <color rgb="FF000000"/>
        <rFont val="Consolas"/>
        <family val="3"/>
        <charset val="238"/>
      </rPr>
      <t>       </t>
    </r>
  </si>
  <si>
    <r>
      <t>'O'</t>
    </r>
    <r>
      <rPr>
        <sz val="10"/>
        <color rgb="FF000000"/>
        <rFont val="Consolas"/>
        <family val="3"/>
        <charset val="238"/>
      </rPr>
      <t>       </t>
    </r>
  </si>
  <si>
    <r>
      <t>'P'</t>
    </r>
    <r>
      <rPr>
        <sz val="10"/>
        <color rgb="FF000000"/>
        <rFont val="Consolas"/>
        <family val="3"/>
        <charset val="238"/>
      </rPr>
      <t>       </t>
    </r>
  </si>
  <si>
    <t>OEM_3     </t>
  </si>
  <si>
    <t>OEM_4     </t>
  </si>
  <si>
    <t>RETURN    </t>
  </si>
  <si>
    <r>
      <t>'A'</t>
    </r>
    <r>
      <rPr>
        <sz val="10"/>
        <color rgb="FF000000"/>
        <rFont val="Consolas"/>
        <family val="3"/>
        <charset val="238"/>
      </rPr>
      <t>       </t>
    </r>
  </si>
  <si>
    <r>
      <t>'S'</t>
    </r>
    <r>
      <rPr>
        <sz val="10"/>
        <color rgb="FF000000"/>
        <rFont val="Consolas"/>
        <family val="3"/>
        <charset val="238"/>
      </rPr>
      <t>       </t>
    </r>
  </si>
  <si>
    <r>
      <t>'D'</t>
    </r>
    <r>
      <rPr>
        <sz val="10"/>
        <color rgb="FF000000"/>
        <rFont val="Consolas"/>
        <family val="3"/>
        <charset val="238"/>
      </rPr>
      <t>       </t>
    </r>
  </si>
  <si>
    <r>
      <t>'F'</t>
    </r>
    <r>
      <rPr>
        <sz val="10"/>
        <color rgb="FF000000"/>
        <rFont val="Consolas"/>
        <family val="3"/>
        <charset val="238"/>
      </rPr>
      <t>       </t>
    </r>
  </si>
  <si>
    <r>
      <t>'G'</t>
    </r>
    <r>
      <rPr>
        <sz val="10"/>
        <color rgb="FF000000"/>
        <rFont val="Consolas"/>
        <family val="3"/>
        <charset val="238"/>
      </rPr>
      <t>       </t>
    </r>
  </si>
  <si>
    <r>
      <t>'H'</t>
    </r>
    <r>
      <rPr>
        <sz val="10"/>
        <color rgb="FF000000"/>
        <rFont val="Consolas"/>
        <family val="3"/>
        <charset val="238"/>
      </rPr>
      <t>       </t>
    </r>
  </si>
  <si>
    <r>
      <t>'J'</t>
    </r>
    <r>
      <rPr>
        <sz val="10"/>
        <color rgb="FF000000"/>
        <rFont val="Consolas"/>
        <family val="3"/>
        <charset val="238"/>
      </rPr>
      <t>       </t>
    </r>
  </si>
  <si>
    <r>
      <t>'K'</t>
    </r>
    <r>
      <rPr>
        <sz val="10"/>
        <color rgb="FF000000"/>
        <rFont val="Consolas"/>
        <family val="3"/>
        <charset val="238"/>
      </rPr>
      <t>       </t>
    </r>
  </si>
  <si>
    <r>
      <t>'L'</t>
    </r>
    <r>
      <rPr>
        <sz val="10"/>
        <color rgb="FF000000"/>
        <rFont val="Consolas"/>
        <family val="3"/>
        <charset val="238"/>
      </rPr>
      <t>       </t>
    </r>
  </si>
  <si>
    <t>OEM_PLUS  </t>
  </si>
  <si>
    <t>OEM_1     </t>
  </si>
  <si>
    <t>OEM_6     </t>
  </si>
  <si>
    <r>
      <t>'Z'</t>
    </r>
    <r>
      <rPr>
        <sz val="10"/>
        <color rgb="FF000000"/>
        <rFont val="Consolas"/>
        <family val="3"/>
        <charset val="238"/>
      </rPr>
      <t>       </t>
    </r>
  </si>
  <si>
    <r>
      <t>'X'</t>
    </r>
    <r>
      <rPr>
        <sz val="10"/>
        <color rgb="FF000000"/>
        <rFont val="Consolas"/>
        <family val="3"/>
        <charset val="238"/>
      </rPr>
      <t>       </t>
    </r>
  </si>
  <si>
    <r>
      <t>'C'</t>
    </r>
    <r>
      <rPr>
        <sz val="10"/>
        <color rgb="FF000000"/>
        <rFont val="Consolas"/>
        <family val="3"/>
        <charset val="238"/>
      </rPr>
      <t>       </t>
    </r>
  </si>
  <si>
    <r>
      <t>'V'</t>
    </r>
    <r>
      <rPr>
        <sz val="10"/>
        <color rgb="FF000000"/>
        <rFont val="Consolas"/>
        <family val="3"/>
        <charset val="238"/>
      </rPr>
      <t>       </t>
    </r>
  </si>
  <si>
    <r>
      <t>'B'</t>
    </r>
    <r>
      <rPr>
        <sz val="10"/>
        <color rgb="FF000000"/>
        <rFont val="Consolas"/>
        <family val="3"/>
        <charset val="238"/>
      </rPr>
      <t>       </t>
    </r>
  </si>
  <si>
    <r>
      <t>'N'</t>
    </r>
    <r>
      <rPr>
        <sz val="10"/>
        <color rgb="FF000000"/>
        <rFont val="Consolas"/>
        <family val="3"/>
        <charset val="238"/>
      </rPr>
      <t>       </t>
    </r>
  </si>
  <si>
    <r>
      <t>'M'</t>
    </r>
    <r>
      <rPr>
        <sz val="10"/>
        <color rgb="FF000000"/>
        <rFont val="Consolas"/>
        <family val="3"/>
        <charset val="238"/>
      </rPr>
      <t>       </t>
    </r>
  </si>
  <si>
    <t>OEM_COMMA </t>
  </si>
  <si>
    <t>OEM_PERIOD</t>
  </si>
  <si>
    <t>OEM_2     </t>
  </si>
  <si>
    <t>OEM_8     </t>
  </si>
  <si>
    <r>
      <t>' '</t>
    </r>
    <r>
      <rPr>
        <sz val="10"/>
        <color rgb="FF000000"/>
        <rFont val="Consolas"/>
        <family val="3"/>
        <charset val="238"/>
      </rPr>
      <t>       </t>
    </r>
  </si>
  <si>
    <t>CONVERT   </t>
  </si>
  <si>
    <t>NEXT      </t>
  </si>
  <si>
    <t>PRIOR     </t>
  </si>
  <si>
    <t>INSERT    </t>
  </si>
  <si>
    <t>DELETE    </t>
  </si>
  <si>
    <t>UP        </t>
  </si>
  <si>
    <t>LEFT      </t>
  </si>
  <si>
    <t>RIGHT     </t>
  </si>
  <si>
    <t>DOWN      </t>
  </si>
  <si>
    <t>HOME      </t>
  </si>
  <si>
    <t>END       </t>
  </si>
  <si>
    <t>SUBTRACT  </t>
  </si>
  <si>
    <t>DIVIDE    </t>
  </si>
  <si>
    <t>NUMPAD7   </t>
  </si>
  <si>
    <t>NUMPAD8   </t>
  </si>
  <si>
    <t>NUMPAD9   </t>
  </si>
  <si>
    <t>MULTIPLY  </t>
  </si>
  <si>
    <t>NUMPAD4   </t>
  </si>
  <si>
    <t>NUMPAD5   </t>
  </si>
  <si>
    <t>NUMPAD6   </t>
  </si>
  <si>
    <t>ADD       </t>
  </si>
  <si>
    <t>NUMPAD1   </t>
  </si>
  <si>
    <t>NUMPAD2   </t>
  </si>
  <si>
    <t>NUMPAD3   </t>
  </si>
  <si>
    <t>NUMPAD0   </t>
  </si>
  <si>
    <t>SEPARATOR </t>
  </si>
  <si>
    <t>DECIMAL   </t>
  </si>
  <si>
    <t>NONCONVERT</t>
  </si>
  <si>
    <t>F11       </t>
  </si>
  <si>
    <t>F12       </t>
  </si>
  <si>
    <t>F13       </t>
  </si>
  <si>
    <t>F14       </t>
  </si>
  <si>
    <t>F15       </t>
  </si>
  <si>
    <t>_none_    </t>
  </si>
  <si>
    <t>CANCEL    </t>
  </si>
  <si>
    <t>SNAPSHOT  </t>
  </si>
  <si>
    <t>F1        </t>
  </si>
  <si>
    <t>F2        </t>
  </si>
  <si>
    <t>F3        </t>
  </si>
  <si>
    <t>F4        </t>
  </si>
  <si>
    <t>F5        </t>
  </si>
  <si>
    <t>F6        </t>
  </si>
  <si>
    <t>F7        </t>
  </si>
  <si>
    <t>F8        </t>
  </si>
  <si>
    <t>F9        </t>
  </si>
  <si>
    <t>F10       </t>
  </si>
  <si>
    <t>LSHIFT    </t>
  </si>
  <si>
    <t>CAPITAL   </t>
  </si>
  <si>
    <t>KANA      </t>
  </si>
  <si>
    <t>LMENU     </t>
  </si>
  <si>
    <t>LCONTROL  </t>
  </si>
  <si>
    <t>LWIN      </t>
  </si>
  <si>
    <t>RWIN      </t>
  </si>
  <si>
    <t>APPS      </t>
  </si>
  <si>
    <t>RSHIFT    </t>
  </si>
  <si>
    <t>ABNT_C2   </t>
  </si>
  <si>
    <t>OEM_PA2   </t>
  </si>
  <si>
    <t>OEM_NEC_EQUAL</t>
  </si>
  <si>
    <t>        _none_            </t>
  </si>
  <si>
    <t>        ESCAPE            </t>
  </si>
  <si>
    <r>
      <t>        </t>
    </r>
    <r>
      <rPr>
        <sz val="10"/>
        <color rgb="FFA31515"/>
        <rFont val="Consolas"/>
        <family val="3"/>
        <charset val="238"/>
      </rPr>
      <t>'1'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</si>
  <si>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'2'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</si>
  <si>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'3'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</si>
  <si>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'4'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</si>
  <si>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'5'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</si>
  <si>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'6'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</si>
  <si>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'7'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</si>
  <si>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'8'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</si>
  <si>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'9'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</si>
  <si>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'0'</t>
    </r>
    <r>
      <rPr>
        <sz val="10"/>
        <color rgb="FF000000"/>
        <rFont val="Consolas"/>
        <family val="3"/>
        <charset val="238"/>
      </rPr>
      <t>               </t>
    </r>
  </si>
  <si>
    <t>        OEM_MINUS         </t>
  </si>
  <si>
    <t> OEM_7,      OEM_PLUS     </t>
  </si>
  <si>
    <t>        BACK              </t>
  </si>
  <si>
    <t>        TAB               </t>
  </si>
  <si>
    <r>
      <t>        </t>
    </r>
    <r>
      <rPr>
        <sz val="10"/>
        <color rgb="FFA31515"/>
        <rFont val="Consolas"/>
        <family val="3"/>
        <charset val="238"/>
      </rPr>
      <t>'Q'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</si>
  <si>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'W'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</si>
  <si>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'E'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</si>
  <si>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'R'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</si>
  <si>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'T'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</si>
  <si>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'Y'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</si>
  <si>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'U'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</si>
  <si>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'I'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</si>
  <si>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'O'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</si>
  <si>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'P'</t>
    </r>
    <r>
      <rPr>
        <sz val="10"/>
        <color rgb="FF000000"/>
        <rFont val="Consolas"/>
        <family val="3"/>
        <charset val="238"/>
      </rPr>
      <t>               </t>
    </r>
  </si>
  <si>
    <t> OEM_3,      OEM_4        </t>
  </si>
  <si>
    <t> OEM_4,      OEM_6        </t>
  </si>
  <si>
    <t>        RETURN            </t>
  </si>
  <si>
    <t>        LCONTROL          </t>
  </si>
  <si>
    <r>
      <t>        </t>
    </r>
    <r>
      <rPr>
        <sz val="10"/>
        <color rgb="FFA31515"/>
        <rFont val="Consolas"/>
        <family val="3"/>
        <charset val="238"/>
      </rPr>
      <t>'A'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</si>
  <si>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'S'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</si>
  <si>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'D'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</si>
  <si>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'F'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</si>
  <si>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'G'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</si>
  <si>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'H'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</si>
  <si>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'J'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</si>
  <si>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'K'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</si>
  <si>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'L'</t>
    </r>
    <r>
      <rPr>
        <sz val="10"/>
        <color rgb="FF000000"/>
        <rFont val="Consolas"/>
        <family val="3"/>
        <charset val="238"/>
      </rPr>
      <t>               </t>
    </r>
  </si>
  <si>
    <t> OEM_PLUS,   OEM_1        </t>
  </si>
  <si>
    <t> OEM_1,      OEM_7        </t>
  </si>
  <si>
    <t> _none_,     DBE_SBCSCHAR </t>
  </si>
  <si>
    <t>        LSHIFT            </t>
  </si>
  <si>
    <t> OEM_6,      OEM_5        </t>
  </si>
  <si>
    <r>
      <t>        </t>
    </r>
    <r>
      <rPr>
        <sz val="10"/>
        <color rgb="FFA31515"/>
        <rFont val="Consolas"/>
        <family val="3"/>
        <charset val="238"/>
      </rPr>
      <t>'Z'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</si>
  <si>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'X'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</si>
  <si>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'C'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</si>
  <si>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'V'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</si>
  <si>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'B'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</si>
  <si>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'N'</t>
    </r>
    <r>
      <rPr>
        <sz val="10"/>
        <color rgb="FF000000"/>
        <rFont val="Consolas"/>
        <family val="3"/>
        <charset val="238"/>
      </rPr>
      <t>               </t>
    </r>
  </si>
  <si>
    <r>
      <t>        </t>
    </r>
    <r>
      <rPr>
        <sz val="10"/>
        <color rgb="FFA31515"/>
        <rFont val="Consolas"/>
        <family val="3"/>
        <charset val="238"/>
      </rPr>
      <t>'M'</t>
    </r>
    <r>
      <rPr>
        <sz val="10"/>
        <color rgb="FF000000"/>
        <rFont val="Consolas"/>
        <family val="3"/>
        <charset val="238"/>
      </rPr>
      <t>               </t>
    </r>
  </si>
  <si>
    <t>        OEM_COMMA         </t>
  </si>
  <si>
    <t>        OEM_PERIOD        </t>
  </si>
  <si>
    <t>        OEM_2             </t>
  </si>
  <si>
    <t>        RSHIFT            </t>
  </si>
  <si>
    <t>        MULTIPLY          </t>
  </si>
  <si>
    <t>        LMENU             </t>
  </si>
  <si>
    <r>
      <t>        </t>
    </r>
    <r>
      <rPr>
        <sz val="10"/>
        <color rgb="FFA31515"/>
        <rFont val="Consolas"/>
        <family val="3"/>
        <charset val="238"/>
      </rPr>
      <t>' '</t>
    </r>
    <r>
      <rPr>
        <sz val="10"/>
        <color rgb="FF000000"/>
        <rFont val="Consolas"/>
        <family val="3"/>
        <charset val="238"/>
      </rPr>
      <t>               </t>
    </r>
  </si>
  <si>
    <t>        CAPITAL           </t>
  </si>
  <si>
    <t>        F1                </t>
  </si>
  <si>
    <t>        F2                </t>
  </si>
  <si>
    <t>        F3                </t>
  </si>
  <si>
    <t>        F4                </t>
  </si>
  <si>
    <t>        F5                </t>
  </si>
  <si>
    <t>        F6                </t>
  </si>
  <si>
    <t>        F7                </t>
  </si>
  <si>
    <t>        F8                </t>
  </si>
  <si>
    <t>        F9                </t>
  </si>
  <si>
    <t>        F10               </t>
  </si>
  <si>
    <t>        NUMLOCK           </t>
  </si>
  <si>
    <t>        SCROLL            </t>
  </si>
  <si>
    <t>        HOME              </t>
  </si>
  <si>
    <t>        UP                </t>
  </si>
  <si>
    <t>        PRIOR             </t>
  </si>
  <si>
    <t>        SUBTRACT          </t>
  </si>
  <si>
    <t>        LEFT              </t>
  </si>
  <si>
    <t>        CLEAR             </t>
  </si>
  <si>
    <t>        RIGHT             </t>
  </si>
  <si>
    <t>        ADD               </t>
  </si>
  <si>
    <t>        END               </t>
  </si>
  <si>
    <t>        DOWN              </t>
  </si>
  <si>
    <t>        NEXT              </t>
  </si>
  <si>
    <t>        INSERT            </t>
  </si>
  <si>
    <t>        DELETE            </t>
  </si>
  <si>
    <t>        SNAPSHOT          </t>
  </si>
  <si>
    <t>        F11               </t>
  </si>
  <si>
    <t>        F12               </t>
  </si>
  <si>
    <t>       DBE_HIRAGANA       </t>
  </si>
  <si>
    <t> OEM_102,     _none_      </t>
  </si>
  <si>
    <t>        CONVERT           </t>
  </si>
  <si>
    <t>        NONCONVERT        </t>
  </si>
  <si>
    <t> OEM_5,       _none_      </t>
  </si>
  <si>
    <t>X0F</t>
  </si>
  <si>
    <t>KANA</t>
  </si>
  <si>
    <t>        RCONTROL          </t>
  </si>
  <si>
    <t>        DIVIDE            </t>
  </si>
  <si>
    <t>        RMENU             </t>
  </si>
  <si>
    <t>X3D</t>
  </si>
  <si>
    <t>X3E</t>
  </si>
  <si>
    <t>X3F</t>
  </si>
  <si>
    <t>X40</t>
  </si>
  <si>
    <t>X41</t>
  </si>
  <si>
    <t>        F13               </t>
  </si>
  <si>
    <t>        F14               </t>
  </si>
  <si>
    <t>        F15               </t>
  </si>
  <si>
    <t>        F16               </t>
  </si>
  <si>
    <t>        F17               </t>
  </si>
  <si>
    <t>        CANCEL            </t>
  </si>
  <si>
    <t>        POWER             </t>
  </si>
  <si>
    <t>        SLEEP             </t>
  </si>
  <si>
    <t>&lt;/&gt;</t>
  </si>
  <si>
    <t xml:space="preserve"> &lt;/default-vk&gt;&lt;/xs:appinfo&gt;&lt;/xs:annotation&gt;&lt;/xs:enumeration&gt;</t>
  </si>
  <si>
    <t>KBDEXT</t>
  </si>
  <si>
    <t>KBDMULTIVK</t>
  </si>
  <si>
    <t>KBDEXT KBDMULTIVK</t>
  </si>
  <si>
    <t>KBDNUMPAD KBDSPECIAL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</si>
</sst>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kbd &quot;0"/>
  </numFmts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Consolas"/>
      <family val="3"/>
      <charset val="238"/>
    </font>
    <font>
      <sz val="10"/>
      <color rgb="FFA31515"/>
      <name val="Consolas"/>
      <family val="3"/>
      <charset val="238"/>
    </font>
    <font>
      <sz val="10"/>
      <color rgb="FF6F008A"/>
      <name val="Consolas"/>
      <family val="3"/>
      <charset val="238"/>
    </font>
    <font>
      <sz val="7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4" fillId="0" borderId="0" xfId="0" applyFont="1" applyAlignment="1">
      <alignment vertical="center"/>
    </xf>
    <xf numFmtId="0" fontId="2" fillId="4" borderId="1" xfId="0" applyFont="1" applyFill="1" applyBorder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4" borderId="4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4" fillId="0" borderId="2" xfId="0" applyFont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0" fillId="4" borderId="1" xfId="0" applyFill="1" applyBorder="1"/>
    <xf numFmtId="0" fontId="1" fillId="2" borderId="9" xfId="0" applyFont="1" applyFill="1" applyBorder="1"/>
    <xf numFmtId="0" fontId="1" fillId="2" borderId="10" xfId="0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left"/>
    </xf>
    <xf numFmtId="164" fontId="1" fillId="2" borderId="10" xfId="0" applyNumberFormat="1" applyFont="1" applyFill="1" applyBorder="1" applyAlignment="1">
      <alignment horizontal="left"/>
    </xf>
    <xf numFmtId="0" fontId="1" fillId="2" borderId="11" xfId="0" applyFont="1" applyFill="1" applyBorder="1"/>
    <xf numFmtId="164" fontId="1" fillId="2" borderId="9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164" fontId="1" fillId="2" borderId="9" xfId="0" applyNumberFormat="1" applyFont="1" applyFill="1" applyBorder="1"/>
    <xf numFmtId="164" fontId="1" fillId="2" borderId="9" xfId="0" applyNumberFormat="1" applyFont="1" applyFill="1" applyBorder="1" applyAlignment="1">
      <alignment vertical="center"/>
    </xf>
    <xf numFmtId="0" fontId="0" fillId="0" borderId="13" xfId="0" applyBorder="1"/>
    <xf numFmtId="164" fontId="1" fillId="2" borderId="12" xfId="0" applyNumberFormat="1" applyFont="1" applyFill="1" applyBorder="1" applyAlignment="1">
      <alignment vertical="center"/>
    </xf>
    <xf numFmtId="0" fontId="0" fillId="0" borderId="15" xfId="0" applyBorder="1"/>
    <xf numFmtId="0" fontId="0" fillId="0" borderId="4" xfId="0" applyBorder="1"/>
    <xf numFmtId="0" fontId="0" fillId="0" borderId="16" xfId="0" applyBorder="1"/>
    <xf numFmtId="0" fontId="0" fillId="0" borderId="17" xfId="0" applyBorder="1"/>
    <xf numFmtId="0" fontId="5" fillId="4" borderId="0" xfId="0" applyFont="1" applyFill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64" fontId="1" fillId="2" borderId="5" xfId="0" applyNumberFormat="1" applyFont="1" applyFill="1" applyBorder="1"/>
    <xf numFmtId="0" fontId="0" fillId="0" borderId="14" xfId="0" applyBorder="1"/>
    <xf numFmtId="164" fontId="1" fillId="2" borderId="10" xfId="0" applyNumberFormat="1" applyFont="1" applyFill="1" applyBorder="1"/>
    <xf numFmtId="164" fontId="1" fillId="2" borderId="12" xfId="0" applyNumberFormat="1" applyFont="1" applyFill="1" applyBorder="1"/>
    <xf numFmtId="0" fontId="2" fillId="3" borderId="4" xfId="0" applyFont="1" applyFill="1" applyBorder="1" applyAlignment="1">
      <alignment horizontal="center" vertical="center"/>
    </xf>
    <xf numFmtId="0" fontId="0" fillId="0" borderId="18" xfId="0" applyBorder="1"/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9" xfId="0" applyBorder="1"/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B198"/>
  <sheetViews>
    <sheetView tabSelected="1" workbookViewId="0">
      <pane xSplit="2" ySplit="1" topLeftCell="AE176" activePane="bottomRight" state="frozenSplit"/>
      <selection pane="topRight" activeCell="C1" sqref="C1"/>
      <selection pane="bottomLeft"/>
      <selection pane="bottomRight" activeCell="AE195" sqref="AE195:BB195"/>
    </sheetView>
  </sheetViews>
  <sheetFormatPr defaultRowHeight="15" x14ac:dyDescent="0.25"/>
  <cols>
    <col min="1" max="1" width="8.28515625" bestFit="1" customWidth="1"/>
    <col min="2" max="2" width="8.42578125" bestFit="1" customWidth="1"/>
    <col min="3" max="3" width="14.28515625" style="8" customWidth="1"/>
    <col min="4" max="4" width="18.5703125" bestFit="1" customWidth="1"/>
    <col min="5" max="9" width="14" bestFit="1" customWidth="1"/>
    <col min="10" max="10" width="19.5703125" style="14" customWidth="1"/>
    <col min="11" max="17" width="14" bestFit="1" customWidth="1"/>
    <col min="18" max="18" width="14" style="26" customWidth="1"/>
    <col min="19" max="19" width="9.7109375" bestFit="1" customWidth="1"/>
    <col min="20" max="20" width="12.42578125" bestFit="1" customWidth="1"/>
    <col min="21" max="21" width="8.7109375" bestFit="1" customWidth="1"/>
    <col min="22" max="22" width="14" style="26" customWidth="1"/>
    <col min="23" max="25" width="10.42578125" bestFit="1" customWidth="1"/>
    <col min="26" max="26" width="14" style="26" customWidth="1"/>
    <col min="27" max="27" width="10.42578125" bestFit="1" customWidth="1"/>
    <col min="28" max="28" width="14" style="26" customWidth="1"/>
    <col min="29" max="30" width="9.42578125" bestFit="1" customWidth="1"/>
    <col min="31" max="31" width="13.5703125" style="18" customWidth="1"/>
    <col min="37" max="37" width="9.140625" style="16"/>
    <col min="44" max="44" width="9.140625" style="16"/>
    <col min="47" max="47" width="9.140625" style="16"/>
    <col min="51" max="51" width="9.140625" style="18"/>
    <col min="52" max="52" width="9.140625" style="3"/>
    <col min="53" max="53" width="9.140625" style="16"/>
  </cols>
  <sheetData>
    <row r="1" spans="1:54" s="27" customFormat="1" ht="15.75" thickBot="1" x14ac:dyDescent="0.3">
      <c r="A1" s="27" t="s">
        <v>114</v>
      </c>
      <c r="B1" s="27" t="s">
        <v>115</v>
      </c>
      <c r="C1" s="28" t="s">
        <v>116</v>
      </c>
      <c r="D1" s="29">
        <v>1</v>
      </c>
      <c r="E1" s="29">
        <v>2</v>
      </c>
      <c r="F1" s="29">
        <v>3</v>
      </c>
      <c r="G1" s="29">
        <v>4</v>
      </c>
      <c r="H1" s="29">
        <v>5</v>
      </c>
      <c r="I1" s="29">
        <v>6</v>
      </c>
      <c r="J1" s="28" t="s">
        <v>116</v>
      </c>
      <c r="K1" s="29">
        <v>7</v>
      </c>
      <c r="L1" s="29">
        <v>8</v>
      </c>
      <c r="M1" s="29">
        <v>16</v>
      </c>
      <c r="N1" s="29">
        <v>10</v>
      </c>
      <c r="O1" s="29">
        <v>11</v>
      </c>
      <c r="P1" s="29">
        <v>12</v>
      </c>
      <c r="Q1" s="29">
        <v>13</v>
      </c>
      <c r="R1" s="30" t="s">
        <v>341</v>
      </c>
      <c r="S1" s="29">
        <v>20</v>
      </c>
      <c r="T1" s="29">
        <v>21</v>
      </c>
      <c r="U1" s="29">
        <v>22</v>
      </c>
      <c r="V1" s="30" t="s">
        <v>116</v>
      </c>
      <c r="W1" s="29">
        <v>30</v>
      </c>
      <c r="X1" s="29">
        <v>33</v>
      </c>
      <c r="Y1" s="29">
        <v>34</v>
      </c>
      <c r="Z1" s="30" t="s">
        <v>116</v>
      </c>
      <c r="AA1" s="29">
        <v>37</v>
      </c>
      <c r="AB1" s="30" t="s">
        <v>116</v>
      </c>
      <c r="AC1" s="29">
        <v>40</v>
      </c>
      <c r="AD1" s="29">
        <v>41</v>
      </c>
      <c r="AE1" s="31" t="s">
        <v>117</v>
      </c>
      <c r="AF1" s="32">
        <f t="shared" ref="AF1:AK1" si="0">D1</f>
        <v>1</v>
      </c>
      <c r="AG1" s="32">
        <f t="shared" si="0"/>
        <v>2</v>
      </c>
      <c r="AH1" s="32">
        <f t="shared" si="0"/>
        <v>3</v>
      </c>
      <c r="AI1" s="32">
        <f t="shared" si="0"/>
        <v>4</v>
      </c>
      <c r="AJ1" s="32">
        <f t="shared" si="0"/>
        <v>5</v>
      </c>
      <c r="AK1" s="33">
        <f t="shared" si="0"/>
        <v>6</v>
      </c>
      <c r="AL1" s="32">
        <f t="shared" ref="AL1:AR1" si="1">K1</f>
        <v>7</v>
      </c>
      <c r="AM1" s="32">
        <f t="shared" si="1"/>
        <v>8</v>
      </c>
      <c r="AN1" s="32">
        <f t="shared" si="1"/>
        <v>16</v>
      </c>
      <c r="AO1" s="32">
        <f t="shared" si="1"/>
        <v>10</v>
      </c>
      <c r="AP1" s="32">
        <f t="shared" si="1"/>
        <v>11</v>
      </c>
      <c r="AQ1" s="32">
        <f t="shared" si="1"/>
        <v>12</v>
      </c>
      <c r="AR1" s="33">
        <f t="shared" si="1"/>
        <v>13</v>
      </c>
      <c r="AS1" s="35">
        <f>S1</f>
        <v>20</v>
      </c>
      <c r="AT1" s="35">
        <f t="shared" ref="AT1:AU1" si="2">T1</f>
        <v>21</v>
      </c>
      <c r="AU1" s="37">
        <f t="shared" si="2"/>
        <v>22</v>
      </c>
      <c r="AV1" s="34">
        <f>W1</f>
        <v>30</v>
      </c>
      <c r="AW1" s="34">
        <f t="shared" ref="AW1:AX1" si="3">X1</f>
        <v>33</v>
      </c>
      <c r="AX1" s="34">
        <f t="shared" si="3"/>
        <v>34</v>
      </c>
      <c r="AY1" s="46">
        <f>AA1</f>
        <v>37</v>
      </c>
      <c r="AZ1" s="48">
        <f>AC1</f>
        <v>40</v>
      </c>
      <c r="BA1" s="49">
        <f>AD1</f>
        <v>41</v>
      </c>
      <c r="BB1" s="27" t="s">
        <v>853</v>
      </c>
    </row>
    <row r="2" spans="1:54" x14ac:dyDescent="0.25">
      <c r="A2">
        <v>0</v>
      </c>
      <c r="B2" t="str">
        <f>"T" &amp; DEC2HEX(A2,2)</f>
        <v>T00</v>
      </c>
      <c r="C2" s="7" t="s">
        <v>0</v>
      </c>
      <c r="D2" s="12" t="str">
        <f>trimtext(SplitText($C2,",",0))</f>
        <v>_none_</v>
      </c>
      <c r="E2" s="12" t="str">
        <f>IF(SplitText($C2,",",COLUMN(E:E)-COLUMN($D:$D))="",$D2,trimtext(SplitText($C2,",",COLUMN(E:E)-COLUMN($D:$D))))</f>
        <v>_none_</v>
      </c>
      <c r="F2" s="12" t="str">
        <f>IF(SplitText($C2,",",COLUMN(F:F)-COLUMN($D:$D))="",$D2,trimtext(SplitText($C2,",",COLUMN(F:F)-COLUMN($D:$D))))</f>
        <v>_none_</v>
      </c>
      <c r="G2" s="12" t="str">
        <f>IF(SplitText($C2,",",COLUMN(G:G)-COLUMN($D:$D))="",$D2,trimtext(SplitText($C2,",",COLUMN(G:G)-COLUMN($D:$D))))</f>
        <v>_none_</v>
      </c>
      <c r="H2" s="12" t="str">
        <f>IF(SplitText($C2,",",COLUMN(H:H)-COLUMN($D:$D))="",$D2,trimtext(SplitText($C2,",",COLUMN(H:H)-COLUMN($D:$D))))</f>
        <v>_none_</v>
      </c>
      <c r="I2" s="12" t="str">
        <f>IF(SplitText($C2,",",COLUMN(I:I)-COLUMN($D:$D))="",$D2,trimtext(SplitText($C2,",",COLUMN(I:I)-COLUMN($D:$D))))</f>
        <v>_none_</v>
      </c>
      <c r="J2" s="9" t="s">
        <v>185</v>
      </c>
      <c r="K2" s="12" t="str">
        <f>trimtext(SplitText($J2,",",0))</f>
        <v>_none_</v>
      </c>
      <c r="L2" s="12" t="str">
        <f>IF(SplitText($J2,",",COLUMN(L:L)-COLUMN($K:$K))="",$K2,trimtext(SplitText($J2,",",COLUMN(L:L)-COLUMN($K:$K))))</f>
        <v>_none_</v>
      </c>
      <c r="M2" s="12" t="str">
        <f>IF(SplitText($J2,",",COLUMN(M:M)-COLUMN($K:$K))="",$K2,trimtext(SplitText($J2,",",COLUMN(M:M)-COLUMN($K:$K))))</f>
        <v>_none_</v>
      </c>
      <c r="N2" s="12" t="str">
        <f>IF(SplitText($J2,",",COLUMN(N:N)-COLUMN($K:$K))="",$K2,trimtext(SplitText($J2,",",COLUMN(N:N)-COLUMN($K:$K))))</f>
        <v>_none_</v>
      </c>
      <c r="O2" s="12" t="str">
        <f>IF(SplitText($J2,",",COLUMN(O:O)-COLUMN($K:$K))="",$K2,trimtext(SplitText($J2,",",COLUMN(O:O)-COLUMN($K:$K))))</f>
        <v>_none_</v>
      </c>
      <c r="P2" s="12" t="str">
        <f>IF(SplitText($J2,",",COLUMN(P:P)-COLUMN($K:$K))="",$K2,trimtext(SplitText($J2,",",COLUMN(P:P)-COLUMN($K:$K))))</f>
        <v>_none_</v>
      </c>
      <c r="Q2" s="12" t="str">
        <f>IF(SplitText($J2,",",COLUMN(Q:Q)-COLUMN($K:$K))="",$K2,trimtext(SplitText($J2,",",COLUMN(Q:Q)-COLUMN($K:$K))))</f>
        <v>_none_</v>
      </c>
      <c r="R2" s="2" t="s">
        <v>342</v>
      </c>
      <c r="S2" s="12" t="str">
        <f>trimtext(SplitText($R2,",",0))</f>
        <v>_none_</v>
      </c>
      <c r="T2" s="12" t="str">
        <f>IF(SplitText($R2,",",COLUMN(T:T)-COLUMN($S:$S))="",$S2,trimtext(SplitText($R2,",",COLUMN(T:T)-COLUMN($S:$S))))</f>
        <v>_none_</v>
      </c>
      <c r="U2" s="12" t="str">
        <f>IF(SplitText($R2,",",COLUMN(U:U)-COLUMN($S:$S))="",$S2,trimtext(SplitText($R2,",",COLUMN(U:U)-COLUMN($S:$S))))</f>
        <v>_none_</v>
      </c>
      <c r="V2" s="2" t="s">
        <v>507</v>
      </c>
      <c r="W2" s="12" t="str">
        <f>trimtext(SplitText($V2,",",0))</f>
        <v>_none_</v>
      </c>
      <c r="X2" s="12" t="str">
        <f>IF(SplitText($V2,",",COLUMN(X:X)-COLUMN($W:$W))="",$W2,trimtext(SplitText($V2,",",COLUMN(X:X)-COLUMN($W:$W))))</f>
        <v>_none_</v>
      </c>
      <c r="Y2" s="12" t="str">
        <f>IF(SplitText($V2,",",COLUMN(Y:Y)-COLUMN($W:$W))="",$W2,trimtext(SplitText($V2,",",COLUMN(Y:Y)-COLUMN($W:$W))))</f>
        <v>_none_</v>
      </c>
      <c r="Z2" s="2" t="s">
        <v>632</v>
      </c>
      <c r="AA2" s="12" t="str">
        <f>trimtext(Z2)</f>
        <v>ESCAPE</v>
      </c>
      <c r="AB2" s="2" t="s">
        <v>743</v>
      </c>
      <c r="AC2" s="12" t="str">
        <f>trimtext(SplitText($AB2,",",0))</f>
        <v>_none_</v>
      </c>
      <c r="AD2" s="12" t="str">
        <f>IF(SplitText($AB2,",",COLUMN(AD:AD)-COLUMN($AC:$AC))="",$AC2,trimtext(SplitText($AB2,",",COLUMN(AD:AD)-COLUMN($AC:$AC))))</f>
        <v>_none_</v>
      </c>
      <c r="AE2" s="18" t="str">
        <f>"&lt;xs:enumeration value="""&amp;B2&amp;"""&gt;&lt;xs:annotation&gt;&lt;xs:documentation&gt;Typically "&amp;IF(E2="",D2,G2&amp;" for keyboard type 4, different values for different keyboard types")&amp;"&lt;/xs:documentation&gt;&lt;xs:appinfo&gt;&lt;default-vk&gt;"</f>
        <v>&lt;xs:enumeration value="T00"&gt;&lt;xs:annotation&gt;&lt;xs:documentation&gt;Typically _none_ for keyboard type 4, different values for different keyboard types&lt;/xs:documentation&gt;&lt;xs:appinfo&gt;&lt;default-vk&gt;</v>
      </c>
      <c r="AF2" s="15" t="str">
        <f>IF(D2&lt;&gt;"","&lt;vk kbd="""&amp;D$1&amp;""" vk="""&amp;D2&amp;""""&amp;IF(Scan2VKFlags!B2&lt;&gt;""," flags="""&amp;Scan2VKFlags!B2&amp;"""","")&amp;"/&gt;","")</f>
        <v>&lt;vk kbd="1" vk="_none_"/&gt;</v>
      </c>
      <c r="AG2" s="15" t="str">
        <f>IF(E2&lt;&gt;"","&lt;vk kbd="""&amp;E$1&amp;""" vk="""&amp;E2&amp;""""&amp;IF(Scan2VKFlags!C2&lt;&gt;""," flags="""&amp;Scan2VKFlags!C2&amp;"""","")&amp;"/&gt;","")</f>
        <v>&lt;vk kbd="2" vk="_none_"/&gt;</v>
      </c>
      <c r="AH2" s="15" t="str">
        <f>IF(F2&lt;&gt;"","&lt;vk kbd="""&amp;F$1&amp;""" vk="""&amp;F2&amp;""""&amp;IF(Scan2VKFlags!D2&lt;&gt;""," flags="""&amp;Scan2VKFlags!D2&amp;"""","")&amp;"/&gt;","")</f>
        <v>&lt;vk kbd="3" vk="_none_"/&gt;</v>
      </c>
      <c r="AI2" s="15" t="str">
        <f>IF(G2&lt;&gt;"","&lt;vk kbd="""&amp;G$1&amp;""" vk="""&amp;G2&amp;""""&amp;IF(Scan2VKFlags!E2&lt;&gt;""," flags="""&amp;Scan2VKFlags!E2&amp;"""","")&amp;"/&gt;","")</f>
        <v>&lt;vk kbd="4" vk="_none_"/&gt;</v>
      </c>
      <c r="AJ2" s="15" t="str">
        <f>IF(H2&lt;&gt;"","&lt;vk kbd="""&amp;H$1&amp;""" vk="""&amp;H2&amp;""""&amp;IF(Scan2VKFlags!F2&lt;&gt;""," flags="""&amp;Scan2VKFlags!F2&amp;"""","")&amp;"/&gt;","")</f>
        <v>&lt;vk kbd="5" vk="_none_"/&gt;</v>
      </c>
      <c r="AK2" s="16" t="str">
        <f>IF(I2&lt;&gt;"","&lt;vk kbd="""&amp;I$1&amp;""" vk="""&amp;I2&amp;""""&amp;IF(Scan2VKFlags!G2&lt;&gt;""," flags="""&amp;Scan2VKFlags!G2&amp;"""","")&amp;"/&gt;","")</f>
        <v>&lt;vk kbd="6" vk="_none_"/&gt;</v>
      </c>
      <c r="AL2" s="3" t="str">
        <f>IF(K2&lt;&gt;"","&lt;vk kbd="""&amp;K$1&amp;""" vk="""&amp;K2&amp;""""&amp;IF(Scan2VKFlags!H2&lt;&gt;""," flags="""&amp;Scan2VKFlags!H2&amp;"""","")&amp;"/&gt;","")</f>
        <v>&lt;vk kbd="7" vk="_none_"/&gt;</v>
      </c>
      <c r="AM2" t="str">
        <f>IF(L2&lt;&gt;"","&lt;vk kbd="""&amp;L$1&amp;""" vk="""&amp;L2&amp;""""&amp;IF(Scan2VKFlags!I2&lt;&gt;""," flags="""&amp;Scan2VKFlags!I2&amp;"""","")&amp;"/&gt;","")</f>
        <v>&lt;vk kbd="8" vk="_none_"/&gt;</v>
      </c>
      <c r="AN2" t="str">
        <f>IF(M2&lt;&gt;"","&lt;vk kbd="""&amp;M$1&amp;""" vk="""&amp;M2&amp;""""&amp;IF(Scan2VKFlags!J2&lt;&gt;""," flags="""&amp;Scan2VKFlags!J2&amp;"""","")&amp;"/&gt;","")</f>
        <v>&lt;vk kbd="16" vk="_none_"/&gt;</v>
      </c>
      <c r="AO2" t="str">
        <f>IF(N2&lt;&gt;"","&lt;vk kbd="""&amp;N$1&amp;""" vk="""&amp;N2&amp;""""&amp;IF(Scan2VKFlags!K2&lt;&gt;""," flags="""&amp;Scan2VKFlags!K2&amp;"""","")&amp;"/&gt;","")</f>
        <v>&lt;vk kbd="10" vk="_none_"/&gt;</v>
      </c>
      <c r="AP2" t="str">
        <f>IF(O2&lt;&gt;"","&lt;vk kbd="""&amp;O$1&amp;""" vk="""&amp;O2&amp;""""&amp;IF(Scan2VKFlags!L2&lt;&gt;""," flags="""&amp;Scan2VKFlags!L2&amp;"""","")&amp;"/&gt;","")</f>
        <v>&lt;vk kbd="11" vk="_none_"/&gt;</v>
      </c>
      <c r="AQ2" t="str">
        <f>IF(P2&lt;&gt;"","&lt;vk kbd="""&amp;P$1&amp;""" vk="""&amp;P2&amp;""""&amp;IF(Scan2VKFlags!M2&lt;&gt;""," flags="""&amp;Scan2VKFlags!M2&amp;"""","")&amp;"/&gt;","")</f>
        <v>&lt;vk kbd="12" vk="_none_"/&gt;</v>
      </c>
      <c r="AR2" s="16" t="str">
        <f>IF(Q2&lt;&gt;"","&lt;vk kbd="""&amp;Q$1&amp;""" vk="""&amp;Q2&amp;""""&amp;IF(Scan2VKFlags!N2&lt;&gt;""," flags="""&amp;Scan2VKFlags!N2&amp;"""","")&amp;"/&gt;","")</f>
        <v>&lt;vk kbd="13" vk="_none_"/&gt;</v>
      </c>
      <c r="AS2" s="36" t="str">
        <f>IF(S2&lt;&gt;"","&lt;vk kbd="""&amp;S$1&amp;""" vk="""&amp;S2&amp;""""&amp;IF(Scan2VKFlags!O2&lt;&gt;""," flags="""&amp;Scan2VKFlags!O2&amp;"""","")&amp;"/&gt;","")</f>
        <v>&lt;vk kbd="20" vk="_none_"/&gt;</v>
      </c>
      <c r="AT2" t="str">
        <f>IF(T2&lt;&gt;"","&lt;vk kbd="""&amp;T$1&amp;""" vk="""&amp;T2&amp;""""&amp;IF(Scan2VKFlags!P2&lt;&gt;""," flags="""&amp;Scan2VKFlags!P2&amp;"""","")&amp;"/&gt;","")</f>
        <v>&lt;vk kbd="21" vk="_none_"/&gt;</v>
      </c>
      <c r="AU2" s="16" t="str">
        <f>IF(U2&lt;&gt;"","&lt;vk kbd="""&amp;U$1&amp;""" vk="""&amp;U2&amp;""""&amp;IF(Scan2VKFlags!Q2&lt;&gt;""," flags="""&amp;Scan2VKFlags!Q2&amp;"""","")&amp;"/&gt;","")</f>
        <v>&lt;vk kbd="22" vk="_none_"/&gt;</v>
      </c>
      <c r="AV2" s="36" t="str">
        <f>IF(W2&lt;&gt;"","&lt;vk kbd="""&amp;W$1&amp;""" vk="""&amp;W2&amp;""""&amp;IF(Scan2VKFlags!R2&lt;&gt;""," flags="""&amp;Scan2VKFlags!R2&amp;"""","")&amp;"/&gt;","")</f>
        <v>&lt;vk kbd="30" vk="_none_"/&gt;</v>
      </c>
      <c r="AW2" s="38" t="str">
        <f>IF(X2&lt;&gt;"","&lt;vk kbd="""&amp;X$1&amp;""" vk="""&amp;X2&amp;""""&amp;IF(Scan2VKFlags!S2&lt;&gt;""," flags="""&amp;Scan2VKFlags!S2&amp;"""","")&amp;"/&gt;","")</f>
        <v>&lt;vk kbd="33" vk="_none_"/&gt;</v>
      </c>
      <c r="AX2" s="38" t="str">
        <f>IF(Y2&lt;&gt;"","&lt;vk kbd="""&amp;Y$1&amp;""" vk="""&amp;Y2&amp;""""&amp;IF(Scan2VKFlags!T2&lt;&gt;""," flags="""&amp;Scan2VKFlags!T2&amp;"""","")&amp;"/&gt;","")</f>
        <v>&lt;vk kbd="34" vk="_none_"/&gt;</v>
      </c>
      <c r="AY2" s="47" t="str">
        <f>IF(AA2&lt;&gt;"","&lt;vk kbd="""&amp;AA$1&amp;""" vk="""&amp;AA2&amp;""""&amp;IF(Scan2VKFlags!U2&lt;&gt;""," flags="""&amp;Scan2VKFlags!U2&amp;"""","")&amp;"/&gt;","")</f>
        <v>&lt;vk kbd="37" vk="ESCAPE"/&gt;</v>
      </c>
      <c r="AZ2" s="36" t="str">
        <f>IF(AC2&lt;&gt;"","&lt;vk kbd="""&amp;AC$1&amp;""" vk="""&amp;AC2&amp;""""&amp;IF(Scan2VKFlags!V2&lt;&gt;""," flags="""&amp;Scan2VKFlags!V2&amp;"""","")&amp;"/&gt;","")</f>
        <v>&lt;vk kbd="40" vk="_none_"/&gt;</v>
      </c>
      <c r="BA2" s="16" t="str">
        <f>IF(AD2&lt;&gt;"","&lt;vk kbd="""&amp;AD$1&amp;""" vk="""&amp;AD2&amp;""""&amp;IF(Scan2VKFlags!W2&lt;&gt;""," flags="""&amp;Scan2VKFlags!W2&amp;"""","")&amp;"/&gt;","")</f>
        <v>&lt;vk kbd="41" vk="_none_"/&gt;</v>
      </c>
      <c r="BB2" t="s">
        <v>854</v>
      </c>
    </row>
    <row r="3" spans="1:54" x14ac:dyDescent="0.25">
      <c r="A3">
        <f>A2+1</f>
        <v>1</v>
      </c>
      <c r="B3" t="str">
        <f t="shared" ref="B3:B66" si="4">"T" &amp; DEC2HEX(A3,2)</f>
        <v>T01</v>
      </c>
      <c r="C3" s="7" t="s">
        <v>1</v>
      </c>
      <c r="D3" s="12" t="str">
        <f>trimtext(SplitText($C3,",",0))</f>
        <v>ESCAPE</v>
      </c>
      <c r="E3" s="12" t="str">
        <f>IF(SplitText($C3,",",COLUMN(E:E)-COLUMN($D:$D))="",$D3,trimtext(SplitText($C3,",",COLUMN(E:E)-COLUMN($D:$D))))</f>
        <v>ESCAPE</v>
      </c>
      <c r="F3" s="12" t="str">
        <f>IF(SplitText($C3,",",COLUMN(F:F)-COLUMN($D:$D))="",$D3,trimtext(SplitText($C3,",",COLUMN(F:F)-COLUMN($D:$D))))</f>
        <v>ESCAPE</v>
      </c>
      <c r="G3" s="12" t="str">
        <f>IF(SplitText($C3,",",COLUMN(G:G)-COLUMN($D:$D))="",$D3,trimtext(SplitText($C3,",",COLUMN(G:G)-COLUMN($D:$D))))</f>
        <v>ESCAPE</v>
      </c>
      <c r="H3" s="12" t="str">
        <f>IF(SplitText($C3,",",COLUMN(H:H)-COLUMN($D:$D))="",$D3,trimtext(SplitText($C3,",",COLUMN(H:H)-COLUMN($D:$D))))</f>
        <v>ESCAPE</v>
      </c>
      <c r="I3" s="12" t="str">
        <f>IF(SplitText($C3,",",COLUMN(I:I)-COLUMN($D:$D))="",$D3,trimtext(SplitText($C3,",",COLUMN(I:I)-COLUMN($D:$D))))</f>
        <v>ESCAPE</v>
      </c>
      <c r="J3" s="9" t="s">
        <v>186</v>
      </c>
      <c r="K3" s="12" t="str">
        <f>trimtext(SplitText($J3,",",0))</f>
        <v>ESCAPE</v>
      </c>
      <c r="L3" s="12" t="str">
        <f>IF(SplitText($J3,",",COLUMN(L:L)-COLUMN($K:$K))="",$K3,trimtext(SplitText($J3,",",COLUMN(L:L)-COLUMN($K:$K))))</f>
        <v>ESCAPE</v>
      </c>
      <c r="M3" s="12" t="str">
        <f>IF(SplitText($J3,",",COLUMN(M:M)-COLUMN($K:$K))="",$K3,trimtext(SplitText($J3,",",COLUMN(M:M)-COLUMN($K:$K))))</f>
        <v>ESCAPE</v>
      </c>
      <c r="N3" s="12" t="str">
        <f>IF(SplitText($J3,",",COLUMN(N:N)-COLUMN($K:$K))="",$K3,trimtext(SplitText($J3,",",COLUMN(N:N)-COLUMN($K:$K))))</f>
        <v>ESCAPE</v>
      </c>
      <c r="O3" s="12" t="str">
        <f>IF(SplitText($J3,",",COLUMN(O:O)-COLUMN($K:$K))="",$K3,trimtext(SplitText($J3,",",COLUMN(O:O)-COLUMN($K:$K))))</f>
        <v>ESCAPE</v>
      </c>
      <c r="P3" s="12" t="str">
        <f>IF(SplitText($J3,",",COLUMN(P:P)-COLUMN($K:$K))="",$K3,trimtext(SplitText($J3,",",COLUMN(P:P)-COLUMN($K:$K))))</f>
        <v>ESCAPE</v>
      </c>
      <c r="Q3" s="12" t="str">
        <f>IF(SplitText($J3,",",COLUMN(Q:Q)-COLUMN($K:$K))="",$K3,trimtext(SplitText($J3,",",COLUMN(Q:Q)-COLUMN($K:$K))))</f>
        <v>ESCAPE</v>
      </c>
      <c r="R3" s="2" t="s">
        <v>343</v>
      </c>
      <c r="S3" s="12" t="str">
        <f>trimtext(SplitText($R3,",",0))</f>
        <v>ESCAPE</v>
      </c>
      <c r="T3" s="12" t="str">
        <f>IF(SplitText($R3,",",COLUMN(T:T)-COLUMN($S:$S))="",$S3,trimtext(SplitText($R3,",",COLUMN(T:T)-COLUMN($S:$S))))</f>
        <v>ESCAPE</v>
      </c>
      <c r="U3" s="12" t="str">
        <f>IF(SplitText($R3,",",COLUMN(U:U)-COLUMN($S:$S))="",$S3,trimtext(SplitText($R3,",",COLUMN(U:U)-COLUMN($S:$S))))</f>
        <v>ESCAPE</v>
      </c>
      <c r="V3" s="2" t="s">
        <v>508</v>
      </c>
      <c r="W3" s="12" t="str">
        <f>trimtext(SplitText($V3,",",0))</f>
        <v>ESCAPE</v>
      </c>
      <c r="X3" s="12" t="str">
        <f>IF(SplitText($V3,",",COLUMN(X:X)-COLUMN($W:$W))="",$W3,trimtext(SplitText($V3,",",COLUMN(X:X)-COLUMN($W:$W))))</f>
        <v>ESCAPE</v>
      </c>
      <c r="Y3" s="12" t="str">
        <f>IF(SplitText($V3,",",COLUMN(Y:Y)-COLUMN($W:$W))="",$W3,trimtext(SplitText($V3,",",COLUMN(Y:Y)-COLUMN($W:$W))))</f>
        <v>ESCAPE</v>
      </c>
      <c r="Z3" s="23" t="s">
        <v>633</v>
      </c>
      <c r="AA3" s="12" t="str">
        <f t="shared" ref="AA3:AA66" si="5">trimtext(Z3)</f>
        <v>'1'</v>
      </c>
      <c r="AB3" s="2" t="s">
        <v>744</v>
      </c>
      <c r="AC3" s="12" t="str">
        <f>trimtext(SplitText($AB3,",",0))</f>
        <v>ESCAPE</v>
      </c>
      <c r="AD3" s="12" t="str">
        <f>IF(SplitText($AB3,",",COLUMN(AD:AD)-COLUMN($AC:$AC))="",$AC3,trimtext(SplitText($AB3,",",COLUMN(AD:AD)-COLUMN($AC:$AC))))</f>
        <v>ESCAPE</v>
      </c>
      <c r="AE3" s="18" t="str">
        <f t="shared" ref="AE3:AE66" si="6">"&lt;xs:enumeration value="""&amp;B3&amp;"""&gt;&lt;xs:annotation&gt;&lt;xs:documentation&gt;Typically "&amp;IF(E3="",D3,G3&amp;" for keyboard type 4, different values for different keyboard types")&amp;"&lt;/xs:documentation&gt;&lt;xs:appinfo&gt;&lt;default-vk&gt;"</f>
        <v>&lt;xs:enumeration value="T01"&gt;&lt;xs:annotation&gt;&lt;xs:documentation&gt;Typically ESCAPE for keyboard type 4, different values for different keyboard types&lt;/xs:documentation&gt;&lt;xs:appinfo&gt;&lt;default-vk&gt;</v>
      </c>
      <c r="AF3" s="15" t="str">
        <f>IF(D3&lt;&gt;"","&lt;vk kbd="""&amp;D$1&amp;""" vk="""&amp;D3&amp;""""&amp;IF(Scan2VKFlags!B3&lt;&gt;""," flags="""&amp;Scan2VKFlags!B3&amp;"""","")&amp;"/&gt;","")</f>
        <v>&lt;vk kbd="1" vk="ESCAPE"/&gt;</v>
      </c>
      <c r="AG3" s="15" t="str">
        <f>IF(E3&lt;&gt;"","&lt;vk kbd="""&amp;E$1&amp;""" vk="""&amp;E3&amp;""""&amp;IF(Scan2VKFlags!C3&lt;&gt;""," flags="""&amp;Scan2VKFlags!C3&amp;"""","")&amp;"/&gt;","")</f>
        <v>&lt;vk kbd="2" vk="ESCAPE"/&gt;</v>
      </c>
      <c r="AH3" s="15" t="str">
        <f>IF(F3&lt;&gt;"","&lt;vk kbd="""&amp;F$1&amp;""" vk="""&amp;F3&amp;""""&amp;IF(Scan2VKFlags!D3&lt;&gt;""," flags="""&amp;Scan2VKFlags!D3&amp;"""","")&amp;"/&gt;","")</f>
        <v>&lt;vk kbd="3" vk="ESCAPE"/&gt;</v>
      </c>
      <c r="AI3" s="15" t="str">
        <f>IF(G3&lt;&gt;"","&lt;vk kbd="""&amp;G$1&amp;""" vk="""&amp;G3&amp;""""&amp;IF(Scan2VKFlags!E3&lt;&gt;""," flags="""&amp;Scan2VKFlags!E3&amp;"""","")&amp;"/&gt;","")</f>
        <v>&lt;vk kbd="4" vk="ESCAPE"/&gt;</v>
      </c>
      <c r="AJ3" s="15" t="str">
        <f>IF(H3&lt;&gt;"","&lt;vk kbd="""&amp;H$1&amp;""" vk="""&amp;H3&amp;""""&amp;IF(Scan2VKFlags!F3&lt;&gt;""," flags="""&amp;Scan2VKFlags!F3&amp;"""","")&amp;"/&gt;","")</f>
        <v>&lt;vk kbd="5" vk="ESCAPE"/&gt;</v>
      </c>
      <c r="AK3" s="16" t="str">
        <f>IF(I3&lt;&gt;"","&lt;vk kbd="""&amp;I$1&amp;""" vk="""&amp;I3&amp;""""&amp;IF(Scan2VKFlags!G3&lt;&gt;""," flags="""&amp;Scan2VKFlags!G3&amp;"""","")&amp;"/&gt;","")</f>
        <v>&lt;vk kbd="6" vk="ESCAPE"/&gt;</v>
      </c>
      <c r="AL3" s="3" t="str">
        <f>IF(K3&lt;&gt;"","&lt;vk kbd="""&amp;K$1&amp;""" vk="""&amp;K3&amp;""""&amp;IF(Scan2VKFlags!H3&lt;&gt;""," flags="""&amp;Scan2VKFlags!H3&amp;"""","")&amp;"/&gt;","")</f>
        <v>&lt;vk kbd="7" vk="ESCAPE"/&gt;</v>
      </c>
      <c r="AM3" t="str">
        <f>IF(L3&lt;&gt;"","&lt;vk kbd="""&amp;L$1&amp;""" vk="""&amp;L3&amp;""""&amp;IF(Scan2VKFlags!I3&lt;&gt;""," flags="""&amp;Scan2VKFlags!I3&amp;"""","")&amp;"/&gt;","")</f>
        <v>&lt;vk kbd="8" vk="ESCAPE"/&gt;</v>
      </c>
      <c r="AN3" t="str">
        <f>IF(M3&lt;&gt;"","&lt;vk kbd="""&amp;M$1&amp;""" vk="""&amp;M3&amp;""""&amp;IF(Scan2VKFlags!J3&lt;&gt;""," flags="""&amp;Scan2VKFlags!J3&amp;"""","")&amp;"/&gt;","")</f>
        <v>&lt;vk kbd="16" vk="ESCAPE"/&gt;</v>
      </c>
      <c r="AO3" t="str">
        <f>IF(N3&lt;&gt;"","&lt;vk kbd="""&amp;N$1&amp;""" vk="""&amp;N3&amp;""""&amp;IF(Scan2VKFlags!K3&lt;&gt;""," flags="""&amp;Scan2VKFlags!K3&amp;"""","")&amp;"/&gt;","")</f>
        <v>&lt;vk kbd="10" vk="ESCAPE"/&gt;</v>
      </c>
      <c r="AP3" t="str">
        <f>IF(O3&lt;&gt;"","&lt;vk kbd="""&amp;O$1&amp;""" vk="""&amp;O3&amp;""""&amp;IF(Scan2VKFlags!L3&lt;&gt;""," flags="""&amp;Scan2VKFlags!L3&amp;"""","")&amp;"/&gt;","")</f>
        <v>&lt;vk kbd="11" vk="ESCAPE"/&gt;</v>
      </c>
      <c r="AQ3" t="str">
        <f>IF(P3&lt;&gt;"","&lt;vk kbd="""&amp;P$1&amp;""" vk="""&amp;P3&amp;""""&amp;IF(Scan2VKFlags!M3&lt;&gt;""," flags="""&amp;Scan2VKFlags!M3&amp;"""","")&amp;"/&gt;","")</f>
        <v>&lt;vk kbd="12" vk="ESCAPE"/&gt;</v>
      </c>
      <c r="AR3" s="16" t="str">
        <f>IF(Q3&lt;&gt;"","&lt;vk kbd="""&amp;Q$1&amp;""" vk="""&amp;Q3&amp;""""&amp;IF(Scan2VKFlags!N3&lt;&gt;""," flags="""&amp;Scan2VKFlags!N3&amp;"""","")&amp;"/&gt;","")</f>
        <v>&lt;vk kbd="13" vk="ESCAPE"/&gt;</v>
      </c>
      <c r="AS3" s="3" t="str">
        <f>IF(S3&lt;&gt;"","&lt;vk kbd="""&amp;S$1&amp;""" vk="""&amp;S3&amp;""""&amp;IF(Scan2VKFlags!O3&lt;&gt;""," flags="""&amp;Scan2VKFlags!O3&amp;"""","")&amp;"/&gt;","")</f>
        <v>&lt;vk kbd="20" vk="ESCAPE"/&gt;</v>
      </c>
      <c r="AT3" t="str">
        <f>IF(T3&lt;&gt;"","&lt;vk kbd="""&amp;T$1&amp;""" vk="""&amp;T3&amp;""""&amp;IF(Scan2VKFlags!P3&lt;&gt;""," flags="""&amp;Scan2VKFlags!P3&amp;"""","")&amp;"/&gt;","")</f>
        <v>&lt;vk kbd="21" vk="ESCAPE"/&gt;</v>
      </c>
      <c r="AU3" s="16" t="str">
        <f>IF(U3&lt;&gt;"","&lt;vk kbd="""&amp;U$1&amp;""" vk="""&amp;U3&amp;""""&amp;IF(Scan2VKFlags!Q3&lt;&gt;""," flags="""&amp;Scan2VKFlags!Q3&amp;"""","")&amp;"/&gt;","")</f>
        <v>&lt;vk kbd="22" vk="ESCAPE"/&gt;</v>
      </c>
      <c r="AV3" s="3" t="str">
        <f>IF(W3&lt;&gt;"","&lt;vk kbd="""&amp;W$1&amp;""" vk="""&amp;W3&amp;""""&amp;IF(Scan2VKFlags!R3&lt;&gt;""," flags="""&amp;Scan2VKFlags!R3&amp;"""","")&amp;"/&gt;","")</f>
        <v>&lt;vk kbd="30" vk="ESCAPE"/&gt;</v>
      </c>
      <c r="AW3" s="15" t="str">
        <f>IF(X3&lt;&gt;"","&lt;vk kbd="""&amp;X$1&amp;""" vk="""&amp;X3&amp;""""&amp;IF(Scan2VKFlags!S3&lt;&gt;""," flags="""&amp;Scan2VKFlags!S3&amp;"""","")&amp;"/&gt;","")</f>
        <v>&lt;vk kbd="33" vk="ESCAPE"/&gt;</v>
      </c>
      <c r="AX3" s="15" t="str">
        <f>IF(Y3&lt;&gt;"","&lt;vk kbd="""&amp;Y$1&amp;""" vk="""&amp;Y3&amp;""""&amp;IF(Scan2VKFlags!T3&lt;&gt;""," flags="""&amp;Scan2VKFlags!T3&amp;"""","")&amp;"/&gt;","")</f>
        <v>&lt;vk kbd="34" vk="ESCAPE"/&gt;</v>
      </c>
      <c r="AY3" s="18" t="str">
        <f>IF(AA3&lt;&gt;"","&lt;vk kbd="""&amp;AA$1&amp;""" vk="""&amp;AA3&amp;""""&amp;IF(Scan2VKFlags!U3&lt;&gt;""," flags="""&amp;Scan2VKFlags!U3&amp;"""","")&amp;"/&gt;","")</f>
        <v>&lt;vk kbd="37" vk="'1'"/&gt;</v>
      </c>
      <c r="AZ3" s="3" t="str">
        <f>IF(AC3&lt;&gt;"","&lt;vk kbd="""&amp;AC$1&amp;""" vk="""&amp;AC3&amp;""""&amp;IF(Scan2VKFlags!V3&lt;&gt;""," flags="""&amp;Scan2VKFlags!V3&amp;"""","")&amp;"/&gt;","")</f>
        <v>&lt;vk kbd="40" vk="ESCAPE"/&gt;</v>
      </c>
      <c r="BA3" s="16" t="str">
        <f>IF(AD3&lt;&gt;"","&lt;vk kbd="""&amp;AD$1&amp;""" vk="""&amp;AD3&amp;""""&amp;IF(Scan2VKFlags!W3&lt;&gt;""," flags="""&amp;Scan2VKFlags!W3&amp;"""","")&amp;"/&gt;","")</f>
        <v>&lt;vk kbd="41" vk="ESCAPE"/&gt;</v>
      </c>
      <c r="BB3" t="s">
        <v>854</v>
      </c>
    </row>
    <row r="4" spans="1:54" x14ac:dyDescent="0.25">
      <c r="A4">
        <f t="shared" ref="A4:A67" si="7">A3+1</f>
        <v>2</v>
      </c>
      <c r="B4" t="str">
        <f t="shared" si="4"/>
        <v>T02</v>
      </c>
      <c r="C4" s="7" t="s">
        <v>2</v>
      </c>
      <c r="D4" s="12" t="str">
        <f>trimtext(SplitText($C4,",",0))</f>
        <v>'1'</v>
      </c>
      <c r="E4" s="12" t="str">
        <f>IF(SplitText($C4,",",COLUMN(E:E)-COLUMN($D:$D))="",$D4,trimtext(SplitText($C4,",",COLUMN(E:E)-COLUMN($D:$D))))</f>
        <v>'1'</v>
      </c>
      <c r="F4" s="12" t="str">
        <f>IF(SplitText($C4,",",COLUMN(F:F)-COLUMN($D:$D))="",$D4,trimtext(SplitText($C4,",",COLUMN(F:F)-COLUMN($D:$D))))</f>
        <v>'1'</v>
      </c>
      <c r="G4" s="12" t="str">
        <f>IF(SplitText($C4,",",COLUMN(G:G)-COLUMN($D:$D))="",$D4,trimtext(SplitText($C4,",",COLUMN(G:G)-COLUMN($D:$D))))</f>
        <v>'1'</v>
      </c>
      <c r="H4" s="12" t="str">
        <f>IF(SplitText($C4,",",COLUMN(H:H)-COLUMN($D:$D))="",$D4,trimtext(SplitText($C4,",",COLUMN(H:H)-COLUMN($D:$D))))</f>
        <v>'1'</v>
      </c>
      <c r="I4" s="12" t="str">
        <f>IF(SplitText($C4,",",COLUMN(I:I)-COLUMN($D:$D))="",$D4,trimtext(SplitText($C4,",",COLUMN(I:I)-COLUMN($D:$D))))</f>
        <v>'1'</v>
      </c>
      <c r="J4" s="9" t="s">
        <v>187</v>
      </c>
      <c r="K4" s="12" t="str">
        <f>trimtext(SplitText($J4,",",0))</f>
        <v>'1'</v>
      </c>
      <c r="L4" s="12" t="str">
        <f>IF(SplitText($J4,",",COLUMN(L:L)-COLUMN($K:$K))="",$K4,trimtext(SplitText($J4,",",COLUMN(L:L)-COLUMN($K:$K))))</f>
        <v>'1'</v>
      </c>
      <c r="M4" s="12" t="str">
        <f>IF(SplitText($J4,",",COLUMN(M:M)-COLUMN($K:$K))="",$K4,trimtext(SplitText($J4,",",COLUMN(M:M)-COLUMN($K:$K))))</f>
        <v>'1'</v>
      </c>
      <c r="N4" s="12" t="str">
        <f>IF(SplitText($J4,",",COLUMN(N:N)-COLUMN($K:$K))="",$K4,trimtext(SplitText($J4,",",COLUMN(N:N)-COLUMN($K:$K))))</f>
        <v>'1'</v>
      </c>
      <c r="O4" s="12" t="str">
        <f>IF(SplitText($J4,",",COLUMN(O:O)-COLUMN($K:$K))="",$K4,trimtext(SplitText($J4,",",COLUMN(O:O)-COLUMN($K:$K))))</f>
        <v>'1'</v>
      </c>
      <c r="P4" s="12" t="str">
        <f>IF(SplitText($J4,",",COLUMN(P:P)-COLUMN($K:$K))="",$K4,trimtext(SplitText($J4,",",COLUMN(P:P)-COLUMN($K:$K))))</f>
        <v>'1'</v>
      </c>
      <c r="Q4" s="12" t="str">
        <f>IF(SplitText($J4,",",COLUMN(Q:Q)-COLUMN($K:$K))="",$K4,trimtext(SplitText($J4,",",COLUMN(Q:Q)-COLUMN($K:$K))))</f>
        <v>'1'</v>
      </c>
      <c r="R4" s="2" t="s">
        <v>344</v>
      </c>
      <c r="S4" s="12" t="str">
        <f>trimtext(SplitText($R4,",",0))</f>
        <v>'1'</v>
      </c>
      <c r="T4" s="12" t="str">
        <f>IF(SplitText($R4,",",COLUMN(T:T)-COLUMN($S:$S))="",$S4,trimtext(SplitText($R4,",",COLUMN(T:T)-COLUMN($S:$S))))</f>
        <v>'1'</v>
      </c>
      <c r="U4" s="12" t="str">
        <f>IF(SplitText($R4,",",COLUMN(U:U)-COLUMN($S:$S))="",$S4,trimtext(SplitText($R4,",",COLUMN(U:U)-COLUMN($S:$S))))</f>
        <v>'1'</v>
      </c>
      <c r="V4" s="23" t="s">
        <v>509</v>
      </c>
      <c r="W4" s="12" t="str">
        <f>trimtext(SplitText($V4,",",0))</f>
        <v>'1'</v>
      </c>
      <c r="X4" s="12" t="str">
        <f>IF(SplitText($V4,",",COLUMN(X:X)-COLUMN($W:$W))="",$W4,trimtext(SplitText($V4,",",COLUMN(X:X)-COLUMN($W:$W))))</f>
        <v>'1'</v>
      </c>
      <c r="Y4" s="12" t="str">
        <f>IF(SplitText($V4,",",COLUMN(Y:Y)-COLUMN($W:$W))="",$W4,trimtext(SplitText($V4,",",COLUMN(Y:Y)-COLUMN($W:$W))))</f>
        <v>'1'</v>
      </c>
      <c r="Z4" s="23" t="s">
        <v>634</v>
      </c>
      <c r="AA4" s="12" t="str">
        <f t="shared" si="5"/>
        <v>'2'</v>
      </c>
      <c r="AB4" s="2" t="s">
        <v>745</v>
      </c>
      <c r="AC4" s="12" t="str">
        <f>trimtext(SplitText($AB4,",",0))</f>
        <v>'1'</v>
      </c>
      <c r="AD4" s="12" t="str">
        <f>IF(SplitText($AB4,",",COLUMN(AD:AD)-COLUMN($AC:$AC))="",$AC4,trimtext(SplitText($AB4,",",COLUMN(AD:AD)-COLUMN($AC:$AC))))</f>
        <v>'1'</v>
      </c>
      <c r="AE4" s="18" t="str">
        <f t="shared" si="6"/>
        <v>&lt;xs:enumeration value="T02"&gt;&lt;xs:annotation&gt;&lt;xs:documentation&gt;Typically '1' for keyboard type 4, different values for different keyboard types&lt;/xs:documentation&gt;&lt;xs:appinfo&gt;&lt;default-vk&gt;</v>
      </c>
      <c r="AF4" s="15" t="str">
        <f>IF(D4&lt;&gt;"","&lt;vk kbd="""&amp;D$1&amp;""" vk="""&amp;D4&amp;""""&amp;IF(Scan2VKFlags!B4&lt;&gt;""," flags="""&amp;Scan2VKFlags!B4&amp;"""","")&amp;"/&gt;","")</f>
        <v>&lt;vk kbd="1" vk="'1'"/&gt;</v>
      </c>
      <c r="AG4" s="15" t="str">
        <f>IF(E4&lt;&gt;"","&lt;vk kbd="""&amp;E$1&amp;""" vk="""&amp;E4&amp;""""&amp;IF(Scan2VKFlags!C4&lt;&gt;""," flags="""&amp;Scan2VKFlags!C4&amp;"""","")&amp;"/&gt;","")</f>
        <v>&lt;vk kbd="2" vk="'1'"/&gt;</v>
      </c>
      <c r="AH4" s="15" t="str">
        <f>IF(F4&lt;&gt;"","&lt;vk kbd="""&amp;F$1&amp;""" vk="""&amp;F4&amp;""""&amp;IF(Scan2VKFlags!D4&lt;&gt;""," flags="""&amp;Scan2VKFlags!D4&amp;"""","")&amp;"/&gt;","")</f>
        <v>&lt;vk kbd="3" vk="'1'"/&gt;</v>
      </c>
      <c r="AI4" s="15" t="str">
        <f>IF(G4&lt;&gt;"","&lt;vk kbd="""&amp;G$1&amp;""" vk="""&amp;G4&amp;""""&amp;IF(Scan2VKFlags!E4&lt;&gt;""," flags="""&amp;Scan2VKFlags!E4&amp;"""","")&amp;"/&gt;","")</f>
        <v>&lt;vk kbd="4" vk="'1'"/&gt;</v>
      </c>
      <c r="AJ4" s="15" t="str">
        <f>IF(H4&lt;&gt;"","&lt;vk kbd="""&amp;H$1&amp;""" vk="""&amp;H4&amp;""""&amp;IF(Scan2VKFlags!F4&lt;&gt;""," flags="""&amp;Scan2VKFlags!F4&amp;"""","")&amp;"/&gt;","")</f>
        <v>&lt;vk kbd="5" vk="'1'"/&gt;</v>
      </c>
      <c r="AK4" s="16" t="str">
        <f>IF(I4&lt;&gt;"","&lt;vk kbd="""&amp;I$1&amp;""" vk="""&amp;I4&amp;""""&amp;IF(Scan2VKFlags!G4&lt;&gt;""," flags="""&amp;Scan2VKFlags!G4&amp;"""","")&amp;"/&gt;","")</f>
        <v>&lt;vk kbd="6" vk="'1'"/&gt;</v>
      </c>
      <c r="AL4" s="3" t="str">
        <f>IF(K4&lt;&gt;"","&lt;vk kbd="""&amp;K$1&amp;""" vk="""&amp;K4&amp;""""&amp;IF(Scan2VKFlags!H4&lt;&gt;""," flags="""&amp;Scan2VKFlags!H4&amp;"""","")&amp;"/&gt;","")</f>
        <v>&lt;vk kbd="7" vk="'1'"/&gt;</v>
      </c>
      <c r="AM4" t="str">
        <f>IF(L4&lt;&gt;"","&lt;vk kbd="""&amp;L$1&amp;""" vk="""&amp;L4&amp;""""&amp;IF(Scan2VKFlags!I4&lt;&gt;""," flags="""&amp;Scan2VKFlags!I4&amp;"""","")&amp;"/&gt;","")</f>
        <v>&lt;vk kbd="8" vk="'1'"/&gt;</v>
      </c>
      <c r="AN4" t="str">
        <f>IF(M4&lt;&gt;"","&lt;vk kbd="""&amp;M$1&amp;""" vk="""&amp;M4&amp;""""&amp;IF(Scan2VKFlags!J4&lt;&gt;""," flags="""&amp;Scan2VKFlags!J4&amp;"""","")&amp;"/&gt;","")</f>
        <v>&lt;vk kbd="16" vk="'1'"/&gt;</v>
      </c>
      <c r="AO4" t="str">
        <f>IF(N4&lt;&gt;"","&lt;vk kbd="""&amp;N$1&amp;""" vk="""&amp;N4&amp;""""&amp;IF(Scan2VKFlags!K4&lt;&gt;""," flags="""&amp;Scan2VKFlags!K4&amp;"""","")&amp;"/&gt;","")</f>
        <v>&lt;vk kbd="10" vk="'1'"/&gt;</v>
      </c>
      <c r="AP4" t="str">
        <f>IF(O4&lt;&gt;"","&lt;vk kbd="""&amp;O$1&amp;""" vk="""&amp;O4&amp;""""&amp;IF(Scan2VKFlags!L4&lt;&gt;""," flags="""&amp;Scan2VKFlags!L4&amp;"""","")&amp;"/&gt;","")</f>
        <v>&lt;vk kbd="11" vk="'1'"/&gt;</v>
      </c>
      <c r="AQ4" t="str">
        <f>IF(P4&lt;&gt;"","&lt;vk kbd="""&amp;P$1&amp;""" vk="""&amp;P4&amp;""""&amp;IF(Scan2VKFlags!M4&lt;&gt;""," flags="""&amp;Scan2VKFlags!M4&amp;"""","")&amp;"/&gt;","")</f>
        <v>&lt;vk kbd="12" vk="'1'"/&gt;</v>
      </c>
      <c r="AR4" s="16" t="str">
        <f>IF(Q4&lt;&gt;"","&lt;vk kbd="""&amp;Q$1&amp;""" vk="""&amp;Q4&amp;""""&amp;IF(Scan2VKFlags!N4&lt;&gt;""," flags="""&amp;Scan2VKFlags!N4&amp;"""","")&amp;"/&gt;","")</f>
        <v>&lt;vk kbd="13" vk="'1'"/&gt;</v>
      </c>
      <c r="AS4" s="3" t="str">
        <f>IF(S4&lt;&gt;"","&lt;vk kbd="""&amp;S$1&amp;""" vk="""&amp;S4&amp;""""&amp;IF(Scan2VKFlags!O4&lt;&gt;""," flags="""&amp;Scan2VKFlags!O4&amp;"""","")&amp;"/&gt;","")</f>
        <v>&lt;vk kbd="20" vk="'1'"/&gt;</v>
      </c>
      <c r="AT4" t="str">
        <f>IF(T4&lt;&gt;"","&lt;vk kbd="""&amp;T$1&amp;""" vk="""&amp;T4&amp;""""&amp;IF(Scan2VKFlags!P4&lt;&gt;""," flags="""&amp;Scan2VKFlags!P4&amp;"""","")&amp;"/&gt;","")</f>
        <v>&lt;vk kbd="21" vk="'1'"/&gt;</v>
      </c>
      <c r="AU4" s="16" t="str">
        <f>IF(U4&lt;&gt;"","&lt;vk kbd="""&amp;U$1&amp;""" vk="""&amp;U4&amp;""""&amp;IF(Scan2VKFlags!Q4&lt;&gt;""," flags="""&amp;Scan2VKFlags!Q4&amp;"""","")&amp;"/&gt;","")</f>
        <v>&lt;vk kbd="22" vk="'1'"/&gt;</v>
      </c>
      <c r="AV4" s="3" t="str">
        <f>IF(W4&lt;&gt;"","&lt;vk kbd="""&amp;W$1&amp;""" vk="""&amp;W4&amp;""""&amp;IF(Scan2VKFlags!R4&lt;&gt;""," flags="""&amp;Scan2VKFlags!R4&amp;"""","")&amp;"/&gt;","")</f>
        <v>&lt;vk kbd="30" vk="'1'"/&gt;</v>
      </c>
      <c r="AW4" s="15" t="str">
        <f>IF(X4&lt;&gt;"","&lt;vk kbd="""&amp;X$1&amp;""" vk="""&amp;X4&amp;""""&amp;IF(Scan2VKFlags!S4&lt;&gt;""," flags="""&amp;Scan2VKFlags!S4&amp;"""","")&amp;"/&gt;","")</f>
        <v>&lt;vk kbd="33" vk="'1'"/&gt;</v>
      </c>
      <c r="AX4" s="15" t="str">
        <f>IF(Y4&lt;&gt;"","&lt;vk kbd="""&amp;Y$1&amp;""" vk="""&amp;Y4&amp;""""&amp;IF(Scan2VKFlags!T4&lt;&gt;""," flags="""&amp;Scan2VKFlags!T4&amp;"""","")&amp;"/&gt;","")</f>
        <v>&lt;vk kbd="34" vk="'1'"/&gt;</v>
      </c>
      <c r="AY4" s="18" t="str">
        <f>IF(AA4&lt;&gt;"","&lt;vk kbd="""&amp;AA$1&amp;""" vk="""&amp;AA4&amp;""""&amp;IF(Scan2VKFlags!U4&lt;&gt;""," flags="""&amp;Scan2VKFlags!U4&amp;"""","")&amp;"/&gt;","")</f>
        <v>&lt;vk kbd="37" vk="'2'"/&gt;</v>
      </c>
      <c r="AZ4" s="3" t="str">
        <f>IF(AC4&lt;&gt;"","&lt;vk kbd="""&amp;AC$1&amp;""" vk="""&amp;AC4&amp;""""&amp;IF(Scan2VKFlags!V4&lt;&gt;""," flags="""&amp;Scan2VKFlags!V4&amp;"""","")&amp;"/&gt;","")</f>
        <v>&lt;vk kbd="40" vk="'1'"/&gt;</v>
      </c>
      <c r="BA4" s="16" t="str">
        <f>IF(AD4&lt;&gt;"","&lt;vk kbd="""&amp;AD$1&amp;""" vk="""&amp;AD4&amp;""""&amp;IF(Scan2VKFlags!W4&lt;&gt;""," flags="""&amp;Scan2VKFlags!W4&amp;"""","")&amp;"/&gt;","")</f>
        <v>&lt;vk kbd="41" vk="'1'"/&gt;</v>
      </c>
      <c r="BB4" t="s">
        <v>854</v>
      </c>
    </row>
    <row r="5" spans="1:54" x14ac:dyDescent="0.25">
      <c r="A5">
        <f t="shared" si="7"/>
        <v>3</v>
      </c>
      <c r="B5" t="str">
        <f t="shared" si="4"/>
        <v>T03</v>
      </c>
      <c r="C5" s="7" t="s">
        <v>3</v>
      </c>
      <c r="D5" s="12" t="str">
        <f>trimtext(SplitText($C5,",",0))</f>
        <v>'2'</v>
      </c>
      <c r="E5" s="12" t="str">
        <f>IF(SplitText($C5,",",COLUMN(E:E)-COLUMN($D:$D))="",$D5,trimtext(SplitText($C5,",",COLUMN(E:E)-COLUMN($D:$D))))</f>
        <v>'2'</v>
      </c>
      <c r="F5" s="12" t="str">
        <f>IF(SplitText($C5,",",COLUMN(F:F)-COLUMN($D:$D))="",$D5,trimtext(SplitText($C5,",",COLUMN(F:F)-COLUMN($D:$D))))</f>
        <v>'2'</v>
      </c>
      <c r="G5" s="12" t="str">
        <f>IF(SplitText($C5,",",COLUMN(G:G)-COLUMN($D:$D))="",$D5,trimtext(SplitText($C5,",",COLUMN(G:G)-COLUMN($D:$D))))</f>
        <v>'2'</v>
      </c>
      <c r="H5" s="12" t="str">
        <f>IF(SplitText($C5,",",COLUMN(H:H)-COLUMN($D:$D))="",$D5,trimtext(SplitText($C5,",",COLUMN(H:H)-COLUMN($D:$D))))</f>
        <v>'2'</v>
      </c>
      <c r="I5" s="12" t="str">
        <f>IF(SplitText($C5,",",COLUMN(I:I)-COLUMN($D:$D))="",$D5,trimtext(SplitText($C5,",",COLUMN(I:I)-COLUMN($D:$D))))</f>
        <v>'2'</v>
      </c>
      <c r="J5" s="9" t="s">
        <v>188</v>
      </c>
      <c r="K5" s="12" t="str">
        <f>trimtext(SplitText($J5,",",0))</f>
        <v>'2'</v>
      </c>
      <c r="L5" s="12" t="str">
        <f>IF(SplitText($J5,",",COLUMN(L:L)-COLUMN($K:$K))="",$K5,trimtext(SplitText($J5,",",COLUMN(L:L)-COLUMN($K:$K))))</f>
        <v>'2'</v>
      </c>
      <c r="M5" s="12" t="str">
        <f>IF(SplitText($J5,",",COLUMN(M:M)-COLUMN($K:$K))="",$K5,trimtext(SplitText($J5,",",COLUMN(M:M)-COLUMN($K:$K))))</f>
        <v>'2'</v>
      </c>
      <c r="N5" s="12" t="str">
        <f>IF(SplitText($J5,",",COLUMN(N:N)-COLUMN($K:$K))="",$K5,trimtext(SplitText($J5,",",COLUMN(N:N)-COLUMN($K:$K))))</f>
        <v>'2'</v>
      </c>
      <c r="O5" s="12" t="str">
        <f>IF(SplitText($J5,",",COLUMN(O:O)-COLUMN($K:$K))="",$K5,trimtext(SplitText($J5,",",COLUMN(O:O)-COLUMN($K:$K))))</f>
        <v>'2'</v>
      </c>
      <c r="P5" s="12" t="str">
        <f>IF(SplitText($J5,",",COLUMN(P:P)-COLUMN($K:$K))="",$K5,trimtext(SplitText($J5,",",COLUMN(P:P)-COLUMN($K:$K))))</f>
        <v>'2'</v>
      </c>
      <c r="Q5" s="12" t="str">
        <f>IF(SplitText($J5,",",COLUMN(Q:Q)-COLUMN($K:$K))="",$K5,trimtext(SplitText($J5,",",COLUMN(Q:Q)-COLUMN($K:$K))))</f>
        <v>'2'</v>
      </c>
      <c r="R5" s="2" t="s">
        <v>345</v>
      </c>
      <c r="S5" s="12" t="str">
        <f>trimtext(SplitText($R5,",",0))</f>
        <v>'2'</v>
      </c>
      <c r="T5" s="12" t="str">
        <f>IF(SplitText($R5,",",COLUMN(T:T)-COLUMN($S:$S))="",$S5,trimtext(SplitText($R5,",",COLUMN(T:T)-COLUMN($S:$S))))</f>
        <v>'2'</v>
      </c>
      <c r="U5" s="12" t="str">
        <f>IF(SplitText($R5,",",COLUMN(U:U)-COLUMN($S:$S))="",$S5,trimtext(SplitText($R5,",",COLUMN(U:U)-COLUMN($S:$S))))</f>
        <v>'2'</v>
      </c>
      <c r="V5" s="23" t="s">
        <v>510</v>
      </c>
      <c r="W5" s="12" t="str">
        <f>trimtext(SplitText($V5,",",0))</f>
        <v>'2'</v>
      </c>
      <c r="X5" s="12" t="str">
        <f>IF(SplitText($V5,",",COLUMN(X:X)-COLUMN($W:$W))="",$W5,trimtext(SplitText($V5,",",COLUMN(X:X)-COLUMN($W:$W))))</f>
        <v>'2'</v>
      </c>
      <c r="Y5" s="12" t="str">
        <f>IF(SplitText($V5,",",COLUMN(Y:Y)-COLUMN($W:$W))="",$W5,trimtext(SplitText($V5,",",COLUMN(Y:Y)-COLUMN($W:$W))))</f>
        <v>'2'</v>
      </c>
      <c r="Z5" s="23" t="s">
        <v>635</v>
      </c>
      <c r="AA5" s="12" t="str">
        <f t="shared" si="5"/>
        <v>'3'</v>
      </c>
      <c r="AB5" s="2" t="s">
        <v>746</v>
      </c>
      <c r="AC5" s="12" t="str">
        <f>trimtext(SplitText($AB5,",",0))</f>
        <v>'2'</v>
      </c>
      <c r="AD5" s="12" t="str">
        <f>IF(SplitText($AB5,",",COLUMN(AD:AD)-COLUMN($AC:$AC))="",$AC5,trimtext(SplitText($AB5,",",COLUMN(AD:AD)-COLUMN($AC:$AC))))</f>
        <v>'2'</v>
      </c>
      <c r="AE5" s="18" t="str">
        <f t="shared" si="6"/>
        <v>&lt;xs:enumeration value="T03"&gt;&lt;xs:annotation&gt;&lt;xs:documentation&gt;Typically '2' for keyboard type 4, different values for different keyboard types&lt;/xs:documentation&gt;&lt;xs:appinfo&gt;&lt;default-vk&gt;</v>
      </c>
      <c r="AF5" s="15" t="str">
        <f>IF(D5&lt;&gt;"","&lt;vk kbd="""&amp;D$1&amp;""" vk="""&amp;D5&amp;""""&amp;IF(Scan2VKFlags!B5&lt;&gt;""," flags="""&amp;Scan2VKFlags!B5&amp;"""","")&amp;"/&gt;","")</f>
        <v>&lt;vk kbd="1" vk="'2'"/&gt;</v>
      </c>
      <c r="AG5" s="15" t="str">
        <f>IF(E5&lt;&gt;"","&lt;vk kbd="""&amp;E$1&amp;""" vk="""&amp;E5&amp;""""&amp;IF(Scan2VKFlags!C5&lt;&gt;""," flags="""&amp;Scan2VKFlags!C5&amp;"""","")&amp;"/&gt;","")</f>
        <v>&lt;vk kbd="2" vk="'2'"/&gt;</v>
      </c>
      <c r="AH5" s="15" t="str">
        <f>IF(F5&lt;&gt;"","&lt;vk kbd="""&amp;F$1&amp;""" vk="""&amp;F5&amp;""""&amp;IF(Scan2VKFlags!D5&lt;&gt;""," flags="""&amp;Scan2VKFlags!D5&amp;"""","")&amp;"/&gt;","")</f>
        <v>&lt;vk kbd="3" vk="'2'"/&gt;</v>
      </c>
      <c r="AI5" s="15" t="str">
        <f>IF(G5&lt;&gt;"","&lt;vk kbd="""&amp;G$1&amp;""" vk="""&amp;G5&amp;""""&amp;IF(Scan2VKFlags!E5&lt;&gt;""," flags="""&amp;Scan2VKFlags!E5&amp;"""","")&amp;"/&gt;","")</f>
        <v>&lt;vk kbd="4" vk="'2'"/&gt;</v>
      </c>
      <c r="AJ5" s="15" t="str">
        <f>IF(H5&lt;&gt;"","&lt;vk kbd="""&amp;H$1&amp;""" vk="""&amp;H5&amp;""""&amp;IF(Scan2VKFlags!F5&lt;&gt;""," flags="""&amp;Scan2VKFlags!F5&amp;"""","")&amp;"/&gt;","")</f>
        <v>&lt;vk kbd="5" vk="'2'"/&gt;</v>
      </c>
      <c r="AK5" s="16" t="str">
        <f>IF(I5&lt;&gt;"","&lt;vk kbd="""&amp;I$1&amp;""" vk="""&amp;I5&amp;""""&amp;IF(Scan2VKFlags!G5&lt;&gt;""," flags="""&amp;Scan2VKFlags!G5&amp;"""","")&amp;"/&gt;","")</f>
        <v>&lt;vk kbd="6" vk="'2'"/&gt;</v>
      </c>
      <c r="AL5" s="3" t="str">
        <f>IF(K5&lt;&gt;"","&lt;vk kbd="""&amp;K$1&amp;""" vk="""&amp;K5&amp;""""&amp;IF(Scan2VKFlags!H5&lt;&gt;""," flags="""&amp;Scan2VKFlags!H5&amp;"""","")&amp;"/&gt;","")</f>
        <v>&lt;vk kbd="7" vk="'2'"/&gt;</v>
      </c>
      <c r="AM5" t="str">
        <f>IF(L5&lt;&gt;"","&lt;vk kbd="""&amp;L$1&amp;""" vk="""&amp;L5&amp;""""&amp;IF(Scan2VKFlags!I5&lt;&gt;""," flags="""&amp;Scan2VKFlags!I5&amp;"""","")&amp;"/&gt;","")</f>
        <v>&lt;vk kbd="8" vk="'2'"/&gt;</v>
      </c>
      <c r="AN5" t="str">
        <f>IF(M5&lt;&gt;"","&lt;vk kbd="""&amp;M$1&amp;""" vk="""&amp;M5&amp;""""&amp;IF(Scan2VKFlags!J5&lt;&gt;""," flags="""&amp;Scan2VKFlags!J5&amp;"""","")&amp;"/&gt;","")</f>
        <v>&lt;vk kbd="16" vk="'2'"/&gt;</v>
      </c>
      <c r="AO5" t="str">
        <f>IF(N5&lt;&gt;"","&lt;vk kbd="""&amp;N$1&amp;""" vk="""&amp;N5&amp;""""&amp;IF(Scan2VKFlags!K5&lt;&gt;""," flags="""&amp;Scan2VKFlags!K5&amp;"""","")&amp;"/&gt;","")</f>
        <v>&lt;vk kbd="10" vk="'2'"/&gt;</v>
      </c>
      <c r="AP5" t="str">
        <f>IF(O5&lt;&gt;"","&lt;vk kbd="""&amp;O$1&amp;""" vk="""&amp;O5&amp;""""&amp;IF(Scan2VKFlags!L5&lt;&gt;""," flags="""&amp;Scan2VKFlags!L5&amp;"""","")&amp;"/&gt;","")</f>
        <v>&lt;vk kbd="11" vk="'2'"/&gt;</v>
      </c>
      <c r="AQ5" t="str">
        <f>IF(P5&lt;&gt;"","&lt;vk kbd="""&amp;P$1&amp;""" vk="""&amp;P5&amp;""""&amp;IF(Scan2VKFlags!M5&lt;&gt;""," flags="""&amp;Scan2VKFlags!M5&amp;"""","")&amp;"/&gt;","")</f>
        <v>&lt;vk kbd="12" vk="'2'"/&gt;</v>
      </c>
      <c r="AR5" s="16" t="str">
        <f>IF(Q5&lt;&gt;"","&lt;vk kbd="""&amp;Q$1&amp;""" vk="""&amp;Q5&amp;""""&amp;IF(Scan2VKFlags!N5&lt;&gt;""," flags="""&amp;Scan2VKFlags!N5&amp;"""","")&amp;"/&gt;","")</f>
        <v>&lt;vk kbd="13" vk="'2'"/&gt;</v>
      </c>
      <c r="AS5" s="3" t="str">
        <f>IF(S5&lt;&gt;"","&lt;vk kbd="""&amp;S$1&amp;""" vk="""&amp;S5&amp;""""&amp;IF(Scan2VKFlags!O5&lt;&gt;""," flags="""&amp;Scan2VKFlags!O5&amp;"""","")&amp;"/&gt;","")</f>
        <v>&lt;vk kbd="20" vk="'2'"/&gt;</v>
      </c>
      <c r="AT5" t="str">
        <f>IF(T5&lt;&gt;"","&lt;vk kbd="""&amp;T$1&amp;""" vk="""&amp;T5&amp;""""&amp;IF(Scan2VKFlags!P5&lt;&gt;""," flags="""&amp;Scan2VKFlags!P5&amp;"""","")&amp;"/&gt;","")</f>
        <v>&lt;vk kbd="21" vk="'2'"/&gt;</v>
      </c>
      <c r="AU5" s="16" t="str">
        <f>IF(U5&lt;&gt;"","&lt;vk kbd="""&amp;U$1&amp;""" vk="""&amp;U5&amp;""""&amp;IF(Scan2VKFlags!Q5&lt;&gt;""," flags="""&amp;Scan2VKFlags!Q5&amp;"""","")&amp;"/&gt;","")</f>
        <v>&lt;vk kbd="22" vk="'2'"/&gt;</v>
      </c>
      <c r="AV5" s="3" t="str">
        <f>IF(W5&lt;&gt;"","&lt;vk kbd="""&amp;W$1&amp;""" vk="""&amp;W5&amp;""""&amp;IF(Scan2VKFlags!R5&lt;&gt;""," flags="""&amp;Scan2VKFlags!R5&amp;"""","")&amp;"/&gt;","")</f>
        <v>&lt;vk kbd="30" vk="'2'"/&gt;</v>
      </c>
      <c r="AW5" s="15" t="str">
        <f>IF(X5&lt;&gt;"","&lt;vk kbd="""&amp;X$1&amp;""" vk="""&amp;X5&amp;""""&amp;IF(Scan2VKFlags!S5&lt;&gt;""," flags="""&amp;Scan2VKFlags!S5&amp;"""","")&amp;"/&gt;","")</f>
        <v>&lt;vk kbd="33" vk="'2'"/&gt;</v>
      </c>
      <c r="AX5" s="15" t="str">
        <f>IF(Y5&lt;&gt;"","&lt;vk kbd="""&amp;Y$1&amp;""" vk="""&amp;Y5&amp;""""&amp;IF(Scan2VKFlags!T5&lt;&gt;""," flags="""&amp;Scan2VKFlags!T5&amp;"""","")&amp;"/&gt;","")</f>
        <v>&lt;vk kbd="34" vk="'2'"/&gt;</v>
      </c>
      <c r="AY5" s="18" t="str">
        <f>IF(AA5&lt;&gt;"","&lt;vk kbd="""&amp;AA$1&amp;""" vk="""&amp;AA5&amp;""""&amp;IF(Scan2VKFlags!U5&lt;&gt;""," flags="""&amp;Scan2VKFlags!U5&amp;"""","")&amp;"/&gt;","")</f>
        <v>&lt;vk kbd="37" vk="'3'"/&gt;</v>
      </c>
      <c r="AZ5" s="3" t="str">
        <f>IF(AC5&lt;&gt;"","&lt;vk kbd="""&amp;AC$1&amp;""" vk="""&amp;AC5&amp;""""&amp;IF(Scan2VKFlags!V5&lt;&gt;""," flags="""&amp;Scan2VKFlags!V5&amp;"""","")&amp;"/&gt;","")</f>
        <v>&lt;vk kbd="40" vk="'2'"/&gt;</v>
      </c>
      <c r="BA5" s="16" t="str">
        <f>IF(AD5&lt;&gt;"","&lt;vk kbd="""&amp;AD$1&amp;""" vk="""&amp;AD5&amp;""""&amp;IF(Scan2VKFlags!W5&lt;&gt;""," flags="""&amp;Scan2VKFlags!W5&amp;"""","")&amp;"/&gt;","")</f>
        <v>&lt;vk kbd="41" vk="'2'"/&gt;</v>
      </c>
      <c r="BB5" t="s">
        <v>854</v>
      </c>
    </row>
    <row r="6" spans="1:54" x14ac:dyDescent="0.25">
      <c r="A6">
        <f t="shared" si="7"/>
        <v>4</v>
      </c>
      <c r="B6" t="str">
        <f t="shared" si="4"/>
        <v>T04</v>
      </c>
      <c r="C6" s="7" t="s">
        <v>4</v>
      </c>
      <c r="D6" s="12" t="str">
        <f>trimtext(SplitText($C6,",",0))</f>
        <v>'3'</v>
      </c>
      <c r="E6" s="12" t="str">
        <f>IF(SplitText($C6,",",COLUMN(E:E)-COLUMN($D:$D))="",$D6,trimtext(SplitText($C6,",",COLUMN(E:E)-COLUMN($D:$D))))</f>
        <v>'3'</v>
      </c>
      <c r="F6" s="12" t="str">
        <f>IF(SplitText($C6,",",COLUMN(F:F)-COLUMN($D:$D))="",$D6,trimtext(SplitText($C6,",",COLUMN(F:F)-COLUMN($D:$D))))</f>
        <v>'3'</v>
      </c>
      <c r="G6" s="12" t="str">
        <f>IF(SplitText($C6,",",COLUMN(G:G)-COLUMN($D:$D))="",$D6,trimtext(SplitText($C6,",",COLUMN(G:G)-COLUMN($D:$D))))</f>
        <v>'3'</v>
      </c>
      <c r="H6" s="12" t="str">
        <f>IF(SplitText($C6,",",COLUMN(H:H)-COLUMN($D:$D))="",$D6,trimtext(SplitText($C6,",",COLUMN(H:H)-COLUMN($D:$D))))</f>
        <v>'3'</v>
      </c>
      <c r="I6" s="12" t="str">
        <f>IF(SplitText($C6,",",COLUMN(I:I)-COLUMN($D:$D))="",$D6,trimtext(SplitText($C6,",",COLUMN(I:I)-COLUMN($D:$D))))</f>
        <v>'3'</v>
      </c>
      <c r="J6" s="9" t="s">
        <v>189</v>
      </c>
      <c r="K6" s="12" t="str">
        <f>trimtext(SplitText($J6,",",0))</f>
        <v>'3'</v>
      </c>
      <c r="L6" s="12" t="str">
        <f>IF(SplitText($J6,",",COLUMN(L:L)-COLUMN($K:$K))="",$K6,trimtext(SplitText($J6,",",COLUMN(L:L)-COLUMN($K:$K))))</f>
        <v>'3'</v>
      </c>
      <c r="M6" s="12" t="str">
        <f>IF(SplitText($J6,",",COLUMN(M:M)-COLUMN($K:$K))="",$K6,trimtext(SplitText($J6,",",COLUMN(M:M)-COLUMN($K:$K))))</f>
        <v>'3'</v>
      </c>
      <c r="N6" s="12" t="str">
        <f>IF(SplitText($J6,",",COLUMN(N:N)-COLUMN($K:$K))="",$K6,trimtext(SplitText($J6,",",COLUMN(N:N)-COLUMN($K:$K))))</f>
        <v>'3'</v>
      </c>
      <c r="O6" s="12" t="str">
        <f>IF(SplitText($J6,",",COLUMN(O:O)-COLUMN($K:$K))="",$K6,trimtext(SplitText($J6,",",COLUMN(O:O)-COLUMN($K:$K))))</f>
        <v>'3'</v>
      </c>
      <c r="P6" s="12" t="str">
        <f>IF(SplitText($J6,",",COLUMN(P:P)-COLUMN($K:$K))="",$K6,trimtext(SplitText($J6,",",COLUMN(P:P)-COLUMN($K:$K))))</f>
        <v>'3'</v>
      </c>
      <c r="Q6" s="12" t="str">
        <f>IF(SplitText($J6,",",COLUMN(Q:Q)-COLUMN($K:$K))="",$K6,trimtext(SplitText($J6,",",COLUMN(Q:Q)-COLUMN($K:$K))))</f>
        <v>'3'</v>
      </c>
      <c r="R6" s="2" t="s">
        <v>346</v>
      </c>
      <c r="S6" s="12" t="str">
        <f>trimtext(SplitText($R6,",",0))</f>
        <v>'3'</v>
      </c>
      <c r="T6" s="12" t="str">
        <f>IF(SplitText($R6,",",COLUMN(T:T)-COLUMN($S:$S))="",$S6,trimtext(SplitText($R6,",",COLUMN(T:T)-COLUMN($S:$S))))</f>
        <v>'3'</v>
      </c>
      <c r="U6" s="12" t="str">
        <f>IF(SplitText($R6,",",COLUMN(U:U)-COLUMN($S:$S))="",$S6,trimtext(SplitText($R6,",",COLUMN(U:U)-COLUMN($S:$S))))</f>
        <v>'3'</v>
      </c>
      <c r="V6" s="23" t="s">
        <v>511</v>
      </c>
      <c r="W6" s="12" t="str">
        <f>trimtext(SplitText($V6,",",0))</f>
        <v>'3'</v>
      </c>
      <c r="X6" s="12" t="str">
        <f>IF(SplitText($V6,",",COLUMN(X:X)-COLUMN($W:$W))="",$W6,trimtext(SplitText($V6,",",COLUMN(X:X)-COLUMN($W:$W))))</f>
        <v>'3'</v>
      </c>
      <c r="Y6" s="12" t="str">
        <f>IF(SplitText($V6,",",COLUMN(Y:Y)-COLUMN($W:$W))="",$W6,trimtext(SplitText($V6,",",COLUMN(Y:Y)-COLUMN($W:$W))))</f>
        <v>'3'</v>
      </c>
      <c r="Z6" s="23" t="s">
        <v>636</v>
      </c>
      <c r="AA6" s="12" t="str">
        <f t="shared" si="5"/>
        <v>'4'</v>
      </c>
      <c r="AB6" s="2" t="s">
        <v>747</v>
      </c>
      <c r="AC6" s="12" t="str">
        <f>trimtext(SplitText($AB6,",",0))</f>
        <v>'3'</v>
      </c>
      <c r="AD6" s="12" t="str">
        <f>IF(SplitText($AB6,",",COLUMN(AD:AD)-COLUMN($AC:$AC))="",$AC6,trimtext(SplitText($AB6,",",COLUMN(AD:AD)-COLUMN($AC:$AC))))</f>
        <v>'3'</v>
      </c>
      <c r="AE6" s="18" t="str">
        <f t="shared" si="6"/>
        <v>&lt;xs:enumeration value="T04"&gt;&lt;xs:annotation&gt;&lt;xs:documentation&gt;Typically '3' for keyboard type 4, different values for different keyboard types&lt;/xs:documentation&gt;&lt;xs:appinfo&gt;&lt;default-vk&gt;</v>
      </c>
      <c r="AF6" s="15" t="str">
        <f>IF(D6&lt;&gt;"","&lt;vk kbd="""&amp;D$1&amp;""" vk="""&amp;D6&amp;""""&amp;IF(Scan2VKFlags!B6&lt;&gt;""," flags="""&amp;Scan2VKFlags!B6&amp;"""","")&amp;"/&gt;","")</f>
        <v>&lt;vk kbd="1" vk="'3'"/&gt;</v>
      </c>
      <c r="AG6" s="15" t="str">
        <f>IF(E6&lt;&gt;"","&lt;vk kbd="""&amp;E$1&amp;""" vk="""&amp;E6&amp;""""&amp;IF(Scan2VKFlags!C6&lt;&gt;""," flags="""&amp;Scan2VKFlags!C6&amp;"""","")&amp;"/&gt;","")</f>
        <v>&lt;vk kbd="2" vk="'3'"/&gt;</v>
      </c>
      <c r="AH6" s="15" t="str">
        <f>IF(F6&lt;&gt;"","&lt;vk kbd="""&amp;F$1&amp;""" vk="""&amp;F6&amp;""""&amp;IF(Scan2VKFlags!D6&lt;&gt;""," flags="""&amp;Scan2VKFlags!D6&amp;"""","")&amp;"/&gt;","")</f>
        <v>&lt;vk kbd="3" vk="'3'"/&gt;</v>
      </c>
      <c r="AI6" s="15" t="str">
        <f>IF(G6&lt;&gt;"","&lt;vk kbd="""&amp;G$1&amp;""" vk="""&amp;G6&amp;""""&amp;IF(Scan2VKFlags!E6&lt;&gt;""," flags="""&amp;Scan2VKFlags!E6&amp;"""","")&amp;"/&gt;","")</f>
        <v>&lt;vk kbd="4" vk="'3'"/&gt;</v>
      </c>
      <c r="AJ6" s="15" t="str">
        <f>IF(H6&lt;&gt;"","&lt;vk kbd="""&amp;H$1&amp;""" vk="""&amp;H6&amp;""""&amp;IF(Scan2VKFlags!F6&lt;&gt;""," flags="""&amp;Scan2VKFlags!F6&amp;"""","")&amp;"/&gt;","")</f>
        <v>&lt;vk kbd="5" vk="'3'"/&gt;</v>
      </c>
      <c r="AK6" s="16" t="str">
        <f>IF(I6&lt;&gt;"","&lt;vk kbd="""&amp;I$1&amp;""" vk="""&amp;I6&amp;""""&amp;IF(Scan2VKFlags!G6&lt;&gt;""," flags="""&amp;Scan2VKFlags!G6&amp;"""","")&amp;"/&gt;","")</f>
        <v>&lt;vk kbd="6" vk="'3'"/&gt;</v>
      </c>
      <c r="AL6" s="3" t="str">
        <f>IF(K6&lt;&gt;"","&lt;vk kbd="""&amp;K$1&amp;""" vk="""&amp;K6&amp;""""&amp;IF(Scan2VKFlags!H6&lt;&gt;""," flags="""&amp;Scan2VKFlags!H6&amp;"""","")&amp;"/&gt;","")</f>
        <v>&lt;vk kbd="7" vk="'3'"/&gt;</v>
      </c>
      <c r="AM6" t="str">
        <f>IF(L6&lt;&gt;"","&lt;vk kbd="""&amp;L$1&amp;""" vk="""&amp;L6&amp;""""&amp;IF(Scan2VKFlags!I6&lt;&gt;""," flags="""&amp;Scan2VKFlags!I6&amp;"""","")&amp;"/&gt;","")</f>
        <v>&lt;vk kbd="8" vk="'3'"/&gt;</v>
      </c>
      <c r="AN6" t="str">
        <f>IF(M6&lt;&gt;"","&lt;vk kbd="""&amp;M$1&amp;""" vk="""&amp;M6&amp;""""&amp;IF(Scan2VKFlags!J6&lt;&gt;""," flags="""&amp;Scan2VKFlags!J6&amp;"""","")&amp;"/&gt;","")</f>
        <v>&lt;vk kbd="16" vk="'3'"/&gt;</v>
      </c>
      <c r="AO6" t="str">
        <f>IF(N6&lt;&gt;"","&lt;vk kbd="""&amp;N$1&amp;""" vk="""&amp;N6&amp;""""&amp;IF(Scan2VKFlags!K6&lt;&gt;""," flags="""&amp;Scan2VKFlags!K6&amp;"""","")&amp;"/&gt;","")</f>
        <v>&lt;vk kbd="10" vk="'3'"/&gt;</v>
      </c>
      <c r="AP6" t="str">
        <f>IF(O6&lt;&gt;"","&lt;vk kbd="""&amp;O$1&amp;""" vk="""&amp;O6&amp;""""&amp;IF(Scan2VKFlags!L6&lt;&gt;""," flags="""&amp;Scan2VKFlags!L6&amp;"""","")&amp;"/&gt;","")</f>
        <v>&lt;vk kbd="11" vk="'3'"/&gt;</v>
      </c>
      <c r="AQ6" t="str">
        <f>IF(P6&lt;&gt;"","&lt;vk kbd="""&amp;P$1&amp;""" vk="""&amp;P6&amp;""""&amp;IF(Scan2VKFlags!M6&lt;&gt;""," flags="""&amp;Scan2VKFlags!M6&amp;"""","")&amp;"/&gt;","")</f>
        <v>&lt;vk kbd="12" vk="'3'"/&gt;</v>
      </c>
      <c r="AR6" s="16" t="str">
        <f>IF(Q6&lt;&gt;"","&lt;vk kbd="""&amp;Q$1&amp;""" vk="""&amp;Q6&amp;""""&amp;IF(Scan2VKFlags!N6&lt;&gt;""," flags="""&amp;Scan2VKFlags!N6&amp;"""","")&amp;"/&gt;","")</f>
        <v>&lt;vk kbd="13" vk="'3'"/&gt;</v>
      </c>
      <c r="AS6" s="3" t="str">
        <f>IF(S6&lt;&gt;"","&lt;vk kbd="""&amp;S$1&amp;""" vk="""&amp;S6&amp;""""&amp;IF(Scan2VKFlags!O6&lt;&gt;""," flags="""&amp;Scan2VKFlags!O6&amp;"""","")&amp;"/&gt;","")</f>
        <v>&lt;vk kbd="20" vk="'3'"/&gt;</v>
      </c>
      <c r="AT6" t="str">
        <f>IF(T6&lt;&gt;"","&lt;vk kbd="""&amp;T$1&amp;""" vk="""&amp;T6&amp;""""&amp;IF(Scan2VKFlags!P6&lt;&gt;""," flags="""&amp;Scan2VKFlags!P6&amp;"""","")&amp;"/&gt;","")</f>
        <v>&lt;vk kbd="21" vk="'3'"/&gt;</v>
      </c>
      <c r="AU6" s="16" t="str">
        <f>IF(U6&lt;&gt;"","&lt;vk kbd="""&amp;U$1&amp;""" vk="""&amp;U6&amp;""""&amp;IF(Scan2VKFlags!Q6&lt;&gt;""," flags="""&amp;Scan2VKFlags!Q6&amp;"""","")&amp;"/&gt;","")</f>
        <v>&lt;vk kbd="22" vk="'3'"/&gt;</v>
      </c>
      <c r="AV6" s="3" t="str">
        <f>IF(W6&lt;&gt;"","&lt;vk kbd="""&amp;W$1&amp;""" vk="""&amp;W6&amp;""""&amp;IF(Scan2VKFlags!R6&lt;&gt;""," flags="""&amp;Scan2VKFlags!R6&amp;"""","")&amp;"/&gt;","")</f>
        <v>&lt;vk kbd="30" vk="'3'"/&gt;</v>
      </c>
      <c r="AW6" s="15" t="str">
        <f>IF(X6&lt;&gt;"","&lt;vk kbd="""&amp;X$1&amp;""" vk="""&amp;X6&amp;""""&amp;IF(Scan2VKFlags!S6&lt;&gt;""," flags="""&amp;Scan2VKFlags!S6&amp;"""","")&amp;"/&gt;","")</f>
        <v>&lt;vk kbd="33" vk="'3'"/&gt;</v>
      </c>
      <c r="AX6" s="15" t="str">
        <f>IF(Y6&lt;&gt;"","&lt;vk kbd="""&amp;Y$1&amp;""" vk="""&amp;Y6&amp;""""&amp;IF(Scan2VKFlags!T6&lt;&gt;""," flags="""&amp;Scan2VKFlags!T6&amp;"""","")&amp;"/&gt;","")</f>
        <v>&lt;vk kbd="34" vk="'3'"/&gt;</v>
      </c>
      <c r="AY6" s="18" t="str">
        <f>IF(AA6&lt;&gt;"","&lt;vk kbd="""&amp;AA$1&amp;""" vk="""&amp;AA6&amp;""""&amp;IF(Scan2VKFlags!U6&lt;&gt;""," flags="""&amp;Scan2VKFlags!U6&amp;"""","")&amp;"/&gt;","")</f>
        <v>&lt;vk kbd="37" vk="'4'"/&gt;</v>
      </c>
      <c r="AZ6" s="3" t="str">
        <f>IF(AC6&lt;&gt;"","&lt;vk kbd="""&amp;AC$1&amp;""" vk="""&amp;AC6&amp;""""&amp;IF(Scan2VKFlags!V6&lt;&gt;""," flags="""&amp;Scan2VKFlags!V6&amp;"""","")&amp;"/&gt;","")</f>
        <v>&lt;vk kbd="40" vk="'3'"/&gt;</v>
      </c>
      <c r="BA6" s="16" t="str">
        <f>IF(AD6&lt;&gt;"","&lt;vk kbd="""&amp;AD$1&amp;""" vk="""&amp;AD6&amp;""""&amp;IF(Scan2VKFlags!W6&lt;&gt;""," flags="""&amp;Scan2VKFlags!W6&amp;"""","")&amp;"/&gt;","")</f>
        <v>&lt;vk kbd="41" vk="'3'"/&gt;</v>
      </c>
      <c r="BB6" t="s">
        <v>854</v>
      </c>
    </row>
    <row r="7" spans="1:54" x14ac:dyDescent="0.25">
      <c r="A7">
        <f t="shared" si="7"/>
        <v>5</v>
      </c>
      <c r="B7" t="str">
        <f t="shared" si="4"/>
        <v>T05</v>
      </c>
      <c r="C7" s="7" t="s">
        <v>5</v>
      </c>
      <c r="D7" s="12" t="str">
        <f>trimtext(SplitText($C7,",",0))</f>
        <v>'4'</v>
      </c>
      <c r="E7" s="12" t="str">
        <f>IF(SplitText($C7,",",COLUMN(E:E)-COLUMN($D:$D))="",$D7,trimtext(SplitText($C7,",",COLUMN(E:E)-COLUMN($D:$D))))</f>
        <v>'4'</v>
      </c>
      <c r="F7" s="12" t="str">
        <f>IF(SplitText($C7,",",COLUMN(F:F)-COLUMN($D:$D))="",$D7,trimtext(SplitText($C7,",",COLUMN(F:F)-COLUMN($D:$D))))</f>
        <v>'4'</v>
      </c>
      <c r="G7" s="12" t="str">
        <f>IF(SplitText($C7,",",COLUMN(G:G)-COLUMN($D:$D))="",$D7,trimtext(SplitText($C7,",",COLUMN(G:G)-COLUMN($D:$D))))</f>
        <v>'4'</v>
      </c>
      <c r="H7" s="12" t="str">
        <f>IF(SplitText($C7,",",COLUMN(H:H)-COLUMN($D:$D))="",$D7,trimtext(SplitText($C7,",",COLUMN(H:H)-COLUMN($D:$D))))</f>
        <v>'4'</v>
      </c>
      <c r="I7" s="12" t="str">
        <f>IF(SplitText($C7,",",COLUMN(I:I)-COLUMN($D:$D))="",$D7,trimtext(SplitText($C7,",",COLUMN(I:I)-COLUMN($D:$D))))</f>
        <v>'4'</v>
      </c>
      <c r="J7" s="9" t="s">
        <v>190</v>
      </c>
      <c r="K7" s="12" t="str">
        <f>trimtext(SplitText($J7,",",0))</f>
        <v>'4'</v>
      </c>
      <c r="L7" s="12" t="str">
        <f>IF(SplitText($J7,",",COLUMN(L:L)-COLUMN($K:$K))="",$K7,trimtext(SplitText($J7,",",COLUMN(L:L)-COLUMN($K:$K))))</f>
        <v>'4'</v>
      </c>
      <c r="M7" s="12" t="str">
        <f>IF(SplitText($J7,",",COLUMN(M:M)-COLUMN($K:$K))="",$K7,trimtext(SplitText($J7,",",COLUMN(M:M)-COLUMN($K:$K))))</f>
        <v>'4'</v>
      </c>
      <c r="N7" s="12" t="str">
        <f>IF(SplitText($J7,",",COLUMN(N:N)-COLUMN($K:$K))="",$K7,trimtext(SplitText($J7,",",COLUMN(N:N)-COLUMN($K:$K))))</f>
        <v>'4'</v>
      </c>
      <c r="O7" s="12" t="str">
        <f>IF(SplitText($J7,",",COLUMN(O:O)-COLUMN($K:$K))="",$K7,trimtext(SplitText($J7,",",COLUMN(O:O)-COLUMN($K:$K))))</f>
        <v>'4'</v>
      </c>
      <c r="P7" s="12" t="str">
        <f>IF(SplitText($J7,",",COLUMN(P:P)-COLUMN($K:$K))="",$K7,trimtext(SplitText($J7,",",COLUMN(P:P)-COLUMN($K:$K))))</f>
        <v>'4'</v>
      </c>
      <c r="Q7" s="12" t="str">
        <f>IF(SplitText($J7,",",COLUMN(Q:Q)-COLUMN($K:$K))="",$K7,trimtext(SplitText($J7,",",COLUMN(Q:Q)-COLUMN($K:$K))))</f>
        <v>'4'</v>
      </c>
      <c r="R7" s="2" t="s">
        <v>347</v>
      </c>
      <c r="S7" s="12" t="str">
        <f>trimtext(SplitText($R7,",",0))</f>
        <v>'4'</v>
      </c>
      <c r="T7" s="12" t="str">
        <f>IF(SplitText($R7,",",COLUMN(T:T)-COLUMN($S:$S))="",$S7,trimtext(SplitText($R7,",",COLUMN(T:T)-COLUMN($S:$S))))</f>
        <v>'4'</v>
      </c>
      <c r="U7" s="12" t="str">
        <f>IF(SplitText($R7,",",COLUMN(U:U)-COLUMN($S:$S))="",$S7,trimtext(SplitText($R7,",",COLUMN(U:U)-COLUMN($S:$S))))</f>
        <v>'4'</v>
      </c>
      <c r="V7" s="23" t="s">
        <v>512</v>
      </c>
      <c r="W7" s="12" t="str">
        <f>trimtext(SplitText($V7,",",0))</f>
        <v>'4'</v>
      </c>
      <c r="X7" s="12" t="str">
        <f>IF(SplitText($V7,",",COLUMN(X:X)-COLUMN($W:$W))="",$W7,trimtext(SplitText($V7,",",COLUMN(X:X)-COLUMN($W:$W))))</f>
        <v>'4'</v>
      </c>
      <c r="Y7" s="12" t="str">
        <f>IF(SplitText($V7,",",COLUMN(Y:Y)-COLUMN($W:$W))="",$W7,trimtext(SplitText($V7,",",COLUMN(Y:Y)-COLUMN($W:$W))))</f>
        <v>'4'</v>
      </c>
      <c r="Z7" s="23" t="s">
        <v>637</v>
      </c>
      <c r="AA7" s="12" t="str">
        <f t="shared" si="5"/>
        <v>'5'</v>
      </c>
      <c r="AB7" s="2" t="s">
        <v>748</v>
      </c>
      <c r="AC7" s="12" t="str">
        <f>trimtext(SplitText($AB7,",",0))</f>
        <v>'4'</v>
      </c>
      <c r="AD7" s="12" t="str">
        <f>IF(SplitText($AB7,",",COLUMN(AD:AD)-COLUMN($AC:$AC))="",$AC7,trimtext(SplitText($AB7,",",COLUMN(AD:AD)-COLUMN($AC:$AC))))</f>
        <v>'4'</v>
      </c>
      <c r="AE7" s="18" t="str">
        <f t="shared" si="6"/>
        <v>&lt;xs:enumeration value="T05"&gt;&lt;xs:annotation&gt;&lt;xs:documentation&gt;Typically '4' for keyboard type 4, different values for different keyboard types&lt;/xs:documentation&gt;&lt;xs:appinfo&gt;&lt;default-vk&gt;</v>
      </c>
      <c r="AF7" s="15" t="str">
        <f>IF(D7&lt;&gt;"","&lt;vk kbd="""&amp;D$1&amp;""" vk="""&amp;D7&amp;""""&amp;IF(Scan2VKFlags!B7&lt;&gt;""," flags="""&amp;Scan2VKFlags!B7&amp;"""","")&amp;"/&gt;","")</f>
        <v>&lt;vk kbd="1" vk="'4'"/&gt;</v>
      </c>
      <c r="AG7" s="15" t="str">
        <f>IF(E7&lt;&gt;"","&lt;vk kbd="""&amp;E$1&amp;""" vk="""&amp;E7&amp;""""&amp;IF(Scan2VKFlags!C7&lt;&gt;""," flags="""&amp;Scan2VKFlags!C7&amp;"""","")&amp;"/&gt;","")</f>
        <v>&lt;vk kbd="2" vk="'4'"/&gt;</v>
      </c>
      <c r="AH7" s="15" t="str">
        <f>IF(F7&lt;&gt;"","&lt;vk kbd="""&amp;F$1&amp;""" vk="""&amp;F7&amp;""""&amp;IF(Scan2VKFlags!D7&lt;&gt;""," flags="""&amp;Scan2VKFlags!D7&amp;"""","")&amp;"/&gt;","")</f>
        <v>&lt;vk kbd="3" vk="'4'"/&gt;</v>
      </c>
      <c r="AI7" s="15" t="str">
        <f>IF(G7&lt;&gt;"","&lt;vk kbd="""&amp;G$1&amp;""" vk="""&amp;G7&amp;""""&amp;IF(Scan2VKFlags!E7&lt;&gt;""," flags="""&amp;Scan2VKFlags!E7&amp;"""","")&amp;"/&gt;","")</f>
        <v>&lt;vk kbd="4" vk="'4'"/&gt;</v>
      </c>
      <c r="AJ7" s="15" t="str">
        <f>IF(H7&lt;&gt;"","&lt;vk kbd="""&amp;H$1&amp;""" vk="""&amp;H7&amp;""""&amp;IF(Scan2VKFlags!F7&lt;&gt;""," flags="""&amp;Scan2VKFlags!F7&amp;"""","")&amp;"/&gt;","")</f>
        <v>&lt;vk kbd="5" vk="'4'"/&gt;</v>
      </c>
      <c r="AK7" s="16" t="str">
        <f>IF(I7&lt;&gt;"","&lt;vk kbd="""&amp;I$1&amp;""" vk="""&amp;I7&amp;""""&amp;IF(Scan2VKFlags!G7&lt;&gt;""," flags="""&amp;Scan2VKFlags!G7&amp;"""","")&amp;"/&gt;","")</f>
        <v>&lt;vk kbd="6" vk="'4'"/&gt;</v>
      </c>
      <c r="AL7" s="3" t="str">
        <f>IF(K7&lt;&gt;"","&lt;vk kbd="""&amp;K$1&amp;""" vk="""&amp;K7&amp;""""&amp;IF(Scan2VKFlags!H7&lt;&gt;""," flags="""&amp;Scan2VKFlags!H7&amp;"""","")&amp;"/&gt;","")</f>
        <v>&lt;vk kbd="7" vk="'4'"/&gt;</v>
      </c>
      <c r="AM7" t="str">
        <f>IF(L7&lt;&gt;"","&lt;vk kbd="""&amp;L$1&amp;""" vk="""&amp;L7&amp;""""&amp;IF(Scan2VKFlags!I7&lt;&gt;""," flags="""&amp;Scan2VKFlags!I7&amp;"""","")&amp;"/&gt;","")</f>
        <v>&lt;vk kbd="8" vk="'4'"/&gt;</v>
      </c>
      <c r="AN7" t="str">
        <f>IF(M7&lt;&gt;"","&lt;vk kbd="""&amp;M$1&amp;""" vk="""&amp;M7&amp;""""&amp;IF(Scan2VKFlags!J7&lt;&gt;""," flags="""&amp;Scan2VKFlags!J7&amp;"""","")&amp;"/&gt;","")</f>
        <v>&lt;vk kbd="16" vk="'4'"/&gt;</v>
      </c>
      <c r="AO7" t="str">
        <f>IF(N7&lt;&gt;"","&lt;vk kbd="""&amp;N$1&amp;""" vk="""&amp;N7&amp;""""&amp;IF(Scan2VKFlags!K7&lt;&gt;""," flags="""&amp;Scan2VKFlags!K7&amp;"""","")&amp;"/&gt;","")</f>
        <v>&lt;vk kbd="10" vk="'4'"/&gt;</v>
      </c>
      <c r="AP7" t="str">
        <f>IF(O7&lt;&gt;"","&lt;vk kbd="""&amp;O$1&amp;""" vk="""&amp;O7&amp;""""&amp;IF(Scan2VKFlags!L7&lt;&gt;""," flags="""&amp;Scan2VKFlags!L7&amp;"""","")&amp;"/&gt;","")</f>
        <v>&lt;vk kbd="11" vk="'4'"/&gt;</v>
      </c>
      <c r="AQ7" t="str">
        <f>IF(P7&lt;&gt;"","&lt;vk kbd="""&amp;P$1&amp;""" vk="""&amp;P7&amp;""""&amp;IF(Scan2VKFlags!M7&lt;&gt;""," flags="""&amp;Scan2VKFlags!M7&amp;"""","")&amp;"/&gt;","")</f>
        <v>&lt;vk kbd="12" vk="'4'"/&gt;</v>
      </c>
      <c r="AR7" s="16" t="str">
        <f>IF(Q7&lt;&gt;"","&lt;vk kbd="""&amp;Q$1&amp;""" vk="""&amp;Q7&amp;""""&amp;IF(Scan2VKFlags!N7&lt;&gt;""," flags="""&amp;Scan2VKFlags!N7&amp;"""","")&amp;"/&gt;","")</f>
        <v>&lt;vk kbd="13" vk="'4'"/&gt;</v>
      </c>
      <c r="AS7" s="3" t="str">
        <f>IF(S7&lt;&gt;"","&lt;vk kbd="""&amp;S$1&amp;""" vk="""&amp;S7&amp;""""&amp;IF(Scan2VKFlags!O7&lt;&gt;""," flags="""&amp;Scan2VKFlags!O7&amp;"""","")&amp;"/&gt;","")</f>
        <v>&lt;vk kbd="20" vk="'4'"/&gt;</v>
      </c>
      <c r="AT7" t="str">
        <f>IF(T7&lt;&gt;"","&lt;vk kbd="""&amp;T$1&amp;""" vk="""&amp;T7&amp;""""&amp;IF(Scan2VKFlags!P7&lt;&gt;""," flags="""&amp;Scan2VKFlags!P7&amp;"""","")&amp;"/&gt;","")</f>
        <v>&lt;vk kbd="21" vk="'4'"/&gt;</v>
      </c>
      <c r="AU7" s="16" t="str">
        <f>IF(U7&lt;&gt;"","&lt;vk kbd="""&amp;U$1&amp;""" vk="""&amp;U7&amp;""""&amp;IF(Scan2VKFlags!Q7&lt;&gt;""," flags="""&amp;Scan2VKFlags!Q7&amp;"""","")&amp;"/&gt;","")</f>
        <v>&lt;vk kbd="22" vk="'4'"/&gt;</v>
      </c>
      <c r="AV7" s="3" t="str">
        <f>IF(W7&lt;&gt;"","&lt;vk kbd="""&amp;W$1&amp;""" vk="""&amp;W7&amp;""""&amp;IF(Scan2VKFlags!R7&lt;&gt;""," flags="""&amp;Scan2VKFlags!R7&amp;"""","")&amp;"/&gt;","")</f>
        <v>&lt;vk kbd="30" vk="'4'"/&gt;</v>
      </c>
      <c r="AW7" s="15" t="str">
        <f>IF(X7&lt;&gt;"","&lt;vk kbd="""&amp;X$1&amp;""" vk="""&amp;X7&amp;""""&amp;IF(Scan2VKFlags!S7&lt;&gt;""," flags="""&amp;Scan2VKFlags!S7&amp;"""","")&amp;"/&gt;","")</f>
        <v>&lt;vk kbd="33" vk="'4'"/&gt;</v>
      </c>
      <c r="AX7" s="15" t="str">
        <f>IF(Y7&lt;&gt;"","&lt;vk kbd="""&amp;Y$1&amp;""" vk="""&amp;Y7&amp;""""&amp;IF(Scan2VKFlags!T7&lt;&gt;""," flags="""&amp;Scan2VKFlags!T7&amp;"""","")&amp;"/&gt;","")</f>
        <v>&lt;vk kbd="34" vk="'4'"/&gt;</v>
      </c>
      <c r="AY7" s="18" t="str">
        <f>IF(AA7&lt;&gt;"","&lt;vk kbd="""&amp;AA$1&amp;""" vk="""&amp;AA7&amp;""""&amp;IF(Scan2VKFlags!U7&lt;&gt;""," flags="""&amp;Scan2VKFlags!U7&amp;"""","")&amp;"/&gt;","")</f>
        <v>&lt;vk kbd="37" vk="'5'"/&gt;</v>
      </c>
      <c r="AZ7" s="3" t="str">
        <f>IF(AC7&lt;&gt;"","&lt;vk kbd="""&amp;AC$1&amp;""" vk="""&amp;AC7&amp;""""&amp;IF(Scan2VKFlags!V7&lt;&gt;""," flags="""&amp;Scan2VKFlags!V7&amp;"""","")&amp;"/&gt;","")</f>
        <v>&lt;vk kbd="40" vk="'4'"/&gt;</v>
      </c>
      <c r="BA7" s="16" t="str">
        <f>IF(AD7&lt;&gt;"","&lt;vk kbd="""&amp;AD$1&amp;""" vk="""&amp;AD7&amp;""""&amp;IF(Scan2VKFlags!W7&lt;&gt;""," flags="""&amp;Scan2VKFlags!W7&amp;"""","")&amp;"/&gt;","")</f>
        <v>&lt;vk kbd="41" vk="'4'"/&gt;</v>
      </c>
      <c r="BB7" t="s">
        <v>854</v>
      </c>
    </row>
    <row r="8" spans="1:54" x14ac:dyDescent="0.25">
      <c r="A8">
        <f t="shared" si="7"/>
        <v>6</v>
      </c>
      <c r="B8" t="str">
        <f t="shared" si="4"/>
        <v>T06</v>
      </c>
      <c r="C8" s="7" t="s">
        <v>6</v>
      </c>
      <c r="D8" s="12" t="str">
        <f>trimtext(SplitText($C8,",",0))</f>
        <v>'5'</v>
      </c>
      <c r="E8" s="12" t="str">
        <f>IF(SplitText($C8,",",COLUMN(E:E)-COLUMN($D:$D))="",$D8,trimtext(SplitText($C8,",",COLUMN(E:E)-COLUMN($D:$D))))</f>
        <v>'5'</v>
      </c>
      <c r="F8" s="12" t="str">
        <f>IF(SplitText($C8,",",COLUMN(F:F)-COLUMN($D:$D))="",$D8,trimtext(SplitText($C8,",",COLUMN(F:F)-COLUMN($D:$D))))</f>
        <v>'5'</v>
      </c>
      <c r="G8" s="12" t="str">
        <f>IF(SplitText($C8,",",COLUMN(G:G)-COLUMN($D:$D))="",$D8,trimtext(SplitText($C8,",",COLUMN(G:G)-COLUMN($D:$D))))</f>
        <v>'5'</v>
      </c>
      <c r="H8" s="12" t="str">
        <f>IF(SplitText($C8,",",COLUMN(H:H)-COLUMN($D:$D))="",$D8,trimtext(SplitText($C8,",",COLUMN(H:H)-COLUMN($D:$D))))</f>
        <v>'5'</v>
      </c>
      <c r="I8" s="12" t="str">
        <f>IF(SplitText($C8,",",COLUMN(I:I)-COLUMN($D:$D))="",$D8,trimtext(SplitText($C8,",",COLUMN(I:I)-COLUMN($D:$D))))</f>
        <v>'5'</v>
      </c>
      <c r="J8" s="9" t="s">
        <v>191</v>
      </c>
      <c r="K8" s="12" t="str">
        <f>trimtext(SplitText($J8,",",0))</f>
        <v>'5'</v>
      </c>
      <c r="L8" s="12" t="str">
        <f>IF(SplitText($J8,",",COLUMN(L:L)-COLUMN($K:$K))="",$K8,trimtext(SplitText($J8,",",COLUMN(L:L)-COLUMN($K:$K))))</f>
        <v>'5'</v>
      </c>
      <c r="M8" s="12" t="str">
        <f>IF(SplitText($J8,",",COLUMN(M:M)-COLUMN($K:$K))="",$K8,trimtext(SplitText($J8,",",COLUMN(M:M)-COLUMN($K:$K))))</f>
        <v>'5'</v>
      </c>
      <c r="N8" s="12" t="str">
        <f>IF(SplitText($J8,",",COLUMN(N:N)-COLUMN($K:$K))="",$K8,trimtext(SplitText($J8,",",COLUMN(N:N)-COLUMN($K:$K))))</f>
        <v>'5'</v>
      </c>
      <c r="O8" s="12" t="str">
        <f>IF(SplitText($J8,",",COLUMN(O:O)-COLUMN($K:$K))="",$K8,trimtext(SplitText($J8,",",COLUMN(O:O)-COLUMN($K:$K))))</f>
        <v>'5'</v>
      </c>
      <c r="P8" s="12" t="str">
        <f>IF(SplitText($J8,",",COLUMN(P:P)-COLUMN($K:$K))="",$K8,trimtext(SplitText($J8,",",COLUMN(P:P)-COLUMN($K:$K))))</f>
        <v>'5'</v>
      </c>
      <c r="Q8" s="12" t="str">
        <f>IF(SplitText($J8,",",COLUMN(Q:Q)-COLUMN($K:$K))="",$K8,trimtext(SplitText($J8,",",COLUMN(Q:Q)-COLUMN($K:$K))))</f>
        <v>'5'</v>
      </c>
      <c r="R8" s="2" t="s">
        <v>348</v>
      </c>
      <c r="S8" s="12" t="str">
        <f>trimtext(SplitText($R8,",",0))</f>
        <v>'5'</v>
      </c>
      <c r="T8" s="12" t="str">
        <f>IF(SplitText($R8,",",COLUMN(T:T)-COLUMN($S:$S))="",$S8,trimtext(SplitText($R8,",",COLUMN(T:T)-COLUMN($S:$S))))</f>
        <v>'5'</v>
      </c>
      <c r="U8" s="12" t="str">
        <f>IF(SplitText($R8,",",COLUMN(U:U)-COLUMN($S:$S))="",$S8,trimtext(SplitText($R8,",",COLUMN(U:U)-COLUMN($S:$S))))</f>
        <v>'5'</v>
      </c>
      <c r="V8" s="23" t="s">
        <v>513</v>
      </c>
      <c r="W8" s="12" t="str">
        <f>trimtext(SplitText($V8,",",0))</f>
        <v>'5'</v>
      </c>
      <c r="X8" s="12" t="str">
        <f>IF(SplitText($V8,",",COLUMN(X:X)-COLUMN($W:$W))="",$W8,trimtext(SplitText($V8,",",COLUMN(X:X)-COLUMN($W:$W))))</f>
        <v>'5'</v>
      </c>
      <c r="Y8" s="12" t="str">
        <f>IF(SplitText($V8,",",COLUMN(Y:Y)-COLUMN($W:$W))="",$W8,trimtext(SplitText($V8,",",COLUMN(Y:Y)-COLUMN($W:$W))))</f>
        <v>'5'</v>
      </c>
      <c r="Z8" s="23" t="s">
        <v>638</v>
      </c>
      <c r="AA8" s="12" t="str">
        <f t="shared" si="5"/>
        <v>'6'</v>
      </c>
      <c r="AB8" s="2" t="s">
        <v>749</v>
      </c>
      <c r="AC8" s="12" t="str">
        <f>trimtext(SplitText($AB8,",",0))</f>
        <v>'5'</v>
      </c>
      <c r="AD8" s="12" t="str">
        <f>IF(SplitText($AB8,",",COLUMN(AD:AD)-COLUMN($AC:$AC))="",$AC8,trimtext(SplitText($AB8,",",COLUMN(AD:AD)-COLUMN($AC:$AC))))</f>
        <v>'5'</v>
      </c>
      <c r="AE8" s="18" t="str">
        <f t="shared" si="6"/>
        <v>&lt;xs:enumeration value="T06"&gt;&lt;xs:annotation&gt;&lt;xs:documentation&gt;Typically '5' for keyboard type 4, different values for different keyboard types&lt;/xs:documentation&gt;&lt;xs:appinfo&gt;&lt;default-vk&gt;</v>
      </c>
      <c r="AF8" s="15" t="str">
        <f>IF(D8&lt;&gt;"","&lt;vk kbd="""&amp;D$1&amp;""" vk="""&amp;D8&amp;""""&amp;IF(Scan2VKFlags!B8&lt;&gt;""," flags="""&amp;Scan2VKFlags!B8&amp;"""","")&amp;"/&gt;","")</f>
        <v>&lt;vk kbd="1" vk="'5'"/&gt;</v>
      </c>
      <c r="AG8" s="15" t="str">
        <f>IF(E8&lt;&gt;"","&lt;vk kbd="""&amp;E$1&amp;""" vk="""&amp;E8&amp;""""&amp;IF(Scan2VKFlags!C8&lt;&gt;""," flags="""&amp;Scan2VKFlags!C8&amp;"""","")&amp;"/&gt;","")</f>
        <v>&lt;vk kbd="2" vk="'5'"/&gt;</v>
      </c>
      <c r="AH8" s="15" t="str">
        <f>IF(F8&lt;&gt;"","&lt;vk kbd="""&amp;F$1&amp;""" vk="""&amp;F8&amp;""""&amp;IF(Scan2VKFlags!D8&lt;&gt;""," flags="""&amp;Scan2VKFlags!D8&amp;"""","")&amp;"/&gt;","")</f>
        <v>&lt;vk kbd="3" vk="'5'"/&gt;</v>
      </c>
      <c r="AI8" s="15" t="str">
        <f>IF(G8&lt;&gt;"","&lt;vk kbd="""&amp;G$1&amp;""" vk="""&amp;G8&amp;""""&amp;IF(Scan2VKFlags!E8&lt;&gt;""," flags="""&amp;Scan2VKFlags!E8&amp;"""","")&amp;"/&gt;","")</f>
        <v>&lt;vk kbd="4" vk="'5'"/&gt;</v>
      </c>
      <c r="AJ8" s="15" t="str">
        <f>IF(H8&lt;&gt;"","&lt;vk kbd="""&amp;H$1&amp;""" vk="""&amp;H8&amp;""""&amp;IF(Scan2VKFlags!F8&lt;&gt;""," flags="""&amp;Scan2VKFlags!F8&amp;"""","")&amp;"/&gt;","")</f>
        <v>&lt;vk kbd="5" vk="'5'"/&gt;</v>
      </c>
      <c r="AK8" s="16" t="str">
        <f>IF(I8&lt;&gt;"","&lt;vk kbd="""&amp;I$1&amp;""" vk="""&amp;I8&amp;""""&amp;IF(Scan2VKFlags!G8&lt;&gt;""," flags="""&amp;Scan2VKFlags!G8&amp;"""","")&amp;"/&gt;","")</f>
        <v>&lt;vk kbd="6" vk="'5'"/&gt;</v>
      </c>
      <c r="AL8" s="3" t="str">
        <f>IF(K8&lt;&gt;"","&lt;vk kbd="""&amp;K$1&amp;""" vk="""&amp;K8&amp;""""&amp;IF(Scan2VKFlags!H8&lt;&gt;""," flags="""&amp;Scan2VKFlags!H8&amp;"""","")&amp;"/&gt;","")</f>
        <v>&lt;vk kbd="7" vk="'5'"/&gt;</v>
      </c>
      <c r="AM8" t="str">
        <f>IF(L8&lt;&gt;"","&lt;vk kbd="""&amp;L$1&amp;""" vk="""&amp;L8&amp;""""&amp;IF(Scan2VKFlags!I8&lt;&gt;""," flags="""&amp;Scan2VKFlags!I8&amp;"""","")&amp;"/&gt;","")</f>
        <v>&lt;vk kbd="8" vk="'5'"/&gt;</v>
      </c>
      <c r="AN8" t="str">
        <f>IF(M8&lt;&gt;"","&lt;vk kbd="""&amp;M$1&amp;""" vk="""&amp;M8&amp;""""&amp;IF(Scan2VKFlags!J8&lt;&gt;""," flags="""&amp;Scan2VKFlags!J8&amp;"""","")&amp;"/&gt;","")</f>
        <v>&lt;vk kbd="16" vk="'5'"/&gt;</v>
      </c>
      <c r="AO8" t="str">
        <f>IF(N8&lt;&gt;"","&lt;vk kbd="""&amp;N$1&amp;""" vk="""&amp;N8&amp;""""&amp;IF(Scan2VKFlags!K8&lt;&gt;""," flags="""&amp;Scan2VKFlags!K8&amp;"""","")&amp;"/&gt;","")</f>
        <v>&lt;vk kbd="10" vk="'5'"/&gt;</v>
      </c>
      <c r="AP8" t="str">
        <f>IF(O8&lt;&gt;"","&lt;vk kbd="""&amp;O$1&amp;""" vk="""&amp;O8&amp;""""&amp;IF(Scan2VKFlags!L8&lt;&gt;""," flags="""&amp;Scan2VKFlags!L8&amp;"""","")&amp;"/&gt;","")</f>
        <v>&lt;vk kbd="11" vk="'5'"/&gt;</v>
      </c>
      <c r="AQ8" t="str">
        <f>IF(P8&lt;&gt;"","&lt;vk kbd="""&amp;P$1&amp;""" vk="""&amp;P8&amp;""""&amp;IF(Scan2VKFlags!M8&lt;&gt;""," flags="""&amp;Scan2VKFlags!M8&amp;"""","")&amp;"/&gt;","")</f>
        <v>&lt;vk kbd="12" vk="'5'"/&gt;</v>
      </c>
      <c r="AR8" s="16" t="str">
        <f>IF(Q8&lt;&gt;"","&lt;vk kbd="""&amp;Q$1&amp;""" vk="""&amp;Q8&amp;""""&amp;IF(Scan2VKFlags!N8&lt;&gt;""," flags="""&amp;Scan2VKFlags!N8&amp;"""","")&amp;"/&gt;","")</f>
        <v>&lt;vk kbd="13" vk="'5'"/&gt;</v>
      </c>
      <c r="AS8" s="3" t="str">
        <f>IF(S8&lt;&gt;"","&lt;vk kbd="""&amp;S$1&amp;""" vk="""&amp;S8&amp;""""&amp;IF(Scan2VKFlags!O8&lt;&gt;""," flags="""&amp;Scan2VKFlags!O8&amp;"""","")&amp;"/&gt;","")</f>
        <v>&lt;vk kbd="20" vk="'5'"/&gt;</v>
      </c>
      <c r="AT8" t="str">
        <f>IF(T8&lt;&gt;"","&lt;vk kbd="""&amp;T$1&amp;""" vk="""&amp;T8&amp;""""&amp;IF(Scan2VKFlags!P8&lt;&gt;""," flags="""&amp;Scan2VKFlags!P8&amp;"""","")&amp;"/&gt;","")</f>
        <v>&lt;vk kbd="21" vk="'5'"/&gt;</v>
      </c>
      <c r="AU8" s="16" t="str">
        <f>IF(U8&lt;&gt;"","&lt;vk kbd="""&amp;U$1&amp;""" vk="""&amp;U8&amp;""""&amp;IF(Scan2VKFlags!Q8&lt;&gt;""," flags="""&amp;Scan2VKFlags!Q8&amp;"""","")&amp;"/&gt;","")</f>
        <v>&lt;vk kbd="22" vk="'5'"/&gt;</v>
      </c>
      <c r="AV8" s="3" t="str">
        <f>IF(W8&lt;&gt;"","&lt;vk kbd="""&amp;W$1&amp;""" vk="""&amp;W8&amp;""""&amp;IF(Scan2VKFlags!R8&lt;&gt;""," flags="""&amp;Scan2VKFlags!R8&amp;"""","")&amp;"/&gt;","")</f>
        <v>&lt;vk kbd="30" vk="'5'"/&gt;</v>
      </c>
      <c r="AW8" s="15" t="str">
        <f>IF(X8&lt;&gt;"","&lt;vk kbd="""&amp;X$1&amp;""" vk="""&amp;X8&amp;""""&amp;IF(Scan2VKFlags!S8&lt;&gt;""," flags="""&amp;Scan2VKFlags!S8&amp;"""","")&amp;"/&gt;","")</f>
        <v>&lt;vk kbd="33" vk="'5'"/&gt;</v>
      </c>
      <c r="AX8" s="15" t="str">
        <f>IF(Y8&lt;&gt;"","&lt;vk kbd="""&amp;Y$1&amp;""" vk="""&amp;Y8&amp;""""&amp;IF(Scan2VKFlags!T8&lt;&gt;""," flags="""&amp;Scan2VKFlags!T8&amp;"""","")&amp;"/&gt;","")</f>
        <v>&lt;vk kbd="34" vk="'5'"/&gt;</v>
      </c>
      <c r="AY8" s="18" t="str">
        <f>IF(AA8&lt;&gt;"","&lt;vk kbd="""&amp;AA$1&amp;""" vk="""&amp;AA8&amp;""""&amp;IF(Scan2VKFlags!U8&lt;&gt;""," flags="""&amp;Scan2VKFlags!U8&amp;"""","")&amp;"/&gt;","")</f>
        <v>&lt;vk kbd="37" vk="'6'"/&gt;</v>
      </c>
      <c r="AZ8" s="3" t="str">
        <f>IF(AC8&lt;&gt;"","&lt;vk kbd="""&amp;AC$1&amp;""" vk="""&amp;AC8&amp;""""&amp;IF(Scan2VKFlags!V8&lt;&gt;""," flags="""&amp;Scan2VKFlags!V8&amp;"""","")&amp;"/&gt;","")</f>
        <v>&lt;vk kbd="40" vk="'5'"/&gt;</v>
      </c>
      <c r="BA8" s="16" t="str">
        <f>IF(AD8&lt;&gt;"","&lt;vk kbd="""&amp;AD$1&amp;""" vk="""&amp;AD8&amp;""""&amp;IF(Scan2VKFlags!W8&lt;&gt;""," flags="""&amp;Scan2VKFlags!W8&amp;"""","")&amp;"/&gt;","")</f>
        <v>&lt;vk kbd="41" vk="'5'"/&gt;</v>
      </c>
      <c r="BB8" t="s">
        <v>854</v>
      </c>
    </row>
    <row r="9" spans="1:54" x14ac:dyDescent="0.25">
      <c r="A9">
        <f t="shared" si="7"/>
        <v>7</v>
      </c>
      <c r="B9" t="str">
        <f t="shared" si="4"/>
        <v>T07</v>
      </c>
      <c r="C9" s="7" t="s">
        <v>7</v>
      </c>
      <c r="D9" s="12" t="str">
        <f>trimtext(SplitText($C9,",",0))</f>
        <v>'6'</v>
      </c>
      <c r="E9" s="12" t="str">
        <f>IF(SplitText($C9,",",COLUMN(E:E)-COLUMN($D:$D))="",$D9,trimtext(SplitText($C9,",",COLUMN(E:E)-COLUMN($D:$D))))</f>
        <v>'6'</v>
      </c>
      <c r="F9" s="12" t="str">
        <f>IF(SplitText($C9,",",COLUMN(F:F)-COLUMN($D:$D))="",$D9,trimtext(SplitText($C9,",",COLUMN(F:F)-COLUMN($D:$D))))</f>
        <v>'6'</v>
      </c>
      <c r="G9" s="12" t="str">
        <f>IF(SplitText($C9,",",COLUMN(G:G)-COLUMN($D:$D))="",$D9,trimtext(SplitText($C9,",",COLUMN(G:G)-COLUMN($D:$D))))</f>
        <v>'6'</v>
      </c>
      <c r="H9" s="12" t="str">
        <f>IF(SplitText($C9,",",COLUMN(H:H)-COLUMN($D:$D))="",$D9,trimtext(SplitText($C9,",",COLUMN(H:H)-COLUMN($D:$D))))</f>
        <v>'6'</v>
      </c>
      <c r="I9" s="12" t="str">
        <f>IF(SplitText($C9,",",COLUMN(I:I)-COLUMN($D:$D))="",$D9,trimtext(SplitText($C9,",",COLUMN(I:I)-COLUMN($D:$D))))</f>
        <v>'6'</v>
      </c>
      <c r="J9" s="9" t="s">
        <v>192</v>
      </c>
      <c r="K9" s="12" t="str">
        <f>trimtext(SplitText($J9,",",0))</f>
        <v>'6'</v>
      </c>
      <c r="L9" s="12" t="str">
        <f>IF(SplitText($J9,",",COLUMN(L:L)-COLUMN($K:$K))="",$K9,trimtext(SplitText($J9,",",COLUMN(L:L)-COLUMN($K:$K))))</f>
        <v>'6'</v>
      </c>
      <c r="M9" s="12" t="str">
        <f>IF(SplitText($J9,",",COLUMN(M:M)-COLUMN($K:$K))="",$K9,trimtext(SplitText($J9,",",COLUMN(M:M)-COLUMN($K:$K))))</f>
        <v>'6'</v>
      </c>
      <c r="N9" s="12" t="str">
        <f>IF(SplitText($J9,",",COLUMN(N:N)-COLUMN($K:$K))="",$K9,trimtext(SplitText($J9,",",COLUMN(N:N)-COLUMN($K:$K))))</f>
        <v>'6'</v>
      </c>
      <c r="O9" s="12" t="str">
        <f>IF(SplitText($J9,",",COLUMN(O:O)-COLUMN($K:$K))="",$K9,trimtext(SplitText($J9,",",COLUMN(O:O)-COLUMN($K:$K))))</f>
        <v>'6'</v>
      </c>
      <c r="P9" s="12" t="str">
        <f>IF(SplitText($J9,",",COLUMN(P:P)-COLUMN($K:$K))="",$K9,trimtext(SplitText($J9,",",COLUMN(P:P)-COLUMN($K:$K))))</f>
        <v>'6'</v>
      </c>
      <c r="Q9" s="12" t="str">
        <f>IF(SplitText($J9,",",COLUMN(Q:Q)-COLUMN($K:$K))="",$K9,trimtext(SplitText($J9,",",COLUMN(Q:Q)-COLUMN($K:$K))))</f>
        <v>'6'</v>
      </c>
      <c r="R9" s="2" t="s">
        <v>349</v>
      </c>
      <c r="S9" s="12" t="str">
        <f>trimtext(SplitText($R9,",",0))</f>
        <v>'6'</v>
      </c>
      <c r="T9" s="12" t="str">
        <f>IF(SplitText($R9,",",COLUMN(T:T)-COLUMN($S:$S))="",$S9,trimtext(SplitText($R9,",",COLUMN(T:T)-COLUMN($S:$S))))</f>
        <v>'6'</v>
      </c>
      <c r="U9" s="12" t="str">
        <f>IF(SplitText($R9,",",COLUMN(U:U)-COLUMN($S:$S))="",$S9,trimtext(SplitText($R9,",",COLUMN(U:U)-COLUMN($S:$S))))</f>
        <v>'6'</v>
      </c>
      <c r="V9" s="23" t="s">
        <v>514</v>
      </c>
      <c r="W9" s="12" t="str">
        <f>trimtext(SplitText($V9,",",0))</f>
        <v>'6'</v>
      </c>
      <c r="X9" s="12" t="str">
        <f>IF(SplitText($V9,",",COLUMN(X:X)-COLUMN($W:$W))="",$W9,trimtext(SplitText($V9,",",COLUMN(X:X)-COLUMN($W:$W))))</f>
        <v>'6'</v>
      </c>
      <c r="Y9" s="12" t="str">
        <f>IF(SplitText($V9,",",COLUMN(Y:Y)-COLUMN($W:$W))="",$W9,trimtext(SplitText($V9,",",COLUMN(Y:Y)-COLUMN($W:$W))))</f>
        <v>'6'</v>
      </c>
      <c r="Z9" s="23" t="s">
        <v>639</v>
      </c>
      <c r="AA9" s="12" t="str">
        <f t="shared" si="5"/>
        <v>'7'</v>
      </c>
      <c r="AB9" s="2" t="s">
        <v>750</v>
      </c>
      <c r="AC9" s="12" t="str">
        <f>trimtext(SplitText($AB9,",",0))</f>
        <v>'6'</v>
      </c>
      <c r="AD9" s="12" t="str">
        <f>IF(SplitText($AB9,",",COLUMN(AD:AD)-COLUMN($AC:$AC))="",$AC9,trimtext(SplitText($AB9,",",COLUMN(AD:AD)-COLUMN($AC:$AC))))</f>
        <v>'6'</v>
      </c>
      <c r="AE9" s="18" t="str">
        <f t="shared" si="6"/>
        <v>&lt;xs:enumeration value="T07"&gt;&lt;xs:annotation&gt;&lt;xs:documentation&gt;Typically '6' for keyboard type 4, different values for different keyboard types&lt;/xs:documentation&gt;&lt;xs:appinfo&gt;&lt;default-vk&gt;</v>
      </c>
      <c r="AF9" s="15" t="str">
        <f>IF(D9&lt;&gt;"","&lt;vk kbd="""&amp;D$1&amp;""" vk="""&amp;D9&amp;""""&amp;IF(Scan2VKFlags!B9&lt;&gt;""," flags="""&amp;Scan2VKFlags!B9&amp;"""","")&amp;"/&gt;","")</f>
        <v>&lt;vk kbd="1" vk="'6'"/&gt;</v>
      </c>
      <c r="AG9" s="15" t="str">
        <f>IF(E9&lt;&gt;"","&lt;vk kbd="""&amp;E$1&amp;""" vk="""&amp;E9&amp;""""&amp;IF(Scan2VKFlags!C9&lt;&gt;""," flags="""&amp;Scan2VKFlags!C9&amp;"""","")&amp;"/&gt;","")</f>
        <v>&lt;vk kbd="2" vk="'6'"/&gt;</v>
      </c>
      <c r="AH9" s="15" t="str">
        <f>IF(F9&lt;&gt;"","&lt;vk kbd="""&amp;F$1&amp;""" vk="""&amp;F9&amp;""""&amp;IF(Scan2VKFlags!D9&lt;&gt;""," flags="""&amp;Scan2VKFlags!D9&amp;"""","")&amp;"/&gt;","")</f>
        <v>&lt;vk kbd="3" vk="'6'"/&gt;</v>
      </c>
      <c r="AI9" s="15" t="str">
        <f>IF(G9&lt;&gt;"","&lt;vk kbd="""&amp;G$1&amp;""" vk="""&amp;G9&amp;""""&amp;IF(Scan2VKFlags!E9&lt;&gt;""," flags="""&amp;Scan2VKFlags!E9&amp;"""","")&amp;"/&gt;","")</f>
        <v>&lt;vk kbd="4" vk="'6'"/&gt;</v>
      </c>
      <c r="AJ9" s="15" t="str">
        <f>IF(H9&lt;&gt;"","&lt;vk kbd="""&amp;H$1&amp;""" vk="""&amp;H9&amp;""""&amp;IF(Scan2VKFlags!F9&lt;&gt;""," flags="""&amp;Scan2VKFlags!F9&amp;"""","")&amp;"/&gt;","")</f>
        <v>&lt;vk kbd="5" vk="'6'"/&gt;</v>
      </c>
      <c r="AK9" s="16" t="str">
        <f>IF(I9&lt;&gt;"","&lt;vk kbd="""&amp;I$1&amp;""" vk="""&amp;I9&amp;""""&amp;IF(Scan2VKFlags!G9&lt;&gt;""," flags="""&amp;Scan2VKFlags!G9&amp;"""","")&amp;"/&gt;","")</f>
        <v>&lt;vk kbd="6" vk="'6'"/&gt;</v>
      </c>
      <c r="AL9" s="3" t="str">
        <f>IF(K9&lt;&gt;"","&lt;vk kbd="""&amp;K$1&amp;""" vk="""&amp;K9&amp;""""&amp;IF(Scan2VKFlags!H9&lt;&gt;""," flags="""&amp;Scan2VKFlags!H9&amp;"""","")&amp;"/&gt;","")</f>
        <v>&lt;vk kbd="7" vk="'6'"/&gt;</v>
      </c>
      <c r="AM9" t="str">
        <f>IF(L9&lt;&gt;"","&lt;vk kbd="""&amp;L$1&amp;""" vk="""&amp;L9&amp;""""&amp;IF(Scan2VKFlags!I9&lt;&gt;""," flags="""&amp;Scan2VKFlags!I9&amp;"""","")&amp;"/&gt;","")</f>
        <v>&lt;vk kbd="8" vk="'6'"/&gt;</v>
      </c>
      <c r="AN9" t="str">
        <f>IF(M9&lt;&gt;"","&lt;vk kbd="""&amp;M$1&amp;""" vk="""&amp;M9&amp;""""&amp;IF(Scan2VKFlags!J9&lt;&gt;""," flags="""&amp;Scan2VKFlags!J9&amp;"""","")&amp;"/&gt;","")</f>
        <v>&lt;vk kbd="16" vk="'6'"/&gt;</v>
      </c>
      <c r="AO9" t="str">
        <f>IF(N9&lt;&gt;"","&lt;vk kbd="""&amp;N$1&amp;""" vk="""&amp;N9&amp;""""&amp;IF(Scan2VKFlags!K9&lt;&gt;""," flags="""&amp;Scan2VKFlags!K9&amp;"""","")&amp;"/&gt;","")</f>
        <v>&lt;vk kbd="10" vk="'6'"/&gt;</v>
      </c>
      <c r="AP9" t="str">
        <f>IF(O9&lt;&gt;"","&lt;vk kbd="""&amp;O$1&amp;""" vk="""&amp;O9&amp;""""&amp;IF(Scan2VKFlags!L9&lt;&gt;""," flags="""&amp;Scan2VKFlags!L9&amp;"""","")&amp;"/&gt;","")</f>
        <v>&lt;vk kbd="11" vk="'6'"/&gt;</v>
      </c>
      <c r="AQ9" t="str">
        <f>IF(P9&lt;&gt;"","&lt;vk kbd="""&amp;P$1&amp;""" vk="""&amp;P9&amp;""""&amp;IF(Scan2VKFlags!M9&lt;&gt;""," flags="""&amp;Scan2VKFlags!M9&amp;"""","")&amp;"/&gt;","")</f>
        <v>&lt;vk kbd="12" vk="'6'"/&gt;</v>
      </c>
      <c r="AR9" s="16" t="str">
        <f>IF(Q9&lt;&gt;"","&lt;vk kbd="""&amp;Q$1&amp;""" vk="""&amp;Q9&amp;""""&amp;IF(Scan2VKFlags!N9&lt;&gt;""," flags="""&amp;Scan2VKFlags!N9&amp;"""","")&amp;"/&gt;","")</f>
        <v>&lt;vk kbd="13" vk="'6'"/&gt;</v>
      </c>
      <c r="AS9" s="3" t="str">
        <f>IF(S9&lt;&gt;"","&lt;vk kbd="""&amp;S$1&amp;""" vk="""&amp;S9&amp;""""&amp;IF(Scan2VKFlags!O9&lt;&gt;""," flags="""&amp;Scan2VKFlags!O9&amp;"""","")&amp;"/&gt;","")</f>
        <v>&lt;vk kbd="20" vk="'6'"/&gt;</v>
      </c>
      <c r="AT9" t="str">
        <f>IF(T9&lt;&gt;"","&lt;vk kbd="""&amp;T$1&amp;""" vk="""&amp;T9&amp;""""&amp;IF(Scan2VKFlags!P9&lt;&gt;""," flags="""&amp;Scan2VKFlags!P9&amp;"""","")&amp;"/&gt;","")</f>
        <v>&lt;vk kbd="21" vk="'6'"/&gt;</v>
      </c>
      <c r="AU9" s="16" t="str">
        <f>IF(U9&lt;&gt;"","&lt;vk kbd="""&amp;U$1&amp;""" vk="""&amp;U9&amp;""""&amp;IF(Scan2VKFlags!Q9&lt;&gt;""," flags="""&amp;Scan2VKFlags!Q9&amp;"""","")&amp;"/&gt;","")</f>
        <v>&lt;vk kbd="22" vk="'6'"/&gt;</v>
      </c>
      <c r="AV9" s="3" t="str">
        <f>IF(W9&lt;&gt;"","&lt;vk kbd="""&amp;W$1&amp;""" vk="""&amp;W9&amp;""""&amp;IF(Scan2VKFlags!R9&lt;&gt;""," flags="""&amp;Scan2VKFlags!R9&amp;"""","")&amp;"/&gt;","")</f>
        <v>&lt;vk kbd="30" vk="'6'"/&gt;</v>
      </c>
      <c r="AW9" s="15" t="str">
        <f>IF(X9&lt;&gt;"","&lt;vk kbd="""&amp;X$1&amp;""" vk="""&amp;X9&amp;""""&amp;IF(Scan2VKFlags!S9&lt;&gt;""," flags="""&amp;Scan2VKFlags!S9&amp;"""","")&amp;"/&gt;","")</f>
        <v>&lt;vk kbd="33" vk="'6'"/&gt;</v>
      </c>
      <c r="AX9" s="15" t="str">
        <f>IF(Y9&lt;&gt;"","&lt;vk kbd="""&amp;Y$1&amp;""" vk="""&amp;Y9&amp;""""&amp;IF(Scan2VKFlags!T9&lt;&gt;""," flags="""&amp;Scan2VKFlags!T9&amp;"""","")&amp;"/&gt;","")</f>
        <v>&lt;vk kbd="34" vk="'6'"/&gt;</v>
      </c>
      <c r="AY9" s="18" t="str">
        <f>IF(AA9&lt;&gt;"","&lt;vk kbd="""&amp;AA$1&amp;""" vk="""&amp;AA9&amp;""""&amp;IF(Scan2VKFlags!U9&lt;&gt;""," flags="""&amp;Scan2VKFlags!U9&amp;"""","")&amp;"/&gt;","")</f>
        <v>&lt;vk kbd="37" vk="'7'"/&gt;</v>
      </c>
      <c r="AZ9" s="3" t="str">
        <f>IF(AC9&lt;&gt;"","&lt;vk kbd="""&amp;AC$1&amp;""" vk="""&amp;AC9&amp;""""&amp;IF(Scan2VKFlags!V9&lt;&gt;""," flags="""&amp;Scan2VKFlags!V9&amp;"""","")&amp;"/&gt;","")</f>
        <v>&lt;vk kbd="40" vk="'6'"/&gt;</v>
      </c>
      <c r="BA9" s="16" t="str">
        <f>IF(AD9&lt;&gt;"","&lt;vk kbd="""&amp;AD$1&amp;""" vk="""&amp;AD9&amp;""""&amp;IF(Scan2VKFlags!W9&lt;&gt;""," flags="""&amp;Scan2VKFlags!W9&amp;"""","")&amp;"/&gt;","")</f>
        <v>&lt;vk kbd="41" vk="'6'"/&gt;</v>
      </c>
      <c r="BB9" t="s">
        <v>854</v>
      </c>
    </row>
    <row r="10" spans="1:54" x14ac:dyDescent="0.25">
      <c r="A10">
        <f t="shared" si="7"/>
        <v>8</v>
      </c>
      <c r="B10" t="str">
        <f t="shared" si="4"/>
        <v>T08</v>
      </c>
      <c r="C10" s="7" t="s">
        <v>8</v>
      </c>
      <c r="D10" s="12" t="str">
        <f>trimtext(SplitText($C10,",",0))</f>
        <v>'7'</v>
      </c>
      <c r="E10" s="12" t="str">
        <f>IF(SplitText($C10,",",COLUMN(E:E)-COLUMN($D:$D))="",$D10,trimtext(SplitText($C10,",",COLUMN(E:E)-COLUMN($D:$D))))</f>
        <v>'7'</v>
      </c>
      <c r="F10" s="12" t="str">
        <f>IF(SplitText($C10,",",COLUMN(F:F)-COLUMN($D:$D))="",$D10,trimtext(SplitText($C10,",",COLUMN(F:F)-COLUMN($D:$D))))</f>
        <v>'7'</v>
      </c>
      <c r="G10" s="12" t="str">
        <f>IF(SplitText($C10,",",COLUMN(G:G)-COLUMN($D:$D))="",$D10,trimtext(SplitText($C10,",",COLUMN(G:G)-COLUMN($D:$D))))</f>
        <v>'7'</v>
      </c>
      <c r="H10" s="12" t="str">
        <f>IF(SplitText($C10,",",COLUMN(H:H)-COLUMN($D:$D))="",$D10,trimtext(SplitText($C10,",",COLUMN(H:H)-COLUMN($D:$D))))</f>
        <v>'7'</v>
      </c>
      <c r="I10" s="12" t="str">
        <f>IF(SplitText($C10,",",COLUMN(I:I)-COLUMN($D:$D))="",$D10,trimtext(SplitText($C10,",",COLUMN(I:I)-COLUMN($D:$D))))</f>
        <v>'7'</v>
      </c>
      <c r="J10" s="9" t="s">
        <v>193</v>
      </c>
      <c r="K10" s="12" t="str">
        <f>trimtext(SplitText($J10,",",0))</f>
        <v>'7'</v>
      </c>
      <c r="L10" s="12" t="str">
        <f>IF(SplitText($J10,",",COLUMN(L:L)-COLUMN($K:$K))="",$K10,trimtext(SplitText($J10,",",COLUMN(L:L)-COLUMN($K:$K))))</f>
        <v>'7'</v>
      </c>
      <c r="M10" s="12" t="str">
        <f>IF(SplitText($J10,",",COLUMN(M:M)-COLUMN($K:$K))="",$K10,trimtext(SplitText($J10,",",COLUMN(M:M)-COLUMN($K:$K))))</f>
        <v>'7'</v>
      </c>
      <c r="N10" s="12" t="str">
        <f>IF(SplitText($J10,",",COLUMN(N:N)-COLUMN($K:$K))="",$K10,trimtext(SplitText($J10,",",COLUMN(N:N)-COLUMN($K:$K))))</f>
        <v>'7'</v>
      </c>
      <c r="O10" s="12" t="str">
        <f>IF(SplitText($J10,",",COLUMN(O:O)-COLUMN($K:$K))="",$K10,trimtext(SplitText($J10,",",COLUMN(O:O)-COLUMN($K:$K))))</f>
        <v>'7'</v>
      </c>
      <c r="P10" s="12" t="str">
        <f>IF(SplitText($J10,",",COLUMN(P:P)-COLUMN($K:$K))="",$K10,trimtext(SplitText($J10,",",COLUMN(P:P)-COLUMN($K:$K))))</f>
        <v>'7'</v>
      </c>
      <c r="Q10" s="12" t="str">
        <f>IF(SplitText($J10,",",COLUMN(Q:Q)-COLUMN($K:$K))="",$K10,trimtext(SplitText($J10,",",COLUMN(Q:Q)-COLUMN($K:$K))))</f>
        <v>'7'</v>
      </c>
      <c r="R10" s="2" t="s">
        <v>350</v>
      </c>
      <c r="S10" s="12" t="str">
        <f>trimtext(SplitText($R10,",",0))</f>
        <v>'7'</v>
      </c>
      <c r="T10" s="12" t="str">
        <f>IF(SplitText($R10,",",COLUMN(T:T)-COLUMN($S:$S))="",$S10,trimtext(SplitText($R10,",",COLUMN(T:T)-COLUMN($S:$S))))</f>
        <v>'7'</v>
      </c>
      <c r="U10" s="12" t="str">
        <f>IF(SplitText($R10,",",COLUMN(U:U)-COLUMN($S:$S))="",$S10,trimtext(SplitText($R10,",",COLUMN(U:U)-COLUMN($S:$S))))</f>
        <v>'7'</v>
      </c>
      <c r="V10" s="23" t="s">
        <v>515</v>
      </c>
      <c r="W10" s="12" t="str">
        <f>trimtext(SplitText($V10,",",0))</f>
        <v>'7'</v>
      </c>
      <c r="X10" s="12" t="str">
        <f>IF(SplitText($V10,",",COLUMN(X:X)-COLUMN($W:$W))="",$W10,trimtext(SplitText($V10,",",COLUMN(X:X)-COLUMN($W:$W))))</f>
        <v>'7'</v>
      </c>
      <c r="Y10" s="12" t="str">
        <f>IF(SplitText($V10,",",COLUMN(Y:Y)-COLUMN($W:$W))="",$W10,trimtext(SplitText($V10,",",COLUMN(Y:Y)-COLUMN($W:$W))))</f>
        <v>'7'</v>
      </c>
      <c r="Z10" s="23" t="s">
        <v>640</v>
      </c>
      <c r="AA10" s="12" t="str">
        <f t="shared" si="5"/>
        <v>'8'</v>
      </c>
      <c r="AB10" s="2" t="s">
        <v>751</v>
      </c>
      <c r="AC10" s="12" t="str">
        <f>trimtext(SplitText($AB10,",",0))</f>
        <v>'7'</v>
      </c>
      <c r="AD10" s="12" t="str">
        <f>IF(SplitText($AB10,",",COLUMN(AD:AD)-COLUMN($AC:$AC))="",$AC10,trimtext(SplitText($AB10,",",COLUMN(AD:AD)-COLUMN($AC:$AC))))</f>
        <v>'7'</v>
      </c>
      <c r="AE10" s="18" t="str">
        <f t="shared" si="6"/>
        <v>&lt;xs:enumeration value="T08"&gt;&lt;xs:annotation&gt;&lt;xs:documentation&gt;Typically '7' for keyboard type 4, different values for different keyboard types&lt;/xs:documentation&gt;&lt;xs:appinfo&gt;&lt;default-vk&gt;</v>
      </c>
      <c r="AF10" s="15" t="str">
        <f>IF(D10&lt;&gt;"","&lt;vk kbd="""&amp;D$1&amp;""" vk="""&amp;D10&amp;""""&amp;IF(Scan2VKFlags!B10&lt;&gt;""," flags="""&amp;Scan2VKFlags!B10&amp;"""","")&amp;"/&gt;","")</f>
        <v>&lt;vk kbd="1" vk="'7'"/&gt;</v>
      </c>
      <c r="AG10" s="15" t="str">
        <f>IF(E10&lt;&gt;"","&lt;vk kbd="""&amp;E$1&amp;""" vk="""&amp;E10&amp;""""&amp;IF(Scan2VKFlags!C10&lt;&gt;""," flags="""&amp;Scan2VKFlags!C10&amp;"""","")&amp;"/&gt;","")</f>
        <v>&lt;vk kbd="2" vk="'7'"/&gt;</v>
      </c>
      <c r="AH10" s="15" t="str">
        <f>IF(F10&lt;&gt;"","&lt;vk kbd="""&amp;F$1&amp;""" vk="""&amp;F10&amp;""""&amp;IF(Scan2VKFlags!D10&lt;&gt;""," flags="""&amp;Scan2VKFlags!D10&amp;"""","")&amp;"/&gt;","")</f>
        <v>&lt;vk kbd="3" vk="'7'"/&gt;</v>
      </c>
      <c r="AI10" s="15" t="str">
        <f>IF(G10&lt;&gt;"","&lt;vk kbd="""&amp;G$1&amp;""" vk="""&amp;G10&amp;""""&amp;IF(Scan2VKFlags!E10&lt;&gt;""," flags="""&amp;Scan2VKFlags!E10&amp;"""","")&amp;"/&gt;","")</f>
        <v>&lt;vk kbd="4" vk="'7'"/&gt;</v>
      </c>
      <c r="AJ10" s="15" t="str">
        <f>IF(H10&lt;&gt;"","&lt;vk kbd="""&amp;H$1&amp;""" vk="""&amp;H10&amp;""""&amp;IF(Scan2VKFlags!F10&lt;&gt;""," flags="""&amp;Scan2VKFlags!F10&amp;"""","")&amp;"/&gt;","")</f>
        <v>&lt;vk kbd="5" vk="'7'"/&gt;</v>
      </c>
      <c r="AK10" s="16" t="str">
        <f>IF(I10&lt;&gt;"","&lt;vk kbd="""&amp;I$1&amp;""" vk="""&amp;I10&amp;""""&amp;IF(Scan2VKFlags!G10&lt;&gt;""," flags="""&amp;Scan2VKFlags!G10&amp;"""","")&amp;"/&gt;","")</f>
        <v>&lt;vk kbd="6" vk="'7'"/&gt;</v>
      </c>
      <c r="AL10" s="3" t="str">
        <f>IF(K10&lt;&gt;"","&lt;vk kbd="""&amp;K$1&amp;""" vk="""&amp;K10&amp;""""&amp;IF(Scan2VKFlags!H10&lt;&gt;""," flags="""&amp;Scan2VKFlags!H10&amp;"""","")&amp;"/&gt;","")</f>
        <v>&lt;vk kbd="7" vk="'7'"/&gt;</v>
      </c>
      <c r="AM10" t="str">
        <f>IF(L10&lt;&gt;"","&lt;vk kbd="""&amp;L$1&amp;""" vk="""&amp;L10&amp;""""&amp;IF(Scan2VKFlags!I10&lt;&gt;""," flags="""&amp;Scan2VKFlags!I10&amp;"""","")&amp;"/&gt;","")</f>
        <v>&lt;vk kbd="8" vk="'7'"/&gt;</v>
      </c>
      <c r="AN10" t="str">
        <f>IF(M10&lt;&gt;"","&lt;vk kbd="""&amp;M$1&amp;""" vk="""&amp;M10&amp;""""&amp;IF(Scan2VKFlags!J10&lt;&gt;""," flags="""&amp;Scan2VKFlags!J10&amp;"""","")&amp;"/&gt;","")</f>
        <v>&lt;vk kbd="16" vk="'7'"/&gt;</v>
      </c>
      <c r="AO10" t="str">
        <f>IF(N10&lt;&gt;"","&lt;vk kbd="""&amp;N$1&amp;""" vk="""&amp;N10&amp;""""&amp;IF(Scan2VKFlags!K10&lt;&gt;""," flags="""&amp;Scan2VKFlags!K10&amp;"""","")&amp;"/&gt;","")</f>
        <v>&lt;vk kbd="10" vk="'7'"/&gt;</v>
      </c>
      <c r="AP10" t="str">
        <f>IF(O10&lt;&gt;"","&lt;vk kbd="""&amp;O$1&amp;""" vk="""&amp;O10&amp;""""&amp;IF(Scan2VKFlags!L10&lt;&gt;""," flags="""&amp;Scan2VKFlags!L10&amp;"""","")&amp;"/&gt;","")</f>
        <v>&lt;vk kbd="11" vk="'7'"/&gt;</v>
      </c>
      <c r="AQ10" t="str">
        <f>IF(P10&lt;&gt;"","&lt;vk kbd="""&amp;P$1&amp;""" vk="""&amp;P10&amp;""""&amp;IF(Scan2VKFlags!M10&lt;&gt;""," flags="""&amp;Scan2VKFlags!M10&amp;"""","")&amp;"/&gt;","")</f>
        <v>&lt;vk kbd="12" vk="'7'"/&gt;</v>
      </c>
      <c r="AR10" s="16" t="str">
        <f>IF(Q10&lt;&gt;"","&lt;vk kbd="""&amp;Q$1&amp;""" vk="""&amp;Q10&amp;""""&amp;IF(Scan2VKFlags!N10&lt;&gt;""," flags="""&amp;Scan2VKFlags!N10&amp;"""","")&amp;"/&gt;","")</f>
        <v>&lt;vk kbd="13" vk="'7'"/&gt;</v>
      </c>
      <c r="AS10" s="3" t="str">
        <f>IF(S10&lt;&gt;"","&lt;vk kbd="""&amp;S$1&amp;""" vk="""&amp;S10&amp;""""&amp;IF(Scan2VKFlags!O10&lt;&gt;""," flags="""&amp;Scan2VKFlags!O10&amp;"""","")&amp;"/&gt;","")</f>
        <v>&lt;vk kbd="20" vk="'7'"/&gt;</v>
      </c>
      <c r="AT10" t="str">
        <f>IF(T10&lt;&gt;"","&lt;vk kbd="""&amp;T$1&amp;""" vk="""&amp;T10&amp;""""&amp;IF(Scan2VKFlags!P10&lt;&gt;""," flags="""&amp;Scan2VKFlags!P10&amp;"""","")&amp;"/&gt;","")</f>
        <v>&lt;vk kbd="21" vk="'7'"/&gt;</v>
      </c>
      <c r="AU10" s="16" t="str">
        <f>IF(U10&lt;&gt;"","&lt;vk kbd="""&amp;U$1&amp;""" vk="""&amp;U10&amp;""""&amp;IF(Scan2VKFlags!Q10&lt;&gt;""," flags="""&amp;Scan2VKFlags!Q10&amp;"""","")&amp;"/&gt;","")</f>
        <v>&lt;vk kbd="22" vk="'7'"/&gt;</v>
      </c>
      <c r="AV10" s="3" t="str">
        <f>IF(W10&lt;&gt;"","&lt;vk kbd="""&amp;W$1&amp;""" vk="""&amp;W10&amp;""""&amp;IF(Scan2VKFlags!R10&lt;&gt;""," flags="""&amp;Scan2VKFlags!R10&amp;"""","")&amp;"/&gt;","")</f>
        <v>&lt;vk kbd="30" vk="'7'"/&gt;</v>
      </c>
      <c r="AW10" s="15" t="str">
        <f>IF(X10&lt;&gt;"","&lt;vk kbd="""&amp;X$1&amp;""" vk="""&amp;X10&amp;""""&amp;IF(Scan2VKFlags!S10&lt;&gt;""," flags="""&amp;Scan2VKFlags!S10&amp;"""","")&amp;"/&gt;","")</f>
        <v>&lt;vk kbd="33" vk="'7'"/&gt;</v>
      </c>
      <c r="AX10" s="15" t="str">
        <f>IF(Y10&lt;&gt;"","&lt;vk kbd="""&amp;Y$1&amp;""" vk="""&amp;Y10&amp;""""&amp;IF(Scan2VKFlags!T10&lt;&gt;""," flags="""&amp;Scan2VKFlags!T10&amp;"""","")&amp;"/&gt;","")</f>
        <v>&lt;vk kbd="34" vk="'7'"/&gt;</v>
      </c>
      <c r="AY10" s="18" t="str">
        <f>IF(AA10&lt;&gt;"","&lt;vk kbd="""&amp;AA$1&amp;""" vk="""&amp;AA10&amp;""""&amp;IF(Scan2VKFlags!U10&lt;&gt;""," flags="""&amp;Scan2VKFlags!U10&amp;"""","")&amp;"/&gt;","")</f>
        <v>&lt;vk kbd="37" vk="'8'"/&gt;</v>
      </c>
      <c r="AZ10" s="3" t="str">
        <f>IF(AC10&lt;&gt;"","&lt;vk kbd="""&amp;AC$1&amp;""" vk="""&amp;AC10&amp;""""&amp;IF(Scan2VKFlags!V10&lt;&gt;""," flags="""&amp;Scan2VKFlags!V10&amp;"""","")&amp;"/&gt;","")</f>
        <v>&lt;vk kbd="40" vk="'7'"/&gt;</v>
      </c>
      <c r="BA10" s="16" t="str">
        <f>IF(AD10&lt;&gt;"","&lt;vk kbd="""&amp;AD$1&amp;""" vk="""&amp;AD10&amp;""""&amp;IF(Scan2VKFlags!W10&lt;&gt;""," flags="""&amp;Scan2VKFlags!W10&amp;"""","")&amp;"/&gt;","")</f>
        <v>&lt;vk kbd="41" vk="'7'"/&gt;</v>
      </c>
      <c r="BB10" t="s">
        <v>854</v>
      </c>
    </row>
    <row r="11" spans="1:54" x14ac:dyDescent="0.25">
      <c r="A11">
        <f t="shared" si="7"/>
        <v>9</v>
      </c>
      <c r="B11" t="str">
        <f t="shared" si="4"/>
        <v>T09</v>
      </c>
      <c r="C11" s="7" t="s">
        <v>9</v>
      </c>
      <c r="D11" s="12" t="str">
        <f>trimtext(SplitText($C11,",",0))</f>
        <v>'8'</v>
      </c>
      <c r="E11" s="12" t="str">
        <f>IF(SplitText($C11,",",COLUMN(E:E)-COLUMN($D:$D))="",$D11,trimtext(SplitText($C11,",",COLUMN(E:E)-COLUMN($D:$D))))</f>
        <v>'8'</v>
      </c>
      <c r="F11" s="12" t="str">
        <f>IF(SplitText($C11,",",COLUMN(F:F)-COLUMN($D:$D))="",$D11,trimtext(SplitText($C11,",",COLUMN(F:F)-COLUMN($D:$D))))</f>
        <v>'8'</v>
      </c>
      <c r="G11" s="12" t="str">
        <f>IF(SplitText($C11,",",COLUMN(G:G)-COLUMN($D:$D))="",$D11,trimtext(SplitText($C11,",",COLUMN(G:G)-COLUMN($D:$D))))</f>
        <v>'8'</v>
      </c>
      <c r="H11" s="12" t="str">
        <f>IF(SplitText($C11,",",COLUMN(H:H)-COLUMN($D:$D))="",$D11,trimtext(SplitText($C11,",",COLUMN(H:H)-COLUMN($D:$D))))</f>
        <v>'8'</v>
      </c>
      <c r="I11" s="12" t="str">
        <f>IF(SplitText($C11,",",COLUMN(I:I)-COLUMN($D:$D))="",$D11,trimtext(SplitText($C11,",",COLUMN(I:I)-COLUMN($D:$D))))</f>
        <v>'8'</v>
      </c>
      <c r="J11" s="9" t="s">
        <v>194</v>
      </c>
      <c r="K11" s="12" t="str">
        <f>trimtext(SplitText($J11,",",0))</f>
        <v>'8'</v>
      </c>
      <c r="L11" s="12" t="str">
        <f>IF(SplitText($J11,",",COLUMN(L:L)-COLUMN($K:$K))="",$K11,trimtext(SplitText($J11,",",COLUMN(L:L)-COLUMN($K:$K))))</f>
        <v>'8'</v>
      </c>
      <c r="M11" s="12" t="str">
        <f>IF(SplitText($J11,",",COLUMN(M:M)-COLUMN($K:$K))="",$K11,trimtext(SplitText($J11,",",COLUMN(M:M)-COLUMN($K:$K))))</f>
        <v>'8'</v>
      </c>
      <c r="N11" s="12" t="str">
        <f>IF(SplitText($J11,",",COLUMN(N:N)-COLUMN($K:$K))="",$K11,trimtext(SplitText($J11,",",COLUMN(N:N)-COLUMN($K:$K))))</f>
        <v>'8'</v>
      </c>
      <c r="O11" s="12" t="str">
        <f>IF(SplitText($J11,",",COLUMN(O:O)-COLUMN($K:$K))="",$K11,trimtext(SplitText($J11,",",COLUMN(O:O)-COLUMN($K:$K))))</f>
        <v>'8'</v>
      </c>
      <c r="P11" s="12" t="str">
        <f>IF(SplitText($J11,",",COLUMN(P:P)-COLUMN($K:$K))="",$K11,trimtext(SplitText($J11,",",COLUMN(P:P)-COLUMN($K:$K))))</f>
        <v>'8'</v>
      </c>
      <c r="Q11" s="12" t="str">
        <f>IF(SplitText($J11,",",COLUMN(Q:Q)-COLUMN($K:$K))="",$K11,trimtext(SplitText($J11,",",COLUMN(Q:Q)-COLUMN($K:$K))))</f>
        <v>'8'</v>
      </c>
      <c r="R11" s="2" t="s">
        <v>351</v>
      </c>
      <c r="S11" s="12" t="str">
        <f>trimtext(SplitText($R11,",",0))</f>
        <v>'8'</v>
      </c>
      <c r="T11" s="12" t="str">
        <f>IF(SplitText($R11,",",COLUMN(T:T)-COLUMN($S:$S))="",$S11,trimtext(SplitText($R11,",",COLUMN(T:T)-COLUMN($S:$S))))</f>
        <v>'8'</v>
      </c>
      <c r="U11" s="12" t="str">
        <f>IF(SplitText($R11,",",COLUMN(U:U)-COLUMN($S:$S))="",$S11,trimtext(SplitText($R11,",",COLUMN(U:U)-COLUMN($S:$S))))</f>
        <v>'8'</v>
      </c>
      <c r="V11" s="23" t="s">
        <v>516</v>
      </c>
      <c r="W11" s="12" t="str">
        <f>trimtext(SplitText($V11,",",0))</f>
        <v>'8'</v>
      </c>
      <c r="X11" s="12" t="str">
        <f>IF(SplitText($V11,",",COLUMN(X:X)-COLUMN($W:$W))="",$W11,trimtext(SplitText($V11,",",COLUMN(X:X)-COLUMN($W:$W))))</f>
        <v>'8'</v>
      </c>
      <c r="Y11" s="12" t="str">
        <f>IF(SplitText($V11,",",COLUMN(Y:Y)-COLUMN($W:$W))="",$W11,trimtext(SplitText($V11,",",COLUMN(Y:Y)-COLUMN($W:$W))))</f>
        <v>'8'</v>
      </c>
      <c r="Z11" s="23" t="s">
        <v>641</v>
      </c>
      <c r="AA11" s="12" t="str">
        <f t="shared" si="5"/>
        <v>'9'</v>
      </c>
      <c r="AB11" s="2" t="s">
        <v>752</v>
      </c>
      <c r="AC11" s="12" t="str">
        <f>trimtext(SplitText($AB11,",",0))</f>
        <v>'8'</v>
      </c>
      <c r="AD11" s="12" t="str">
        <f>IF(SplitText($AB11,",",COLUMN(AD:AD)-COLUMN($AC:$AC))="",$AC11,trimtext(SplitText($AB11,",",COLUMN(AD:AD)-COLUMN($AC:$AC))))</f>
        <v>'8'</v>
      </c>
      <c r="AE11" s="18" t="str">
        <f t="shared" si="6"/>
        <v>&lt;xs:enumeration value="T09"&gt;&lt;xs:annotation&gt;&lt;xs:documentation&gt;Typically '8' for keyboard type 4, different values for different keyboard types&lt;/xs:documentation&gt;&lt;xs:appinfo&gt;&lt;default-vk&gt;</v>
      </c>
      <c r="AF11" s="15" t="str">
        <f>IF(D11&lt;&gt;"","&lt;vk kbd="""&amp;D$1&amp;""" vk="""&amp;D11&amp;""""&amp;IF(Scan2VKFlags!B11&lt;&gt;""," flags="""&amp;Scan2VKFlags!B11&amp;"""","")&amp;"/&gt;","")</f>
        <v>&lt;vk kbd="1" vk="'8'"/&gt;</v>
      </c>
      <c r="AG11" s="15" t="str">
        <f>IF(E11&lt;&gt;"","&lt;vk kbd="""&amp;E$1&amp;""" vk="""&amp;E11&amp;""""&amp;IF(Scan2VKFlags!C11&lt;&gt;""," flags="""&amp;Scan2VKFlags!C11&amp;"""","")&amp;"/&gt;","")</f>
        <v>&lt;vk kbd="2" vk="'8'"/&gt;</v>
      </c>
      <c r="AH11" s="15" t="str">
        <f>IF(F11&lt;&gt;"","&lt;vk kbd="""&amp;F$1&amp;""" vk="""&amp;F11&amp;""""&amp;IF(Scan2VKFlags!D11&lt;&gt;""," flags="""&amp;Scan2VKFlags!D11&amp;"""","")&amp;"/&gt;","")</f>
        <v>&lt;vk kbd="3" vk="'8'"/&gt;</v>
      </c>
      <c r="AI11" s="15" t="str">
        <f>IF(G11&lt;&gt;"","&lt;vk kbd="""&amp;G$1&amp;""" vk="""&amp;G11&amp;""""&amp;IF(Scan2VKFlags!E11&lt;&gt;""," flags="""&amp;Scan2VKFlags!E11&amp;"""","")&amp;"/&gt;","")</f>
        <v>&lt;vk kbd="4" vk="'8'"/&gt;</v>
      </c>
      <c r="AJ11" s="15" t="str">
        <f>IF(H11&lt;&gt;"","&lt;vk kbd="""&amp;H$1&amp;""" vk="""&amp;H11&amp;""""&amp;IF(Scan2VKFlags!F11&lt;&gt;""," flags="""&amp;Scan2VKFlags!F11&amp;"""","")&amp;"/&gt;","")</f>
        <v>&lt;vk kbd="5" vk="'8'"/&gt;</v>
      </c>
      <c r="AK11" s="16" t="str">
        <f>IF(I11&lt;&gt;"","&lt;vk kbd="""&amp;I$1&amp;""" vk="""&amp;I11&amp;""""&amp;IF(Scan2VKFlags!G11&lt;&gt;""," flags="""&amp;Scan2VKFlags!G11&amp;"""","")&amp;"/&gt;","")</f>
        <v>&lt;vk kbd="6" vk="'8'"/&gt;</v>
      </c>
      <c r="AL11" s="3" t="str">
        <f>IF(K11&lt;&gt;"","&lt;vk kbd="""&amp;K$1&amp;""" vk="""&amp;K11&amp;""""&amp;IF(Scan2VKFlags!H11&lt;&gt;""," flags="""&amp;Scan2VKFlags!H11&amp;"""","")&amp;"/&gt;","")</f>
        <v>&lt;vk kbd="7" vk="'8'"/&gt;</v>
      </c>
      <c r="AM11" t="str">
        <f>IF(L11&lt;&gt;"","&lt;vk kbd="""&amp;L$1&amp;""" vk="""&amp;L11&amp;""""&amp;IF(Scan2VKFlags!I11&lt;&gt;""," flags="""&amp;Scan2VKFlags!I11&amp;"""","")&amp;"/&gt;","")</f>
        <v>&lt;vk kbd="8" vk="'8'"/&gt;</v>
      </c>
      <c r="AN11" t="str">
        <f>IF(M11&lt;&gt;"","&lt;vk kbd="""&amp;M$1&amp;""" vk="""&amp;M11&amp;""""&amp;IF(Scan2VKFlags!J11&lt;&gt;""," flags="""&amp;Scan2VKFlags!J11&amp;"""","")&amp;"/&gt;","")</f>
        <v>&lt;vk kbd="16" vk="'8'"/&gt;</v>
      </c>
      <c r="AO11" t="str">
        <f>IF(N11&lt;&gt;"","&lt;vk kbd="""&amp;N$1&amp;""" vk="""&amp;N11&amp;""""&amp;IF(Scan2VKFlags!K11&lt;&gt;""," flags="""&amp;Scan2VKFlags!K11&amp;"""","")&amp;"/&gt;","")</f>
        <v>&lt;vk kbd="10" vk="'8'"/&gt;</v>
      </c>
      <c r="AP11" t="str">
        <f>IF(O11&lt;&gt;"","&lt;vk kbd="""&amp;O$1&amp;""" vk="""&amp;O11&amp;""""&amp;IF(Scan2VKFlags!L11&lt;&gt;""," flags="""&amp;Scan2VKFlags!L11&amp;"""","")&amp;"/&gt;","")</f>
        <v>&lt;vk kbd="11" vk="'8'"/&gt;</v>
      </c>
      <c r="AQ11" t="str">
        <f>IF(P11&lt;&gt;"","&lt;vk kbd="""&amp;P$1&amp;""" vk="""&amp;P11&amp;""""&amp;IF(Scan2VKFlags!M11&lt;&gt;""," flags="""&amp;Scan2VKFlags!M11&amp;"""","")&amp;"/&gt;","")</f>
        <v>&lt;vk kbd="12" vk="'8'"/&gt;</v>
      </c>
      <c r="AR11" s="16" t="str">
        <f>IF(Q11&lt;&gt;"","&lt;vk kbd="""&amp;Q$1&amp;""" vk="""&amp;Q11&amp;""""&amp;IF(Scan2VKFlags!N11&lt;&gt;""," flags="""&amp;Scan2VKFlags!N11&amp;"""","")&amp;"/&gt;","")</f>
        <v>&lt;vk kbd="13" vk="'8'"/&gt;</v>
      </c>
      <c r="AS11" s="3" t="str">
        <f>IF(S11&lt;&gt;"","&lt;vk kbd="""&amp;S$1&amp;""" vk="""&amp;S11&amp;""""&amp;IF(Scan2VKFlags!O11&lt;&gt;""," flags="""&amp;Scan2VKFlags!O11&amp;"""","")&amp;"/&gt;","")</f>
        <v>&lt;vk kbd="20" vk="'8'"/&gt;</v>
      </c>
      <c r="AT11" t="str">
        <f>IF(T11&lt;&gt;"","&lt;vk kbd="""&amp;T$1&amp;""" vk="""&amp;T11&amp;""""&amp;IF(Scan2VKFlags!P11&lt;&gt;""," flags="""&amp;Scan2VKFlags!P11&amp;"""","")&amp;"/&gt;","")</f>
        <v>&lt;vk kbd="21" vk="'8'"/&gt;</v>
      </c>
      <c r="AU11" s="16" t="str">
        <f>IF(U11&lt;&gt;"","&lt;vk kbd="""&amp;U$1&amp;""" vk="""&amp;U11&amp;""""&amp;IF(Scan2VKFlags!Q11&lt;&gt;""," flags="""&amp;Scan2VKFlags!Q11&amp;"""","")&amp;"/&gt;","")</f>
        <v>&lt;vk kbd="22" vk="'8'"/&gt;</v>
      </c>
      <c r="AV11" s="3" t="str">
        <f>IF(W11&lt;&gt;"","&lt;vk kbd="""&amp;W$1&amp;""" vk="""&amp;W11&amp;""""&amp;IF(Scan2VKFlags!R11&lt;&gt;""," flags="""&amp;Scan2VKFlags!R11&amp;"""","")&amp;"/&gt;","")</f>
        <v>&lt;vk kbd="30" vk="'8'"/&gt;</v>
      </c>
      <c r="AW11" s="15" t="str">
        <f>IF(X11&lt;&gt;"","&lt;vk kbd="""&amp;X$1&amp;""" vk="""&amp;X11&amp;""""&amp;IF(Scan2VKFlags!S11&lt;&gt;""," flags="""&amp;Scan2VKFlags!S11&amp;"""","")&amp;"/&gt;","")</f>
        <v>&lt;vk kbd="33" vk="'8'"/&gt;</v>
      </c>
      <c r="AX11" s="15" t="str">
        <f>IF(Y11&lt;&gt;"","&lt;vk kbd="""&amp;Y$1&amp;""" vk="""&amp;Y11&amp;""""&amp;IF(Scan2VKFlags!T11&lt;&gt;""," flags="""&amp;Scan2VKFlags!T11&amp;"""","")&amp;"/&gt;","")</f>
        <v>&lt;vk kbd="34" vk="'8'"/&gt;</v>
      </c>
      <c r="AY11" s="18" t="str">
        <f>IF(AA11&lt;&gt;"","&lt;vk kbd="""&amp;AA$1&amp;""" vk="""&amp;AA11&amp;""""&amp;IF(Scan2VKFlags!U11&lt;&gt;""," flags="""&amp;Scan2VKFlags!U11&amp;"""","")&amp;"/&gt;","")</f>
        <v>&lt;vk kbd="37" vk="'9'"/&gt;</v>
      </c>
      <c r="AZ11" s="3" t="str">
        <f>IF(AC11&lt;&gt;"","&lt;vk kbd="""&amp;AC$1&amp;""" vk="""&amp;AC11&amp;""""&amp;IF(Scan2VKFlags!V11&lt;&gt;""," flags="""&amp;Scan2VKFlags!V11&amp;"""","")&amp;"/&gt;","")</f>
        <v>&lt;vk kbd="40" vk="'8'"/&gt;</v>
      </c>
      <c r="BA11" s="16" t="str">
        <f>IF(AD11&lt;&gt;"","&lt;vk kbd="""&amp;AD$1&amp;""" vk="""&amp;AD11&amp;""""&amp;IF(Scan2VKFlags!W11&lt;&gt;""," flags="""&amp;Scan2VKFlags!W11&amp;"""","")&amp;"/&gt;","")</f>
        <v>&lt;vk kbd="41" vk="'8'"/&gt;</v>
      </c>
      <c r="BB11" t="s">
        <v>854</v>
      </c>
    </row>
    <row r="12" spans="1:54" x14ac:dyDescent="0.25">
      <c r="A12">
        <f t="shared" si="7"/>
        <v>10</v>
      </c>
      <c r="B12" t="str">
        <f t="shared" si="4"/>
        <v>T0A</v>
      </c>
      <c r="C12" s="7" t="s">
        <v>10</v>
      </c>
      <c r="D12" s="12" t="str">
        <f>trimtext(SplitText($C12,",",0))</f>
        <v>'9'</v>
      </c>
      <c r="E12" s="12" t="str">
        <f>IF(SplitText($C12,",",COLUMN(E:E)-COLUMN($D:$D))="",$D12,trimtext(SplitText($C12,",",COLUMN(E:E)-COLUMN($D:$D))))</f>
        <v>'9'</v>
      </c>
      <c r="F12" s="12" t="str">
        <f>IF(SplitText($C12,",",COLUMN(F:F)-COLUMN($D:$D))="",$D12,trimtext(SplitText($C12,",",COLUMN(F:F)-COLUMN($D:$D))))</f>
        <v>'9'</v>
      </c>
      <c r="G12" s="12" t="str">
        <f>IF(SplitText($C12,",",COLUMN(G:G)-COLUMN($D:$D))="",$D12,trimtext(SplitText($C12,",",COLUMN(G:G)-COLUMN($D:$D))))</f>
        <v>'9'</v>
      </c>
      <c r="H12" s="12" t="str">
        <f>IF(SplitText($C12,",",COLUMN(H:H)-COLUMN($D:$D))="",$D12,trimtext(SplitText($C12,",",COLUMN(H:H)-COLUMN($D:$D))))</f>
        <v>'9'</v>
      </c>
      <c r="I12" s="12" t="str">
        <f>IF(SplitText($C12,",",COLUMN(I:I)-COLUMN($D:$D))="",$D12,trimtext(SplitText($C12,",",COLUMN(I:I)-COLUMN($D:$D))))</f>
        <v>'9'</v>
      </c>
      <c r="J12" s="9" t="s">
        <v>195</v>
      </c>
      <c r="K12" s="12" t="str">
        <f>trimtext(SplitText($J12,",",0))</f>
        <v>'9'</v>
      </c>
      <c r="L12" s="12" t="str">
        <f>IF(SplitText($J12,",",COLUMN(L:L)-COLUMN($K:$K))="",$K12,trimtext(SplitText($J12,",",COLUMN(L:L)-COLUMN($K:$K))))</f>
        <v>'9'</v>
      </c>
      <c r="M12" s="12" t="str">
        <f>IF(SplitText($J12,",",COLUMN(M:M)-COLUMN($K:$K))="",$K12,trimtext(SplitText($J12,",",COLUMN(M:M)-COLUMN($K:$K))))</f>
        <v>'9'</v>
      </c>
      <c r="N12" s="12" t="str">
        <f>IF(SplitText($J12,",",COLUMN(N:N)-COLUMN($K:$K))="",$K12,trimtext(SplitText($J12,",",COLUMN(N:N)-COLUMN($K:$K))))</f>
        <v>'9'</v>
      </c>
      <c r="O12" s="12" t="str">
        <f>IF(SplitText($J12,",",COLUMN(O:O)-COLUMN($K:$K))="",$K12,trimtext(SplitText($J12,",",COLUMN(O:O)-COLUMN($K:$K))))</f>
        <v>'9'</v>
      </c>
      <c r="P12" s="12" t="str">
        <f>IF(SplitText($J12,",",COLUMN(P:P)-COLUMN($K:$K))="",$K12,trimtext(SplitText($J12,",",COLUMN(P:P)-COLUMN($K:$K))))</f>
        <v>'9'</v>
      </c>
      <c r="Q12" s="12" t="str">
        <f>IF(SplitText($J12,",",COLUMN(Q:Q)-COLUMN($K:$K))="",$K12,trimtext(SplitText($J12,",",COLUMN(Q:Q)-COLUMN($K:$K))))</f>
        <v>'9'</v>
      </c>
      <c r="R12" s="2" t="s">
        <v>352</v>
      </c>
      <c r="S12" s="12" t="str">
        <f>trimtext(SplitText($R12,",",0))</f>
        <v>'9'</v>
      </c>
      <c r="T12" s="12" t="str">
        <f>IF(SplitText($R12,",",COLUMN(T:T)-COLUMN($S:$S))="",$S12,trimtext(SplitText($R12,",",COLUMN(T:T)-COLUMN($S:$S))))</f>
        <v>'9'</v>
      </c>
      <c r="U12" s="12" t="str">
        <f>IF(SplitText($R12,",",COLUMN(U:U)-COLUMN($S:$S))="",$S12,trimtext(SplitText($R12,",",COLUMN(U:U)-COLUMN($S:$S))))</f>
        <v>'9'</v>
      </c>
      <c r="V12" s="23" t="s">
        <v>517</v>
      </c>
      <c r="W12" s="12" t="str">
        <f>trimtext(SplitText($V12,",",0))</f>
        <v>'9'</v>
      </c>
      <c r="X12" s="12" t="str">
        <f>IF(SplitText($V12,",",COLUMN(X:X)-COLUMN($W:$W))="",$W12,trimtext(SplitText($V12,",",COLUMN(X:X)-COLUMN($W:$W))))</f>
        <v>'9'</v>
      </c>
      <c r="Y12" s="12" t="str">
        <f>IF(SplitText($V12,",",COLUMN(Y:Y)-COLUMN($W:$W))="",$W12,trimtext(SplitText($V12,",",COLUMN(Y:Y)-COLUMN($W:$W))))</f>
        <v>'9'</v>
      </c>
      <c r="Z12" s="23" t="s">
        <v>642</v>
      </c>
      <c r="AA12" s="12" t="str">
        <f t="shared" si="5"/>
        <v>'0'</v>
      </c>
      <c r="AB12" s="2" t="s">
        <v>753</v>
      </c>
      <c r="AC12" s="12" t="str">
        <f>trimtext(SplitText($AB12,",",0))</f>
        <v>'9'</v>
      </c>
      <c r="AD12" s="12" t="str">
        <f>IF(SplitText($AB12,",",COLUMN(AD:AD)-COLUMN($AC:$AC))="",$AC12,trimtext(SplitText($AB12,",",COLUMN(AD:AD)-COLUMN($AC:$AC))))</f>
        <v>'9'</v>
      </c>
      <c r="AE12" s="18" t="str">
        <f t="shared" si="6"/>
        <v>&lt;xs:enumeration value="T0A"&gt;&lt;xs:annotation&gt;&lt;xs:documentation&gt;Typically '9' for keyboard type 4, different values for different keyboard types&lt;/xs:documentation&gt;&lt;xs:appinfo&gt;&lt;default-vk&gt;</v>
      </c>
      <c r="AF12" s="15" t="str">
        <f>IF(D12&lt;&gt;"","&lt;vk kbd="""&amp;D$1&amp;""" vk="""&amp;D12&amp;""""&amp;IF(Scan2VKFlags!B12&lt;&gt;""," flags="""&amp;Scan2VKFlags!B12&amp;"""","")&amp;"/&gt;","")</f>
        <v>&lt;vk kbd="1" vk="'9'"/&gt;</v>
      </c>
      <c r="AG12" s="15" t="str">
        <f>IF(E12&lt;&gt;"","&lt;vk kbd="""&amp;E$1&amp;""" vk="""&amp;E12&amp;""""&amp;IF(Scan2VKFlags!C12&lt;&gt;""," flags="""&amp;Scan2VKFlags!C12&amp;"""","")&amp;"/&gt;","")</f>
        <v>&lt;vk kbd="2" vk="'9'"/&gt;</v>
      </c>
      <c r="AH12" s="15" t="str">
        <f>IF(F12&lt;&gt;"","&lt;vk kbd="""&amp;F$1&amp;""" vk="""&amp;F12&amp;""""&amp;IF(Scan2VKFlags!D12&lt;&gt;""," flags="""&amp;Scan2VKFlags!D12&amp;"""","")&amp;"/&gt;","")</f>
        <v>&lt;vk kbd="3" vk="'9'"/&gt;</v>
      </c>
      <c r="AI12" s="15" t="str">
        <f>IF(G12&lt;&gt;"","&lt;vk kbd="""&amp;G$1&amp;""" vk="""&amp;G12&amp;""""&amp;IF(Scan2VKFlags!E12&lt;&gt;""," flags="""&amp;Scan2VKFlags!E12&amp;"""","")&amp;"/&gt;","")</f>
        <v>&lt;vk kbd="4" vk="'9'"/&gt;</v>
      </c>
      <c r="AJ12" s="15" t="str">
        <f>IF(H12&lt;&gt;"","&lt;vk kbd="""&amp;H$1&amp;""" vk="""&amp;H12&amp;""""&amp;IF(Scan2VKFlags!F12&lt;&gt;""," flags="""&amp;Scan2VKFlags!F12&amp;"""","")&amp;"/&gt;","")</f>
        <v>&lt;vk kbd="5" vk="'9'"/&gt;</v>
      </c>
      <c r="AK12" s="16" t="str">
        <f>IF(I12&lt;&gt;"","&lt;vk kbd="""&amp;I$1&amp;""" vk="""&amp;I12&amp;""""&amp;IF(Scan2VKFlags!G12&lt;&gt;""," flags="""&amp;Scan2VKFlags!G12&amp;"""","")&amp;"/&gt;","")</f>
        <v>&lt;vk kbd="6" vk="'9'"/&gt;</v>
      </c>
      <c r="AL12" s="3" t="str">
        <f>IF(K12&lt;&gt;"","&lt;vk kbd="""&amp;K$1&amp;""" vk="""&amp;K12&amp;""""&amp;IF(Scan2VKFlags!H12&lt;&gt;""," flags="""&amp;Scan2VKFlags!H12&amp;"""","")&amp;"/&gt;","")</f>
        <v>&lt;vk kbd="7" vk="'9'"/&gt;</v>
      </c>
      <c r="AM12" t="str">
        <f>IF(L12&lt;&gt;"","&lt;vk kbd="""&amp;L$1&amp;""" vk="""&amp;L12&amp;""""&amp;IF(Scan2VKFlags!I12&lt;&gt;""," flags="""&amp;Scan2VKFlags!I12&amp;"""","")&amp;"/&gt;","")</f>
        <v>&lt;vk kbd="8" vk="'9'"/&gt;</v>
      </c>
      <c r="AN12" t="str">
        <f>IF(M12&lt;&gt;"","&lt;vk kbd="""&amp;M$1&amp;""" vk="""&amp;M12&amp;""""&amp;IF(Scan2VKFlags!J12&lt;&gt;""," flags="""&amp;Scan2VKFlags!J12&amp;"""","")&amp;"/&gt;","")</f>
        <v>&lt;vk kbd="16" vk="'9'"/&gt;</v>
      </c>
      <c r="AO12" t="str">
        <f>IF(N12&lt;&gt;"","&lt;vk kbd="""&amp;N$1&amp;""" vk="""&amp;N12&amp;""""&amp;IF(Scan2VKFlags!K12&lt;&gt;""," flags="""&amp;Scan2VKFlags!K12&amp;"""","")&amp;"/&gt;","")</f>
        <v>&lt;vk kbd="10" vk="'9'"/&gt;</v>
      </c>
      <c r="AP12" t="str">
        <f>IF(O12&lt;&gt;"","&lt;vk kbd="""&amp;O$1&amp;""" vk="""&amp;O12&amp;""""&amp;IF(Scan2VKFlags!L12&lt;&gt;""," flags="""&amp;Scan2VKFlags!L12&amp;"""","")&amp;"/&gt;","")</f>
        <v>&lt;vk kbd="11" vk="'9'"/&gt;</v>
      </c>
      <c r="AQ12" t="str">
        <f>IF(P12&lt;&gt;"","&lt;vk kbd="""&amp;P$1&amp;""" vk="""&amp;P12&amp;""""&amp;IF(Scan2VKFlags!M12&lt;&gt;""," flags="""&amp;Scan2VKFlags!M12&amp;"""","")&amp;"/&gt;","")</f>
        <v>&lt;vk kbd="12" vk="'9'"/&gt;</v>
      </c>
      <c r="AR12" s="16" t="str">
        <f>IF(Q12&lt;&gt;"","&lt;vk kbd="""&amp;Q$1&amp;""" vk="""&amp;Q12&amp;""""&amp;IF(Scan2VKFlags!N12&lt;&gt;""," flags="""&amp;Scan2VKFlags!N12&amp;"""","")&amp;"/&gt;","")</f>
        <v>&lt;vk kbd="13" vk="'9'"/&gt;</v>
      </c>
      <c r="AS12" s="3" t="str">
        <f>IF(S12&lt;&gt;"","&lt;vk kbd="""&amp;S$1&amp;""" vk="""&amp;S12&amp;""""&amp;IF(Scan2VKFlags!O12&lt;&gt;""," flags="""&amp;Scan2VKFlags!O12&amp;"""","")&amp;"/&gt;","")</f>
        <v>&lt;vk kbd="20" vk="'9'"/&gt;</v>
      </c>
      <c r="AT12" t="str">
        <f>IF(T12&lt;&gt;"","&lt;vk kbd="""&amp;T$1&amp;""" vk="""&amp;T12&amp;""""&amp;IF(Scan2VKFlags!P12&lt;&gt;""," flags="""&amp;Scan2VKFlags!P12&amp;"""","")&amp;"/&gt;","")</f>
        <v>&lt;vk kbd="21" vk="'9'"/&gt;</v>
      </c>
      <c r="AU12" s="16" t="str">
        <f>IF(U12&lt;&gt;"","&lt;vk kbd="""&amp;U$1&amp;""" vk="""&amp;U12&amp;""""&amp;IF(Scan2VKFlags!Q12&lt;&gt;""," flags="""&amp;Scan2VKFlags!Q12&amp;"""","")&amp;"/&gt;","")</f>
        <v>&lt;vk kbd="22" vk="'9'"/&gt;</v>
      </c>
      <c r="AV12" s="3" t="str">
        <f>IF(W12&lt;&gt;"","&lt;vk kbd="""&amp;W$1&amp;""" vk="""&amp;W12&amp;""""&amp;IF(Scan2VKFlags!R12&lt;&gt;""," flags="""&amp;Scan2VKFlags!R12&amp;"""","")&amp;"/&gt;","")</f>
        <v>&lt;vk kbd="30" vk="'9'"/&gt;</v>
      </c>
      <c r="AW12" s="15" t="str">
        <f>IF(X12&lt;&gt;"","&lt;vk kbd="""&amp;X$1&amp;""" vk="""&amp;X12&amp;""""&amp;IF(Scan2VKFlags!S12&lt;&gt;""," flags="""&amp;Scan2VKFlags!S12&amp;"""","")&amp;"/&gt;","")</f>
        <v>&lt;vk kbd="33" vk="'9'"/&gt;</v>
      </c>
      <c r="AX12" s="15" t="str">
        <f>IF(Y12&lt;&gt;"","&lt;vk kbd="""&amp;Y$1&amp;""" vk="""&amp;Y12&amp;""""&amp;IF(Scan2VKFlags!T12&lt;&gt;""," flags="""&amp;Scan2VKFlags!T12&amp;"""","")&amp;"/&gt;","")</f>
        <v>&lt;vk kbd="34" vk="'9'"/&gt;</v>
      </c>
      <c r="AY12" s="18" t="str">
        <f>IF(AA12&lt;&gt;"","&lt;vk kbd="""&amp;AA$1&amp;""" vk="""&amp;AA12&amp;""""&amp;IF(Scan2VKFlags!U12&lt;&gt;""," flags="""&amp;Scan2VKFlags!U12&amp;"""","")&amp;"/&gt;","")</f>
        <v>&lt;vk kbd="37" vk="'0'"/&gt;</v>
      </c>
      <c r="AZ12" s="3" t="str">
        <f>IF(AC12&lt;&gt;"","&lt;vk kbd="""&amp;AC$1&amp;""" vk="""&amp;AC12&amp;""""&amp;IF(Scan2VKFlags!V12&lt;&gt;""," flags="""&amp;Scan2VKFlags!V12&amp;"""","")&amp;"/&gt;","")</f>
        <v>&lt;vk kbd="40" vk="'9'"/&gt;</v>
      </c>
      <c r="BA12" s="16" t="str">
        <f>IF(AD12&lt;&gt;"","&lt;vk kbd="""&amp;AD$1&amp;""" vk="""&amp;AD12&amp;""""&amp;IF(Scan2VKFlags!W12&lt;&gt;""," flags="""&amp;Scan2VKFlags!W12&amp;"""","")&amp;"/&gt;","")</f>
        <v>&lt;vk kbd="41" vk="'9'"/&gt;</v>
      </c>
      <c r="BB12" t="s">
        <v>854</v>
      </c>
    </row>
    <row r="13" spans="1:54" x14ac:dyDescent="0.25">
      <c r="A13">
        <f t="shared" si="7"/>
        <v>11</v>
      </c>
      <c r="B13" t="str">
        <f t="shared" si="4"/>
        <v>T0B</v>
      </c>
      <c r="C13" s="7" t="s">
        <v>11</v>
      </c>
      <c r="D13" s="12" t="str">
        <f>trimtext(SplitText($C13,",",0))</f>
        <v>'0'</v>
      </c>
      <c r="E13" s="12" t="str">
        <f>IF(SplitText($C13,",",COLUMN(E:E)-COLUMN($D:$D))="",$D13,trimtext(SplitText($C13,",",COLUMN(E:E)-COLUMN($D:$D))))</f>
        <v>'0'</v>
      </c>
      <c r="F13" s="12" t="str">
        <f>IF(SplitText($C13,",",COLUMN(F:F)-COLUMN($D:$D))="",$D13,trimtext(SplitText($C13,",",COLUMN(F:F)-COLUMN($D:$D))))</f>
        <v>'0'</v>
      </c>
      <c r="G13" s="12" t="str">
        <f>IF(SplitText($C13,",",COLUMN(G:G)-COLUMN($D:$D))="",$D13,trimtext(SplitText($C13,",",COLUMN(G:G)-COLUMN($D:$D))))</f>
        <v>'0'</v>
      </c>
      <c r="H13" s="12" t="str">
        <f>IF(SplitText($C13,",",COLUMN(H:H)-COLUMN($D:$D))="",$D13,trimtext(SplitText($C13,",",COLUMN(H:H)-COLUMN($D:$D))))</f>
        <v>'0'</v>
      </c>
      <c r="I13" s="12" t="str">
        <f>IF(SplitText($C13,",",COLUMN(I:I)-COLUMN($D:$D))="",$D13,trimtext(SplitText($C13,",",COLUMN(I:I)-COLUMN($D:$D))))</f>
        <v>'0'</v>
      </c>
      <c r="J13" s="9" t="s">
        <v>196</v>
      </c>
      <c r="K13" s="12" t="str">
        <f>trimtext(SplitText($J13,",",0))</f>
        <v>'0'</v>
      </c>
      <c r="L13" s="12" t="str">
        <f>IF(SplitText($J13,",",COLUMN(L:L)-COLUMN($K:$K))="",$K13,trimtext(SplitText($J13,",",COLUMN(L:L)-COLUMN($K:$K))))</f>
        <v>'0'</v>
      </c>
      <c r="M13" s="12" t="str">
        <f>IF(SplitText($J13,",",COLUMN(M:M)-COLUMN($K:$K))="",$K13,trimtext(SplitText($J13,",",COLUMN(M:M)-COLUMN($K:$K))))</f>
        <v>'0'</v>
      </c>
      <c r="N13" s="12" t="str">
        <f>IF(SplitText($J13,",",COLUMN(N:N)-COLUMN($K:$K))="",$K13,trimtext(SplitText($J13,",",COLUMN(N:N)-COLUMN($K:$K))))</f>
        <v>'0'</v>
      </c>
      <c r="O13" s="12" t="str">
        <f>IF(SplitText($J13,",",COLUMN(O:O)-COLUMN($K:$K))="",$K13,trimtext(SplitText($J13,",",COLUMN(O:O)-COLUMN($K:$K))))</f>
        <v>'0'</v>
      </c>
      <c r="P13" s="12" t="str">
        <f>IF(SplitText($J13,",",COLUMN(P:P)-COLUMN($K:$K))="",$K13,trimtext(SplitText($J13,",",COLUMN(P:P)-COLUMN($K:$K))))</f>
        <v>'0'</v>
      </c>
      <c r="Q13" s="12" t="str">
        <f>IF(SplitText($J13,",",COLUMN(Q:Q)-COLUMN($K:$K))="",$K13,trimtext(SplitText($J13,",",COLUMN(Q:Q)-COLUMN($K:$K))))</f>
        <v>'0'</v>
      </c>
      <c r="R13" s="2" t="s">
        <v>353</v>
      </c>
      <c r="S13" s="12" t="str">
        <f>trimtext(SplitText($R13,",",0))</f>
        <v>'0'</v>
      </c>
      <c r="T13" s="12" t="str">
        <f>IF(SplitText($R13,",",COLUMN(T:T)-COLUMN($S:$S))="",$S13,trimtext(SplitText($R13,",",COLUMN(T:T)-COLUMN($S:$S))))</f>
        <v>'0'</v>
      </c>
      <c r="U13" s="12" t="str">
        <f>IF(SplitText($R13,",",COLUMN(U:U)-COLUMN($S:$S))="",$S13,trimtext(SplitText($R13,",",COLUMN(U:U)-COLUMN($S:$S))))</f>
        <v>'0'</v>
      </c>
      <c r="V13" s="23" t="s">
        <v>518</v>
      </c>
      <c r="W13" s="12" t="str">
        <f>trimtext(SplitText($V13,",",0))</f>
        <v>'0'</v>
      </c>
      <c r="X13" s="12" t="str">
        <f>IF(SplitText($V13,",",COLUMN(X:X)-COLUMN($W:$W))="",$W13,trimtext(SplitText($V13,",",COLUMN(X:X)-COLUMN($W:$W))))</f>
        <v>'0'</v>
      </c>
      <c r="Y13" s="12" t="str">
        <f>IF(SplitText($V13,",",COLUMN(Y:Y)-COLUMN($W:$W))="",$W13,trimtext(SplitText($V13,",",COLUMN(Y:Y)-COLUMN($W:$W))))</f>
        <v>'0'</v>
      </c>
      <c r="Z13" s="2" t="s">
        <v>643</v>
      </c>
      <c r="AA13" s="12" t="str">
        <f t="shared" si="5"/>
        <v>OEM_MINUS</v>
      </c>
      <c r="AB13" s="2" t="s">
        <v>754</v>
      </c>
      <c r="AC13" s="12" t="str">
        <f>trimtext(SplitText($AB13,",",0))</f>
        <v>'0'</v>
      </c>
      <c r="AD13" s="12" t="str">
        <f>IF(SplitText($AB13,",",COLUMN(AD:AD)-COLUMN($AC:$AC))="",$AC13,trimtext(SplitText($AB13,",",COLUMN(AD:AD)-COLUMN($AC:$AC))))</f>
        <v>'0'</v>
      </c>
      <c r="AE13" s="18" t="str">
        <f t="shared" si="6"/>
        <v>&lt;xs:enumeration value="T0B"&gt;&lt;xs:annotation&gt;&lt;xs:documentation&gt;Typically '0' for keyboard type 4, different values for different keyboard types&lt;/xs:documentation&gt;&lt;xs:appinfo&gt;&lt;default-vk&gt;</v>
      </c>
      <c r="AF13" s="15" t="str">
        <f>IF(D13&lt;&gt;"","&lt;vk kbd="""&amp;D$1&amp;""" vk="""&amp;D13&amp;""""&amp;IF(Scan2VKFlags!B13&lt;&gt;""," flags="""&amp;Scan2VKFlags!B13&amp;"""","")&amp;"/&gt;","")</f>
        <v>&lt;vk kbd="1" vk="'0'"/&gt;</v>
      </c>
      <c r="AG13" s="15" t="str">
        <f>IF(E13&lt;&gt;"","&lt;vk kbd="""&amp;E$1&amp;""" vk="""&amp;E13&amp;""""&amp;IF(Scan2VKFlags!C13&lt;&gt;""," flags="""&amp;Scan2VKFlags!C13&amp;"""","")&amp;"/&gt;","")</f>
        <v>&lt;vk kbd="2" vk="'0'"/&gt;</v>
      </c>
      <c r="AH13" s="15" t="str">
        <f>IF(F13&lt;&gt;"","&lt;vk kbd="""&amp;F$1&amp;""" vk="""&amp;F13&amp;""""&amp;IF(Scan2VKFlags!D13&lt;&gt;""," flags="""&amp;Scan2VKFlags!D13&amp;"""","")&amp;"/&gt;","")</f>
        <v>&lt;vk kbd="3" vk="'0'"/&gt;</v>
      </c>
      <c r="AI13" s="15" t="str">
        <f>IF(G13&lt;&gt;"","&lt;vk kbd="""&amp;G$1&amp;""" vk="""&amp;G13&amp;""""&amp;IF(Scan2VKFlags!E13&lt;&gt;""," flags="""&amp;Scan2VKFlags!E13&amp;"""","")&amp;"/&gt;","")</f>
        <v>&lt;vk kbd="4" vk="'0'"/&gt;</v>
      </c>
      <c r="AJ13" s="15" t="str">
        <f>IF(H13&lt;&gt;"","&lt;vk kbd="""&amp;H$1&amp;""" vk="""&amp;H13&amp;""""&amp;IF(Scan2VKFlags!F13&lt;&gt;""," flags="""&amp;Scan2VKFlags!F13&amp;"""","")&amp;"/&gt;","")</f>
        <v>&lt;vk kbd="5" vk="'0'"/&gt;</v>
      </c>
      <c r="AK13" s="16" t="str">
        <f>IF(I13&lt;&gt;"","&lt;vk kbd="""&amp;I$1&amp;""" vk="""&amp;I13&amp;""""&amp;IF(Scan2VKFlags!G13&lt;&gt;""," flags="""&amp;Scan2VKFlags!G13&amp;"""","")&amp;"/&gt;","")</f>
        <v>&lt;vk kbd="6" vk="'0'"/&gt;</v>
      </c>
      <c r="AL13" s="3" t="str">
        <f>IF(K13&lt;&gt;"","&lt;vk kbd="""&amp;K$1&amp;""" vk="""&amp;K13&amp;""""&amp;IF(Scan2VKFlags!H13&lt;&gt;""," flags="""&amp;Scan2VKFlags!H13&amp;"""","")&amp;"/&gt;","")</f>
        <v>&lt;vk kbd="7" vk="'0'"/&gt;</v>
      </c>
      <c r="AM13" t="str">
        <f>IF(L13&lt;&gt;"","&lt;vk kbd="""&amp;L$1&amp;""" vk="""&amp;L13&amp;""""&amp;IF(Scan2VKFlags!I13&lt;&gt;""," flags="""&amp;Scan2VKFlags!I13&amp;"""","")&amp;"/&gt;","")</f>
        <v>&lt;vk kbd="8" vk="'0'"/&gt;</v>
      </c>
      <c r="AN13" t="str">
        <f>IF(M13&lt;&gt;"","&lt;vk kbd="""&amp;M$1&amp;""" vk="""&amp;M13&amp;""""&amp;IF(Scan2VKFlags!J13&lt;&gt;""," flags="""&amp;Scan2VKFlags!J13&amp;"""","")&amp;"/&gt;","")</f>
        <v>&lt;vk kbd="16" vk="'0'"/&gt;</v>
      </c>
      <c r="AO13" t="str">
        <f>IF(N13&lt;&gt;"","&lt;vk kbd="""&amp;N$1&amp;""" vk="""&amp;N13&amp;""""&amp;IF(Scan2VKFlags!K13&lt;&gt;""," flags="""&amp;Scan2VKFlags!K13&amp;"""","")&amp;"/&gt;","")</f>
        <v>&lt;vk kbd="10" vk="'0'"/&gt;</v>
      </c>
      <c r="AP13" t="str">
        <f>IF(O13&lt;&gt;"","&lt;vk kbd="""&amp;O$1&amp;""" vk="""&amp;O13&amp;""""&amp;IF(Scan2VKFlags!L13&lt;&gt;""," flags="""&amp;Scan2VKFlags!L13&amp;"""","")&amp;"/&gt;","")</f>
        <v>&lt;vk kbd="11" vk="'0'"/&gt;</v>
      </c>
      <c r="AQ13" t="str">
        <f>IF(P13&lt;&gt;"","&lt;vk kbd="""&amp;P$1&amp;""" vk="""&amp;P13&amp;""""&amp;IF(Scan2VKFlags!M13&lt;&gt;""," flags="""&amp;Scan2VKFlags!M13&amp;"""","")&amp;"/&gt;","")</f>
        <v>&lt;vk kbd="12" vk="'0'"/&gt;</v>
      </c>
      <c r="AR13" s="16" t="str">
        <f>IF(Q13&lt;&gt;"","&lt;vk kbd="""&amp;Q$1&amp;""" vk="""&amp;Q13&amp;""""&amp;IF(Scan2VKFlags!N13&lt;&gt;""," flags="""&amp;Scan2VKFlags!N13&amp;"""","")&amp;"/&gt;","")</f>
        <v>&lt;vk kbd="13" vk="'0'"/&gt;</v>
      </c>
      <c r="AS13" s="3" t="str">
        <f>IF(S13&lt;&gt;"","&lt;vk kbd="""&amp;S$1&amp;""" vk="""&amp;S13&amp;""""&amp;IF(Scan2VKFlags!O13&lt;&gt;""," flags="""&amp;Scan2VKFlags!O13&amp;"""","")&amp;"/&gt;","")</f>
        <v>&lt;vk kbd="20" vk="'0'"/&gt;</v>
      </c>
      <c r="AT13" t="str">
        <f>IF(T13&lt;&gt;"","&lt;vk kbd="""&amp;T$1&amp;""" vk="""&amp;T13&amp;""""&amp;IF(Scan2VKFlags!P13&lt;&gt;""," flags="""&amp;Scan2VKFlags!P13&amp;"""","")&amp;"/&gt;","")</f>
        <v>&lt;vk kbd="21" vk="'0'"/&gt;</v>
      </c>
      <c r="AU13" s="16" t="str">
        <f>IF(U13&lt;&gt;"","&lt;vk kbd="""&amp;U$1&amp;""" vk="""&amp;U13&amp;""""&amp;IF(Scan2VKFlags!Q13&lt;&gt;""," flags="""&amp;Scan2VKFlags!Q13&amp;"""","")&amp;"/&gt;","")</f>
        <v>&lt;vk kbd="22" vk="'0'"/&gt;</v>
      </c>
      <c r="AV13" s="3" t="str">
        <f>IF(W13&lt;&gt;"","&lt;vk kbd="""&amp;W$1&amp;""" vk="""&amp;W13&amp;""""&amp;IF(Scan2VKFlags!R13&lt;&gt;""," flags="""&amp;Scan2VKFlags!R13&amp;"""","")&amp;"/&gt;","")</f>
        <v>&lt;vk kbd="30" vk="'0'"/&gt;</v>
      </c>
      <c r="AW13" s="15" t="str">
        <f>IF(X13&lt;&gt;"","&lt;vk kbd="""&amp;X$1&amp;""" vk="""&amp;X13&amp;""""&amp;IF(Scan2VKFlags!S13&lt;&gt;""," flags="""&amp;Scan2VKFlags!S13&amp;"""","")&amp;"/&gt;","")</f>
        <v>&lt;vk kbd="33" vk="'0'"/&gt;</v>
      </c>
      <c r="AX13" s="15" t="str">
        <f>IF(Y13&lt;&gt;"","&lt;vk kbd="""&amp;Y$1&amp;""" vk="""&amp;Y13&amp;""""&amp;IF(Scan2VKFlags!T13&lt;&gt;""," flags="""&amp;Scan2VKFlags!T13&amp;"""","")&amp;"/&gt;","")</f>
        <v>&lt;vk kbd="34" vk="'0'"/&gt;</v>
      </c>
      <c r="AY13" s="18" t="str">
        <f>IF(AA13&lt;&gt;"","&lt;vk kbd="""&amp;AA$1&amp;""" vk="""&amp;AA13&amp;""""&amp;IF(Scan2VKFlags!U13&lt;&gt;""," flags="""&amp;Scan2VKFlags!U13&amp;"""","")&amp;"/&gt;","")</f>
        <v>&lt;vk kbd="37" vk="OEM_MINUS"/&gt;</v>
      </c>
      <c r="AZ13" s="3" t="str">
        <f>IF(AC13&lt;&gt;"","&lt;vk kbd="""&amp;AC$1&amp;""" vk="""&amp;AC13&amp;""""&amp;IF(Scan2VKFlags!V13&lt;&gt;""," flags="""&amp;Scan2VKFlags!V13&amp;"""","")&amp;"/&gt;","")</f>
        <v>&lt;vk kbd="40" vk="'0'"/&gt;</v>
      </c>
      <c r="BA13" s="16" t="str">
        <f>IF(AD13&lt;&gt;"","&lt;vk kbd="""&amp;AD$1&amp;""" vk="""&amp;AD13&amp;""""&amp;IF(Scan2VKFlags!W13&lt;&gt;""," flags="""&amp;Scan2VKFlags!W13&amp;"""","")&amp;"/&gt;","")</f>
        <v>&lt;vk kbd="41" vk="'0'"/&gt;</v>
      </c>
      <c r="BB13" t="s">
        <v>854</v>
      </c>
    </row>
    <row r="14" spans="1:54" x14ac:dyDescent="0.25">
      <c r="A14">
        <f t="shared" si="7"/>
        <v>12</v>
      </c>
      <c r="B14" t="str">
        <f t="shared" si="4"/>
        <v>T0C</v>
      </c>
      <c r="C14" s="7" t="s">
        <v>12</v>
      </c>
      <c r="D14" s="12" t="str">
        <f>trimtext(SplitText($C14,",",0))</f>
        <v>OEM_MINUS</v>
      </c>
      <c r="E14" s="12" t="str">
        <f>IF(SplitText($C14,",",COLUMN(E:E)-COLUMN($D:$D))="",$D14,trimtext(SplitText($C14,",",COLUMN(E:E)-COLUMN($D:$D))))</f>
        <v>OEM_MINUS</v>
      </c>
      <c r="F14" s="12" t="str">
        <f>IF(SplitText($C14,",",COLUMN(F:F)-COLUMN($D:$D))="",$D14,trimtext(SplitText($C14,",",COLUMN(F:F)-COLUMN($D:$D))))</f>
        <v>OEM_MINUS</v>
      </c>
      <c r="G14" s="12" t="str">
        <f>IF(SplitText($C14,",",COLUMN(G:G)-COLUMN($D:$D))="",$D14,trimtext(SplitText($C14,",",COLUMN(G:G)-COLUMN($D:$D))))</f>
        <v>OEM_MINUS</v>
      </c>
      <c r="H14" s="12" t="str">
        <f>IF(SplitText($C14,",",COLUMN(H:H)-COLUMN($D:$D))="",$D14,trimtext(SplitText($C14,",",COLUMN(H:H)-COLUMN($D:$D))))</f>
        <v>OEM_MINUS</v>
      </c>
      <c r="I14" s="12" t="str">
        <f>IF(SplitText($C14,",",COLUMN(I:I)-COLUMN($D:$D))="",$D14,trimtext(SplitText($C14,",",COLUMN(I:I)-COLUMN($D:$D))))</f>
        <v>OEM_MINUS</v>
      </c>
      <c r="J14" s="9" t="s">
        <v>197</v>
      </c>
      <c r="K14" s="12" t="str">
        <f>trimtext(SplitText($J14,",",0))</f>
        <v>OEM_MINUS</v>
      </c>
      <c r="L14" s="12" t="str">
        <f>IF(SplitText($J14,",",COLUMN(L:L)-COLUMN($K:$K))="",$K14,trimtext(SplitText($J14,",",COLUMN(L:L)-COLUMN($K:$K))))</f>
        <v>OEM_MINUS</v>
      </c>
      <c r="M14" s="12" t="str">
        <f>IF(SplitText($J14,",",COLUMN(M:M)-COLUMN($K:$K))="",$K14,trimtext(SplitText($J14,",",COLUMN(M:M)-COLUMN($K:$K))))</f>
        <v>OEM_MINUS</v>
      </c>
      <c r="N14" s="12" t="str">
        <f>IF(SplitText($J14,",",COLUMN(N:N)-COLUMN($K:$K))="",$K14,trimtext(SplitText($J14,",",COLUMN(N:N)-COLUMN($K:$K))))</f>
        <v>OEM_MINUS</v>
      </c>
      <c r="O14" s="12" t="str">
        <f>IF(SplitText($J14,",",COLUMN(O:O)-COLUMN($K:$K))="",$K14,trimtext(SplitText($J14,",",COLUMN(O:O)-COLUMN($K:$K))))</f>
        <v>OEM_MINUS</v>
      </c>
      <c r="P14" s="12" t="str">
        <f>IF(SplitText($J14,",",COLUMN(P:P)-COLUMN($K:$K))="",$K14,trimtext(SplitText($J14,",",COLUMN(P:P)-COLUMN($K:$K))))</f>
        <v>OEM_MINUS</v>
      </c>
      <c r="Q14" s="12" t="str">
        <f>IF(SplitText($J14,",",COLUMN(Q:Q)-COLUMN($K:$K))="",$K14,trimtext(SplitText($J14,",",COLUMN(Q:Q)-COLUMN($K:$K))))</f>
        <v>OEM_MINUS</v>
      </c>
      <c r="R14" s="2" t="s">
        <v>354</v>
      </c>
      <c r="S14" s="12" t="str">
        <f>trimtext(SplitText($R14,",",0))</f>
        <v>OEM_MINUS</v>
      </c>
      <c r="T14" s="12" t="str">
        <f>IF(SplitText($R14,",",COLUMN(T:T)-COLUMN($S:$S))="",$S14,trimtext(SplitText($R14,",",COLUMN(T:T)-COLUMN($S:$S))))</f>
        <v>OEM_MINUS</v>
      </c>
      <c r="U14" s="12" t="str">
        <f>IF(SplitText($R14,",",COLUMN(U:U)-COLUMN($S:$S))="",$S14,trimtext(SplitText($R14,",",COLUMN(U:U)-COLUMN($S:$S))))</f>
        <v>OEM_MINUS</v>
      </c>
      <c r="V14" s="2" t="s">
        <v>519</v>
      </c>
      <c r="W14" s="12" t="str">
        <f>trimtext(SplitText($V14,",",0))</f>
        <v>OEM_MINUS</v>
      </c>
      <c r="X14" s="12" t="str">
        <f>IF(SplitText($V14,",",COLUMN(X:X)-COLUMN($W:$W))="",$W14,trimtext(SplitText($V14,",",COLUMN(X:X)-COLUMN($W:$W))))</f>
        <v>OEM_MINUS</v>
      </c>
      <c r="Y14" s="12" t="str">
        <f>IF(SplitText($V14,",",COLUMN(Y:Y)-COLUMN($W:$W))="",$W14,trimtext(SplitText($V14,",",COLUMN(Y:Y)-COLUMN($W:$W))))</f>
        <v>OEM_MINUS</v>
      </c>
      <c r="Z14" s="2" t="s">
        <v>644</v>
      </c>
      <c r="AA14" s="12" t="str">
        <f t="shared" si="5"/>
        <v>OEM_7</v>
      </c>
      <c r="AB14" s="2" t="s">
        <v>755</v>
      </c>
      <c r="AC14" s="12" t="str">
        <f>trimtext(SplitText($AB14,",",0))</f>
        <v>OEM_MINUS</v>
      </c>
      <c r="AD14" s="12" t="str">
        <f>IF(SplitText($AB14,",",COLUMN(AD:AD)-COLUMN($AC:$AC))="",$AC14,trimtext(SplitText($AB14,",",COLUMN(AD:AD)-COLUMN($AC:$AC))))</f>
        <v>OEM_MINUS</v>
      </c>
      <c r="AE14" s="18" t="str">
        <f t="shared" si="6"/>
        <v>&lt;xs:enumeration value="T0C"&gt;&lt;xs:annotation&gt;&lt;xs:documentation&gt;Typically OEM_MINUS for keyboard type 4, different values for different keyboard types&lt;/xs:documentation&gt;&lt;xs:appinfo&gt;&lt;default-vk&gt;</v>
      </c>
      <c r="AF14" s="15" t="str">
        <f>IF(D14&lt;&gt;"","&lt;vk kbd="""&amp;D$1&amp;""" vk="""&amp;D14&amp;""""&amp;IF(Scan2VKFlags!B14&lt;&gt;""," flags="""&amp;Scan2VKFlags!B14&amp;"""","")&amp;"/&gt;","")</f>
        <v>&lt;vk kbd="1" vk="OEM_MINUS"/&gt;</v>
      </c>
      <c r="AG14" s="15" t="str">
        <f>IF(E14&lt;&gt;"","&lt;vk kbd="""&amp;E$1&amp;""" vk="""&amp;E14&amp;""""&amp;IF(Scan2VKFlags!C14&lt;&gt;""," flags="""&amp;Scan2VKFlags!C14&amp;"""","")&amp;"/&gt;","")</f>
        <v>&lt;vk kbd="2" vk="OEM_MINUS"/&gt;</v>
      </c>
      <c r="AH14" s="15" t="str">
        <f>IF(F14&lt;&gt;"","&lt;vk kbd="""&amp;F$1&amp;""" vk="""&amp;F14&amp;""""&amp;IF(Scan2VKFlags!D14&lt;&gt;""," flags="""&amp;Scan2VKFlags!D14&amp;"""","")&amp;"/&gt;","")</f>
        <v>&lt;vk kbd="3" vk="OEM_MINUS"/&gt;</v>
      </c>
      <c r="AI14" s="15" t="str">
        <f>IF(G14&lt;&gt;"","&lt;vk kbd="""&amp;G$1&amp;""" vk="""&amp;G14&amp;""""&amp;IF(Scan2VKFlags!E14&lt;&gt;""," flags="""&amp;Scan2VKFlags!E14&amp;"""","")&amp;"/&gt;","")</f>
        <v>&lt;vk kbd="4" vk="OEM_MINUS"/&gt;</v>
      </c>
      <c r="AJ14" s="15" t="str">
        <f>IF(H14&lt;&gt;"","&lt;vk kbd="""&amp;H$1&amp;""" vk="""&amp;H14&amp;""""&amp;IF(Scan2VKFlags!F14&lt;&gt;""," flags="""&amp;Scan2VKFlags!F14&amp;"""","")&amp;"/&gt;","")</f>
        <v>&lt;vk kbd="5" vk="OEM_MINUS"/&gt;</v>
      </c>
      <c r="AK14" s="16" t="str">
        <f>IF(I14&lt;&gt;"","&lt;vk kbd="""&amp;I$1&amp;""" vk="""&amp;I14&amp;""""&amp;IF(Scan2VKFlags!G14&lt;&gt;""," flags="""&amp;Scan2VKFlags!G14&amp;"""","")&amp;"/&gt;","")</f>
        <v>&lt;vk kbd="6" vk="OEM_MINUS"/&gt;</v>
      </c>
      <c r="AL14" s="3" t="str">
        <f>IF(K14&lt;&gt;"","&lt;vk kbd="""&amp;K$1&amp;""" vk="""&amp;K14&amp;""""&amp;IF(Scan2VKFlags!H14&lt;&gt;""," flags="""&amp;Scan2VKFlags!H14&amp;"""","")&amp;"/&gt;","")</f>
        <v>&lt;vk kbd="7" vk="OEM_MINUS"/&gt;</v>
      </c>
      <c r="AM14" t="str">
        <f>IF(L14&lt;&gt;"","&lt;vk kbd="""&amp;L$1&amp;""" vk="""&amp;L14&amp;""""&amp;IF(Scan2VKFlags!I14&lt;&gt;""," flags="""&amp;Scan2VKFlags!I14&amp;"""","")&amp;"/&gt;","")</f>
        <v>&lt;vk kbd="8" vk="OEM_MINUS"/&gt;</v>
      </c>
      <c r="AN14" t="str">
        <f>IF(M14&lt;&gt;"","&lt;vk kbd="""&amp;M$1&amp;""" vk="""&amp;M14&amp;""""&amp;IF(Scan2VKFlags!J14&lt;&gt;""," flags="""&amp;Scan2VKFlags!J14&amp;"""","")&amp;"/&gt;","")</f>
        <v>&lt;vk kbd="16" vk="OEM_MINUS"/&gt;</v>
      </c>
      <c r="AO14" t="str">
        <f>IF(N14&lt;&gt;"","&lt;vk kbd="""&amp;N$1&amp;""" vk="""&amp;N14&amp;""""&amp;IF(Scan2VKFlags!K14&lt;&gt;""," flags="""&amp;Scan2VKFlags!K14&amp;"""","")&amp;"/&gt;","")</f>
        <v>&lt;vk kbd="10" vk="OEM_MINUS"/&gt;</v>
      </c>
      <c r="AP14" t="str">
        <f>IF(O14&lt;&gt;"","&lt;vk kbd="""&amp;O$1&amp;""" vk="""&amp;O14&amp;""""&amp;IF(Scan2VKFlags!L14&lt;&gt;""," flags="""&amp;Scan2VKFlags!L14&amp;"""","")&amp;"/&gt;","")</f>
        <v>&lt;vk kbd="11" vk="OEM_MINUS"/&gt;</v>
      </c>
      <c r="AQ14" t="str">
        <f>IF(P14&lt;&gt;"","&lt;vk kbd="""&amp;P$1&amp;""" vk="""&amp;P14&amp;""""&amp;IF(Scan2VKFlags!M14&lt;&gt;""," flags="""&amp;Scan2VKFlags!M14&amp;"""","")&amp;"/&gt;","")</f>
        <v>&lt;vk kbd="12" vk="OEM_MINUS"/&gt;</v>
      </c>
      <c r="AR14" s="16" t="str">
        <f>IF(Q14&lt;&gt;"","&lt;vk kbd="""&amp;Q$1&amp;""" vk="""&amp;Q14&amp;""""&amp;IF(Scan2VKFlags!N14&lt;&gt;""," flags="""&amp;Scan2VKFlags!N14&amp;"""","")&amp;"/&gt;","")</f>
        <v>&lt;vk kbd="13" vk="OEM_MINUS"/&gt;</v>
      </c>
      <c r="AS14" s="3" t="str">
        <f>IF(S14&lt;&gt;"","&lt;vk kbd="""&amp;S$1&amp;""" vk="""&amp;S14&amp;""""&amp;IF(Scan2VKFlags!O14&lt;&gt;""," flags="""&amp;Scan2VKFlags!O14&amp;"""","")&amp;"/&gt;","")</f>
        <v>&lt;vk kbd="20" vk="OEM_MINUS"/&gt;</v>
      </c>
      <c r="AT14" t="str">
        <f>IF(T14&lt;&gt;"","&lt;vk kbd="""&amp;T$1&amp;""" vk="""&amp;T14&amp;""""&amp;IF(Scan2VKFlags!P14&lt;&gt;""," flags="""&amp;Scan2VKFlags!P14&amp;"""","")&amp;"/&gt;","")</f>
        <v>&lt;vk kbd="21" vk="OEM_MINUS"/&gt;</v>
      </c>
      <c r="AU14" s="16" t="str">
        <f>IF(U14&lt;&gt;"","&lt;vk kbd="""&amp;U$1&amp;""" vk="""&amp;U14&amp;""""&amp;IF(Scan2VKFlags!Q14&lt;&gt;""," flags="""&amp;Scan2VKFlags!Q14&amp;"""","")&amp;"/&gt;","")</f>
        <v>&lt;vk kbd="22" vk="OEM_MINUS"/&gt;</v>
      </c>
      <c r="AV14" s="3" t="str">
        <f>IF(W14&lt;&gt;"","&lt;vk kbd="""&amp;W$1&amp;""" vk="""&amp;W14&amp;""""&amp;IF(Scan2VKFlags!R14&lt;&gt;""," flags="""&amp;Scan2VKFlags!R14&amp;"""","")&amp;"/&gt;","")</f>
        <v>&lt;vk kbd="30" vk="OEM_MINUS"/&gt;</v>
      </c>
      <c r="AW14" s="15" t="str">
        <f>IF(X14&lt;&gt;"","&lt;vk kbd="""&amp;X$1&amp;""" vk="""&amp;X14&amp;""""&amp;IF(Scan2VKFlags!S14&lt;&gt;""," flags="""&amp;Scan2VKFlags!S14&amp;"""","")&amp;"/&gt;","")</f>
        <v>&lt;vk kbd="33" vk="OEM_MINUS"/&gt;</v>
      </c>
      <c r="AX14" s="15" t="str">
        <f>IF(Y14&lt;&gt;"","&lt;vk kbd="""&amp;Y$1&amp;""" vk="""&amp;Y14&amp;""""&amp;IF(Scan2VKFlags!T14&lt;&gt;""," flags="""&amp;Scan2VKFlags!T14&amp;"""","")&amp;"/&gt;","")</f>
        <v>&lt;vk kbd="34" vk="OEM_MINUS"/&gt;</v>
      </c>
      <c r="AY14" s="18" t="str">
        <f>IF(AA14&lt;&gt;"","&lt;vk kbd="""&amp;AA$1&amp;""" vk="""&amp;AA14&amp;""""&amp;IF(Scan2VKFlags!U14&lt;&gt;""," flags="""&amp;Scan2VKFlags!U14&amp;"""","")&amp;"/&gt;","")</f>
        <v>&lt;vk kbd="37" vk="OEM_7"/&gt;</v>
      </c>
      <c r="AZ14" s="3" t="str">
        <f>IF(AC14&lt;&gt;"","&lt;vk kbd="""&amp;AC$1&amp;""" vk="""&amp;AC14&amp;""""&amp;IF(Scan2VKFlags!V14&lt;&gt;""," flags="""&amp;Scan2VKFlags!V14&amp;"""","")&amp;"/&gt;","")</f>
        <v>&lt;vk kbd="40" vk="OEM_MINUS"/&gt;</v>
      </c>
      <c r="BA14" s="16" t="str">
        <f>IF(AD14&lt;&gt;"","&lt;vk kbd="""&amp;AD$1&amp;""" vk="""&amp;AD14&amp;""""&amp;IF(Scan2VKFlags!W14&lt;&gt;""," flags="""&amp;Scan2VKFlags!W14&amp;"""","")&amp;"/&gt;","")</f>
        <v>&lt;vk kbd="41" vk="OEM_MINUS"/&gt;</v>
      </c>
      <c r="BB14" t="s">
        <v>854</v>
      </c>
    </row>
    <row r="15" spans="1:54" x14ac:dyDescent="0.25">
      <c r="A15">
        <f t="shared" si="7"/>
        <v>13</v>
      </c>
      <c r="B15" t="str">
        <f t="shared" si="4"/>
        <v>T0D</v>
      </c>
      <c r="C15" s="7" t="s">
        <v>13</v>
      </c>
      <c r="D15" s="12" t="str">
        <f>trimtext(SplitText($C15,",",0))</f>
        <v>OEM_PLUS</v>
      </c>
      <c r="E15" s="12" t="str">
        <f>IF(SplitText($C15,",",COLUMN(E:E)-COLUMN($D:$D))="",$D15,trimtext(SplitText($C15,",",COLUMN(E:E)-COLUMN($D:$D))))</f>
        <v>OEM_4</v>
      </c>
      <c r="F15" s="12" t="str">
        <f>IF(SplitText($C15,",",COLUMN(F:F)-COLUMN($D:$D))="",$D15,trimtext(SplitText($C15,",",COLUMN(F:F)-COLUMN($D:$D))))</f>
        <v>OEM_PLUS</v>
      </c>
      <c r="G15" s="12" t="str">
        <f>IF(SplitText($C15,",",COLUMN(G:G)-COLUMN($D:$D))="",$D15,trimtext(SplitText($C15,",",COLUMN(G:G)-COLUMN($D:$D))))</f>
        <v>OEM_PLUS</v>
      </c>
      <c r="H15" s="12" t="str">
        <f>IF(SplitText($C15,",",COLUMN(H:H)-COLUMN($D:$D))="",$D15,trimtext(SplitText($C15,",",COLUMN(H:H)-COLUMN($D:$D))))</f>
        <v>OEM_PLUS</v>
      </c>
      <c r="I15" s="12" t="str">
        <f>IF(SplitText($C15,",",COLUMN(I:I)-COLUMN($D:$D))="",$D15,trimtext(SplitText($C15,",",COLUMN(I:I)-COLUMN($D:$D))))</f>
        <v>OEM_PLUS</v>
      </c>
      <c r="J15" s="9" t="s">
        <v>198</v>
      </c>
      <c r="K15" s="12" t="str">
        <f>trimtext(SplitText($J15,",",0))</f>
        <v>OEM_7</v>
      </c>
      <c r="L15" s="12" t="str">
        <f>IF(SplitText($J15,",",COLUMN(L:L)-COLUMN($K:$K))="",$K15,trimtext(SplitText($J15,",",COLUMN(L:L)-COLUMN($K:$K))))</f>
        <v>OEM_7</v>
      </c>
      <c r="M15" s="12" t="str">
        <f>IF(SplitText($J15,",",COLUMN(M:M)-COLUMN($K:$K))="",$K15,trimtext(SplitText($J15,",",COLUMN(M:M)-COLUMN($K:$K))))</f>
        <v>OEM_PLUS</v>
      </c>
      <c r="N15" s="12" t="str">
        <f>IF(SplitText($J15,",",COLUMN(N:N)-COLUMN($K:$K))="",$K15,trimtext(SplitText($J15,",",COLUMN(N:N)-COLUMN($K:$K))))</f>
        <v>OEM_PLUS</v>
      </c>
      <c r="O15" s="12" t="str">
        <f>IF(SplitText($J15,",",COLUMN(O:O)-COLUMN($K:$K))="",$K15,trimtext(SplitText($J15,",",COLUMN(O:O)-COLUMN($K:$K))))</f>
        <v>OEM_PLUS</v>
      </c>
      <c r="P15" s="12" t="str">
        <f>IF(SplitText($J15,",",COLUMN(P:P)-COLUMN($K:$K))="",$K15,trimtext(SplitText($J15,",",COLUMN(P:P)-COLUMN($K:$K))))</f>
        <v>OEM_PLUS</v>
      </c>
      <c r="Q15" s="12" t="str">
        <f>IF(SplitText($J15,",",COLUMN(Q:Q)-COLUMN($K:$K))="",$K15,trimtext(SplitText($J15,",",COLUMN(Q:Q)-COLUMN($K:$K))))</f>
        <v>OEM_PLUS</v>
      </c>
      <c r="R15" s="2" t="s">
        <v>355</v>
      </c>
      <c r="S15" s="12" t="str">
        <f>trimtext(SplitText($R15,",",0))</f>
        <v>OEM_7</v>
      </c>
      <c r="T15" s="12" t="str">
        <f>IF(SplitText($R15,",",COLUMN(T:T)-COLUMN($S:$S))="",$S15,trimtext(SplitText($R15,",",COLUMN(T:T)-COLUMN($S:$S))))</f>
        <v>OEM_7</v>
      </c>
      <c r="U15" s="12" t="str">
        <f>IF(SplitText($R15,",",COLUMN(U:U)-COLUMN($S:$S))="",$S15,trimtext(SplitText($R15,",",COLUMN(U:U)-COLUMN($S:$S))))</f>
        <v>OEM_7</v>
      </c>
      <c r="V15" s="2" t="s">
        <v>520</v>
      </c>
      <c r="W15" s="12" t="str">
        <f>trimtext(SplitText($V15,",",0))</f>
        <v>OEM_7</v>
      </c>
      <c r="X15" s="12" t="str">
        <f>IF(SplitText($V15,",",COLUMN(X:X)-COLUMN($W:$W))="",$W15,trimtext(SplitText($V15,",",COLUMN(X:X)-COLUMN($W:$W))))</f>
        <v>OEM_7</v>
      </c>
      <c r="Y15" s="12" t="str">
        <f>IF(SplitText($V15,",",COLUMN(Y:Y)-COLUMN($W:$W))="",$W15,trimtext(SplitText($V15,",",COLUMN(Y:Y)-COLUMN($W:$W))))</f>
        <v>OEM_PLUS</v>
      </c>
      <c r="Z15" s="2" t="s">
        <v>645</v>
      </c>
      <c r="AA15" s="12" t="str">
        <f t="shared" si="5"/>
        <v>OEM_5</v>
      </c>
      <c r="AB15" s="2" t="s">
        <v>756</v>
      </c>
      <c r="AC15" s="12" t="str">
        <f>trimtext(SplitText($AB15,",",0))</f>
        <v>OEM_7</v>
      </c>
      <c r="AD15" s="12" t="str">
        <f>IF(SplitText($AB15,",",COLUMN(AD:AD)-COLUMN($AC:$AC))="",$AC15,trimtext(SplitText($AB15,",",COLUMN(AD:AD)-COLUMN($AC:$AC))))</f>
        <v>OEM_PLUS</v>
      </c>
      <c r="AE15" s="18" t="str">
        <f t="shared" si="6"/>
        <v>&lt;xs:enumeration value="T0D"&gt;&lt;xs:annotation&gt;&lt;xs:documentation&gt;Typically OEM_PLUS for keyboard type 4, different values for different keyboard types&lt;/xs:documentation&gt;&lt;xs:appinfo&gt;&lt;default-vk&gt;</v>
      </c>
      <c r="AF15" s="15" t="str">
        <f>IF(D15&lt;&gt;"","&lt;vk kbd="""&amp;D$1&amp;""" vk="""&amp;D15&amp;""""&amp;IF(Scan2VKFlags!B15&lt;&gt;""," flags="""&amp;Scan2VKFlags!B15&amp;"""","")&amp;"/&gt;","")</f>
        <v>&lt;vk kbd="1" vk="OEM_PLUS"/&gt;</v>
      </c>
      <c r="AG15" s="15" t="str">
        <f>IF(E15&lt;&gt;"","&lt;vk kbd="""&amp;E$1&amp;""" vk="""&amp;E15&amp;""""&amp;IF(Scan2VKFlags!C15&lt;&gt;""," flags="""&amp;Scan2VKFlags!C15&amp;"""","")&amp;"/&gt;","")</f>
        <v>&lt;vk kbd="2" vk="OEM_4"/&gt;</v>
      </c>
      <c r="AH15" s="15" t="str">
        <f>IF(F15&lt;&gt;"","&lt;vk kbd="""&amp;F$1&amp;""" vk="""&amp;F15&amp;""""&amp;IF(Scan2VKFlags!D15&lt;&gt;""," flags="""&amp;Scan2VKFlags!D15&amp;"""","")&amp;"/&gt;","")</f>
        <v>&lt;vk kbd="3" vk="OEM_PLUS"/&gt;</v>
      </c>
      <c r="AI15" s="15" t="str">
        <f>IF(G15&lt;&gt;"","&lt;vk kbd="""&amp;G$1&amp;""" vk="""&amp;G15&amp;""""&amp;IF(Scan2VKFlags!E15&lt;&gt;""," flags="""&amp;Scan2VKFlags!E15&amp;"""","")&amp;"/&gt;","")</f>
        <v>&lt;vk kbd="4" vk="OEM_PLUS"/&gt;</v>
      </c>
      <c r="AJ15" s="15" t="str">
        <f>IF(H15&lt;&gt;"","&lt;vk kbd="""&amp;H$1&amp;""" vk="""&amp;H15&amp;""""&amp;IF(Scan2VKFlags!F15&lt;&gt;""," flags="""&amp;Scan2VKFlags!F15&amp;"""","")&amp;"/&gt;","")</f>
        <v>&lt;vk kbd="5" vk="OEM_PLUS"/&gt;</v>
      </c>
      <c r="AK15" s="16" t="str">
        <f>IF(I15&lt;&gt;"","&lt;vk kbd="""&amp;I$1&amp;""" vk="""&amp;I15&amp;""""&amp;IF(Scan2VKFlags!G15&lt;&gt;""," flags="""&amp;Scan2VKFlags!G15&amp;"""","")&amp;"/&gt;","")</f>
        <v>&lt;vk kbd="6" vk="OEM_PLUS"/&gt;</v>
      </c>
      <c r="AL15" s="3" t="str">
        <f>IF(K15&lt;&gt;"","&lt;vk kbd="""&amp;K$1&amp;""" vk="""&amp;K15&amp;""""&amp;IF(Scan2VKFlags!H15&lt;&gt;""," flags="""&amp;Scan2VKFlags!H15&amp;"""","")&amp;"/&gt;","")</f>
        <v>&lt;vk kbd="7" vk="OEM_7"/&gt;</v>
      </c>
      <c r="AM15" t="str">
        <f>IF(L15&lt;&gt;"","&lt;vk kbd="""&amp;L$1&amp;""" vk="""&amp;L15&amp;""""&amp;IF(Scan2VKFlags!I15&lt;&gt;""," flags="""&amp;Scan2VKFlags!I15&amp;"""","")&amp;"/&gt;","")</f>
        <v>&lt;vk kbd="8" vk="OEM_7"/&gt;</v>
      </c>
      <c r="AN15" t="str">
        <f>IF(M15&lt;&gt;"","&lt;vk kbd="""&amp;M$1&amp;""" vk="""&amp;M15&amp;""""&amp;IF(Scan2VKFlags!J15&lt;&gt;""," flags="""&amp;Scan2VKFlags!J15&amp;"""","")&amp;"/&gt;","")</f>
        <v>&lt;vk kbd="16" vk="OEM_PLUS"/&gt;</v>
      </c>
      <c r="AO15" t="str">
        <f>IF(N15&lt;&gt;"","&lt;vk kbd="""&amp;N$1&amp;""" vk="""&amp;N15&amp;""""&amp;IF(Scan2VKFlags!K15&lt;&gt;""," flags="""&amp;Scan2VKFlags!K15&amp;"""","")&amp;"/&gt;","")</f>
        <v>&lt;vk kbd="10" vk="OEM_PLUS"/&gt;</v>
      </c>
      <c r="AP15" t="str">
        <f>IF(O15&lt;&gt;"","&lt;vk kbd="""&amp;O$1&amp;""" vk="""&amp;O15&amp;""""&amp;IF(Scan2VKFlags!L15&lt;&gt;""," flags="""&amp;Scan2VKFlags!L15&amp;"""","")&amp;"/&gt;","")</f>
        <v>&lt;vk kbd="11" vk="OEM_PLUS"/&gt;</v>
      </c>
      <c r="AQ15" t="str">
        <f>IF(P15&lt;&gt;"","&lt;vk kbd="""&amp;P$1&amp;""" vk="""&amp;P15&amp;""""&amp;IF(Scan2VKFlags!M15&lt;&gt;""," flags="""&amp;Scan2VKFlags!M15&amp;"""","")&amp;"/&gt;","")</f>
        <v>&lt;vk kbd="12" vk="OEM_PLUS"/&gt;</v>
      </c>
      <c r="AR15" s="16" t="str">
        <f>IF(Q15&lt;&gt;"","&lt;vk kbd="""&amp;Q$1&amp;""" vk="""&amp;Q15&amp;""""&amp;IF(Scan2VKFlags!N15&lt;&gt;""," flags="""&amp;Scan2VKFlags!N15&amp;"""","")&amp;"/&gt;","")</f>
        <v>&lt;vk kbd="13" vk="OEM_PLUS"/&gt;</v>
      </c>
      <c r="AS15" s="3" t="str">
        <f>IF(S15&lt;&gt;"","&lt;vk kbd="""&amp;S$1&amp;""" vk="""&amp;S15&amp;""""&amp;IF(Scan2VKFlags!O15&lt;&gt;""," flags="""&amp;Scan2VKFlags!O15&amp;"""","")&amp;"/&gt;","")</f>
        <v>&lt;vk kbd="20" vk="OEM_7"/&gt;</v>
      </c>
      <c r="AT15" t="str">
        <f>IF(T15&lt;&gt;"","&lt;vk kbd="""&amp;T$1&amp;""" vk="""&amp;T15&amp;""""&amp;IF(Scan2VKFlags!P15&lt;&gt;""," flags="""&amp;Scan2VKFlags!P15&amp;"""","")&amp;"/&gt;","")</f>
        <v>&lt;vk kbd="21" vk="OEM_7"/&gt;</v>
      </c>
      <c r="AU15" s="16" t="str">
        <f>IF(U15&lt;&gt;"","&lt;vk kbd="""&amp;U$1&amp;""" vk="""&amp;U15&amp;""""&amp;IF(Scan2VKFlags!Q15&lt;&gt;""," flags="""&amp;Scan2VKFlags!Q15&amp;"""","")&amp;"/&gt;","")</f>
        <v>&lt;vk kbd="22" vk="OEM_7"/&gt;</v>
      </c>
      <c r="AV15" s="3" t="str">
        <f>IF(W15&lt;&gt;"","&lt;vk kbd="""&amp;W$1&amp;""" vk="""&amp;W15&amp;""""&amp;IF(Scan2VKFlags!R15&lt;&gt;""," flags="""&amp;Scan2VKFlags!R15&amp;"""","")&amp;"/&gt;","")</f>
        <v>&lt;vk kbd="30" vk="OEM_7"/&gt;</v>
      </c>
      <c r="AW15" s="15" t="str">
        <f>IF(X15&lt;&gt;"","&lt;vk kbd="""&amp;X$1&amp;""" vk="""&amp;X15&amp;""""&amp;IF(Scan2VKFlags!S15&lt;&gt;""," flags="""&amp;Scan2VKFlags!S15&amp;"""","")&amp;"/&gt;","")</f>
        <v>&lt;vk kbd="33" vk="OEM_7"/&gt;</v>
      </c>
      <c r="AX15" s="15" t="str">
        <f>IF(Y15&lt;&gt;"","&lt;vk kbd="""&amp;Y$1&amp;""" vk="""&amp;Y15&amp;""""&amp;IF(Scan2VKFlags!T15&lt;&gt;""," flags="""&amp;Scan2VKFlags!T15&amp;"""","")&amp;"/&gt;","")</f>
        <v>&lt;vk kbd="34" vk="OEM_PLUS"/&gt;</v>
      </c>
      <c r="AY15" s="18" t="str">
        <f>IF(AA15&lt;&gt;"","&lt;vk kbd="""&amp;AA$1&amp;""" vk="""&amp;AA15&amp;""""&amp;IF(Scan2VKFlags!U15&lt;&gt;""," flags="""&amp;Scan2VKFlags!U15&amp;"""","")&amp;"/&gt;","")</f>
        <v>&lt;vk kbd="37" vk="OEM_5"/&gt;</v>
      </c>
      <c r="AZ15" s="3" t="str">
        <f>IF(AC15&lt;&gt;"","&lt;vk kbd="""&amp;AC$1&amp;""" vk="""&amp;AC15&amp;""""&amp;IF(Scan2VKFlags!V15&lt;&gt;""," flags="""&amp;Scan2VKFlags!V15&amp;"""","")&amp;"/&gt;","")</f>
        <v>&lt;vk kbd="40" vk="OEM_7"/&gt;</v>
      </c>
      <c r="BA15" s="16" t="str">
        <f>IF(AD15&lt;&gt;"","&lt;vk kbd="""&amp;AD$1&amp;""" vk="""&amp;AD15&amp;""""&amp;IF(Scan2VKFlags!W15&lt;&gt;""," flags="""&amp;Scan2VKFlags!W15&amp;"""","")&amp;"/&gt;","")</f>
        <v>&lt;vk kbd="41" vk="OEM_PLUS"/&gt;</v>
      </c>
      <c r="BB15" t="s">
        <v>854</v>
      </c>
    </row>
    <row r="16" spans="1:54" x14ac:dyDescent="0.25">
      <c r="A16">
        <f t="shared" si="7"/>
        <v>14</v>
      </c>
      <c r="B16" t="str">
        <f t="shared" si="4"/>
        <v>T0E</v>
      </c>
      <c r="C16" s="7" t="s">
        <v>14</v>
      </c>
      <c r="D16" s="12" t="str">
        <f>trimtext(SplitText($C16,",",0))</f>
        <v>BACK</v>
      </c>
      <c r="E16" s="12" t="str">
        <f>IF(SplitText($C16,",",COLUMN(E:E)-COLUMN($D:$D))="",$D16,trimtext(SplitText($C16,",",COLUMN(E:E)-COLUMN($D:$D))))</f>
        <v>BACK</v>
      </c>
      <c r="F16" s="12" t="str">
        <f>IF(SplitText($C16,",",COLUMN(F:F)-COLUMN($D:$D))="",$D16,trimtext(SplitText($C16,",",COLUMN(F:F)-COLUMN($D:$D))))</f>
        <v>BACK</v>
      </c>
      <c r="G16" s="12" t="str">
        <f>IF(SplitText($C16,",",COLUMN(G:G)-COLUMN($D:$D))="",$D16,trimtext(SplitText($C16,",",COLUMN(G:G)-COLUMN($D:$D))))</f>
        <v>BACK</v>
      </c>
      <c r="H16" s="12" t="str">
        <f>IF(SplitText($C16,",",COLUMN(H:H)-COLUMN($D:$D))="",$D16,trimtext(SplitText($C16,",",COLUMN(H:H)-COLUMN($D:$D))))</f>
        <v>BACK</v>
      </c>
      <c r="I16" s="12" t="str">
        <f>IF(SplitText($C16,",",COLUMN(I:I)-COLUMN($D:$D))="",$D16,trimtext(SplitText($C16,",",COLUMN(I:I)-COLUMN($D:$D))))</f>
        <v>BACK</v>
      </c>
      <c r="J16" s="9" t="s">
        <v>199</v>
      </c>
      <c r="K16" s="12" t="str">
        <f>trimtext(SplitText($J16,",",0))</f>
        <v>BACK</v>
      </c>
      <c r="L16" s="12" t="str">
        <f>IF(SplitText($J16,",",COLUMN(L:L)-COLUMN($K:$K))="",$K16,trimtext(SplitText($J16,",",COLUMN(L:L)-COLUMN($K:$K))))</f>
        <v>BACK</v>
      </c>
      <c r="M16" s="12" t="str">
        <f>IF(SplitText($J16,",",COLUMN(M:M)-COLUMN($K:$K))="",$K16,trimtext(SplitText($J16,",",COLUMN(M:M)-COLUMN($K:$K))))</f>
        <v>BACK</v>
      </c>
      <c r="N16" s="12" t="str">
        <f>IF(SplitText($J16,",",COLUMN(N:N)-COLUMN($K:$K))="",$K16,trimtext(SplitText($J16,",",COLUMN(N:N)-COLUMN($K:$K))))</f>
        <v>BACK</v>
      </c>
      <c r="O16" s="12" t="str">
        <f>IF(SplitText($J16,",",COLUMN(O:O)-COLUMN($K:$K))="",$K16,trimtext(SplitText($J16,",",COLUMN(O:O)-COLUMN($K:$K))))</f>
        <v>BACK</v>
      </c>
      <c r="P16" s="12" t="str">
        <f>IF(SplitText($J16,",",COLUMN(P:P)-COLUMN($K:$K))="",$K16,trimtext(SplitText($J16,",",COLUMN(P:P)-COLUMN($K:$K))))</f>
        <v>BACK</v>
      </c>
      <c r="Q16" s="12" t="str">
        <f>IF(SplitText($J16,",",COLUMN(Q:Q)-COLUMN($K:$K))="",$K16,trimtext(SplitText($J16,",",COLUMN(Q:Q)-COLUMN($K:$K))))</f>
        <v>BACK</v>
      </c>
      <c r="R16" s="2" t="s">
        <v>356</v>
      </c>
      <c r="S16" s="12" t="str">
        <f>trimtext(SplitText($R16,",",0))</f>
        <v>OEM_5</v>
      </c>
      <c r="T16" s="12" t="str">
        <f>IF(SplitText($R16,",",COLUMN(T:T)-COLUMN($S:$S))="",$S16,trimtext(SplitText($R16,",",COLUMN(T:T)-COLUMN($S:$S))))</f>
        <v>OEM_5</v>
      </c>
      <c r="U16" s="12" t="str">
        <f>IF(SplitText($R16,",",COLUMN(U:U)-COLUMN($S:$S))="",$S16,trimtext(SplitText($R16,",",COLUMN(U:U)-COLUMN($S:$S))))</f>
        <v>BACK</v>
      </c>
      <c r="V16" s="2" t="s">
        <v>521</v>
      </c>
      <c r="W16" s="12" t="str">
        <f>trimtext(SplitText($V16,",",0))</f>
        <v>BACK</v>
      </c>
      <c r="X16" s="12" t="str">
        <f>IF(SplitText($V16,",",COLUMN(X:X)-COLUMN($W:$W))="",$W16,trimtext(SplitText($V16,",",COLUMN(X:X)-COLUMN($W:$W))))</f>
        <v>BACK</v>
      </c>
      <c r="Y16" s="12" t="str">
        <f>IF(SplitText($V16,",",COLUMN(Y:Y)-COLUMN($W:$W))="",$W16,trimtext(SplitText($V16,",",COLUMN(Y:Y)-COLUMN($W:$W))))</f>
        <v>BACK</v>
      </c>
      <c r="Z16" s="2" t="s">
        <v>646</v>
      </c>
      <c r="AA16" s="12" t="str">
        <f t="shared" si="5"/>
        <v>BACK</v>
      </c>
      <c r="AB16" s="2" t="s">
        <v>757</v>
      </c>
      <c r="AC16" s="12" t="str">
        <f>trimtext(SplitText($AB16,",",0))</f>
        <v>BACK</v>
      </c>
      <c r="AD16" s="12" t="str">
        <f>IF(SplitText($AB16,",",COLUMN(AD:AD)-COLUMN($AC:$AC))="",$AC16,trimtext(SplitText($AB16,",",COLUMN(AD:AD)-COLUMN($AC:$AC))))</f>
        <v>BACK</v>
      </c>
      <c r="AE16" s="18" t="str">
        <f t="shared" si="6"/>
        <v>&lt;xs:enumeration value="T0E"&gt;&lt;xs:annotation&gt;&lt;xs:documentation&gt;Typically BACK for keyboard type 4, different values for different keyboard types&lt;/xs:documentation&gt;&lt;xs:appinfo&gt;&lt;default-vk&gt;</v>
      </c>
      <c r="AF16" s="15" t="str">
        <f>IF(D16&lt;&gt;"","&lt;vk kbd="""&amp;D$1&amp;""" vk="""&amp;D16&amp;""""&amp;IF(Scan2VKFlags!B16&lt;&gt;""," flags="""&amp;Scan2VKFlags!B16&amp;"""","")&amp;"/&gt;","")</f>
        <v>&lt;vk kbd="1" vk="BACK"/&gt;</v>
      </c>
      <c r="AG16" s="15" t="str">
        <f>IF(E16&lt;&gt;"","&lt;vk kbd="""&amp;E$1&amp;""" vk="""&amp;E16&amp;""""&amp;IF(Scan2VKFlags!C16&lt;&gt;""," flags="""&amp;Scan2VKFlags!C16&amp;"""","")&amp;"/&gt;","")</f>
        <v>&lt;vk kbd="2" vk="BACK"/&gt;</v>
      </c>
      <c r="AH16" s="15" t="str">
        <f>IF(F16&lt;&gt;"","&lt;vk kbd="""&amp;F$1&amp;""" vk="""&amp;F16&amp;""""&amp;IF(Scan2VKFlags!D16&lt;&gt;""," flags="""&amp;Scan2VKFlags!D16&amp;"""","")&amp;"/&gt;","")</f>
        <v>&lt;vk kbd="3" vk="BACK"/&gt;</v>
      </c>
      <c r="AI16" s="15" t="str">
        <f>IF(G16&lt;&gt;"","&lt;vk kbd="""&amp;G$1&amp;""" vk="""&amp;G16&amp;""""&amp;IF(Scan2VKFlags!E16&lt;&gt;""," flags="""&amp;Scan2VKFlags!E16&amp;"""","")&amp;"/&gt;","")</f>
        <v>&lt;vk kbd="4" vk="BACK"/&gt;</v>
      </c>
      <c r="AJ16" s="15" t="str">
        <f>IF(H16&lt;&gt;"","&lt;vk kbd="""&amp;H$1&amp;""" vk="""&amp;H16&amp;""""&amp;IF(Scan2VKFlags!F16&lt;&gt;""," flags="""&amp;Scan2VKFlags!F16&amp;"""","")&amp;"/&gt;","")</f>
        <v>&lt;vk kbd="5" vk="BACK"/&gt;</v>
      </c>
      <c r="AK16" s="16" t="str">
        <f>IF(I16&lt;&gt;"","&lt;vk kbd="""&amp;I$1&amp;""" vk="""&amp;I16&amp;""""&amp;IF(Scan2VKFlags!G16&lt;&gt;""," flags="""&amp;Scan2VKFlags!G16&amp;"""","")&amp;"/&gt;","")</f>
        <v>&lt;vk kbd="6" vk="BACK"/&gt;</v>
      </c>
      <c r="AL16" s="3" t="str">
        <f>IF(K16&lt;&gt;"","&lt;vk kbd="""&amp;K$1&amp;""" vk="""&amp;K16&amp;""""&amp;IF(Scan2VKFlags!H16&lt;&gt;""," flags="""&amp;Scan2VKFlags!H16&amp;"""","")&amp;"/&gt;","")</f>
        <v>&lt;vk kbd="7" vk="BACK"/&gt;</v>
      </c>
      <c r="AM16" t="str">
        <f>IF(L16&lt;&gt;"","&lt;vk kbd="""&amp;L$1&amp;""" vk="""&amp;L16&amp;""""&amp;IF(Scan2VKFlags!I16&lt;&gt;""," flags="""&amp;Scan2VKFlags!I16&amp;"""","")&amp;"/&gt;","")</f>
        <v>&lt;vk kbd="8" vk="BACK"/&gt;</v>
      </c>
      <c r="AN16" t="str">
        <f>IF(M16&lt;&gt;"","&lt;vk kbd="""&amp;M$1&amp;""" vk="""&amp;M16&amp;""""&amp;IF(Scan2VKFlags!J16&lt;&gt;""," flags="""&amp;Scan2VKFlags!J16&amp;"""","")&amp;"/&gt;","")</f>
        <v>&lt;vk kbd="16" vk="BACK"/&gt;</v>
      </c>
      <c r="AO16" t="str">
        <f>IF(N16&lt;&gt;"","&lt;vk kbd="""&amp;N$1&amp;""" vk="""&amp;N16&amp;""""&amp;IF(Scan2VKFlags!K16&lt;&gt;""," flags="""&amp;Scan2VKFlags!K16&amp;"""","")&amp;"/&gt;","")</f>
        <v>&lt;vk kbd="10" vk="BACK"/&gt;</v>
      </c>
      <c r="AP16" t="str">
        <f>IF(O16&lt;&gt;"","&lt;vk kbd="""&amp;O$1&amp;""" vk="""&amp;O16&amp;""""&amp;IF(Scan2VKFlags!L16&lt;&gt;""," flags="""&amp;Scan2VKFlags!L16&amp;"""","")&amp;"/&gt;","")</f>
        <v>&lt;vk kbd="11" vk="BACK"/&gt;</v>
      </c>
      <c r="AQ16" t="str">
        <f>IF(P16&lt;&gt;"","&lt;vk kbd="""&amp;P$1&amp;""" vk="""&amp;P16&amp;""""&amp;IF(Scan2VKFlags!M16&lt;&gt;""," flags="""&amp;Scan2VKFlags!M16&amp;"""","")&amp;"/&gt;","")</f>
        <v>&lt;vk kbd="12" vk="BACK"/&gt;</v>
      </c>
      <c r="AR16" s="16" t="str">
        <f>IF(Q16&lt;&gt;"","&lt;vk kbd="""&amp;Q$1&amp;""" vk="""&amp;Q16&amp;""""&amp;IF(Scan2VKFlags!N16&lt;&gt;""," flags="""&amp;Scan2VKFlags!N16&amp;"""","")&amp;"/&gt;","")</f>
        <v>&lt;vk kbd="13" vk="BACK"/&gt;</v>
      </c>
      <c r="AS16" s="3" t="str">
        <f>IF(S16&lt;&gt;"","&lt;vk kbd="""&amp;S$1&amp;""" vk="""&amp;S16&amp;""""&amp;IF(Scan2VKFlags!O16&lt;&gt;""," flags="""&amp;Scan2VKFlags!O16&amp;"""","")&amp;"/&gt;","")</f>
        <v>&lt;vk kbd="20" vk="OEM_5"/&gt;</v>
      </c>
      <c r="AT16" t="str">
        <f>IF(T16&lt;&gt;"","&lt;vk kbd="""&amp;T$1&amp;""" vk="""&amp;T16&amp;""""&amp;IF(Scan2VKFlags!P16&lt;&gt;""," flags="""&amp;Scan2VKFlags!P16&amp;"""","")&amp;"/&gt;","")</f>
        <v>&lt;vk kbd="21" vk="OEM_5"/&gt;</v>
      </c>
      <c r="AU16" s="16" t="str">
        <f>IF(U16&lt;&gt;"","&lt;vk kbd="""&amp;U$1&amp;""" vk="""&amp;U16&amp;""""&amp;IF(Scan2VKFlags!Q16&lt;&gt;""," flags="""&amp;Scan2VKFlags!Q16&amp;"""","")&amp;"/&gt;","")</f>
        <v>&lt;vk kbd="22" vk="BACK"/&gt;</v>
      </c>
      <c r="AV16" s="3" t="str">
        <f>IF(W16&lt;&gt;"","&lt;vk kbd="""&amp;W$1&amp;""" vk="""&amp;W16&amp;""""&amp;IF(Scan2VKFlags!R16&lt;&gt;""," flags="""&amp;Scan2VKFlags!R16&amp;"""","")&amp;"/&gt;","")</f>
        <v>&lt;vk kbd="30" vk="BACK"/&gt;</v>
      </c>
      <c r="AW16" s="15" t="str">
        <f>IF(X16&lt;&gt;"","&lt;vk kbd="""&amp;X$1&amp;""" vk="""&amp;X16&amp;""""&amp;IF(Scan2VKFlags!S16&lt;&gt;""," flags="""&amp;Scan2VKFlags!S16&amp;"""","")&amp;"/&gt;","")</f>
        <v>&lt;vk kbd="33" vk="BACK"/&gt;</v>
      </c>
      <c r="AX16" s="15" t="str">
        <f>IF(Y16&lt;&gt;"","&lt;vk kbd="""&amp;Y$1&amp;""" vk="""&amp;Y16&amp;""""&amp;IF(Scan2VKFlags!T16&lt;&gt;""," flags="""&amp;Scan2VKFlags!T16&amp;"""","")&amp;"/&gt;","")</f>
        <v>&lt;vk kbd="34" vk="BACK"/&gt;</v>
      </c>
      <c r="AY16" s="18" t="str">
        <f>IF(AA16&lt;&gt;"","&lt;vk kbd="""&amp;AA$1&amp;""" vk="""&amp;AA16&amp;""""&amp;IF(Scan2VKFlags!U16&lt;&gt;""," flags="""&amp;Scan2VKFlags!U16&amp;"""","")&amp;"/&gt;","")</f>
        <v>&lt;vk kbd="37" vk="BACK"/&gt;</v>
      </c>
      <c r="AZ16" s="3" t="str">
        <f>IF(AC16&lt;&gt;"","&lt;vk kbd="""&amp;AC$1&amp;""" vk="""&amp;AC16&amp;""""&amp;IF(Scan2VKFlags!V16&lt;&gt;""," flags="""&amp;Scan2VKFlags!V16&amp;"""","")&amp;"/&gt;","")</f>
        <v>&lt;vk kbd="40" vk="BACK"/&gt;</v>
      </c>
      <c r="BA16" s="16" t="str">
        <f>IF(AD16&lt;&gt;"","&lt;vk kbd="""&amp;AD$1&amp;""" vk="""&amp;AD16&amp;""""&amp;IF(Scan2VKFlags!W16&lt;&gt;""," flags="""&amp;Scan2VKFlags!W16&amp;"""","")&amp;"/&gt;","")</f>
        <v>&lt;vk kbd="41" vk="BACK"/&gt;</v>
      </c>
      <c r="BB16" t="s">
        <v>854</v>
      </c>
    </row>
    <row r="17" spans="1:54" x14ac:dyDescent="0.25">
      <c r="A17">
        <f t="shared" si="7"/>
        <v>15</v>
      </c>
      <c r="B17" t="str">
        <f t="shared" si="4"/>
        <v>T0F</v>
      </c>
      <c r="C17" s="7" t="s">
        <v>15</v>
      </c>
      <c r="D17" s="12" t="str">
        <f>trimtext(SplitText($C17,",",0))</f>
        <v>TAB</v>
      </c>
      <c r="E17" s="12" t="str">
        <f>IF(SplitText($C17,",",COLUMN(E:E)-COLUMN($D:$D))="",$D17,trimtext(SplitText($C17,",",COLUMN(E:E)-COLUMN($D:$D))))</f>
        <v>TAB</v>
      </c>
      <c r="F17" s="12" t="str">
        <f>IF(SplitText($C17,",",COLUMN(F:F)-COLUMN($D:$D))="",$D17,trimtext(SplitText($C17,",",COLUMN(F:F)-COLUMN($D:$D))))</f>
        <v>TAB</v>
      </c>
      <c r="G17" s="12" t="str">
        <f>IF(SplitText($C17,",",COLUMN(G:G)-COLUMN($D:$D))="",$D17,trimtext(SplitText($C17,",",COLUMN(G:G)-COLUMN($D:$D))))</f>
        <v>TAB</v>
      </c>
      <c r="H17" s="12" t="str">
        <f>IF(SplitText($C17,",",COLUMN(H:H)-COLUMN($D:$D))="",$D17,trimtext(SplitText($C17,",",COLUMN(H:H)-COLUMN($D:$D))))</f>
        <v>TAB</v>
      </c>
      <c r="I17" s="12" t="str">
        <f>IF(SplitText($C17,",",COLUMN(I:I)-COLUMN($D:$D))="",$D17,trimtext(SplitText($C17,",",COLUMN(I:I)-COLUMN($D:$D))))</f>
        <v>TAB</v>
      </c>
      <c r="J17" s="9" t="s">
        <v>200</v>
      </c>
      <c r="K17" s="12" t="str">
        <f>trimtext(SplitText($J17,",",0))</f>
        <v>TAB</v>
      </c>
      <c r="L17" s="12" t="str">
        <f>IF(SplitText($J17,",",COLUMN(L:L)-COLUMN($K:$K))="",$K17,trimtext(SplitText($J17,",",COLUMN(L:L)-COLUMN($K:$K))))</f>
        <v>TAB</v>
      </c>
      <c r="M17" s="12" t="str">
        <f>IF(SplitText($J17,",",COLUMN(M:M)-COLUMN($K:$K))="",$K17,trimtext(SplitText($J17,",",COLUMN(M:M)-COLUMN($K:$K))))</f>
        <v>TAB</v>
      </c>
      <c r="N17" s="12" t="str">
        <f>IF(SplitText($J17,",",COLUMN(N:N)-COLUMN($K:$K))="",$K17,trimtext(SplitText($J17,",",COLUMN(N:N)-COLUMN($K:$K))))</f>
        <v>TAB</v>
      </c>
      <c r="O17" s="12" t="str">
        <f>IF(SplitText($J17,",",COLUMN(O:O)-COLUMN($K:$K))="",$K17,trimtext(SplitText($J17,",",COLUMN(O:O)-COLUMN($K:$K))))</f>
        <v>TAB</v>
      </c>
      <c r="P17" s="12" t="str">
        <f>IF(SplitText($J17,",",COLUMN(P:P)-COLUMN($K:$K))="",$K17,trimtext(SplitText($J17,",",COLUMN(P:P)-COLUMN($K:$K))))</f>
        <v>TAB</v>
      </c>
      <c r="Q17" s="12" t="str">
        <f>IF(SplitText($J17,",",COLUMN(Q:Q)-COLUMN($K:$K))="",$K17,trimtext(SplitText($J17,",",COLUMN(Q:Q)-COLUMN($K:$K))))</f>
        <v>TAB</v>
      </c>
      <c r="R17" s="2" t="s">
        <v>357</v>
      </c>
      <c r="S17" s="12" t="str">
        <f>trimtext(SplitText($R17,",",0))</f>
        <v>BACK</v>
      </c>
      <c r="T17" s="12" t="str">
        <f>IF(SplitText($R17,",",COLUMN(T:T)-COLUMN($S:$S))="",$S17,trimtext(SplitText($R17,",",COLUMN(T:T)-COLUMN($S:$S))))</f>
        <v>BACK</v>
      </c>
      <c r="U17" s="12" t="str">
        <f>IF(SplitText($R17,",",COLUMN(U:U)-COLUMN($S:$S))="",$S17,trimtext(SplitText($R17,",",COLUMN(U:U)-COLUMN($S:$S))))</f>
        <v>TAB</v>
      </c>
      <c r="V17" s="2" t="s">
        <v>522</v>
      </c>
      <c r="W17" s="12" t="str">
        <f>trimtext(SplitText($V17,",",0))</f>
        <v>TAB</v>
      </c>
      <c r="X17" s="12" t="str">
        <f>IF(SplitText($V17,",",COLUMN(X:X)-COLUMN($W:$W))="",$W17,trimtext(SplitText($V17,",",COLUMN(X:X)-COLUMN($W:$W))))</f>
        <v>TAB</v>
      </c>
      <c r="Y17" s="12" t="str">
        <f>IF(SplitText($V17,",",COLUMN(Y:Y)-COLUMN($W:$W))="",$W17,trimtext(SplitText($V17,",",COLUMN(Y:Y)-COLUMN($W:$W))))</f>
        <v>TAB</v>
      </c>
      <c r="Z17" s="2" t="s">
        <v>647</v>
      </c>
      <c r="AA17" s="12" t="str">
        <f t="shared" si="5"/>
        <v>TAB</v>
      </c>
      <c r="AB17" s="2" t="s">
        <v>758</v>
      </c>
      <c r="AC17" s="12" t="str">
        <f>trimtext(SplitText($AB17,",",0))</f>
        <v>TAB</v>
      </c>
      <c r="AD17" s="12" t="str">
        <f>IF(SplitText($AB17,",",COLUMN(AD:AD)-COLUMN($AC:$AC))="",$AC17,trimtext(SplitText($AB17,",",COLUMN(AD:AD)-COLUMN($AC:$AC))))</f>
        <v>TAB</v>
      </c>
      <c r="AE17" s="18" t="str">
        <f t="shared" si="6"/>
        <v>&lt;xs:enumeration value="T0F"&gt;&lt;xs:annotation&gt;&lt;xs:documentation&gt;Typically TAB for keyboard type 4, different values for different keyboard types&lt;/xs:documentation&gt;&lt;xs:appinfo&gt;&lt;default-vk&gt;</v>
      </c>
      <c r="AF17" s="15" t="str">
        <f>IF(D17&lt;&gt;"","&lt;vk kbd="""&amp;D$1&amp;""" vk="""&amp;D17&amp;""""&amp;IF(Scan2VKFlags!B17&lt;&gt;""," flags="""&amp;Scan2VKFlags!B17&amp;"""","")&amp;"/&gt;","")</f>
        <v>&lt;vk kbd="1" vk="TAB"/&gt;</v>
      </c>
      <c r="AG17" s="15" t="str">
        <f>IF(E17&lt;&gt;"","&lt;vk kbd="""&amp;E$1&amp;""" vk="""&amp;E17&amp;""""&amp;IF(Scan2VKFlags!C17&lt;&gt;""," flags="""&amp;Scan2VKFlags!C17&amp;"""","")&amp;"/&gt;","")</f>
        <v>&lt;vk kbd="2" vk="TAB"/&gt;</v>
      </c>
      <c r="AH17" s="15" t="str">
        <f>IF(F17&lt;&gt;"","&lt;vk kbd="""&amp;F$1&amp;""" vk="""&amp;F17&amp;""""&amp;IF(Scan2VKFlags!D17&lt;&gt;""," flags="""&amp;Scan2VKFlags!D17&amp;"""","")&amp;"/&gt;","")</f>
        <v>&lt;vk kbd="3" vk="TAB"/&gt;</v>
      </c>
      <c r="AI17" s="15" t="str">
        <f>IF(G17&lt;&gt;"","&lt;vk kbd="""&amp;G$1&amp;""" vk="""&amp;G17&amp;""""&amp;IF(Scan2VKFlags!E17&lt;&gt;""," flags="""&amp;Scan2VKFlags!E17&amp;"""","")&amp;"/&gt;","")</f>
        <v>&lt;vk kbd="4" vk="TAB"/&gt;</v>
      </c>
      <c r="AJ17" s="15" t="str">
        <f>IF(H17&lt;&gt;"","&lt;vk kbd="""&amp;H$1&amp;""" vk="""&amp;H17&amp;""""&amp;IF(Scan2VKFlags!F17&lt;&gt;""," flags="""&amp;Scan2VKFlags!F17&amp;"""","")&amp;"/&gt;","")</f>
        <v>&lt;vk kbd="5" vk="TAB"/&gt;</v>
      </c>
      <c r="AK17" s="16" t="str">
        <f>IF(I17&lt;&gt;"","&lt;vk kbd="""&amp;I$1&amp;""" vk="""&amp;I17&amp;""""&amp;IF(Scan2VKFlags!G17&lt;&gt;""," flags="""&amp;Scan2VKFlags!G17&amp;"""","")&amp;"/&gt;","")</f>
        <v>&lt;vk kbd="6" vk="TAB"/&gt;</v>
      </c>
      <c r="AL17" s="3" t="str">
        <f>IF(K17&lt;&gt;"","&lt;vk kbd="""&amp;K$1&amp;""" vk="""&amp;K17&amp;""""&amp;IF(Scan2VKFlags!H17&lt;&gt;""," flags="""&amp;Scan2VKFlags!H17&amp;"""","")&amp;"/&gt;","")</f>
        <v>&lt;vk kbd="7" vk="TAB"/&gt;</v>
      </c>
      <c r="AM17" t="str">
        <f>IF(L17&lt;&gt;"","&lt;vk kbd="""&amp;L$1&amp;""" vk="""&amp;L17&amp;""""&amp;IF(Scan2VKFlags!I17&lt;&gt;""," flags="""&amp;Scan2VKFlags!I17&amp;"""","")&amp;"/&gt;","")</f>
        <v>&lt;vk kbd="8" vk="TAB"/&gt;</v>
      </c>
      <c r="AN17" t="str">
        <f>IF(M17&lt;&gt;"","&lt;vk kbd="""&amp;M$1&amp;""" vk="""&amp;M17&amp;""""&amp;IF(Scan2VKFlags!J17&lt;&gt;""," flags="""&amp;Scan2VKFlags!J17&amp;"""","")&amp;"/&gt;","")</f>
        <v>&lt;vk kbd="16" vk="TAB"/&gt;</v>
      </c>
      <c r="AO17" t="str">
        <f>IF(N17&lt;&gt;"","&lt;vk kbd="""&amp;N$1&amp;""" vk="""&amp;N17&amp;""""&amp;IF(Scan2VKFlags!K17&lt;&gt;""," flags="""&amp;Scan2VKFlags!K17&amp;"""","")&amp;"/&gt;","")</f>
        <v>&lt;vk kbd="10" vk="TAB"/&gt;</v>
      </c>
      <c r="AP17" t="str">
        <f>IF(O17&lt;&gt;"","&lt;vk kbd="""&amp;O$1&amp;""" vk="""&amp;O17&amp;""""&amp;IF(Scan2VKFlags!L17&lt;&gt;""," flags="""&amp;Scan2VKFlags!L17&amp;"""","")&amp;"/&gt;","")</f>
        <v>&lt;vk kbd="11" vk="TAB"/&gt;</v>
      </c>
      <c r="AQ17" t="str">
        <f>IF(P17&lt;&gt;"","&lt;vk kbd="""&amp;P$1&amp;""" vk="""&amp;P17&amp;""""&amp;IF(Scan2VKFlags!M17&lt;&gt;""," flags="""&amp;Scan2VKFlags!M17&amp;"""","")&amp;"/&gt;","")</f>
        <v>&lt;vk kbd="12" vk="TAB"/&gt;</v>
      </c>
      <c r="AR17" s="16" t="str">
        <f>IF(Q17&lt;&gt;"","&lt;vk kbd="""&amp;Q$1&amp;""" vk="""&amp;Q17&amp;""""&amp;IF(Scan2VKFlags!N17&lt;&gt;""," flags="""&amp;Scan2VKFlags!N17&amp;"""","")&amp;"/&gt;","")</f>
        <v>&lt;vk kbd="13" vk="TAB"/&gt;</v>
      </c>
      <c r="AS17" s="3" t="str">
        <f>IF(S17&lt;&gt;"","&lt;vk kbd="""&amp;S$1&amp;""" vk="""&amp;S17&amp;""""&amp;IF(Scan2VKFlags!O17&lt;&gt;""," flags="""&amp;Scan2VKFlags!O17&amp;"""","")&amp;"/&gt;","")</f>
        <v>&lt;vk kbd="20" vk="BACK"/&gt;</v>
      </c>
      <c r="AT17" t="str">
        <f>IF(T17&lt;&gt;"","&lt;vk kbd="""&amp;T$1&amp;""" vk="""&amp;T17&amp;""""&amp;IF(Scan2VKFlags!P17&lt;&gt;""," flags="""&amp;Scan2VKFlags!P17&amp;"""","")&amp;"/&gt;","")</f>
        <v>&lt;vk kbd="21" vk="BACK"/&gt;</v>
      </c>
      <c r="AU17" s="16" t="str">
        <f>IF(U17&lt;&gt;"","&lt;vk kbd="""&amp;U$1&amp;""" vk="""&amp;U17&amp;""""&amp;IF(Scan2VKFlags!Q17&lt;&gt;""," flags="""&amp;Scan2VKFlags!Q17&amp;"""","")&amp;"/&gt;","")</f>
        <v>&lt;vk kbd="22" vk="TAB"/&gt;</v>
      </c>
      <c r="AV17" s="3" t="str">
        <f>IF(W17&lt;&gt;"","&lt;vk kbd="""&amp;W$1&amp;""" vk="""&amp;W17&amp;""""&amp;IF(Scan2VKFlags!R17&lt;&gt;""," flags="""&amp;Scan2VKFlags!R17&amp;"""","")&amp;"/&gt;","")</f>
        <v>&lt;vk kbd="30" vk="TAB"/&gt;</v>
      </c>
      <c r="AW17" s="15" t="str">
        <f>IF(X17&lt;&gt;"","&lt;vk kbd="""&amp;X$1&amp;""" vk="""&amp;X17&amp;""""&amp;IF(Scan2VKFlags!S17&lt;&gt;""," flags="""&amp;Scan2VKFlags!S17&amp;"""","")&amp;"/&gt;","")</f>
        <v>&lt;vk kbd="33" vk="TAB"/&gt;</v>
      </c>
      <c r="AX17" s="15" t="str">
        <f>IF(Y17&lt;&gt;"","&lt;vk kbd="""&amp;Y$1&amp;""" vk="""&amp;Y17&amp;""""&amp;IF(Scan2VKFlags!T17&lt;&gt;""," flags="""&amp;Scan2VKFlags!T17&amp;"""","")&amp;"/&gt;","")</f>
        <v>&lt;vk kbd="34" vk="TAB"/&gt;</v>
      </c>
      <c r="AY17" s="18" t="str">
        <f>IF(AA17&lt;&gt;"","&lt;vk kbd="""&amp;AA$1&amp;""" vk="""&amp;AA17&amp;""""&amp;IF(Scan2VKFlags!U17&lt;&gt;""," flags="""&amp;Scan2VKFlags!U17&amp;"""","")&amp;"/&gt;","")</f>
        <v>&lt;vk kbd="37" vk="TAB"/&gt;</v>
      </c>
      <c r="AZ17" s="3" t="str">
        <f>IF(AC17&lt;&gt;"","&lt;vk kbd="""&amp;AC$1&amp;""" vk="""&amp;AC17&amp;""""&amp;IF(Scan2VKFlags!V17&lt;&gt;""," flags="""&amp;Scan2VKFlags!V17&amp;"""","")&amp;"/&gt;","")</f>
        <v>&lt;vk kbd="40" vk="TAB"/&gt;</v>
      </c>
      <c r="BA17" s="16" t="str">
        <f>IF(AD17&lt;&gt;"","&lt;vk kbd="""&amp;AD$1&amp;""" vk="""&amp;AD17&amp;""""&amp;IF(Scan2VKFlags!W17&lt;&gt;""," flags="""&amp;Scan2VKFlags!W17&amp;"""","")&amp;"/&gt;","")</f>
        <v>&lt;vk kbd="41" vk="TAB"/&gt;</v>
      </c>
      <c r="BB17" t="s">
        <v>854</v>
      </c>
    </row>
    <row r="18" spans="1:54" x14ac:dyDescent="0.25">
      <c r="A18">
        <f t="shared" si="7"/>
        <v>16</v>
      </c>
      <c r="B18" t="str">
        <f t="shared" si="4"/>
        <v>T10</v>
      </c>
      <c r="C18" s="7" t="s">
        <v>16</v>
      </c>
      <c r="D18" s="12" t="str">
        <f>trimtext(SplitText($C18,",",0))</f>
        <v>'Q'</v>
      </c>
      <c r="E18" s="12" t="str">
        <f>IF(SplitText($C18,",",COLUMN(E:E)-COLUMN($D:$D))="",$D18,trimtext(SplitText($C18,",",COLUMN(E:E)-COLUMN($D:$D))))</f>
        <v>'Q'</v>
      </c>
      <c r="F18" s="12" t="str">
        <f>IF(SplitText($C18,",",COLUMN(F:F)-COLUMN($D:$D))="",$D18,trimtext(SplitText($C18,",",COLUMN(F:F)-COLUMN($D:$D))))</f>
        <v>'Q'</v>
      </c>
      <c r="G18" s="12" t="str">
        <f>IF(SplitText($C18,",",COLUMN(G:G)-COLUMN($D:$D))="",$D18,trimtext(SplitText($C18,",",COLUMN(G:G)-COLUMN($D:$D))))</f>
        <v>'Q'</v>
      </c>
      <c r="H18" s="12" t="str">
        <f>IF(SplitText($C18,",",COLUMN(H:H)-COLUMN($D:$D))="",$D18,trimtext(SplitText($C18,",",COLUMN(H:H)-COLUMN($D:$D))))</f>
        <v>'Q'</v>
      </c>
      <c r="I18" s="12" t="str">
        <f>IF(SplitText($C18,",",COLUMN(I:I)-COLUMN($D:$D))="",$D18,trimtext(SplitText($C18,",",COLUMN(I:I)-COLUMN($D:$D))))</f>
        <v>'Q'</v>
      </c>
      <c r="J18" s="9" t="s">
        <v>201</v>
      </c>
      <c r="K18" s="12" t="str">
        <f>trimtext(SplitText($J18,",",0))</f>
        <v>'Q'</v>
      </c>
      <c r="L18" s="12" t="str">
        <f>IF(SplitText($J18,",",COLUMN(L:L)-COLUMN($K:$K))="",$K18,trimtext(SplitText($J18,",",COLUMN(L:L)-COLUMN($K:$K))))</f>
        <v>'Q'</v>
      </c>
      <c r="M18" s="12" t="str">
        <f>IF(SplitText($J18,",",COLUMN(M:M)-COLUMN($K:$K))="",$K18,trimtext(SplitText($J18,",",COLUMN(M:M)-COLUMN($K:$K))))</f>
        <v>'Q'</v>
      </c>
      <c r="N18" s="12" t="str">
        <f>IF(SplitText($J18,",",COLUMN(N:N)-COLUMN($K:$K))="",$K18,trimtext(SplitText($J18,",",COLUMN(N:N)-COLUMN($K:$K))))</f>
        <v>'Q'</v>
      </c>
      <c r="O18" s="12" t="str">
        <f>IF(SplitText($J18,",",COLUMN(O:O)-COLUMN($K:$K))="",$K18,trimtext(SplitText($J18,",",COLUMN(O:O)-COLUMN($K:$K))))</f>
        <v>'Q'</v>
      </c>
      <c r="P18" s="12" t="str">
        <f>IF(SplitText($J18,",",COLUMN(P:P)-COLUMN($K:$K))="",$K18,trimtext(SplitText($J18,",",COLUMN(P:P)-COLUMN($K:$K))))</f>
        <v>'Q'</v>
      </c>
      <c r="Q18" s="12" t="str">
        <f>IF(SplitText($J18,",",COLUMN(Q:Q)-COLUMN($K:$K))="",$K18,trimtext(SplitText($J18,",",COLUMN(Q:Q)-COLUMN($K:$K))))</f>
        <v>'Q'</v>
      </c>
      <c r="R18" s="2" t="s">
        <v>358</v>
      </c>
      <c r="S18" s="12" t="str">
        <f>trimtext(SplitText($R18,",",0))</f>
        <v>TAB</v>
      </c>
      <c r="T18" s="12" t="str">
        <f>IF(SplitText($R18,",",COLUMN(T:T)-COLUMN($S:$S))="",$S18,trimtext(SplitText($R18,",",COLUMN(T:T)-COLUMN($S:$S))))</f>
        <v>TAB</v>
      </c>
      <c r="U18" s="12" t="str">
        <f>IF(SplitText($R18,",",COLUMN(U:U)-COLUMN($S:$S))="",$S18,trimtext(SplitText($R18,",",COLUMN(U:U)-COLUMN($S:$S))))</f>
        <v>'Q'</v>
      </c>
      <c r="V18" s="23" t="s">
        <v>523</v>
      </c>
      <c r="W18" s="12" t="str">
        <f>trimtext(SplitText($V18,",",0))</f>
        <v>'Q'</v>
      </c>
      <c r="X18" s="12" t="str">
        <f>IF(SplitText($V18,",",COLUMN(X:X)-COLUMN($W:$W))="",$W18,trimtext(SplitText($V18,",",COLUMN(X:X)-COLUMN($W:$W))))</f>
        <v>'Q'</v>
      </c>
      <c r="Y18" s="12" t="str">
        <f>IF(SplitText($V18,",",COLUMN(Y:Y)-COLUMN($W:$W))="",$W18,trimtext(SplitText($V18,",",COLUMN(Y:Y)-COLUMN($W:$W))))</f>
        <v>'Q'</v>
      </c>
      <c r="Z18" s="23" t="s">
        <v>648</v>
      </c>
      <c r="AA18" s="12" t="str">
        <f t="shared" si="5"/>
        <v>'Q'</v>
      </c>
      <c r="AB18" s="2" t="s">
        <v>759</v>
      </c>
      <c r="AC18" s="12" t="str">
        <f>trimtext(SplitText($AB18,",",0))</f>
        <v>'Q'</v>
      </c>
      <c r="AD18" s="12" t="str">
        <f>IF(SplitText($AB18,",",COLUMN(AD:AD)-COLUMN($AC:$AC))="",$AC18,trimtext(SplitText($AB18,",",COLUMN(AD:AD)-COLUMN($AC:$AC))))</f>
        <v>'Q'</v>
      </c>
      <c r="AE18" s="18" t="str">
        <f t="shared" si="6"/>
        <v>&lt;xs:enumeration value="T10"&gt;&lt;xs:annotation&gt;&lt;xs:documentation&gt;Typically 'Q' for keyboard type 4, different values for different keyboard types&lt;/xs:documentation&gt;&lt;xs:appinfo&gt;&lt;default-vk&gt;</v>
      </c>
      <c r="AF18" s="15" t="str">
        <f>IF(D18&lt;&gt;"","&lt;vk kbd="""&amp;D$1&amp;""" vk="""&amp;D18&amp;""""&amp;IF(Scan2VKFlags!B18&lt;&gt;""," flags="""&amp;Scan2VKFlags!B18&amp;"""","")&amp;"/&gt;","")</f>
        <v>&lt;vk kbd="1" vk="'Q'"/&gt;</v>
      </c>
      <c r="AG18" s="15" t="str">
        <f>IF(E18&lt;&gt;"","&lt;vk kbd="""&amp;E$1&amp;""" vk="""&amp;E18&amp;""""&amp;IF(Scan2VKFlags!C18&lt;&gt;""," flags="""&amp;Scan2VKFlags!C18&amp;"""","")&amp;"/&gt;","")</f>
        <v>&lt;vk kbd="2" vk="'Q'"/&gt;</v>
      </c>
      <c r="AH18" s="15" t="str">
        <f>IF(F18&lt;&gt;"","&lt;vk kbd="""&amp;F$1&amp;""" vk="""&amp;F18&amp;""""&amp;IF(Scan2VKFlags!D18&lt;&gt;""," flags="""&amp;Scan2VKFlags!D18&amp;"""","")&amp;"/&gt;","")</f>
        <v>&lt;vk kbd="3" vk="'Q'"/&gt;</v>
      </c>
      <c r="AI18" s="15" t="str">
        <f>IF(G18&lt;&gt;"","&lt;vk kbd="""&amp;G$1&amp;""" vk="""&amp;G18&amp;""""&amp;IF(Scan2VKFlags!E18&lt;&gt;""," flags="""&amp;Scan2VKFlags!E18&amp;"""","")&amp;"/&gt;","")</f>
        <v>&lt;vk kbd="4" vk="'Q'"/&gt;</v>
      </c>
      <c r="AJ18" s="15" t="str">
        <f>IF(H18&lt;&gt;"","&lt;vk kbd="""&amp;H$1&amp;""" vk="""&amp;H18&amp;""""&amp;IF(Scan2VKFlags!F18&lt;&gt;""," flags="""&amp;Scan2VKFlags!F18&amp;"""","")&amp;"/&gt;","")</f>
        <v>&lt;vk kbd="5" vk="'Q'"/&gt;</v>
      </c>
      <c r="AK18" s="16" t="str">
        <f>IF(I18&lt;&gt;"","&lt;vk kbd="""&amp;I$1&amp;""" vk="""&amp;I18&amp;""""&amp;IF(Scan2VKFlags!G18&lt;&gt;""," flags="""&amp;Scan2VKFlags!G18&amp;"""","")&amp;"/&gt;","")</f>
        <v>&lt;vk kbd="6" vk="'Q'"/&gt;</v>
      </c>
      <c r="AL18" s="3" t="str">
        <f>IF(K18&lt;&gt;"","&lt;vk kbd="""&amp;K$1&amp;""" vk="""&amp;K18&amp;""""&amp;IF(Scan2VKFlags!H18&lt;&gt;""," flags="""&amp;Scan2VKFlags!H18&amp;"""","")&amp;"/&gt;","")</f>
        <v>&lt;vk kbd="7" vk="'Q'"/&gt;</v>
      </c>
      <c r="AM18" t="str">
        <f>IF(L18&lt;&gt;"","&lt;vk kbd="""&amp;L$1&amp;""" vk="""&amp;L18&amp;""""&amp;IF(Scan2VKFlags!I18&lt;&gt;""," flags="""&amp;Scan2VKFlags!I18&amp;"""","")&amp;"/&gt;","")</f>
        <v>&lt;vk kbd="8" vk="'Q'"/&gt;</v>
      </c>
      <c r="AN18" t="str">
        <f>IF(M18&lt;&gt;"","&lt;vk kbd="""&amp;M$1&amp;""" vk="""&amp;M18&amp;""""&amp;IF(Scan2VKFlags!J18&lt;&gt;""," flags="""&amp;Scan2VKFlags!J18&amp;"""","")&amp;"/&gt;","")</f>
        <v>&lt;vk kbd="16" vk="'Q'"/&gt;</v>
      </c>
      <c r="AO18" t="str">
        <f>IF(N18&lt;&gt;"","&lt;vk kbd="""&amp;N$1&amp;""" vk="""&amp;N18&amp;""""&amp;IF(Scan2VKFlags!K18&lt;&gt;""," flags="""&amp;Scan2VKFlags!K18&amp;"""","")&amp;"/&gt;","")</f>
        <v>&lt;vk kbd="10" vk="'Q'"/&gt;</v>
      </c>
      <c r="AP18" t="str">
        <f>IF(O18&lt;&gt;"","&lt;vk kbd="""&amp;O$1&amp;""" vk="""&amp;O18&amp;""""&amp;IF(Scan2VKFlags!L18&lt;&gt;""," flags="""&amp;Scan2VKFlags!L18&amp;"""","")&amp;"/&gt;","")</f>
        <v>&lt;vk kbd="11" vk="'Q'"/&gt;</v>
      </c>
      <c r="AQ18" t="str">
        <f>IF(P18&lt;&gt;"","&lt;vk kbd="""&amp;P$1&amp;""" vk="""&amp;P18&amp;""""&amp;IF(Scan2VKFlags!M18&lt;&gt;""," flags="""&amp;Scan2VKFlags!M18&amp;"""","")&amp;"/&gt;","")</f>
        <v>&lt;vk kbd="12" vk="'Q'"/&gt;</v>
      </c>
      <c r="AR18" s="16" t="str">
        <f>IF(Q18&lt;&gt;"","&lt;vk kbd="""&amp;Q$1&amp;""" vk="""&amp;Q18&amp;""""&amp;IF(Scan2VKFlags!N18&lt;&gt;""," flags="""&amp;Scan2VKFlags!N18&amp;"""","")&amp;"/&gt;","")</f>
        <v>&lt;vk kbd="13" vk="'Q'"/&gt;</v>
      </c>
      <c r="AS18" s="3" t="str">
        <f>IF(S18&lt;&gt;"","&lt;vk kbd="""&amp;S$1&amp;""" vk="""&amp;S18&amp;""""&amp;IF(Scan2VKFlags!O18&lt;&gt;""," flags="""&amp;Scan2VKFlags!O18&amp;"""","")&amp;"/&gt;","")</f>
        <v>&lt;vk kbd="20" vk="TAB"/&gt;</v>
      </c>
      <c r="AT18" t="str">
        <f>IF(T18&lt;&gt;"","&lt;vk kbd="""&amp;T$1&amp;""" vk="""&amp;T18&amp;""""&amp;IF(Scan2VKFlags!P18&lt;&gt;""," flags="""&amp;Scan2VKFlags!P18&amp;"""","")&amp;"/&gt;","")</f>
        <v>&lt;vk kbd="21" vk="TAB"/&gt;</v>
      </c>
      <c r="AU18" s="16" t="str">
        <f>IF(U18&lt;&gt;"","&lt;vk kbd="""&amp;U$1&amp;""" vk="""&amp;U18&amp;""""&amp;IF(Scan2VKFlags!Q18&lt;&gt;""," flags="""&amp;Scan2VKFlags!Q18&amp;"""","")&amp;"/&gt;","")</f>
        <v>&lt;vk kbd="22" vk="'Q'"/&gt;</v>
      </c>
      <c r="AV18" s="3" t="str">
        <f>IF(W18&lt;&gt;"","&lt;vk kbd="""&amp;W$1&amp;""" vk="""&amp;W18&amp;""""&amp;IF(Scan2VKFlags!R18&lt;&gt;""," flags="""&amp;Scan2VKFlags!R18&amp;"""","")&amp;"/&gt;","")</f>
        <v>&lt;vk kbd="30" vk="'Q'"/&gt;</v>
      </c>
      <c r="AW18" s="15" t="str">
        <f>IF(X18&lt;&gt;"","&lt;vk kbd="""&amp;X$1&amp;""" vk="""&amp;X18&amp;""""&amp;IF(Scan2VKFlags!S18&lt;&gt;""," flags="""&amp;Scan2VKFlags!S18&amp;"""","")&amp;"/&gt;","")</f>
        <v>&lt;vk kbd="33" vk="'Q'"/&gt;</v>
      </c>
      <c r="AX18" s="15" t="str">
        <f>IF(Y18&lt;&gt;"","&lt;vk kbd="""&amp;Y$1&amp;""" vk="""&amp;Y18&amp;""""&amp;IF(Scan2VKFlags!T18&lt;&gt;""," flags="""&amp;Scan2VKFlags!T18&amp;"""","")&amp;"/&gt;","")</f>
        <v>&lt;vk kbd="34" vk="'Q'"/&gt;</v>
      </c>
      <c r="AY18" s="18" t="str">
        <f>IF(AA18&lt;&gt;"","&lt;vk kbd="""&amp;AA$1&amp;""" vk="""&amp;AA18&amp;""""&amp;IF(Scan2VKFlags!U18&lt;&gt;""," flags="""&amp;Scan2VKFlags!U18&amp;"""","")&amp;"/&gt;","")</f>
        <v>&lt;vk kbd="37" vk="'Q'"/&gt;</v>
      </c>
      <c r="AZ18" s="3" t="str">
        <f>IF(AC18&lt;&gt;"","&lt;vk kbd="""&amp;AC$1&amp;""" vk="""&amp;AC18&amp;""""&amp;IF(Scan2VKFlags!V18&lt;&gt;""," flags="""&amp;Scan2VKFlags!V18&amp;"""","")&amp;"/&gt;","")</f>
        <v>&lt;vk kbd="40" vk="'Q'"/&gt;</v>
      </c>
      <c r="BA18" s="16" t="str">
        <f>IF(AD18&lt;&gt;"","&lt;vk kbd="""&amp;AD$1&amp;""" vk="""&amp;AD18&amp;""""&amp;IF(Scan2VKFlags!W18&lt;&gt;""," flags="""&amp;Scan2VKFlags!W18&amp;"""","")&amp;"/&gt;","")</f>
        <v>&lt;vk kbd="41" vk="'Q'"/&gt;</v>
      </c>
      <c r="BB18" t="s">
        <v>854</v>
      </c>
    </row>
    <row r="19" spans="1:54" x14ac:dyDescent="0.25">
      <c r="A19">
        <f t="shared" si="7"/>
        <v>17</v>
      </c>
      <c r="B19" t="str">
        <f t="shared" si="4"/>
        <v>T11</v>
      </c>
      <c r="C19" s="7" t="s">
        <v>17</v>
      </c>
      <c r="D19" s="12" t="str">
        <f>trimtext(SplitText($C19,",",0))</f>
        <v>'W'</v>
      </c>
      <c r="E19" s="12" t="str">
        <f>IF(SplitText($C19,",",COLUMN(E:E)-COLUMN($D:$D))="",$D19,trimtext(SplitText($C19,",",COLUMN(E:E)-COLUMN($D:$D))))</f>
        <v>'W'</v>
      </c>
      <c r="F19" s="12" t="str">
        <f>IF(SplitText($C19,",",COLUMN(F:F)-COLUMN($D:$D))="",$D19,trimtext(SplitText($C19,",",COLUMN(F:F)-COLUMN($D:$D))))</f>
        <v>'W'</v>
      </c>
      <c r="G19" s="12" t="str">
        <f>IF(SplitText($C19,",",COLUMN(G:G)-COLUMN($D:$D))="",$D19,trimtext(SplitText($C19,",",COLUMN(G:G)-COLUMN($D:$D))))</f>
        <v>'W'</v>
      </c>
      <c r="H19" s="12" t="str">
        <f>IF(SplitText($C19,",",COLUMN(H:H)-COLUMN($D:$D))="",$D19,trimtext(SplitText($C19,",",COLUMN(H:H)-COLUMN($D:$D))))</f>
        <v>'W'</v>
      </c>
      <c r="I19" s="12" t="str">
        <f>IF(SplitText($C19,",",COLUMN(I:I)-COLUMN($D:$D))="",$D19,trimtext(SplitText($C19,",",COLUMN(I:I)-COLUMN($D:$D))))</f>
        <v>'W'</v>
      </c>
      <c r="J19" s="9" t="s">
        <v>202</v>
      </c>
      <c r="K19" s="12" t="str">
        <f>trimtext(SplitText($J19,",",0))</f>
        <v>'W'</v>
      </c>
      <c r="L19" s="12" t="str">
        <f>IF(SplitText($J19,",",COLUMN(L:L)-COLUMN($K:$K))="",$K19,trimtext(SplitText($J19,",",COLUMN(L:L)-COLUMN($K:$K))))</f>
        <v>'W'</v>
      </c>
      <c r="M19" s="12" t="str">
        <f>IF(SplitText($J19,",",COLUMN(M:M)-COLUMN($K:$K))="",$K19,trimtext(SplitText($J19,",",COLUMN(M:M)-COLUMN($K:$K))))</f>
        <v>'W'</v>
      </c>
      <c r="N19" s="12" t="str">
        <f>IF(SplitText($J19,",",COLUMN(N:N)-COLUMN($K:$K))="",$K19,trimtext(SplitText($J19,",",COLUMN(N:N)-COLUMN($K:$K))))</f>
        <v>'W'</v>
      </c>
      <c r="O19" s="12" t="str">
        <f>IF(SplitText($J19,",",COLUMN(O:O)-COLUMN($K:$K))="",$K19,trimtext(SplitText($J19,",",COLUMN(O:O)-COLUMN($K:$K))))</f>
        <v>'W'</v>
      </c>
      <c r="P19" s="12" t="str">
        <f>IF(SplitText($J19,",",COLUMN(P:P)-COLUMN($K:$K))="",$K19,trimtext(SplitText($J19,",",COLUMN(P:P)-COLUMN($K:$K))))</f>
        <v>'W'</v>
      </c>
      <c r="Q19" s="12" t="str">
        <f>IF(SplitText($J19,",",COLUMN(Q:Q)-COLUMN($K:$K))="",$K19,trimtext(SplitText($J19,",",COLUMN(Q:Q)-COLUMN($K:$K))))</f>
        <v>'W'</v>
      </c>
      <c r="R19" s="23" t="s">
        <v>359</v>
      </c>
      <c r="S19" s="12" t="str">
        <f>trimtext(SplitText($R19,",",0))</f>
        <v>'Q'</v>
      </c>
      <c r="T19" s="12" t="str">
        <f>IF(SplitText($R19,",",COLUMN(T:T)-COLUMN($S:$S))="",$S19,trimtext(SplitText($R19,",",COLUMN(T:T)-COLUMN($S:$S))))</f>
        <v>'Q'</v>
      </c>
      <c r="U19" s="12" t="str">
        <f>IF(SplitText($R19,",",COLUMN(U:U)-COLUMN($S:$S))="",$S19,trimtext(SplitText($R19,",",COLUMN(U:U)-COLUMN($S:$S))))</f>
        <v>'W'</v>
      </c>
      <c r="V19" s="23" t="s">
        <v>524</v>
      </c>
      <c r="W19" s="12" t="str">
        <f>trimtext(SplitText($V19,",",0))</f>
        <v>'W'</v>
      </c>
      <c r="X19" s="12" t="str">
        <f>IF(SplitText($V19,",",COLUMN(X:X)-COLUMN($W:$W))="",$W19,trimtext(SplitText($V19,",",COLUMN(X:X)-COLUMN($W:$W))))</f>
        <v>'W'</v>
      </c>
      <c r="Y19" s="12" t="str">
        <f>IF(SplitText($V19,",",COLUMN(Y:Y)-COLUMN($W:$W))="",$W19,trimtext(SplitText($V19,",",COLUMN(Y:Y)-COLUMN($W:$W))))</f>
        <v>'W'</v>
      </c>
      <c r="Z19" s="23" t="s">
        <v>649</v>
      </c>
      <c r="AA19" s="12" t="str">
        <f t="shared" si="5"/>
        <v>'W'</v>
      </c>
      <c r="AB19" s="2" t="s">
        <v>760</v>
      </c>
      <c r="AC19" s="12" t="str">
        <f>trimtext(SplitText($AB19,",",0))</f>
        <v>'W'</v>
      </c>
      <c r="AD19" s="12" t="str">
        <f>IF(SplitText($AB19,",",COLUMN(AD:AD)-COLUMN($AC:$AC))="",$AC19,trimtext(SplitText($AB19,",",COLUMN(AD:AD)-COLUMN($AC:$AC))))</f>
        <v>'W'</v>
      </c>
      <c r="AE19" s="18" t="str">
        <f t="shared" si="6"/>
        <v>&lt;xs:enumeration value="T11"&gt;&lt;xs:annotation&gt;&lt;xs:documentation&gt;Typically 'W' for keyboard type 4, different values for different keyboard types&lt;/xs:documentation&gt;&lt;xs:appinfo&gt;&lt;default-vk&gt;</v>
      </c>
      <c r="AF19" s="15" t="str">
        <f>IF(D19&lt;&gt;"","&lt;vk kbd="""&amp;D$1&amp;""" vk="""&amp;D19&amp;""""&amp;IF(Scan2VKFlags!B19&lt;&gt;""," flags="""&amp;Scan2VKFlags!B19&amp;"""","")&amp;"/&gt;","")</f>
        <v>&lt;vk kbd="1" vk="'W'"/&gt;</v>
      </c>
      <c r="AG19" s="15" t="str">
        <f>IF(E19&lt;&gt;"","&lt;vk kbd="""&amp;E$1&amp;""" vk="""&amp;E19&amp;""""&amp;IF(Scan2VKFlags!C19&lt;&gt;""," flags="""&amp;Scan2VKFlags!C19&amp;"""","")&amp;"/&gt;","")</f>
        <v>&lt;vk kbd="2" vk="'W'"/&gt;</v>
      </c>
      <c r="AH19" s="15" t="str">
        <f>IF(F19&lt;&gt;"","&lt;vk kbd="""&amp;F$1&amp;""" vk="""&amp;F19&amp;""""&amp;IF(Scan2VKFlags!D19&lt;&gt;""," flags="""&amp;Scan2VKFlags!D19&amp;"""","")&amp;"/&gt;","")</f>
        <v>&lt;vk kbd="3" vk="'W'"/&gt;</v>
      </c>
      <c r="AI19" s="15" t="str">
        <f>IF(G19&lt;&gt;"","&lt;vk kbd="""&amp;G$1&amp;""" vk="""&amp;G19&amp;""""&amp;IF(Scan2VKFlags!E19&lt;&gt;""," flags="""&amp;Scan2VKFlags!E19&amp;"""","")&amp;"/&gt;","")</f>
        <v>&lt;vk kbd="4" vk="'W'"/&gt;</v>
      </c>
      <c r="AJ19" s="15" t="str">
        <f>IF(H19&lt;&gt;"","&lt;vk kbd="""&amp;H$1&amp;""" vk="""&amp;H19&amp;""""&amp;IF(Scan2VKFlags!F19&lt;&gt;""," flags="""&amp;Scan2VKFlags!F19&amp;"""","")&amp;"/&gt;","")</f>
        <v>&lt;vk kbd="5" vk="'W'"/&gt;</v>
      </c>
      <c r="AK19" s="16" t="str">
        <f>IF(I19&lt;&gt;"","&lt;vk kbd="""&amp;I$1&amp;""" vk="""&amp;I19&amp;""""&amp;IF(Scan2VKFlags!G19&lt;&gt;""," flags="""&amp;Scan2VKFlags!G19&amp;"""","")&amp;"/&gt;","")</f>
        <v>&lt;vk kbd="6" vk="'W'"/&gt;</v>
      </c>
      <c r="AL19" s="3" t="str">
        <f>IF(K19&lt;&gt;"","&lt;vk kbd="""&amp;K$1&amp;""" vk="""&amp;K19&amp;""""&amp;IF(Scan2VKFlags!H19&lt;&gt;""," flags="""&amp;Scan2VKFlags!H19&amp;"""","")&amp;"/&gt;","")</f>
        <v>&lt;vk kbd="7" vk="'W'"/&gt;</v>
      </c>
      <c r="AM19" t="str">
        <f>IF(L19&lt;&gt;"","&lt;vk kbd="""&amp;L$1&amp;""" vk="""&amp;L19&amp;""""&amp;IF(Scan2VKFlags!I19&lt;&gt;""," flags="""&amp;Scan2VKFlags!I19&amp;"""","")&amp;"/&gt;","")</f>
        <v>&lt;vk kbd="8" vk="'W'"/&gt;</v>
      </c>
      <c r="AN19" t="str">
        <f>IF(M19&lt;&gt;"","&lt;vk kbd="""&amp;M$1&amp;""" vk="""&amp;M19&amp;""""&amp;IF(Scan2VKFlags!J19&lt;&gt;""," flags="""&amp;Scan2VKFlags!J19&amp;"""","")&amp;"/&gt;","")</f>
        <v>&lt;vk kbd="16" vk="'W'"/&gt;</v>
      </c>
      <c r="AO19" t="str">
        <f>IF(N19&lt;&gt;"","&lt;vk kbd="""&amp;N$1&amp;""" vk="""&amp;N19&amp;""""&amp;IF(Scan2VKFlags!K19&lt;&gt;""," flags="""&amp;Scan2VKFlags!K19&amp;"""","")&amp;"/&gt;","")</f>
        <v>&lt;vk kbd="10" vk="'W'"/&gt;</v>
      </c>
      <c r="AP19" t="str">
        <f>IF(O19&lt;&gt;"","&lt;vk kbd="""&amp;O$1&amp;""" vk="""&amp;O19&amp;""""&amp;IF(Scan2VKFlags!L19&lt;&gt;""," flags="""&amp;Scan2VKFlags!L19&amp;"""","")&amp;"/&gt;","")</f>
        <v>&lt;vk kbd="11" vk="'W'"/&gt;</v>
      </c>
      <c r="AQ19" t="str">
        <f>IF(P19&lt;&gt;"","&lt;vk kbd="""&amp;P$1&amp;""" vk="""&amp;P19&amp;""""&amp;IF(Scan2VKFlags!M19&lt;&gt;""," flags="""&amp;Scan2VKFlags!M19&amp;"""","")&amp;"/&gt;","")</f>
        <v>&lt;vk kbd="12" vk="'W'"/&gt;</v>
      </c>
      <c r="AR19" s="16" t="str">
        <f>IF(Q19&lt;&gt;"","&lt;vk kbd="""&amp;Q$1&amp;""" vk="""&amp;Q19&amp;""""&amp;IF(Scan2VKFlags!N19&lt;&gt;""," flags="""&amp;Scan2VKFlags!N19&amp;"""","")&amp;"/&gt;","")</f>
        <v>&lt;vk kbd="13" vk="'W'"/&gt;</v>
      </c>
      <c r="AS19" s="3" t="str">
        <f>IF(S19&lt;&gt;"","&lt;vk kbd="""&amp;S$1&amp;""" vk="""&amp;S19&amp;""""&amp;IF(Scan2VKFlags!O19&lt;&gt;""," flags="""&amp;Scan2VKFlags!O19&amp;"""","")&amp;"/&gt;","")</f>
        <v>&lt;vk kbd="20" vk="'Q'"/&gt;</v>
      </c>
      <c r="AT19" t="str">
        <f>IF(T19&lt;&gt;"","&lt;vk kbd="""&amp;T$1&amp;""" vk="""&amp;T19&amp;""""&amp;IF(Scan2VKFlags!P19&lt;&gt;""," flags="""&amp;Scan2VKFlags!P19&amp;"""","")&amp;"/&gt;","")</f>
        <v>&lt;vk kbd="21" vk="'Q'"/&gt;</v>
      </c>
      <c r="AU19" s="16" t="str">
        <f>IF(U19&lt;&gt;"","&lt;vk kbd="""&amp;U$1&amp;""" vk="""&amp;U19&amp;""""&amp;IF(Scan2VKFlags!Q19&lt;&gt;""," flags="""&amp;Scan2VKFlags!Q19&amp;"""","")&amp;"/&gt;","")</f>
        <v>&lt;vk kbd="22" vk="'W'"/&gt;</v>
      </c>
      <c r="AV19" s="3" t="str">
        <f>IF(W19&lt;&gt;"","&lt;vk kbd="""&amp;W$1&amp;""" vk="""&amp;W19&amp;""""&amp;IF(Scan2VKFlags!R19&lt;&gt;""," flags="""&amp;Scan2VKFlags!R19&amp;"""","")&amp;"/&gt;","")</f>
        <v>&lt;vk kbd="30" vk="'W'"/&gt;</v>
      </c>
      <c r="AW19" s="15" t="str">
        <f>IF(X19&lt;&gt;"","&lt;vk kbd="""&amp;X$1&amp;""" vk="""&amp;X19&amp;""""&amp;IF(Scan2VKFlags!S19&lt;&gt;""," flags="""&amp;Scan2VKFlags!S19&amp;"""","")&amp;"/&gt;","")</f>
        <v>&lt;vk kbd="33" vk="'W'"/&gt;</v>
      </c>
      <c r="AX19" s="15" t="str">
        <f>IF(Y19&lt;&gt;"","&lt;vk kbd="""&amp;Y$1&amp;""" vk="""&amp;Y19&amp;""""&amp;IF(Scan2VKFlags!T19&lt;&gt;""," flags="""&amp;Scan2VKFlags!T19&amp;"""","")&amp;"/&gt;","")</f>
        <v>&lt;vk kbd="34" vk="'W'"/&gt;</v>
      </c>
      <c r="AY19" s="18" t="str">
        <f>IF(AA19&lt;&gt;"","&lt;vk kbd="""&amp;AA$1&amp;""" vk="""&amp;AA19&amp;""""&amp;IF(Scan2VKFlags!U19&lt;&gt;""," flags="""&amp;Scan2VKFlags!U19&amp;"""","")&amp;"/&gt;","")</f>
        <v>&lt;vk kbd="37" vk="'W'"/&gt;</v>
      </c>
      <c r="AZ19" s="3" t="str">
        <f>IF(AC19&lt;&gt;"","&lt;vk kbd="""&amp;AC$1&amp;""" vk="""&amp;AC19&amp;""""&amp;IF(Scan2VKFlags!V19&lt;&gt;""," flags="""&amp;Scan2VKFlags!V19&amp;"""","")&amp;"/&gt;","")</f>
        <v>&lt;vk kbd="40" vk="'W'"/&gt;</v>
      </c>
      <c r="BA19" s="16" t="str">
        <f>IF(AD19&lt;&gt;"","&lt;vk kbd="""&amp;AD$1&amp;""" vk="""&amp;AD19&amp;""""&amp;IF(Scan2VKFlags!W19&lt;&gt;""," flags="""&amp;Scan2VKFlags!W19&amp;"""","")&amp;"/&gt;","")</f>
        <v>&lt;vk kbd="41" vk="'W'"/&gt;</v>
      </c>
      <c r="BB19" t="s">
        <v>854</v>
      </c>
    </row>
    <row r="20" spans="1:54" x14ac:dyDescent="0.25">
      <c r="A20">
        <f t="shared" si="7"/>
        <v>18</v>
      </c>
      <c r="B20" t="str">
        <f t="shared" si="4"/>
        <v>T12</v>
      </c>
      <c r="C20" s="7" t="s">
        <v>18</v>
      </c>
      <c r="D20" s="12" t="str">
        <f>trimtext(SplitText($C20,",",0))</f>
        <v>'E'</v>
      </c>
      <c r="E20" s="12" t="str">
        <f>IF(SplitText($C20,",",COLUMN(E:E)-COLUMN($D:$D))="",$D20,trimtext(SplitText($C20,",",COLUMN(E:E)-COLUMN($D:$D))))</f>
        <v>'E'</v>
      </c>
      <c r="F20" s="12" t="str">
        <f>IF(SplitText($C20,",",COLUMN(F:F)-COLUMN($D:$D))="",$D20,trimtext(SplitText($C20,",",COLUMN(F:F)-COLUMN($D:$D))))</f>
        <v>'E'</v>
      </c>
      <c r="G20" s="12" t="str">
        <f>IF(SplitText($C20,",",COLUMN(G:G)-COLUMN($D:$D))="",$D20,trimtext(SplitText($C20,",",COLUMN(G:G)-COLUMN($D:$D))))</f>
        <v>'E'</v>
      </c>
      <c r="H20" s="12" t="str">
        <f>IF(SplitText($C20,",",COLUMN(H:H)-COLUMN($D:$D))="",$D20,trimtext(SplitText($C20,",",COLUMN(H:H)-COLUMN($D:$D))))</f>
        <v>'E'</v>
      </c>
      <c r="I20" s="12" t="str">
        <f>IF(SplitText($C20,",",COLUMN(I:I)-COLUMN($D:$D))="",$D20,trimtext(SplitText($C20,",",COLUMN(I:I)-COLUMN($D:$D))))</f>
        <v>'E'</v>
      </c>
      <c r="J20" s="9" t="s">
        <v>203</v>
      </c>
      <c r="K20" s="12" t="str">
        <f>trimtext(SplitText($J20,",",0))</f>
        <v>'E'</v>
      </c>
      <c r="L20" s="12" t="str">
        <f>IF(SplitText($J20,",",COLUMN(L:L)-COLUMN($K:$K))="",$K20,trimtext(SplitText($J20,",",COLUMN(L:L)-COLUMN($K:$K))))</f>
        <v>'E'</v>
      </c>
      <c r="M20" s="12" t="str">
        <f>IF(SplitText($J20,",",COLUMN(M:M)-COLUMN($K:$K))="",$K20,trimtext(SplitText($J20,",",COLUMN(M:M)-COLUMN($K:$K))))</f>
        <v>'E'</v>
      </c>
      <c r="N20" s="12" t="str">
        <f>IF(SplitText($J20,",",COLUMN(N:N)-COLUMN($K:$K))="",$K20,trimtext(SplitText($J20,",",COLUMN(N:N)-COLUMN($K:$K))))</f>
        <v>'E'</v>
      </c>
      <c r="O20" s="12" t="str">
        <f>IF(SplitText($J20,",",COLUMN(O:O)-COLUMN($K:$K))="",$K20,trimtext(SplitText($J20,",",COLUMN(O:O)-COLUMN($K:$K))))</f>
        <v>'E'</v>
      </c>
      <c r="P20" s="12" t="str">
        <f>IF(SplitText($J20,",",COLUMN(P:P)-COLUMN($K:$K))="",$K20,trimtext(SplitText($J20,",",COLUMN(P:P)-COLUMN($K:$K))))</f>
        <v>'E'</v>
      </c>
      <c r="Q20" s="12" t="str">
        <f>IF(SplitText($J20,",",COLUMN(Q:Q)-COLUMN($K:$K))="",$K20,trimtext(SplitText($J20,",",COLUMN(Q:Q)-COLUMN($K:$K))))</f>
        <v>'E'</v>
      </c>
      <c r="R20" s="23" t="s">
        <v>360</v>
      </c>
      <c r="S20" s="12" t="str">
        <f>trimtext(SplitText($R20,",",0))</f>
        <v>'W'</v>
      </c>
      <c r="T20" s="12" t="str">
        <f>IF(SplitText($R20,",",COLUMN(T:T)-COLUMN($S:$S))="",$S20,trimtext(SplitText($R20,",",COLUMN(T:T)-COLUMN($S:$S))))</f>
        <v>'W'</v>
      </c>
      <c r="U20" s="12" t="str">
        <f>IF(SplitText($R20,",",COLUMN(U:U)-COLUMN($S:$S))="",$S20,trimtext(SplitText($R20,",",COLUMN(U:U)-COLUMN($S:$S))))</f>
        <v>'E'</v>
      </c>
      <c r="V20" s="23" t="s">
        <v>525</v>
      </c>
      <c r="W20" s="12" t="str">
        <f>trimtext(SplitText($V20,",",0))</f>
        <v>'E'</v>
      </c>
      <c r="X20" s="12" t="str">
        <f>IF(SplitText($V20,",",COLUMN(X:X)-COLUMN($W:$W))="",$W20,trimtext(SplitText($V20,",",COLUMN(X:X)-COLUMN($W:$W))))</f>
        <v>'E'</v>
      </c>
      <c r="Y20" s="12" t="str">
        <f>IF(SplitText($V20,",",COLUMN(Y:Y)-COLUMN($W:$W))="",$W20,trimtext(SplitText($V20,",",COLUMN(Y:Y)-COLUMN($W:$W))))</f>
        <v>'E'</v>
      </c>
      <c r="Z20" s="23" t="s">
        <v>650</v>
      </c>
      <c r="AA20" s="12" t="str">
        <f t="shared" si="5"/>
        <v>'E'</v>
      </c>
      <c r="AB20" s="2" t="s">
        <v>761</v>
      </c>
      <c r="AC20" s="12" t="str">
        <f>trimtext(SplitText($AB20,",",0))</f>
        <v>'E'</v>
      </c>
      <c r="AD20" s="12" t="str">
        <f>IF(SplitText($AB20,",",COLUMN(AD:AD)-COLUMN($AC:$AC))="",$AC20,trimtext(SplitText($AB20,",",COLUMN(AD:AD)-COLUMN($AC:$AC))))</f>
        <v>'E'</v>
      </c>
      <c r="AE20" s="18" t="str">
        <f t="shared" si="6"/>
        <v>&lt;xs:enumeration value="T12"&gt;&lt;xs:annotation&gt;&lt;xs:documentation&gt;Typically 'E' for keyboard type 4, different values for different keyboard types&lt;/xs:documentation&gt;&lt;xs:appinfo&gt;&lt;default-vk&gt;</v>
      </c>
      <c r="AF20" s="15" t="str">
        <f>IF(D20&lt;&gt;"","&lt;vk kbd="""&amp;D$1&amp;""" vk="""&amp;D20&amp;""""&amp;IF(Scan2VKFlags!B20&lt;&gt;""," flags="""&amp;Scan2VKFlags!B20&amp;"""","")&amp;"/&gt;","")</f>
        <v>&lt;vk kbd="1" vk="'E'"/&gt;</v>
      </c>
      <c r="AG20" s="15" t="str">
        <f>IF(E20&lt;&gt;"","&lt;vk kbd="""&amp;E$1&amp;""" vk="""&amp;E20&amp;""""&amp;IF(Scan2VKFlags!C20&lt;&gt;""," flags="""&amp;Scan2VKFlags!C20&amp;"""","")&amp;"/&gt;","")</f>
        <v>&lt;vk kbd="2" vk="'E'"/&gt;</v>
      </c>
      <c r="AH20" s="15" t="str">
        <f>IF(F20&lt;&gt;"","&lt;vk kbd="""&amp;F$1&amp;""" vk="""&amp;F20&amp;""""&amp;IF(Scan2VKFlags!D20&lt;&gt;""," flags="""&amp;Scan2VKFlags!D20&amp;"""","")&amp;"/&gt;","")</f>
        <v>&lt;vk kbd="3" vk="'E'"/&gt;</v>
      </c>
      <c r="AI20" s="15" t="str">
        <f>IF(G20&lt;&gt;"","&lt;vk kbd="""&amp;G$1&amp;""" vk="""&amp;G20&amp;""""&amp;IF(Scan2VKFlags!E20&lt;&gt;""," flags="""&amp;Scan2VKFlags!E20&amp;"""","")&amp;"/&gt;","")</f>
        <v>&lt;vk kbd="4" vk="'E'"/&gt;</v>
      </c>
      <c r="AJ20" s="15" t="str">
        <f>IF(H20&lt;&gt;"","&lt;vk kbd="""&amp;H$1&amp;""" vk="""&amp;H20&amp;""""&amp;IF(Scan2VKFlags!F20&lt;&gt;""," flags="""&amp;Scan2VKFlags!F20&amp;"""","")&amp;"/&gt;","")</f>
        <v>&lt;vk kbd="5" vk="'E'"/&gt;</v>
      </c>
      <c r="AK20" s="16" t="str">
        <f>IF(I20&lt;&gt;"","&lt;vk kbd="""&amp;I$1&amp;""" vk="""&amp;I20&amp;""""&amp;IF(Scan2VKFlags!G20&lt;&gt;""," flags="""&amp;Scan2VKFlags!G20&amp;"""","")&amp;"/&gt;","")</f>
        <v>&lt;vk kbd="6" vk="'E'"/&gt;</v>
      </c>
      <c r="AL20" s="3" t="str">
        <f>IF(K20&lt;&gt;"","&lt;vk kbd="""&amp;K$1&amp;""" vk="""&amp;K20&amp;""""&amp;IF(Scan2VKFlags!H20&lt;&gt;""," flags="""&amp;Scan2VKFlags!H20&amp;"""","")&amp;"/&gt;","")</f>
        <v>&lt;vk kbd="7" vk="'E'"/&gt;</v>
      </c>
      <c r="AM20" t="str">
        <f>IF(L20&lt;&gt;"","&lt;vk kbd="""&amp;L$1&amp;""" vk="""&amp;L20&amp;""""&amp;IF(Scan2VKFlags!I20&lt;&gt;""," flags="""&amp;Scan2VKFlags!I20&amp;"""","")&amp;"/&gt;","")</f>
        <v>&lt;vk kbd="8" vk="'E'"/&gt;</v>
      </c>
      <c r="AN20" t="str">
        <f>IF(M20&lt;&gt;"","&lt;vk kbd="""&amp;M$1&amp;""" vk="""&amp;M20&amp;""""&amp;IF(Scan2VKFlags!J20&lt;&gt;""," flags="""&amp;Scan2VKFlags!J20&amp;"""","")&amp;"/&gt;","")</f>
        <v>&lt;vk kbd="16" vk="'E'"/&gt;</v>
      </c>
      <c r="AO20" t="str">
        <f>IF(N20&lt;&gt;"","&lt;vk kbd="""&amp;N$1&amp;""" vk="""&amp;N20&amp;""""&amp;IF(Scan2VKFlags!K20&lt;&gt;""," flags="""&amp;Scan2VKFlags!K20&amp;"""","")&amp;"/&gt;","")</f>
        <v>&lt;vk kbd="10" vk="'E'"/&gt;</v>
      </c>
      <c r="AP20" t="str">
        <f>IF(O20&lt;&gt;"","&lt;vk kbd="""&amp;O$1&amp;""" vk="""&amp;O20&amp;""""&amp;IF(Scan2VKFlags!L20&lt;&gt;""," flags="""&amp;Scan2VKFlags!L20&amp;"""","")&amp;"/&gt;","")</f>
        <v>&lt;vk kbd="11" vk="'E'"/&gt;</v>
      </c>
      <c r="AQ20" t="str">
        <f>IF(P20&lt;&gt;"","&lt;vk kbd="""&amp;P$1&amp;""" vk="""&amp;P20&amp;""""&amp;IF(Scan2VKFlags!M20&lt;&gt;""," flags="""&amp;Scan2VKFlags!M20&amp;"""","")&amp;"/&gt;","")</f>
        <v>&lt;vk kbd="12" vk="'E'"/&gt;</v>
      </c>
      <c r="AR20" s="16" t="str">
        <f>IF(Q20&lt;&gt;"","&lt;vk kbd="""&amp;Q$1&amp;""" vk="""&amp;Q20&amp;""""&amp;IF(Scan2VKFlags!N20&lt;&gt;""," flags="""&amp;Scan2VKFlags!N20&amp;"""","")&amp;"/&gt;","")</f>
        <v>&lt;vk kbd="13" vk="'E'"/&gt;</v>
      </c>
      <c r="AS20" s="3" t="str">
        <f>IF(S20&lt;&gt;"","&lt;vk kbd="""&amp;S$1&amp;""" vk="""&amp;S20&amp;""""&amp;IF(Scan2VKFlags!O20&lt;&gt;""," flags="""&amp;Scan2VKFlags!O20&amp;"""","")&amp;"/&gt;","")</f>
        <v>&lt;vk kbd="20" vk="'W'"/&gt;</v>
      </c>
      <c r="AT20" t="str">
        <f>IF(T20&lt;&gt;"","&lt;vk kbd="""&amp;T$1&amp;""" vk="""&amp;T20&amp;""""&amp;IF(Scan2VKFlags!P20&lt;&gt;""," flags="""&amp;Scan2VKFlags!P20&amp;"""","")&amp;"/&gt;","")</f>
        <v>&lt;vk kbd="21" vk="'W'"/&gt;</v>
      </c>
      <c r="AU20" s="16" t="str">
        <f>IF(U20&lt;&gt;"","&lt;vk kbd="""&amp;U$1&amp;""" vk="""&amp;U20&amp;""""&amp;IF(Scan2VKFlags!Q20&lt;&gt;""," flags="""&amp;Scan2VKFlags!Q20&amp;"""","")&amp;"/&gt;","")</f>
        <v>&lt;vk kbd="22" vk="'E'"/&gt;</v>
      </c>
      <c r="AV20" s="3" t="str">
        <f>IF(W20&lt;&gt;"","&lt;vk kbd="""&amp;W$1&amp;""" vk="""&amp;W20&amp;""""&amp;IF(Scan2VKFlags!R20&lt;&gt;""," flags="""&amp;Scan2VKFlags!R20&amp;"""","")&amp;"/&gt;","")</f>
        <v>&lt;vk kbd="30" vk="'E'"/&gt;</v>
      </c>
      <c r="AW20" s="15" t="str">
        <f>IF(X20&lt;&gt;"","&lt;vk kbd="""&amp;X$1&amp;""" vk="""&amp;X20&amp;""""&amp;IF(Scan2VKFlags!S20&lt;&gt;""," flags="""&amp;Scan2VKFlags!S20&amp;"""","")&amp;"/&gt;","")</f>
        <v>&lt;vk kbd="33" vk="'E'"/&gt;</v>
      </c>
      <c r="AX20" s="15" t="str">
        <f>IF(Y20&lt;&gt;"","&lt;vk kbd="""&amp;Y$1&amp;""" vk="""&amp;Y20&amp;""""&amp;IF(Scan2VKFlags!T20&lt;&gt;""," flags="""&amp;Scan2VKFlags!T20&amp;"""","")&amp;"/&gt;","")</f>
        <v>&lt;vk kbd="34" vk="'E'"/&gt;</v>
      </c>
      <c r="AY20" s="18" t="str">
        <f>IF(AA20&lt;&gt;"","&lt;vk kbd="""&amp;AA$1&amp;""" vk="""&amp;AA20&amp;""""&amp;IF(Scan2VKFlags!U20&lt;&gt;""," flags="""&amp;Scan2VKFlags!U20&amp;"""","")&amp;"/&gt;","")</f>
        <v>&lt;vk kbd="37" vk="'E'"/&gt;</v>
      </c>
      <c r="AZ20" s="3" t="str">
        <f>IF(AC20&lt;&gt;"","&lt;vk kbd="""&amp;AC$1&amp;""" vk="""&amp;AC20&amp;""""&amp;IF(Scan2VKFlags!V20&lt;&gt;""," flags="""&amp;Scan2VKFlags!V20&amp;"""","")&amp;"/&gt;","")</f>
        <v>&lt;vk kbd="40" vk="'E'"/&gt;</v>
      </c>
      <c r="BA20" s="16" t="str">
        <f>IF(AD20&lt;&gt;"","&lt;vk kbd="""&amp;AD$1&amp;""" vk="""&amp;AD20&amp;""""&amp;IF(Scan2VKFlags!W20&lt;&gt;""," flags="""&amp;Scan2VKFlags!W20&amp;"""","")&amp;"/&gt;","")</f>
        <v>&lt;vk kbd="41" vk="'E'"/&gt;</v>
      </c>
      <c r="BB20" t="s">
        <v>854</v>
      </c>
    </row>
    <row r="21" spans="1:54" x14ac:dyDescent="0.25">
      <c r="A21">
        <f t="shared" si="7"/>
        <v>19</v>
      </c>
      <c r="B21" t="str">
        <f t="shared" si="4"/>
        <v>T13</v>
      </c>
      <c r="C21" s="7" t="s">
        <v>19</v>
      </c>
      <c r="D21" s="12" t="str">
        <f>trimtext(SplitText($C21,",",0))</f>
        <v>'R'</v>
      </c>
      <c r="E21" s="12" t="str">
        <f>IF(SplitText($C21,",",COLUMN(E:E)-COLUMN($D:$D))="",$D21,trimtext(SplitText($C21,",",COLUMN(E:E)-COLUMN($D:$D))))</f>
        <v>'R'</v>
      </c>
      <c r="F21" s="12" t="str">
        <f>IF(SplitText($C21,",",COLUMN(F:F)-COLUMN($D:$D))="",$D21,trimtext(SplitText($C21,",",COLUMN(F:F)-COLUMN($D:$D))))</f>
        <v>'R'</v>
      </c>
      <c r="G21" s="12" t="str">
        <f>IF(SplitText($C21,",",COLUMN(G:G)-COLUMN($D:$D))="",$D21,trimtext(SplitText($C21,",",COLUMN(G:G)-COLUMN($D:$D))))</f>
        <v>'R'</v>
      </c>
      <c r="H21" s="12" t="str">
        <f>IF(SplitText($C21,",",COLUMN(H:H)-COLUMN($D:$D))="",$D21,trimtext(SplitText($C21,",",COLUMN(H:H)-COLUMN($D:$D))))</f>
        <v>'R'</v>
      </c>
      <c r="I21" s="12" t="str">
        <f>IF(SplitText($C21,",",COLUMN(I:I)-COLUMN($D:$D))="",$D21,trimtext(SplitText($C21,",",COLUMN(I:I)-COLUMN($D:$D))))</f>
        <v>'R'</v>
      </c>
      <c r="J21" s="9" t="s">
        <v>204</v>
      </c>
      <c r="K21" s="12" t="str">
        <f>trimtext(SplitText($J21,",",0))</f>
        <v>'R'</v>
      </c>
      <c r="L21" s="12" t="str">
        <f>IF(SplitText($J21,",",COLUMN(L:L)-COLUMN($K:$K))="",$K21,trimtext(SplitText($J21,",",COLUMN(L:L)-COLUMN($K:$K))))</f>
        <v>'R'</v>
      </c>
      <c r="M21" s="12" t="str">
        <f>IF(SplitText($J21,",",COLUMN(M:M)-COLUMN($K:$K))="",$K21,trimtext(SplitText($J21,",",COLUMN(M:M)-COLUMN($K:$K))))</f>
        <v>'R'</v>
      </c>
      <c r="N21" s="12" t="str">
        <f>IF(SplitText($J21,",",COLUMN(N:N)-COLUMN($K:$K))="",$K21,trimtext(SplitText($J21,",",COLUMN(N:N)-COLUMN($K:$K))))</f>
        <v>'R'</v>
      </c>
      <c r="O21" s="12" t="str">
        <f>IF(SplitText($J21,",",COLUMN(O:O)-COLUMN($K:$K))="",$K21,trimtext(SplitText($J21,",",COLUMN(O:O)-COLUMN($K:$K))))</f>
        <v>'R'</v>
      </c>
      <c r="P21" s="12" t="str">
        <f>IF(SplitText($J21,",",COLUMN(P:P)-COLUMN($K:$K))="",$K21,trimtext(SplitText($J21,",",COLUMN(P:P)-COLUMN($K:$K))))</f>
        <v>'R'</v>
      </c>
      <c r="Q21" s="12" t="str">
        <f>IF(SplitText($J21,",",COLUMN(Q:Q)-COLUMN($K:$K))="",$K21,trimtext(SplitText($J21,",",COLUMN(Q:Q)-COLUMN($K:$K))))</f>
        <v>'R'</v>
      </c>
      <c r="R21" s="23" t="s">
        <v>361</v>
      </c>
      <c r="S21" s="12" t="str">
        <f>trimtext(SplitText($R21,",",0))</f>
        <v>'E'</v>
      </c>
      <c r="T21" s="12" t="str">
        <f>IF(SplitText($R21,",",COLUMN(T:T)-COLUMN($S:$S))="",$S21,trimtext(SplitText($R21,",",COLUMN(T:T)-COLUMN($S:$S))))</f>
        <v>'E'</v>
      </c>
      <c r="U21" s="12" t="str">
        <f>IF(SplitText($R21,",",COLUMN(U:U)-COLUMN($S:$S))="",$S21,trimtext(SplitText($R21,",",COLUMN(U:U)-COLUMN($S:$S))))</f>
        <v>'R'</v>
      </c>
      <c r="V21" s="23" t="s">
        <v>526</v>
      </c>
      <c r="W21" s="12" t="str">
        <f>trimtext(SplitText($V21,",",0))</f>
        <v>'R'</v>
      </c>
      <c r="X21" s="12" t="str">
        <f>IF(SplitText($V21,",",COLUMN(X:X)-COLUMN($W:$W))="",$W21,trimtext(SplitText($V21,",",COLUMN(X:X)-COLUMN($W:$W))))</f>
        <v>'R'</v>
      </c>
      <c r="Y21" s="12" t="str">
        <f>IF(SplitText($V21,",",COLUMN(Y:Y)-COLUMN($W:$W))="",$W21,trimtext(SplitText($V21,",",COLUMN(Y:Y)-COLUMN($W:$W))))</f>
        <v>'R'</v>
      </c>
      <c r="Z21" s="23" t="s">
        <v>651</v>
      </c>
      <c r="AA21" s="12" t="str">
        <f t="shared" si="5"/>
        <v>'R'</v>
      </c>
      <c r="AB21" s="2" t="s">
        <v>762</v>
      </c>
      <c r="AC21" s="12" t="str">
        <f>trimtext(SplitText($AB21,",",0))</f>
        <v>'R'</v>
      </c>
      <c r="AD21" s="12" t="str">
        <f>IF(SplitText($AB21,",",COLUMN(AD:AD)-COLUMN($AC:$AC))="",$AC21,trimtext(SplitText($AB21,",",COLUMN(AD:AD)-COLUMN($AC:$AC))))</f>
        <v>'R'</v>
      </c>
      <c r="AE21" s="18" t="str">
        <f t="shared" si="6"/>
        <v>&lt;xs:enumeration value="T13"&gt;&lt;xs:annotation&gt;&lt;xs:documentation&gt;Typically 'R' for keyboard type 4, different values for different keyboard types&lt;/xs:documentation&gt;&lt;xs:appinfo&gt;&lt;default-vk&gt;</v>
      </c>
      <c r="AF21" s="15" t="str">
        <f>IF(D21&lt;&gt;"","&lt;vk kbd="""&amp;D$1&amp;""" vk="""&amp;D21&amp;""""&amp;IF(Scan2VKFlags!B21&lt;&gt;""," flags="""&amp;Scan2VKFlags!B21&amp;"""","")&amp;"/&gt;","")</f>
        <v>&lt;vk kbd="1" vk="'R'"/&gt;</v>
      </c>
      <c r="AG21" s="15" t="str">
        <f>IF(E21&lt;&gt;"","&lt;vk kbd="""&amp;E$1&amp;""" vk="""&amp;E21&amp;""""&amp;IF(Scan2VKFlags!C21&lt;&gt;""," flags="""&amp;Scan2VKFlags!C21&amp;"""","")&amp;"/&gt;","")</f>
        <v>&lt;vk kbd="2" vk="'R'"/&gt;</v>
      </c>
      <c r="AH21" s="15" t="str">
        <f>IF(F21&lt;&gt;"","&lt;vk kbd="""&amp;F$1&amp;""" vk="""&amp;F21&amp;""""&amp;IF(Scan2VKFlags!D21&lt;&gt;""," flags="""&amp;Scan2VKFlags!D21&amp;"""","")&amp;"/&gt;","")</f>
        <v>&lt;vk kbd="3" vk="'R'"/&gt;</v>
      </c>
      <c r="AI21" s="15" t="str">
        <f>IF(G21&lt;&gt;"","&lt;vk kbd="""&amp;G$1&amp;""" vk="""&amp;G21&amp;""""&amp;IF(Scan2VKFlags!E21&lt;&gt;""," flags="""&amp;Scan2VKFlags!E21&amp;"""","")&amp;"/&gt;","")</f>
        <v>&lt;vk kbd="4" vk="'R'"/&gt;</v>
      </c>
      <c r="AJ21" s="15" t="str">
        <f>IF(H21&lt;&gt;"","&lt;vk kbd="""&amp;H$1&amp;""" vk="""&amp;H21&amp;""""&amp;IF(Scan2VKFlags!F21&lt;&gt;""," flags="""&amp;Scan2VKFlags!F21&amp;"""","")&amp;"/&gt;","")</f>
        <v>&lt;vk kbd="5" vk="'R'"/&gt;</v>
      </c>
      <c r="AK21" s="16" t="str">
        <f>IF(I21&lt;&gt;"","&lt;vk kbd="""&amp;I$1&amp;""" vk="""&amp;I21&amp;""""&amp;IF(Scan2VKFlags!G21&lt;&gt;""," flags="""&amp;Scan2VKFlags!G21&amp;"""","")&amp;"/&gt;","")</f>
        <v>&lt;vk kbd="6" vk="'R'"/&gt;</v>
      </c>
      <c r="AL21" s="3" t="str">
        <f>IF(K21&lt;&gt;"","&lt;vk kbd="""&amp;K$1&amp;""" vk="""&amp;K21&amp;""""&amp;IF(Scan2VKFlags!H21&lt;&gt;""," flags="""&amp;Scan2VKFlags!H21&amp;"""","")&amp;"/&gt;","")</f>
        <v>&lt;vk kbd="7" vk="'R'"/&gt;</v>
      </c>
      <c r="AM21" t="str">
        <f>IF(L21&lt;&gt;"","&lt;vk kbd="""&amp;L$1&amp;""" vk="""&amp;L21&amp;""""&amp;IF(Scan2VKFlags!I21&lt;&gt;""," flags="""&amp;Scan2VKFlags!I21&amp;"""","")&amp;"/&gt;","")</f>
        <v>&lt;vk kbd="8" vk="'R'"/&gt;</v>
      </c>
      <c r="AN21" t="str">
        <f>IF(M21&lt;&gt;"","&lt;vk kbd="""&amp;M$1&amp;""" vk="""&amp;M21&amp;""""&amp;IF(Scan2VKFlags!J21&lt;&gt;""," flags="""&amp;Scan2VKFlags!J21&amp;"""","")&amp;"/&gt;","")</f>
        <v>&lt;vk kbd="16" vk="'R'"/&gt;</v>
      </c>
      <c r="AO21" t="str">
        <f>IF(N21&lt;&gt;"","&lt;vk kbd="""&amp;N$1&amp;""" vk="""&amp;N21&amp;""""&amp;IF(Scan2VKFlags!K21&lt;&gt;""," flags="""&amp;Scan2VKFlags!K21&amp;"""","")&amp;"/&gt;","")</f>
        <v>&lt;vk kbd="10" vk="'R'"/&gt;</v>
      </c>
      <c r="AP21" t="str">
        <f>IF(O21&lt;&gt;"","&lt;vk kbd="""&amp;O$1&amp;""" vk="""&amp;O21&amp;""""&amp;IF(Scan2VKFlags!L21&lt;&gt;""," flags="""&amp;Scan2VKFlags!L21&amp;"""","")&amp;"/&gt;","")</f>
        <v>&lt;vk kbd="11" vk="'R'"/&gt;</v>
      </c>
      <c r="AQ21" t="str">
        <f>IF(P21&lt;&gt;"","&lt;vk kbd="""&amp;P$1&amp;""" vk="""&amp;P21&amp;""""&amp;IF(Scan2VKFlags!M21&lt;&gt;""," flags="""&amp;Scan2VKFlags!M21&amp;"""","")&amp;"/&gt;","")</f>
        <v>&lt;vk kbd="12" vk="'R'"/&gt;</v>
      </c>
      <c r="AR21" s="16" t="str">
        <f>IF(Q21&lt;&gt;"","&lt;vk kbd="""&amp;Q$1&amp;""" vk="""&amp;Q21&amp;""""&amp;IF(Scan2VKFlags!N21&lt;&gt;""," flags="""&amp;Scan2VKFlags!N21&amp;"""","")&amp;"/&gt;","")</f>
        <v>&lt;vk kbd="13" vk="'R'"/&gt;</v>
      </c>
      <c r="AS21" s="3" t="str">
        <f>IF(S21&lt;&gt;"","&lt;vk kbd="""&amp;S$1&amp;""" vk="""&amp;S21&amp;""""&amp;IF(Scan2VKFlags!O21&lt;&gt;""," flags="""&amp;Scan2VKFlags!O21&amp;"""","")&amp;"/&gt;","")</f>
        <v>&lt;vk kbd="20" vk="'E'"/&gt;</v>
      </c>
      <c r="AT21" t="str">
        <f>IF(T21&lt;&gt;"","&lt;vk kbd="""&amp;T$1&amp;""" vk="""&amp;T21&amp;""""&amp;IF(Scan2VKFlags!P21&lt;&gt;""," flags="""&amp;Scan2VKFlags!P21&amp;"""","")&amp;"/&gt;","")</f>
        <v>&lt;vk kbd="21" vk="'E'"/&gt;</v>
      </c>
      <c r="AU21" s="16" t="str">
        <f>IF(U21&lt;&gt;"","&lt;vk kbd="""&amp;U$1&amp;""" vk="""&amp;U21&amp;""""&amp;IF(Scan2VKFlags!Q21&lt;&gt;""," flags="""&amp;Scan2VKFlags!Q21&amp;"""","")&amp;"/&gt;","")</f>
        <v>&lt;vk kbd="22" vk="'R'"/&gt;</v>
      </c>
      <c r="AV21" s="3" t="str">
        <f>IF(W21&lt;&gt;"","&lt;vk kbd="""&amp;W$1&amp;""" vk="""&amp;W21&amp;""""&amp;IF(Scan2VKFlags!R21&lt;&gt;""," flags="""&amp;Scan2VKFlags!R21&amp;"""","")&amp;"/&gt;","")</f>
        <v>&lt;vk kbd="30" vk="'R'"/&gt;</v>
      </c>
      <c r="AW21" s="15" t="str">
        <f>IF(X21&lt;&gt;"","&lt;vk kbd="""&amp;X$1&amp;""" vk="""&amp;X21&amp;""""&amp;IF(Scan2VKFlags!S21&lt;&gt;""," flags="""&amp;Scan2VKFlags!S21&amp;"""","")&amp;"/&gt;","")</f>
        <v>&lt;vk kbd="33" vk="'R'"/&gt;</v>
      </c>
      <c r="AX21" s="15" t="str">
        <f>IF(Y21&lt;&gt;"","&lt;vk kbd="""&amp;Y$1&amp;""" vk="""&amp;Y21&amp;""""&amp;IF(Scan2VKFlags!T21&lt;&gt;""," flags="""&amp;Scan2VKFlags!T21&amp;"""","")&amp;"/&gt;","")</f>
        <v>&lt;vk kbd="34" vk="'R'"/&gt;</v>
      </c>
      <c r="AY21" s="18" t="str">
        <f>IF(AA21&lt;&gt;"","&lt;vk kbd="""&amp;AA$1&amp;""" vk="""&amp;AA21&amp;""""&amp;IF(Scan2VKFlags!U21&lt;&gt;""," flags="""&amp;Scan2VKFlags!U21&amp;"""","")&amp;"/&gt;","")</f>
        <v>&lt;vk kbd="37" vk="'R'"/&gt;</v>
      </c>
      <c r="AZ21" s="3" t="str">
        <f>IF(AC21&lt;&gt;"","&lt;vk kbd="""&amp;AC$1&amp;""" vk="""&amp;AC21&amp;""""&amp;IF(Scan2VKFlags!V21&lt;&gt;""," flags="""&amp;Scan2VKFlags!V21&amp;"""","")&amp;"/&gt;","")</f>
        <v>&lt;vk kbd="40" vk="'R'"/&gt;</v>
      </c>
      <c r="BA21" s="16" t="str">
        <f>IF(AD21&lt;&gt;"","&lt;vk kbd="""&amp;AD$1&amp;""" vk="""&amp;AD21&amp;""""&amp;IF(Scan2VKFlags!W21&lt;&gt;""," flags="""&amp;Scan2VKFlags!W21&amp;"""","")&amp;"/&gt;","")</f>
        <v>&lt;vk kbd="41" vk="'R'"/&gt;</v>
      </c>
      <c r="BB21" t="s">
        <v>854</v>
      </c>
    </row>
    <row r="22" spans="1:54" x14ac:dyDescent="0.25">
      <c r="A22">
        <f t="shared" si="7"/>
        <v>20</v>
      </c>
      <c r="B22" t="str">
        <f t="shared" si="4"/>
        <v>T14</v>
      </c>
      <c r="C22" s="7" t="s">
        <v>20</v>
      </c>
      <c r="D22" s="12" t="str">
        <f>trimtext(SplitText($C22,",",0))</f>
        <v>'T'</v>
      </c>
      <c r="E22" s="12" t="str">
        <f>IF(SplitText($C22,",",COLUMN(E:E)-COLUMN($D:$D))="",$D22,trimtext(SplitText($C22,",",COLUMN(E:E)-COLUMN($D:$D))))</f>
        <v>'T'</v>
      </c>
      <c r="F22" s="12" t="str">
        <f>IF(SplitText($C22,",",COLUMN(F:F)-COLUMN($D:$D))="",$D22,trimtext(SplitText($C22,",",COLUMN(F:F)-COLUMN($D:$D))))</f>
        <v>'T'</v>
      </c>
      <c r="G22" s="12" t="str">
        <f>IF(SplitText($C22,",",COLUMN(G:G)-COLUMN($D:$D))="",$D22,trimtext(SplitText($C22,",",COLUMN(G:G)-COLUMN($D:$D))))</f>
        <v>'T'</v>
      </c>
      <c r="H22" s="12" t="str">
        <f>IF(SplitText($C22,",",COLUMN(H:H)-COLUMN($D:$D))="",$D22,trimtext(SplitText($C22,",",COLUMN(H:H)-COLUMN($D:$D))))</f>
        <v>'T'</v>
      </c>
      <c r="I22" s="12" t="str">
        <f>IF(SplitText($C22,",",COLUMN(I:I)-COLUMN($D:$D))="",$D22,trimtext(SplitText($C22,",",COLUMN(I:I)-COLUMN($D:$D))))</f>
        <v>'T'</v>
      </c>
      <c r="J22" s="9" t="s">
        <v>205</v>
      </c>
      <c r="K22" s="12" t="str">
        <f>trimtext(SplitText($J22,",",0))</f>
        <v>'T'</v>
      </c>
      <c r="L22" s="12" t="str">
        <f>IF(SplitText($J22,",",COLUMN(L:L)-COLUMN($K:$K))="",$K22,trimtext(SplitText($J22,",",COLUMN(L:L)-COLUMN($K:$K))))</f>
        <v>'T'</v>
      </c>
      <c r="M22" s="12" t="str">
        <f>IF(SplitText($J22,",",COLUMN(M:M)-COLUMN($K:$K))="",$K22,trimtext(SplitText($J22,",",COLUMN(M:M)-COLUMN($K:$K))))</f>
        <v>'T'</v>
      </c>
      <c r="N22" s="12" t="str">
        <f>IF(SplitText($J22,",",COLUMN(N:N)-COLUMN($K:$K))="",$K22,trimtext(SplitText($J22,",",COLUMN(N:N)-COLUMN($K:$K))))</f>
        <v>'T'</v>
      </c>
      <c r="O22" s="12" t="str">
        <f>IF(SplitText($J22,",",COLUMN(O:O)-COLUMN($K:$K))="",$K22,trimtext(SplitText($J22,",",COLUMN(O:O)-COLUMN($K:$K))))</f>
        <v>'T'</v>
      </c>
      <c r="P22" s="12" t="str">
        <f>IF(SplitText($J22,",",COLUMN(P:P)-COLUMN($K:$K))="",$K22,trimtext(SplitText($J22,",",COLUMN(P:P)-COLUMN($K:$K))))</f>
        <v>'T'</v>
      </c>
      <c r="Q22" s="12" t="str">
        <f>IF(SplitText($J22,",",COLUMN(Q:Q)-COLUMN($K:$K))="",$K22,trimtext(SplitText($J22,",",COLUMN(Q:Q)-COLUMN($K:$K))))</f>
        <v>'T'</v>
      </c>
      <c r="R22" s="23" t="s">
        <v>362</v>
      </c>
      <c r="S22" s="12" t="str">
        <f>trimtext(SplitText($R22,",",0))</f>
        <v>'R'</v>
      </c>
      <c r="T22" s="12" t="str">
        <f>IF(SplitText($R22,",",COLUMN(T:T)-COLUMN($S:$S))="",$S22,trimtext(SplitText($R22,",",COLUMN(T:T)-COLUMN($S:$S))))</f>
        <v>'R'</v>
      </c>
      <c r="U22" s="12" t="str">
        <f>IF(SplitText($R22,",",COLUMN(U:U)-COLUMN($S:$S))="",$S22,trimtext(SplitText($R22,",",COLUMN(U:U)-COLUMN($S:$S))))</f>
        <v>'T'</v>
      </c>
      <c r="V22" s="23" t="s">
        <v>527</v>
      </c>
      <c r="W22" s="12" t="str">
        <f>trimtext(SplitText($V22,",",0))</f>
        <v>'T'</v>
      </c>
      <c r="X22" s="12" t="str">
        <f>IF(SplitText($V22,",",COLUMN(X:X)-COLUMN($W:$W))="",$W22,trimtext(SplitText($V22,",",COLUMN(X:X)-COLUMN($W:$W))))</f>
        <v>'T'</v>
      </c>
      <c r="Y22" s="12" t="str">
        <f>IF(SplitText($V22,",",COLUMN(Y:Y)-COLUMN($W:$W))="",$W22,trimtext(SplitText($V22,",",COLUMN(Y:Y)-COLUMN($W:$W))))</f>
        <v>'T'</v>
      </c>
      <c r="Z22" s="23" t="s">
        <v>652</v>
      </c>
      <c r="AA22" s="12" t="str">
        <f t="shared" si="5"/>
        <v>'T'</v>
      </c>
      <c r="AB22" s="2" t="s">
        <v>763</v>
      </c>
      <c r="AC22" s="12" t="str">
        <f>trimtext(SplitText($AB22,",",0))</f>
        <v>'T'</v>
      </c>
      <c r="AD22" s="12" t="str">
        <f>IF(SplitText($AB22,",",COLUMN(AD:AD)-COLUMN($AC:$AC))="",$AC22,trimtext(SplitText($AB22,",",COLUMN(AD:AD)-COLUMN($AC:$AC))))</f>
        <v>'T'</v>
      </c>
      <c r="AE22" s="18" t="str">
        <f t="shared" si="6"/>
        <v>&lt;xs:enumeration value="T14"&gt;&lt;xs:annotation&gt;&lt;xs:documentation&gt;Typically 'T' for keyboard type 4, different values for different keyboard types&lt;/xs:documentation&gt;&lt;xs:appinfo&gt;&lt;default-vk&gt;</v>
      </c>
      <c r="AF22" s="15" t="str">
        <f>IF(D22&lt;&gt;"","&lt;vk kbd="""&amp;D$1&amp;""" vk="""&amp;D22&amp;""""&amp;IF(Scan2VKFlags!B22&lt;&gt;""," flags="""&amp;Scan2VKFlags!B22&amp;"""","")&amp;"/&gt;","")</f>
        <v>&lt;vk kbd="1" vk="'T'"/&gt;</v>
      </c>
      <c r="AG22" s="15" t="str">
        <f>IF(E22&lt;&gt;"","&lt;vk kbd="""&amp;E$1&amp;""" vk="""&amp;E22&amp;""""&amp;IF(Scan2VKFlags!C22&lt;&gt;""," flags="""&amp;Scan2VKFlags!C22&amp;"""","")&amp;"/&gt;","")</f>
        <v>&lt;vk kbd="2" vk="'T'"/&gt;</v>
      </c>
      <c r="AH22" s="15" t="str">
        <f>IF(F22&lt;&gt;"","&lt;vk kbd="""&amp;F$1&amp;""" vk="""&amp;F22&amp;""""&amp;IF(Scan2VKFlags!D22&lt;&gt;""," flags="""&amp;Scan2VKFlags!D22&amp;"""","")&amp;"/&gt;","")</f>
        <v>&lt;vk kbd="3" vk="'T'"/&gt;</v>
      </c>
      <c r="AI22" s="15" t="str">
        <f>IF(G22&lt;&gt;"","&lt;vk kbd="""&amp;G$1&amp;""" vk="""&amp;G22&amp;""""&amp;IF(Scan2VKFlags!E22&lt;&gt;""," flags="""&amp;Scan2VKFlags!E22&amp;"""","")&amp;"/&gt;","")</f>
        <v>&lt;vk kbd="4" vk="'T'"/&gt;</v>
      </c>
      <c r="AJ22" s="15" t="str">
        <f>IF(H22&lt;&gt;"","&lt;vk kbd="""&amp;H$1&amp;""" vk="""&amp;H22&amp;""""&amp;IF(Scan2VKFlags!F22&lt;&gt;""," flags="""&amp;Scan2VKFlags!F22&amp;"""","")&amp;"/&gt;","")</f>
        <v>&lt;vk kbd="5" vk="'T'"/&gt;</v>
      </c>
      <c r="AK22" s="16" t="str">
        <f>IF(I22&lt;&gt;"","&lt;vk kbd="""&amp;I$1&amp;""" vk="""&amp;I22&amp;""""&amp;IF(Scan2VKFlags!G22&lt;&gt;""," flags="""&amp;Scan2VKFlags!G22&amp;"""","")&amp;"/&gt;","")</f>
        <v>&lt;vk kbd="6" vk="'T'"/&gt;</v>
      </c>
      <c r="AL22" s="3" t="str">
        <f>IF(K22&lt;&gt;"","&lt;vk kbd="""&amp;K$1&amp;""" vk="""&amp;K22&amp;""""&amp;IF(Scan2VKFlags!H22&lt;&gt;""," flags="""&amp;Scan2VKFlags!H22&amp;"""","")&amp;"/&gt;","")</f>
        <v>&lt;vk kbd="7" vk="'T'"/&gt;</v>
      </c>
      <c r="AM22" t="str">
        <f>IF(L22&lt;&gt;"","&lt;vk kbd="""&amp;L$1&amp;""" vk="""&amp;L22&amp;""""&amp;IF(Scan2VKFlags!I22&lt;&gt;""," flags="""&amp;Scan2VKFlags!I22&amp;"""","")&amp;"/&gt;","")</f>
        <v>&lt;vk kbd="8" vk="'T'"/&gt;</v>
      </c>
      <c r="AN22" t="str">
        <f>IF(M22&lt;&gt;"","&lt;vk kbd="""&amp;M$1&amp;""" vk="""&amp;M22&amp;""""&amp;IF(Scan2VKFlags!J22&lt;&gt;""," flags="""&amp;Scan2VKFlags!J22&amp;"""","")&amp;"/&gt;","")</f>
        <v>&lt;vk kbd="16" vk="'T'"/&gt;</v>
      </c>
      <c r="AO22" t="str">
        <f>IF(N22&lt;&gt;"","&lt;vk kbd="""&amp;N$1&amp;""" vk="""&amp;N22&amp;""""&amp;IF(Scan2VKFlags!K22&lt;&gt;""," flags="""&amp;Scan2VKFlags!K22&amp;"""","")&amp;"/&gt;","")</f>
        <v>&lt;vk kbd="10" vk="'T'"/&gt;</v>
      </c>
      <c r="AP22" t="str">
        <f>IF(O22&lt;&gt;"","&lt;vk kbd="""&amp;O$1&amp;""" vk="""&amp;O22&amp;""""&amp;IF(Scan2VKFlags!L22&lt;&gt;""," flags="""&amp;Scan2VKFlags!L22&amp;"""","")&amp;"/&gt;","")</f>
        <v>&lt;vk kbd="11" vk="'T'"/&gt;</v>
      </c>
      <c r="AQ22" t="str">
        <f>IF(P22&lt;&gt;"","&lt;vk kbd="""&amp;P$1&amp;""" vk="""&amp;P22&amp;""""&amp;IF(Scan2VKFlags!M22&lt;&gt;""," flags="""&amp;Scan2VKFlags!M22&amp;"""","")&amp;"/&gt;","")</f>
        <v>&lt;vk kbd="12" vk="'T'"/&gt;</v>
      </c>
      <c r="AR22" s="16" t="str">
        <f>IF(Q22&lt;&gt;"","&lt;vk kbd="""&amp;Q$1&amp;""" vk="""&amp;Q22&amp;""""&amp;IF(Scan2VKFlags!N22&lt;&gt;""," flags="""&amp;Scan2VKFlags!N22&amp;"""","")&amp;"/&gt;","")</f>
        <v>&lt;vk kbd="13" vk="'T'"/&gt;</v>
      </c>
      <c r="AS22" s="3" t="str">
        <f>IF(S22&lt;&gt;"","&lt;vk kbd="""&amp;S$1&amp;""" vk="""&amp;S22&amp;""""&amp;IF(Scan2VKFlags!O22&lt;&gt;""," flags="""&amp;Scan2VKFlags!O22&amp;"""","")&amp;"/&gt;","")</f>
        <v>&lt;vk kbd="20" vk="'R'"/&gt;</v>
      </c>
      <c r="AT22" t="str">
        <f>IF(T22&lt;&gt;"","&lt;vk kbd="""&amp;T$1&amp;""" vk="""&amp;T22&amp;""""&amp;IF(Scan2VKFlags!P22&lt;&gt;""," flags="""&amp;Scan2VKFlags!P22&amp;"""","")&amp;"/&gt;","")</f>
        <v>&lt;vk kbd="21" vk="'R'"/&gt;</v>
      </c>
      <c r="AU22" s="16" t="str">
        <f>IF(U22&lt;&gt;"","&lt;vk kbd="""&amp;U$1&amp;""" vk="""&amp;U22&amp;""""&amp;IF(Scan2VKFlags!Q22&lt;&gt;""," flags="""&amp;Scan2VKFlags!Q22&amp;"""","")&amp;"/&gt;","")</f>
        <v>&lt;vk kbd="22" vk="'T'"/&gt;</v>
      </c>
      <c r="AV22" s="3" t="str">
        <f>IF(W22&lt;&gt;"","&lt;vk kbd="""&amp;W$1&amp;""" vk="""&amp;W22&amp;""""&amp;IF(Scan2VKFlags!R22&lt;&gt;""," flags="""&amp;Scan2VKFlags!R22&amp;"""","")&amp;"/&gt;","")</f>
        <v>&lt;vk kbd="30" vk="'T'"/&gt;</v>
      </c>
      <c r="AW22" s="15" t="str">
        <f>IF(X22&lt;&gt;"","&lt;vk kbd="""&amp;X$1&amp;""" vk="""&amp;X22&amp;""""&amp;IF(Scan2VKFlags!S22&lt;&gt;""," flags="""&amp;Scan2VKFlags!S22&amp;"""","")&amp;"/&gt;","")</f>
        <v>&lt;vk kbd="33" vk="'T'"/&gt;</v>
      </c>
      <c r="AX22" s="15" t="str">
        <f>IF(Y22&lt;&gt;"","&lt;vk kbd="""&amp;Y$1&amp;""" vk="""&amp;Y22&amp;""""&amp;IF(Scan2VKFlags!T22&lt;&gt;""," flags="""&amp;Scan2VKFlags!T22&amp;"""","")&amp;"/&gt;","")</f>
        <v>&lt;vk kbd="34" vk="'T'"/&gt;</v>
      </c>
      <c r="AY22" s="18" t="str">
        <f>IF(AA22&lt;&gt;"","&lt;vk kbd="""&amp;AA$1&amp;""" vk="""&amp;AA22&amp;""""&amp;IF(Scan2VKFlags!U22&lt;&gt;""," flags="""&amp;Scan2VKFlags!U22&amp;"""","")&amp;"/&gt;","")</f>
        <v>&lt;vk kbd="37" vk="'T'"/&gt;</v>
      </c>
      <c r="AZ22" s="3" t="str">
        <f>IF(AC22&lt;&gt;"","&lt;vk kbd="""&amp;AC$1&amp;""" vk="""&amp;AC22&amp;""""&amp;IF(Scan2VKFlags!V22&lt;&gt;""," flags="""&amp;Scan2VKFlags!V22&amp;"""","")&amp;"/&gt;","")</f>
        <v>&lt;vk kbd="40" vk="'T'"/&gt;</v>
      </c>
      <c r="BA22" s="16" t="str">
        <f>IF(AD22&lt;&gt;"","&lt;vk kbd="""&amp;AD$1&amp;""" vk="""&amp;AD22&amp;""""&amp;IF(Scan2VKFlags!W22&lt;&gt;""," flags="""&amp;Scan2VKFlags!W22&amp;"""","")&amp;"/&gt;","")</f>
        <v>&lt;vk kbd="41" vk="'T'"/&gt;</v>
      </c>
      <c r="BB22" t="s">
        <v>854</v>
      </c>
    </row>
    <row r="23" spans="1:54" x14ac:dyDescent="0.25">
      <c r="A23">
        <f t="shared" si="7"/>
        <v>21</v>
      </c>
      <c r="B23" t="str">
        <f t="shared" si="4"/>
        <v>T15</v>
      </c>
      <c r="C23" s="7" t="s">
        <v>21</v>
      </c>
      <c r="D23" s="12" t="str">
        <f>trimtext(SplitText($C23,",",0))</f>
        <v>'Y'</v>
      </c>
      <c r="E23" s="12" t="str">
        <f>IF(SplitText($C23,",",COLUMN(E:E)-COLUMN($D:$D))="",$D23,trimtext(SplitText($C23,",",COLUMN(E:E)-COLUMN($D:$D))))</f>
        <v>'Y'</v>
      </c>
      <c r="F23" s="12" t="str">
        <f>IF(SplitText($C23,",",COLUMN(F:F)-COLUMN($D:$D))="",$D23,trimtext(SplitText($C23,",",COLUMN(F:F)-COLUMN($D:$D))))</f>
        <v>'Y'</v>
      </c>
      <c r="G23" s="12" t="str">
        <f>IF(SplitText($C23,",",COLUMN(G:G)-COLUMN($D:$D))="",$D23,trimtext(SplitText($C23,",",COLUMN(G:G)-COLUMN($D:$D))))</f>
        <v>'Y'</v>
      </c>
      <c r="H23" s="12" t="str">
        <f>IF(SplitText($C23,",",COLUMN(H:H)-COLUMN($D:$D))="",$D23,trimtext(SplitText($C23,",",COLUMN(H:H)-COLUMN($D:$D))))</f>
        <v>'Y'</v>
      </c>
      <c r="I23" s="12" t="str">
        <f>IF(SplitText($C23,",",COLUMN(I:I)-COLUMN($D:$D))="",$D23,trimtext(SplitText($C23,",",COLUMN(I:I)-COLUMN($D:$D))))</f>
        <v>'Y'</v>
      </c>
      <c r="J23" s="9" t="s">
        <v>206</v>
      </c>
      <c r="K23" s="12" t="str">
        <f>trimtext(SplitText($J23,",",0))</f>
        <v>'Y'</v>
      </c>
      <c r="L23" s="12" t="str">
        <f>IF(SplitText($J23,",",COLUMN(L:L)-COLUMN($K:$K))="",$K23,trimtext(SplitText($J23,",",COLUMN(L:L)-COLUMN($K:$K))))</f>
        <v>'Y'</v>
      </c>
      <c r="M23" s="12" t="str">
        <f>IF(SplitText($J23,",",COLUMN(M:M)-COLUMN($K:$K))="",$K23,trimtext(SplitText($J23,",",COLUMN(M:M)-COLUMN($K:$K))))</f>
        <v>'Y'</v>
      </c>
      <c r="N23" s="12" t="str">
        <f>IF(SplitText($J23,",",COLUMN(N:N)-COLUMN($K:$K))="",$K23,trimtext(SplitText($J23,",",COLUMN(N:N)-COLUMN($K:$K))))</f>
        <v>'Y'</v>
      </c>
      <c r="O23" s="12" t="str">
        <f>IF(SplitText($J23,",",COLUMN(O:O)-COLUMN($K:$K))="",$K23,trimtext(SplitText($J23,",",COLUMN(O:O)-COLUMN($K:$K))))</f>
        <v>'Y'</v>
      </c>
      <c r="P23" s="12" t="str">
        <f>IF(SplitText($J23,",",COLUMN(P:P)-COLUMN($K:$K))="",$K23,trimtext(SplitText($J23,",",COLUMN(P:P)-COLUMN($K:$K))))</f>
        <v>'Y'</v>
      </c>
      <c r="Q23" s="12" t="str">
        <f>IF(SplitText($J23,",",COLUMN(Q:Q)-COLUMN($K:$K))="",$K23,trimtext(SplitText($J23,",",COLUMN(Q:Q)-COLUMN($K:$K))))</f>
        <v>'Y'</v>
      </c>
      <c r="R23" s="23" t="s">
        <v>363</v>
      </c>
      <c r="S23" s="12" t="str">
        <f>trimtext(SplitText($R23,",",0))</f>
        <v>'T'</v>
      </c>
      <c r="T23" s="12" t="str">
        <f>IF(SplitText($R23,",",COLUMN(T:T)-COLUMN($S:$S))="",$S23,trimtext(SplitText($R23,",",COLUMN(T:T)-COLUMN($S:$S))))</f>
        <v>'T'</v>
      </c>
      <c r="U23" s="12" t="str">
        <f>IF(SplitText($R23,",",COLUMN(U:U)-COLUMN($S:$S))="",$S23,trimtext(SplitText($R23,",",COLUMN(U:U)-COLUMN($S:$S))))</f>
        <v>'Y'</v>
      </c>
      <c r="V23" s="23" t="s">
        <v>528</v>
      </c>
      <c r="W23" s="12" t="str">
        <f>trimtext(SplitText($V23,",",0))</f>
        <v>'Y'</v>
      </c>
      <c r="X23" s="12" t="str">
        <f>IF(SplitText($V23,",",COLUMN(X:X)-COLUMN($W:$W))="",$W23,trimtext(SplitText($V23,",",COLUMN(X:X)-COLUMN($W:$W))))</f>
        <v>'Y'</v>
      </c>
      <c r="Y23" s="12" t="str">
        <f>IF(SplitText($V23,",",COLUMN(Y:Y)-COLUMN($W:$W))="",$W23,trimtext(SplitText($V23,",",COLUMN(Y:Y)-COLUMN($W:$W))))</f>
        <v>'Y'</v>
      </c>
      <c r="Z23" s="23" t="s">
        <v>653</v>
      </c>
      <c r="AA23" s="12" t="str">
        <f t="shared" si="5"/>
        <v>'Y'</v>
      </c>
      <c r="AB23" s="2" t="s">
        <v>764</v>
      </c>
      <c r="AC23" s="12" t="str">
        <f>trimtext(SplitText($AB23,",",0))</f>
        <v>'Y'</v>
      </c>
      <c r="AD23" s="12" t="str">
        <f>IF(SplitText($AB23,",",COLUMN(AD:AD)-COLUMN($AC:$AC))="",$AC23,trimtext(SplitText($AB23,",",COLUMN(AD:AD)-COLUMN($AC:$AC))))</f>
        <v>'Y'</v>
      </c>
      <c r="AE23" s="18" t="str">
        <f t="shared" si="6"/>
        <v>&lt;xs:enumeration value="T15"&gt;&lt;xs:annotation&gt;&lt;xs:documentation&gt;Typically 'Y' for keyboard type 4, different values for different keyboard types&lt;/xs:documentation&gt;&lt;xs:appinfo&gt;&lt;default-vk&gt;</v>
      </c>
      <c r="AF23" s="15" t="str">
        <f>IF(D23&lt;&gt;"","&lt;vk kbd="""&amp;D$1&amp;""" vk="""&amp;D23&amp;""""&amp;IF(Scan2VKFlags!B23&lt;&gt;""," flags="""&amp;Scan2VKFlags!B23&amp;"""","")&amp;"/&gt;","")</f>
        <v>&lt;vk kbd="1" vk="'Y'"/&gt;</v>
      </c>
      <c r="AG23" s="15" t="str">
        <f>IF(E23&lt;&gt;"","&lt;vk kbd="""&amp;E$1&amp;""" vk="""&amp;E23&amp;""""&amp;IF(Scan2VKFlags!C23&lt;&gt;""," flags="""&amp;Scan2VKFlags!C23&amp;"""","")&amp;"/&gt;","")</f>
        <v>&lt;vk kbd="2" vk="'Y'"/&gt;</v>
      </c>
      <c r="AH23" s="15" t="str">
        <f>IF(F23&lt;&gt;"","&lt;vk kbd="""&amp;F$1&amp;""" vk="""&amp;F23&amp;""""&amp;IF(Scan2VKFlags!D23&lt;&gt;""," flags="""&amp;Scan2VKFlags!D23&amp;"""","")&amp;"/&gt;","")</f>
        <v>&lt;vk kbd="3" vk="'Y'"/&gt;</v>
      </c>
      <c r="AI23" s="15" t="str">
        <f>IF(G23&lt;&gt;"","&lt;vk kbd="""&amp;G$1&amp;""" vk="""&amp;G23&amp;""""&amp;IF(Scan2VKFlags!E23&lt;&gt;""," flags="""&amp;Scan2VKFlags!E23&amp;"""","")&amp;"/&gt;","")</f>
        <v>&lt;vk kbd="4" vk="'Y'"/&gt;</v>
      </c>
      <c r="AJ23" s="15" t="str">
        <f>IF(H23&lt;&gt;"","&lt;vk kbd="""&amp;H$1&amp;""" vk="""&amp;H23&amp;""""&amp;IF(Scan2VKFlags!F23&lt;&gt;""," flags="""&amp;Scan2VKFlags!F23&amp;"""","")&amp;"/&gt;","")</f>
        <v>&lt;vk kbd="5" vk="'Y'"/&gt;</v>
      </c>
      <c r="AK23" s="16" t="str">
        <f>IF(I23&lt;&gt;"","&lt;vk kbd="""&amp;I$1&amp;""" vk="""&amp;I23&amp;""""&amp;IF(Scan2VKFlags!G23&lt;&gt;""," flags="""&amp;Scan2VKFlags!G23&amp;"""","")&amp;"/&gt;","")</f>
        <v>&lt;vk kbd="6" vk="'Y'"/&gt;</v>
      </c>
      <c r="AL23" s="3" t="str">
        <f>IF(K23&lt;&gt;"","&lt;vk kbd="""&amp;K$1&amp;""" vk="""&amp;K23&amp;""""&amp;IF(Scan2VKFlags!H23&lt;&gt;""," flags="""&amp;Scan2VKFlags!H23&amp;"""","")&amp;"/&gt;","")</f>
        <v>&lt;vk kbd="7" vk="'Y'"/&gt;</v>
      </c>
      <c r="AM23" t="str">
        <f>IF(L23&lt;&gt;"","&lt;vk kbd="""&amp;L$1&amp;""" vk="""&amp;L23&amp;""""&amp;IF(Scan2VKFlags!I23&lt;&gt;""," flags="""&amp;Scan2VKFlags!I23&amp;"""","")&amp;"/&gt;","")</f>
        <v>&lt;vk kbd="8" vk="'Y'"/&gt;</v>
      </c>
      <c r="AN23" t="str">
        <f>IF(M23&lt;&gt;"","&lt;vk kbd="""&amp;M$1&amp;""" vk="""&amp;M23&amp;""""&amp;IF(Scan2VKFlags!J23&lt;&gt;""," flags="""&amp;Scan2VKFlags!J23&amp;"""","")&amp;"/&gt;","")</f>
        <v>&lt;vk kbd="16" vk="'Y'"/&gt;</v>
      </c>
      <c r="AO23" t="str">
        <f>IF(N23&lt;&gt;"","&lt;vk kbd="""&amp;N$1&amp;""" vk="""&amp;N23&amp;""""&amp;IF(Scan2VKFlags!K23&lt;&gt;""," flags="""&amp;Scan2VKFlags!K23&amp;"""","")&amp;"/&gt;","")</f>
        <v>&lt;vk kbd="10" vk="'Y'"/&gt;</v>
      </c>
      <c r="AP23" t="str">
        <f>IF(O23&lt;&gt;"","&lt;vk kbd="""&amp;O$1&amp;""" vk="""&amp;O23&amp;""""&amp;IF(Scan2VKFlags!L23&lt;&gt;""," flags="""&amp;Scan2VKFlags!L23&amp;"""","")&amp;"/&gt;","")</f>
        <v>&lt;vk kbd="11" vk="'Y'"/&gt;</v>
      </c>
      <c r="AQ23" t="str">
        <f>IF(P23&lt;&gt;"","&lt;vk kbd="""&amp;P$1&amp;""" vk="""&amp;P23&amp;""""&amp;IF(Scan2VKFlags!M23&lt;&gt;""," flags="""&amp;Scan2VKFlags!M23&amp;"""","")&amp;"/&gt;","")</f>
        <v>&lt;vk kbd="12" vk="'Y'"/&gt;</v>
      </c>
      <c r="AR23" s="16" t="str">
        <f>IF(Q23&lt;&gt;"","&lt;vk kbd="""&amp;Q$1&amp;""" vk="""&amp;Q23&amp;""""&amp;IF(Scan2VKFlags!N23&lt;&gt;""," flags="""&amp;Scan2VKFlags!N23&amp;"""","")&amp;"/&gt;","")</f>
        <v>&lt;vk kbd="13" vk="'Y'"/&gt;</v>
      </c>
      <c r="AS23" s="3" t="str">
        <f>IF(S23&lt;&gt;"","&lt;vk kbd="""&amp;S$1&amp;""" vk="""&amp;S23&amp;""""&amp;IF(Scan2VKFlags!O23&lt;&gt;""," flags="""&amp;Scan2VKFlags!O23&amp;"""","")&amp;"/&gt;","")</f>
        <v>&lt;vk kbd="20" vk="'T'"/&gt;</v>
      </c>
      <c r="AT23" t="str">
        <f>IF(T23&lt;&gt;"","&lt;vk kbd="""&amp;T$1&amp;""" vk="""&amp;T23&amp;""""&amp;IF(Scan2VKFlags!P23&lt;&gt;""," flags="""&amp;Scan2VKFlags!P23&amp;"""","")&amp;"/&gt;","")</f>
        <v>&lt;vk kbd="21" vk="'T'"/&gt;</v>
      </c>
      <c r="AU23" s="16" t="str">
        <f>IF(U23&lt;&gt;"","&lt;vk kbd="""&amp;U$1&amp;""" vk="""&amp;U23&amp;""""&amp;IF(Scan2VKFlags!Q23&lt;&gt;""," flags="""&amp;Scan2VKFlags!Q23&amp;"""","")&amp;"/&gt;","")</f>
        <v>&lt;vk kbd="22" vk="'Y'"/&gt;</v>
      </c>
      <c r="AV23" s="3" t="str">
        <f>IF(W23&lt;&gt;"","&lt;vk kbd="""&amp;W$1&amp;""" vk="""&amp;W23&amp;""""&amp;IF(Scan2VKFlags!R23&lt;&gt;""," flags="""&amp;Scan2VKFlags!R23&amp;"""","")&amp;"/&gt;","")</f>
        <v>&lt;vk kbd="30" vk="'Y'"/&gt;</v>
      </c>
      <c r="AW23" s="15" t="str">
        <f>IF(X23&lt;&gt;"","&lt;vk kbd="""&amp;X$1&amp;""" vk="""&amp;X23&amp;""""&amp;IF(Scan2VKFlags!S23&lt;&gt;""," flags="""&amp;Scan2VKFlags!S23&amp;"""","")&amp;"/&gt;","")</f>
        <v>&lt;vk kbd="33" vk="'Y'"/&gt;</v>
      </c>
      <c r="AX23" s="15" t="str">
        <f>IF(Y23&lt;&gt;"","&lt;vk kbd="""&amp;Y$1&amp;""" vk="""&amp;Y23&amp;""""&amp;IF(Scan2VKFlags!T23&lt;&gt;""," flags="""&amp;Scan2VKFlags!T23&amp;"""","")&amp;"/&gt;","")</f>
        <v>&lt;vk kbd="34" vk="'Y'"/&gt;</v>
      </c>
      <c r="AY23" s="18" t="str">
        <f>IF(AA23&lt;&gt;"","&lt;vk kbd="""&amp;AA$1&amp;""" vk="""&amp;AA23&amp;""""&amp;IF(Scan2VKFlags!U23&lt;&gt;""," flags="""&amp;Scan2VKFlags!U23&amp;"""","")&amp;"/&gt;","")</f>
        <v>&lt;vk kbd="37" vk="'Y'"/&gt;</v>
      </c>
      <c r="AZ23" s="3" t="str">
        <f>IF(AC23&lt;&gt;"","&lt;vk kbd="""&amp;AC$1&amp;""" vk="""&amp;AC23&amp;""""&amp;IF(Scan2VKFlags!V23&lt;&gt;""," flags="""&amp;Scan2VKFlags!V23&amp;"""","")&amp;"/&gt;","")</f>
        <v>&lt;vk kbd="40" vk="'Y'"/&gt;</v>
      </c>
      <c r="BA23" s="16" t="str">
        <f>IF(AD23&lt;&gt;"","&lt;vk kbd="""&amp;AD$1&amp;""" vk="""&amp;AD23&amp;""""&amp;IF(Scan2VKFlags!W23&lt;&gt;""," flags="""&amp;Scan2VKFlags!W23&amp;"""","")&amp;"/&gt;","")</f>
        <v>&lt;vk kbd="41" vk="'Y'"/&gt;</v>
      </c>
      <c r="BB23" t="s">
        <v>854</v>
      </c>
    </row>
    <row r="24" spans="1:54" x14ac:dyDescent="0.25">
      <c r="A24">
        <f t="shared" si="7"/>
        <v>22</v>
      </c>
      <c r="B24" t="str">
        <f t="shared" si="4"/>
        <v>T16</v>
      </c>
      <c r="C24" s="7" t="s">
        <v>22</v>
      </c>
      <c r="D24" s="12" t="str">
        <f>trimtext(SplitText($C24,",",0))</f>
        <v>'U'</v>
      </c>
      <c r="E24" s="12" t="str">
        <f>IF(SplitText($C24,",",COLUMN(E:E)-COLUMN($D:$D))="",$D24,trimtext(SplitText($C24,",",COLUMN(E:E)-COLUMN($D:$D))))</f>
        <v>'U'</v>
      </c>
      <c r="F24" s="12" t="str">
        <f>IF(SplitText($C24,",",COLUMN(F:F)-COLUMN($D:$D))="",$D24,trimtext(SplitText($C24,",",COLUMN(F:F)-COLUMN($D:$D))))</f>
        <v>'U'</v>
      </c>
      <c r="G24" s="12" t="str">
        <f>IF(SplitText($C24,",",COLUMN(G:G)-COLUMN($D:$D))="",$D24,trimtext(SplitText($C24,",",COLUMN(G:G)-COLUMN($D:$D))))</f>
        <v>'U'</v>
      </c>
      <c r="H24" s="12" t="str">
        <f>IF(SplitText($C24,",",COLUMN(H:H)-COLUMN($D:$D))="",$D24,trimtext(SplitText($C24,",",COLUMN(H:H)-COLUMN($D:$D))))</f>
        <v>'U'</v>
      </c>
      <c r="I24" s="12" t="str">
        <f>IF(SplitText($C24,",",COLUMN(I:I)-COLUMN($D:$D))="",$D24,trimtext(SplitText($C24,",",COLUMN(I:I)-COLUMN($D:$D))))</f>
        <v>'U'</v>
      </c>
      <c r="J24" s="9" t="s">
        <v>207</v>
      </c>
      <c r="K24" s="12" t="str">
        <f>trimtext(SplitText($J24,",",0))</f>
        <v>'U'</v>
      </c>
      <c r="L24" s="12" t="str">
        <f>IF(SplitText($J24,",",COLUMN(L:L)-COLUMN($K:$K))="",$K24,trimtext(SplitText($J24,",",COLUMN(L:L)-COLUMN($K:$K))))</f>
        <v>'U'</v>
      </c>
      <c r="M24" s="12" t="str">
        <f>IF(SplitText($J24,",",COLUMN(M:M)-COLUMN($K:$K))="",$K24,trimtext(SplitText($J24,",",COLUMN(M:M)-COLUMN($K:$K))))</f>
        <v>'U'</v>
      </c>
      <c r="N24" s="12" t="str">
        <f>IF(SplitText($J24,",",COLUMN(N:N)-COLUMN($K:$K))="",$K24,trimtext(SplitText($J24,",",COLUMN(N:N)-COLUMN($K:$K))))</f>
        <v>'U'</v>
      </c>
      <c r="O24" s="12" t="str">
        <f>IF(SplitText($J24,",",COLUMN(O:O)-COLUMN($K:$K))="",$K24,trimtext(SplitText($J24,",",COLUMN(O:O)-COLUMN($K:$K))))</f>
        <v>'U'</v>
      </c>
      <c r="P24" s="12" t="str">
        <f>IF(SplitText($J24,",",COLUMN(P:P)-COLUMN($K:$K))="",$K24,trimtext(SplitText($J24,",",COLUMN(P:P)-COLUMN($K:$K))))</f>
        <v>'U'</v>
      </c>
      <c r="Q24" s="12" t="str">
        <f>IF(SplitText($J24,",",COLUMN(Q:Q)-COLUMN($K:$K))="",$K24,trimtext(SplitText($J24,",",COLUMN(Q:Q)-COLUMN($K:$K))))</f>
        <v>'U'</v>
      </c>
      <c r="R24" s="23" t="s">
        <v>364</v>
      </c>
      <c r="S24" s="12" t="str">
        <f>trimtext(SplitText($R24,",",0))</f>
        <v>'Y'</v>
      </c>
      <c r="T24" s="12" t="str">
        <f>IF(SplitText($R24,",",COLUMN(T:T)-COLUMN($S:$S))="",$S24,trimtext(SplitText($R24,",",COLUMN(T:T)-COLUMN($S:$S))))</f>
        <v>'Y'</v>
      </c>
      <c r="U24" s="12" t="str">
        <f>IF(SplitText($R24,",",COLUMN(U:U)-COLUMN($S:$S))="",$S24,trimtext(SplitText($R24,",",COLUMN(U:U)-COLUMN($S:$S))))</f>
        <v>'U'</v>
      </c>
      <c r="V24" s="23" t="s">
        <v>529</v>
      </c>
      <c r="W24" s="12" t="str">
        <f>trimtext(SplitText($V24,",",0))</f>
        <v>'U'</v>
      </c>
      <c r="X24" s="12" t="str">
        <f>IF(SplitText($V24,",",COLUMN(X:X)-COLUMN($W:$W))="",$W24,trimtext(SplitText($V24,",",COLUMN(X:X)-COLUMN($W:$W))))</f>
        <v>'U'</v>
      </c>
      <c r="Y24" s="12" t="str">
        <f>IF(SplitText($V24,",",COLUMN(Y:Y)-COLUMN($W:$W))="",$W24,trimtext(SplitText($V24,",",COLUMN(Y:Y)-COLUMN($W:$W))))</f>
        <v>'U'</v>
      </c>
      <c r="Z24" s="23" t="s">
        <v>654</v>
      </c>
      <c r="AA24" s="12" t="str">
        <f t="shared" si="5"/>
        <v>'U'</v>
      </c>
      <c r="AB24" s="2" t="s">
        <v>765</v>
      </c>
      <c r="AC24" s="12" t="str">
        <f>trimtext(SplitText($AB24,",",0))</f>
        <v>'U'</v>
      </c>
      <c r="AD24" s="12" t="str">
        <f>IF(SplitText($AB24,",",COLUMN(AD:AD)-COLUMN($AC:$AC))="",$AC24,trimtext(SplitText($AB24,",",COLUMN(AD:AD)-COLUMN($AC:$AC))))</f>
        <v>'U'</v>
      </c>
      <c r="AE24" s="18" t="str">
        <f t="shared" si="6"/>
        <v>&lt;xs:enumeration value="T16"&gt;&lt;xs:annotation&gt;&lt;xs:documentation&gt;Typically 'U' for keyboard type 4, different values for different keyboard types&lt;/xs:documentation&gt;&lt;xs:appinfo&gt;&lt;default-vk&gt;</v>
      </c>
      <c r="AF24" s="15" t="str">
        <f>IF(D24&lt;&gt;"","&lt;vk kbd="""&amp;D$1&amp;""" vk="""&amp;D24&amp;""""&amp;IF(Scan2VKFlags!B24&lt;&gt;""," flags="""&amp;Scan2VKFlags!B24&amp;"""","")&amp;"/&gt;","")</f>
        <v>&lt;vk kbd="1" vk="'U'"/&gt;</v>
      </c>
      <c r="AG24" s="15" t="str">
        <f>IF(E24&lt;&gt;"","&lt;vk kbd="""&amp;E$1&amp;""" vk="""&amp;E24&amp;""""&amp;IF(Scan2VKFlags!C24&lt;&gt;""," flags="""&amp;Scan2VKFlags!C24&amp;"""","")&amp;"/&gt;","")</f>
        <v>&lt;vk kbd="2" vk="'U'"/&gt;</v>
      </c>
      <c r="AH24" s="15" t="str">
        <f>IF(F24&lt;&gt;"","&lt;vk kbd="""&amp;F$1&amp;""" vk="""&amp;F24&amp;""""&amp;IF(Scan2VKFlags!D24&lt;&gt;""," flags="""&amp;Scan2VKFlags!D24&amp;"""","")&amp;"/&gt;","")</f>
        <v>&lt;vk kbd="3" vk="'U'"/&gt;</v>
      </c>
      <c r="AI24" s="15" t="str">
        <f>IF(G24&lt;&gt;"","&lt;vk kbd="""&amp;G$1&amp;""" vk="""&amp;G24&amp;""""&amp;IF(Scan2VKFlags!E24&lt;&gt;""," flags="""&amp;Scan2VKFlags!E24&amp;"""","")&amp;"/&gt;","")</f>
        <v>&lt;vk kbd="4" vk="'U'"/&gt;</v>
      </c>
      <c r="AJ24" s="15" t="str">
        <f>IF(H24&lt;&gt;"","&lt;vk kbd="""&amp;H$1&amp;""" vk="""&amp;H24&amp;""""&amp;IF(Scan2VKFlags!F24&lt;&gt;""," flags="""&amp;Scan2VKFlags!F24&amp;"""","")&amp;"/&gt;","")</f>
        <v>&lt;vk kbd="5" vk="'U'"/&gt;</v>
      </c>
      <c r="AK24" s="16" t="str">
        <f>IF(I24&lt;&gt;"","&lt;vk kbd="""&amp;I$1&amp;""" vk="""&amp;I24&amp;""""&amp;IF(Scan2VKFlags!G24&lt;&gt;""," flags="""&amp;Scan2VKFlags!G24&amp;"""","")&amp;"/&gt;","")</f>
        <v>&lt;vk kbd="6" vk="'U'"/&gt;</v>
      </c>
      <c r="AL24" s="3" t="str">
        <f>IF(K24&lt;&gt;"","&lt;vk kbd="""&amp;K$1&amp;""" vk="""&amp;K24&amp;""""&amp;IF(Scan2VKFlags!H24&lt;&gt;""," flags="""&amp;Scan2VKFlags!H24&amp;"""","")&amp;"/&gt;","")</f>
        <v>&lt;vk kbd="7" vk="'U'"/&gt;</v>
      </c>
      <c r="AM24" t="str">
        <f>IF(L24&lt;&gt;"","&lt;vk kbd="""&amp;L$1&amp;""" vk="""&amp;L24&amp;""""&amp;IF(Scan2VKFlags!I24&lt;&gt;""," flags="""&amp;Scan2VKFlags!I24&amp;"""","")&amp;"/&gt;","")</f>
        <v>&lt;vk kbd="8" vk="'U'"/&gt;</v>
      </c>
      <c r="AN24" t="str">
        <f>IF(M24&lt;&gt;"","&lt;vk kbd="""&amp;M$1&amp;""" vk="""&amp;M24&amp;""""&amp;IF(Scan2VKFlags!J24&lt;&gt;""," flags="""&amp;Scan2VKFlags!J24&amp;"""","")&amp;"/&gt;","")</f>
        <v>&lt;vk kbd="16" vk="'U'"/&gt;</v>
      </c>
      <c r="AO24" t="str">
        <f>IF(N24&lt;&gt;"","&lt;vk kbd="""&amp;N$1&amp;""" vk="""&amp;N24&amp;""""&amp;IF(Scan2VKFlags!K24&lt;&gt;""," flags="""&amp;Scan2VKFlags!K24&amp;"""","")&amp;"/&gt;","")</f>
        <v>&lt;vk kbd="10" vk="'U'"/&gt;</v>
      </c>
      <c r="AP24" t="str">
        <f>IF(O24&lt;&gt;"","&lt;vk kbd="""&amp;O$1&amp;""" vk="""&amp;O24&amp;""""&amp;IF(Scan2VKFlags!L24&lt;&gt;""," flags="""&amp;Scan2VKFlags!L24&amp;"""","")&amp;"/&gt;","")</f>
        <v>&lt;vk kbd="11" vk="'U'"/&gt;</v>
      </c>
      <c r="AQ24" t="str">
        <f>IF(P24&lt;&gt;"","&lt;vk kbd="""&amp;P$1&amp;""" vk="""&amp;P24&amp;""""&amp;IF(Scan2VKFlags!M24&lt;&gt;""," flags="""&amp;Scan2VKFlags!M24&amp;"""","")&amp;"/&gt;","")</f>
        <v>&lt;vk kbd="12" vk="'U'"/&gt;</v>
      </c>
      <c r="AR24" s="16" t="str">
        <f>IF(Q24&lt;&gt;"","&lt;vk kbd="""&amp;Q$1&amp;""" vk="""&amp;Q24&amp;""""&amp;IF(Scan2VKFlags!N24&lt;&gt;""," flags="""&amp;Scan2VKFlags!N24&amp;"""","")&amp;"/&gt;","")</f>
        <v>&lt;vk kbd="13" vk="'U'"/&gt;</v>
      </c>
      <c r="AS24" s="3" t="str">
        <f>IF(S24&lt;&gt;"","&lt;vk kbd="""&amp;S$1&amp;""" vk="""&amp;S24&amp;""""&amp;IF(Scan2VKFlags!O24&lt;&gt;""," flags="""&amp;Scan2VKFlags!O24&amp;"""","")&amp;"/&gt;","")</f>
        <v>&lt;vk kbd="20" vk="'Y'"/&gt;</v>
      </c>
      <c r="AT24" t="str">
        <f>IF(T24&lt;&gt;"","&lt;vk kbd="""&amp;T$1&amp;""" vk="""&amp;T24&amp;""""&amp;IF(Scan2VKFlags!P24&lt;&gt;""," flags="""&amp;Scan2VKFlags!P24&amp;"""","")&amp;"/&gt;","")</f>
        <v>&lt;vk kbd="21" vk="'Y'"/&gt;</v>
      </c>
      <c r="AU24" s="16" t="str">
        <f>IF(U24&lt;&gt;"","&lt;vk kbd="""&amp;U$1&amp;""" vk="""&amp;U24&amp;""""&amp;IF(Scan2VKFlags!Q24&lt;&gt;""," flags="""&amp;Scan2VKFlags!Q24&amp;"""","")&amp;"/&gt;","")</f>
        <v>&lt;vk kbd="22" vk="'U'"/&gt;</v>
      </c>
      <c r="AV24" s="3" t="str">
        <f>IF(W24&lt;&gt;"","&lt;vk kbd="""&amp;W$1&amp;""" vk="""&amp;W24&amp;""""&amp;IF(Scan2VKFlags!R24&lt;&gt;""," flags="""&amp;Scan2VKFlags!R24&amp;"""","")&amp;"/&gt;","")</f>
        <v>&lt;vk kbd="30" vk="'U'"/&gt;</v>
      </c>
      <c r="AW24" s="15" t="str">
        <f>IF(X24&lt;&gt;"","&lt;vk kbd="""&amp;X$1&amp;""" vk="""&amp;X24&amp;""""&amp;IF(Scan2VKFlags!S24&lt;&gt;""," flags="""&amp;Scan2VKFlags!S24&amp;"""","")&amp;"/&gt;","")</f>
        <v>&lt;vk kbd="33" vk="'U'"/&gt;</v>
      </c>
      <c r="AX24" s="15" t="str">
        <f>IF(Y24&lt;&gt;"","&lt;vk kbd="""&amp;Y$1&amp;""" vk="""&amp;Y24&amp;""""&amp;IF(Scan2VKFlags!T24&lt;&gt;""," flags="""&amp;Scan2VKFlags!T24&amp;"""","")&amp;"/&gt;","")</f>
        <v>&lt;vk kbd="34" vk="'U'"/&gt;</v>
      </c>
      <c r="AY24" s="18" t="str">
        <f>IF(AA24&lt;&gt;"","&lt;vk kbd="""&amp;AA$1&amp;""" vk="""&amp;AA24&amp;""""&amp;IF(Scan2VKFlags!U24&lt;&gt;""," flags="""&amp;Scan2VKFlags!U24&amp;"""","")&amp;"/&gt;","")</f>
        <v>&lt;vk kbd="37" vk="'U'"/&gt;</v>
      </c>
      <c r="AZ24" s="3" t="str">
        <f>IF(AC24&lt;&gt;"","&lt;vk kbd="""&amp;AC$1&amp;""" vk="""&amp;AC24&amp;""""&amp;IF(Scan2VKFlags!V24&lt;&gt;""," flags="""&amp;Scan2VKFlags!V24&amp;"""","")&amp;"/&gt;","")</f>
        <v>&lt;vk kbd="40" vk="'U'"/&gt;</v>
      </c>
      <c r="BA24" s="16" t="str">
        <f>IF(AD24&lt;&gt;"","&lt;vk kbd="""&amp;AD$1&amp;""" vk="""&amp;AD24&amp;""""&amp;IF(Scan2VKFlags!W24&lt;&gt;""," flags="""&amp;Scan2VKFlags!W24&amp;"""","")&amp;"/&gt;","")</f>
        <v>&lt;vk kbd="41" vk="'U'"/&gt;</v>
      </c>
      <c r="BB24" t="s">
        <v>854</v>
      </c>
    </row>
    <row r="25" spans="1:54" x14ac:dyDescent="0.25">
      <c r="A25">
        <f t="shared" si="7"/>
        <v>23</v>
      </c>
      <c r="B25" t="str">
        <f t="shared" si="4"/>
        <v>T17</v>
      </c>
      <c r="C25" s="7" t="s">
        <v>23</v>
      </c>
      <c r="D25" s="12" t="str">
        <f>trimtext(SplitText($C25,",",0))</f>
        <v>'I'</v>
      </c>
      <c r="E25" s="12" t="str">
        <f>IF(SplitText($C25,",",COLUMN(E:E)-COLUMN($D:$D))="",$D25,trimtext(SplitText($C25,",",COLUMN(E:E)-COLUMN($D:$D))))</f>
        <v>'I'</v>
      </c>
      <c r="F25" s="12" t="str">
        <f>IF(SplitText($C25,",",COLUMN(F:F)-COLUMN($D:$D))="",$D25,trimtext(SplitText($C25,",",COLUMN(F:F)-COLUMN($D:$D))))</f>
        <v>'I'</v>
      </c>
      <c r="G25" s="12" t="str">
        <f>IF(SplitText($C25,",",COLUMN(G:G)-COLUMN($D:$D))="",$D25,trimtext(SplitText($C25,",",COLUMN(G:G)-COLUMN($D:$D))))</f>
        <v>'I'</v>
      </c>
      <c r="H25" s="12" t="str">
        <f>IF(SplitText($C25,",",COLUMN(H:H)-COLUMN($D:$D))="",$D25,trimtext(SplitText($C25,",",COLUMN(H:H)-COLUMN($D:$D))))</f>
        <v>'I'</v>
      </c>
      <c r="I25" s="12" t="str">
        <f>IF(SplitText($C25,",",COLUMN(I:I)-COLUMN($D:$D))="",$D25,trimtext(SplitText($C25,",",COLUMN(I:I)-COLUMN($D:$D))))</f>
        <v>'I'</v>
      </c>
      <c r="J25" s="9" t="s">
        <v>208</v>
      </c>
      <c r="K25" s="12" t="str">
        <f>trimtext(SplitText($J25,",",0))</f>
        <v>'I'</v>
      </c>
      <c r="L25" s="12" t="str">
        <f>IF(SplitText($J25,",",COLUMN(L:L)-COLUMN($K:$K))="",$K25,trimtext(SplitText($J25,",",COLUMN(L:L)-COLUMN($K:$K))))</f>
        <v>'I'</v>
      </c>
      <c r="M25" s="12" t="str">
        <f>IF(SplitText($J25,",",COLUMN(M:M)-COLUMN($K:$K))="",$K25,trimtext(SplitText($J25,",",COLUMN(M:M)-COLUMN($K:$K))))</f>
        <v>'I'</v>
      </c>
      <c r="N25" s="12" t="str">
        <f>IF(SplitText($J25,",",COLUMN(N:N)-COLUMN($K:$K))="",$K25,trimtext(SplitText($J25,",",COLUMN(N:N)-COLUMN($K:$K))))</f>
        <v>'I'</v>
      </c>
      <c r="O25" s="12" t="str">
        <f>IF(SplitText($J25,",",COLUMN(O:O)-COLUMN($K:$K))="",$K25,trimtext(SplitText($J25,",",COLUMN(O:O)-COLUMN($K:$K))))</f>
        <v>'I'</v>
      </c>
      <c r="P25" s="12" t="str">
        <f>IF(SplitText($J25,",",COLUMN(P:P)-COLUMN($K:$K))="",$K25,trimtext(SplitText($J25,",",COLUMN(P:P)-COLUMN($K:$K))))</f>
        <v>'I'</v>
      </c>
      <c r="Q25" s="12" t="str">
        <f>IF(SplitText($J25,",",COLUMN(Q:Q)-COLUMN($K:$K))="",$K25,trimtext(SplitText($J25,",",COLUMN(Q:Q)-COLUMN($K:$K))))</f>
        <v>'I'</v>
      </c>
      <c r="R25" s="23" t="s">
        <v>365</v>
      </c>
      <c r="S25" s="12" t="str">
        <f>trimtext(SplitText($R25,",",0))</f>
        <v>'U'</v>
      </c>
      <c r="T25" s="12" t="str">
        <f>IF(SplitText($R25,",",COLUMN(T:T)-COLUMN($S:$S))="",$S25,trimtext(SplitText($R25,",",COLUMN(T:T)-COLUMN($S:$S))))</f>
        <v>'U'</v>
      </c>
      <c r="U25" s="12" t="str">
        <f>IF(SplitText($R25,",",COLUMN(U:U)-COLUMN($S:$S))="",$S25,trimtext(SplitText($R25,",",COLUMN(U:U)-COLUMN($S:$S))))</f>
        <v>'I'</v>
      </c>
      <c r="V25" s="23" t="s">
        <v>530</v>
      </c>
      <c r="W25" s="12" t="str">
        <f>trimtext(SplitText($V25,",",0))</f>
        <v>'I'</v>
      </c>
      <c r="X25" s="12" t="str">
        <f>IF(SplitText($V25,",",COLUMN(X:X)-COLUMN($W:$W))="",$W25,trimtext(SplitText($V25,",",COLUMN(X:X)-COLUMN($W:$W))))</f>
        <v>'I'</v>
      </c>
      <c r="Y25" s="12" t="str">
        <f>IF(SplitText($V25,",",COLUMN(Y:Y)-COLUMN($W:$W))="",$W25,trimtext(SplitText($V25,",",COLUMN(Y:Y)-COLUMN($W:$W))))</f>
        <v>'I'</v>
      </c>
      <c r="Z25" s="23" t="s">
        <v>655</v>
      </c>
      <c r="AA25" s="12" t="str">
        <f t="shared" si="5"/>
        <v>'I'</v>
      </c>
      <c r="AB25" s="2" t="s">
        <v>766</v>
      </c>
      <c r="AC25" s="12" t="str">
        <f>trimtext(SplitText($AB25,",",0))</f>
        <v>'I'</v>
      </c>
      <c r="AD25" s="12" t="str">
        <f>IF(SplitText($AB25,",",COLUMN(AD:AD)-COLUMN($AC:$AC))="",$AC25,trimtext(SplitText($AB25,",",COLUMN(AD:AD)-COLUMN($AC:$AC))))</f>
        <v>'I'</v>
      </c>
      <c r="AE25" s="18" t="str">
        <f t="shared" si="6"/>
        <v>&lt;xs:enumeration value="T17"&gt;&lt;xs:annotation&gt;&lt;xs:documentation&gt;Typically 'I' for keyboard type 4, different values for different keyboard types&lt;/xs:documentation&gt;&lt;xs:appinfo&gt;&lt;default-vk&gt;</v>
      </c>
      <c r="AF25" s="15" t="str">
        <f>IF(D25&lt;&gt;"","&lt;vk kbd="""&amp;D$1&amp;""" vk="""&amp;D25&amp;""""&amp;IF(Scan2VKFlags!B25&lt;&gt;""," flags="""&amp;Scan2VKFlags!B25&amp;"""","")&amp;"/&gt;","")</f>
        <v>&lt;vk kbd="1" vk="'I'"/&gt;</v>
      </c>
      <c r="AG25" s="15" t="str">
        <f>IF(E25&lt;&gt;"","&lt;vk kbd="""&amp;E$1&amp;""" vk="""&amp;E25&amp;""""&amp;IF(Scan2VKFlags!C25&lt;&gt;""," flags="""&amp;Scan2VKFlags!C25&amp;"""","")&amp;"/&gt;","")</f>
        <v>&lt;vk kbd="2" vk="'I'"/&gt;</v>
      </c>
      <c r="AH25" s="15" t="str">
        <f>IF(F25&lt;&gt;"","&lt;vk kbd="""&amp;F$1&amp;""" vk="""&amp;F25&amp;""""&amp;IF(Scan2VKFlags!D25&lt;&gt;""," flags="""&amp;Scan2VKFlags!D25&amp;"""","")&amp;"/&gt;","")</f>
        <v>&lt;vk kbd="3" vk="'I'"/&gt;</v>
      </c>
      <c r="AI25" s="15" t="str">
        <f>IF(G25&lt;&gt;"","&lt;vk kbd="""&amp;G$1&amp;""" vk="""&amp;G25&amp;""""&amp;IF(Scan2VKFlags!E25&lt;&gt;""," flags="""&amp;Scan2VKFlags!E25&amp;"""","")&amp;"/&gt;","")</f>
        <v>&lt;vk kbd="4" vk="'I'"/&gt;</v>
      </c>
      <c r="AJ25" s="15" t="str">
        <f>IF(H25&lt;&gt;"","&lt;vk kbd="""&amp;H$1&amp;""" vk="""&amp;H25&amp;""""&amp;IF(Scan2VKFlags!F25&lt;&gt;""," flags="""&amp;Scan2VKFlags!F25&amp;"""","")&amp;"/&gt;","")</f>
        <v>&lt;vk kbd="5" vk="'I'"/&gt;</v>
      </c>
      <c r="AK25" s="16" t="str">
        <f>IF(I25&lt;&gt;"","&lt;vk kbd="""&amp;I$1&amp;""" vk="""&amp;I25&amp;""""&amp;IF(Scan2VKFlags!G25&lt;&gt;""," flags="""&amp;Scan2VKFlags!G25&amp;"""","")&amp;"/&gt;","")</f>
        <v>&lt;vk kbd="6" vk="'I'"/&gt;</v>
      </c>
      <c r="AL25" s="3" t="str">
        <f>IF(K25&lt;&gt;"","&lt;vk kbd="""&amp;K$1&amp;""" vk="""&amp;K25&amp;""""&amp;IF(Scan2VKFlags!H25&lt;&gt;""," flags="""&amp;Scan2VKFlags!H25&amp;"""","")&amp;"/&gt;","")</f>
        <v>&lt;vk kbd="7" vk="'I'"/&gt;</v>
      </c>
      <c r="AM25" t="str">
        <f>IF(L25&lt;&gt;"","&lt;vk kbd="""&amp;L$1&amp;""" vk="""&amp;L25&amp;""""&amp;IF(Scan2VKFlags!I25&lt;&gt;""," flags="""&amp;Scan2VKFlags!I25&amp;"""","")&amp;"/&gt;","")</f>
        <v>&lt;vk kbd="8" vk="'I'"/&gt;</v>
      </c>
      <c r="AN25" t="str">
        <f>IF(M25&lt;&gt;"","&lt;vk kbd="""&amp;M$1&amp;""" vk="""&amp;M25&amp;""""&amp;IF(Scan2VKFlags!J25&lt;&gt;""," flags="""&amp;Scan2VKFlags!J25&amp;"""","")&amp;"/&gt;","")</f>
        <v>&lt;vk kbd="16" vk="'I'"/&gt;</v>
      </c>
      <c r="AO25" t="str">
        <f>IF(N25&lt;&gt;"","&lt;vk kbd="""&amp;N$1&amp;""" vk="""&amp;N25&amp;""""&amp;IF(Scan2VKFlags!K25&lt;&gt;""," flags="""&amp;Scan2VKFlags!K25&amp;"""","")&amp;"/&gt;","")</f>
        <v>&lt;vk kbd="10" vk="'I'"/&gt;</v>
      </c>
      <c r="AP25" t="str">
        <f>IF(O25&lt;&gt;"","&lt;vk kbd="""&amp;O$1&amp;""" vk="""&amp;O25&amp;""""&amp;IF(Scan2VKFlags!L25&lt;&gt;""," flags="""&amp;Scan2VKFlags!L25&amp;"""","")&amp;"/&gt;","")</f>
        <v>&lt;vk kbd="11" vk="'I'"/&gt;</v>
      </c>
      <c r="AQ25" t="str">
        <f>IF(P25&lt;&gt;"","&lt;vk kbd="""&amp;P$1&amp;""" vk="""&amp;P25&amp;""""&amp;IF(Scan2VKFlags!M25&lt;&gt;""," flags="""&amp;Scan2VKFlags!M25&amp;"""","")&amp;"/&gt;","")</f>
        <v>&lt;vk kbd="12" vk="'I'"/&gt;</v>
      </c>
      <c r="AR25" s="16" t="str">
        <f>IF(Q25&lt;&gt;"","&lt;vk kbd="""&amp;Q$1&amp;""" vk="""&amp;Q25&amp;""""&amp;IF(Scan2VKFlags!N25&lt;&gt;""," flags="""&amp;Scan2VKFlags!N25&amp;"""","")&amp;"/&gt;","")</f>
        <v>&lt;vk kbd="13" vk="'I'"/&gt;</v>
      </c>
      <c r="AS25" s="3" t="str">
        <f>IF(S25&lt;&gt;"","&lt;vk kbd="""&amp;S$1&amp;""" vk="""&amp;S25&amp;""""&amp;IF(Scan2VKFlags!O25&lt;&gt;""," flags="""&amp;Scan2VKFlags!O25&amp;"""","")&amp;"/&gt;","")</f>
        <v>&lt;vk kbd="20" vk="'U'"/&gt;</v>
      </c>
      <c r="AT25" t="str">
        <f>IF(T25&lt;&gt;"","&lt;vk kbd="""&amp;T$1&amp;""" vk="""&amp;T25&amp;""""&amp;IF(Scan2VKFlags!P25&lt;&gt;""," flags="""&amp;Scan2VKFlags!P25&amp;"""","")&amp;"/&gt;","")</f>
        <v>&lt;vk kbd="21" vk="'U'"/&gt;</v>
      </c>
      <c r="AU25" s="16" t="str">
        <f>IF(U25&lt;&gt;"","&lt;vk kbd="""&amp;U$1&amp;""" vk="""&amp;U25&amp;""""&amp;IF(Scan2VKFlags!Q25&lt;&gt;""," flags="""&amp;Scan2VKFlags!Q25&amp;"""","")&amp;"/&gt;","")</f>
        <v>&lt;vk kbd="22" vk="'I'"/&gt;</v>
      </c>
      <c r="AV25" s="3" t="str">
        <f>IF(W25&lt;&gt;"","&lt;vk kbd="""&amp;W$1&amp;""" vk="""&amp;W25&amp;""""&amp;IF(Scan2VKFlags!R25&lt;&gt;""," flags="""&amp;Scan2VKFlags!R25&amp;"""","")&amp;"/&gt;","")</f>
        <v>&lt;vk kbd="30" vk="'I'"/&gt;</v>
      </c>
      <c r="AW25" s="15" t="str">
        <f>IF(X25&lt;&gt;"","&lt;vk kbd="""&amp;X$1&amp;""" vk="""&amp;X25&amp;""""&amp;IF(Scan2VKFlags!S25&lt;&gt;""," flags="""&amp;Scan2VKFlags!S25&amp;"""","")&amp;"/&gt;","")</f>
        <v>&lt;vk kbd="33" vk="'I'"/&gt;</v>
      </c>
      <c r="AX25" s="15" t="str">
        <f>IF(Y25&lt;&gt;"","&lt;vk kbd="""&amp;Y$1&amp;""" vk="""&amp;Y25&amp;""""&amp;IF(Scan2VKFlags!T25&lt;&gt;""," flags="""&amp;Scan2VKFlags!T25&amp;"""","")&amp;"/&gt;","")</f>
        <v>&lt;vk kbd="34" vk="'I'"/&gt;</v>
      </c>
      <c r="AY25" s="18" t="str">
        <f>IF(AA25&lt;&gt;"","&lt;vk kbd="""&amp;AA$1&amp;""" vk="""&amp;AA25&amp;""""&amp;IF(Scan2VKFlags!U25&lt;&gt;""," flags="""&amp;Scan2VKFlags!U25&amp;"""","")&amp;"/&gt;","")</f>
        <v>&lt;vk kbd="37" vk="'I'"/&gt;</v>
      </c>
      <c r="AZ25" s="3" t="str">
        <f>IF(AC25&lt;&gt;"","&lt;vk kbd="""&amp;AC$1&amp;""" vk="""&amp;AC25&amp;""""&amp;IF(Scan2VKFlags!V25&lt;&gt;""," flags="""&amp;Scan2VKFlags!V25&amp;"""","")&amp;"/&gt;","")</f>
        <v>&lt;vk kbd="40" vk="'I'"/&gt;</v>
      </c>
      <c r="BA25" s="16" t="str">
        <f>IF(AD25&lt;&gt;"","&lt;vk kbd="""&amp;AD$1&amp;""" vk="""&amp;AD25&amp;""""&amp;IF(Scan2VKFlags!W25&lt;&gt;""," flags="""&amp;Scan2VKFlags!W25&amp;"""","")&amp;"/&gt;","")</f>
        <v>&lt;vk kbd="41" vk="'I'"/&gt;</v>
      </c>
      <c r="BB25" t="s">
        <v>854</v>
      </c>
    </row>
    <row r="26" spans="1:54" x14ac:dyDescent="0.25">
      <c r="A26">
        <f t="shared" si="7"/>
        <v>24</v>
      </c>
      <c r="B26" t="str">
        <f t="shared" si="4"/>
        <v>T18</v>
      </c>
      <c r="C26" s="7" t="s">
        <v>24</v>
      </c>
      <c r="D26" s="12" t="str">
        <f>trimtext(SplitText($C26,",",0))</f>
        <v>'O'</v>
      </c>
      <c r="E26" s="12" t="str">
        <f>IF(SplitText($C26,",",COLUMN(E:E)-COLUMN($D:$D))="",$D26,trimtext(SplitText($C26,",",COLUMN(E:E)-COLUMN($D:$D))))</f>
        <v>'O'</v>
      </c>
      <c r="F26" s="12" t="str">
        <f>IF(SplitText($C26,",",COLUMN(F:F)-COLUMN($D:$D))="",$D26,trimtext(SplitText($C26,",",COLUMN(F:F)-COLUMN($D:$D))))</f>
        <v>'O'</v>
      </c>
      <c r="G26" s="12" t="str">
        <f>IF(SplitText($C26,",",COLUMN(G:G)-COLUMN($D:$D))="",$D26,trimtext(SplitText($C26,",",COLUMN(G:G)-COLUMN($D:$D))))</f>
        <v>'O'</v>
      </c>
      <c r="H26" s="12" t="str">
        <f>IF(SplitText($C26,",",COLUMN(H:H)-COLUMN($D:$D))="",$D26,trimtext(SplitText($C26,",",COLUMN(H:H)-COLUMN($D:$D))))</f>
        <v>'O'</v>
      </c>
      <c r="I26" s="12" t="str">
        <f>IF(SplitText($C26,",",COLUMN(I:I)-COLUMN($D:$D))="",$D26,trimtext(SplitText($C26,",",COLUMN(I:I)-COLUMN($D:$D))))</f>
        <v>'O'</v>
      </c>
      <c r="J26" s="9" t="s">
        <v>209</v>
      </c>
      <c r="K26" s="12" t="str">
        <f>trimtext(SplitText($J26,",",0))</f>
        <v>'O'</v>
      </c>
      <c r="L26" s="12" t="str">
        <f>IF(SplitText($J26,",",COLUMN(L:L)-COLUMN($K:$K))="",$K26,trimtext(SplitText($J26,",",COLUMN(L:L)-COLUMN($K:$K))))</f>
        <v>'O'</v>
      </c>
      <c r="M26" s="12" t="str">
        <f>IF(SplitText($J26,",",COLUMN(M:M)-COLUMN($K:$K))="",$K26,trimtext(SplitText($J26,",",COLUMN(M:M)-COLUMN($K:$K))))</f>
        <v>'O'</v>
      </c>
      <c r="N26" s="12" t="str">
        <f>IF(SplitText($J26,",",COLUMN(N:N)-COLUMN($K:$K))="",$K26,trimtext(SplitText($J26,",",COLUMN(N:N)-COLUMN($K:$K))))</f>
        <v>'O'</v>
      </c>
      <c r="O26" s="12" t="str">
        <f>IF(SplitText($J26,",",COLUMN(O:O)-COLUMN($K:$K))="",$K26,trimtext(SplitText($J26,",",COLUMN(O:O)-COLUMN($K:$K))))</f>
        <v>'O'</v>
      </c>
      <c r="P26" s="12" t="str">
        <f>IF(SplitText($J26,",",COLUMN(P:P)-COLUMN($K:$K))="",$K26,trimtext(SplitText($J26,",",COLUMN(P:P)-COLUMN($K:$K))))</f>
        <v>'O'</v>
      </c>
      <c r="Q26" s="12" t="str">
        <f>IF(SplitText($J26,",",COLUMN(Q:Q)-COLUMN($K:$K))="",$K26,trimtext(SplitText($J26,",",COLUMN(Q:Q)-COLUMN($K:$K))))</f>
        <v>'O'</v>
      </c>
      <c r="R26" s="23" t="s">
        <v>366</v>
      </c>
      <c r="S26" s="12" t="str">
        <f>trimtext(SplitText($R26,",",0))</f>
        <v>'I'</v>
      </c>
      <c r="T26" s="12" t="str">
        <f>IF(SplitText($R26,",",COLUMN(T:T)-COLUMN($S:$S))="",$S26,trimtext(SplitText($R26,",",COLUMN(T:T)-COLUMN($S:$S))))</f>
        <v>'I'</v>
      </c>
      <c r="U26" s="12" t="str">
        <f>IF(SplitText($R26,",",COLUMN(U:U)-COLUMN($S:$S))="",$S26,trimtext(SplitText($R26,",",COLUMN(U:U)-COLUMN($S:$S))))</f>
        <v>'O'</v>
      </c>
      <c r="V26" s="23" t="s">
        <v>531</v>
      </c>
      <c r="W26" s="12" t="str">
        <f>trimtext(SplitText($V26,",",0))</f>
        <v>'O'</v>
      </c>
      <c r="X26" s="12" t="str">
        <f>IF(SplitText($V26,",",COLUMN(X:X)-COLUMN($W:$W))="",$W26,trimtext(SplitText($V26,",",COLUMN(X:X)-COLUMN($W:$W))))</f>
        <v>'O'</v>
      </c>
      <c r="Y26" s="12" t="str">
        <f>IF(SplitText($V26,",",COLUMN(Y:Y)-COLUMN($W:$W))="",$W26,trimtext(SplitText($V26,",",COLUMN(Y:Y)-COLUMN($W:$W))))</f>
        <v>'O'</v>
      </c>
      <c r="Z26" s="23" t="s">
        <v>656</v>
      </c>
      <c r="AA26" s="12" t="str">
        <f t="shared" si="5"/>
        <v>'O'</v>
      </c>
      <c r="AB26" s="2" t="s">
        <v>767</v>
      </c>
      <c r="AC26" s="12" t="str">
        <f>trimtext(SplitText($AB26,",",0))</f>
        <v>'O'</v>
      </c>
      <c r="AD26" s="12" t="str">
        <f>IF(SplitText($AB26,",",COLUMN(AD:AD)-COLUMN($AC:$AC))="",$AC26,trimtext(SplitText($AB26,",",COLUMN(AD:AD)-COLUMN($AC:$AC))))</f>
        <v>'O'</v>
      </c>
      <c r="AE26" s="18" t="str">
        <f t="shared" si="6"/>
        <v>&lt;xs:enumeration value="T18"&gt;&lt;xs:annotation&gt;&lt;xs:documentation&gt;Typically 'O' for keyboard type 4, different values for different keyboard types&lt;/xs:documentation&gt;&lt;xs:appinfo&gt;&lt;default-vk&gt;</v>
      </c>
      <c r="AF26" s="15" t="str">
        <f>IF(D26&lt;&gt;"","&lt;vk kbd="""&amp;D$1&amp;""" vk="""&amp;D26&amp;""""&amp;IF(Scan2VKFlags!B26&lt;&gt;""," flags="""&amp;Scan2VKFlags!B26&amp;"""","")&amp;"/&gt;","")</f>
        <v>&lt;vk kbd="1" vk="'O'"/&gt;</v>
      </c>
      <c r="AG26" s="15" t="str">
        <f>IF(E26&lt;&gt;"","&lt;vk kbd="""&amp;E$1&amp;""" vk="""&amp;E26&amp;""""&amp;IF(Scan2VKFlags!C26&lt;&gt;""," flags="""&amp;Scan2VKFlags!C26&amp;"""","")&amp;"/&gt;","")</f>
        <v>&lt;vk kbd="2" vk="'O'"/&gt;</v>
      </c>
      <c r="AH26" s="15" t="str">
        <f>IF(F26&lt;&gt;"","&lt;vk kbd="""&amp;F$1&amp;""" vk="""&amp;F26&amp;""""&amp;IF(Scan2VKFlags!D26&lt;&gt;""," flags="""&amp;Scan2VKFlags!D26&amp;"""","")&amp;"/&gt;","")</f>
        <v>&lt;vk kbd="3" vk="'O'"/&gt;</v>
      </c>
      <c r="AI26" s="15" t="str">
        <f>IF(G26&lt;&gt;"","&lt;vk kbd="""&amp;G$1&amp;""" vk="""&amp;G26&amp;""""&amp;IF(Scan2VKFlags!E26&lt;&gt;""," flags="""&amp;Scan2VKFlags!E26&amp;"""","")&amp;"/&gt;","")</f>
        <v>&lt;vk kbd="4" vk="'O'"/&gt;</v>
      </c>
      <c r="AJ26" s="15" t="str">
        <f>IF(H26&lt;&gt;"","&lt;vk kbd="""&amp;H$1&amp;""" vk="""&amp;H26&amp;""""&amp;IF(Scan2VKFlags!F26&lt;&gt;""," flags="""&amp;Scan2VKFlags!F26&amp;"""","")&amp;"/&gt;","")</f>
        <v>&lt;vk kbd="5" vk="'O'"/&gt;</v>
      </c>
      <c r="AK26" s="16" t="str">
        <f>IF(I26&lt;&gt;"","&lt;vk kbd="""&amp;I$1&amp;""" vk="""&amp;I26&amp;""""&amp;IF(Scan2VKFlags!G26&lt;&gt;""," flags="""&amp;Scan2VKFlags!G26&amp;"""","")&amp;"/&gt;","")</f>
        <v>&lt;vk kbd="6" vk="'O'"/&gt;</v>
      </c>
      <c r="AL26" s="3" t="str">
        <f>IF(K26&lt;&gt;"","&lt;vk kbd="""&amp;K$1&amp;""" vk="""&amp;K26&amp;""""&amp;IF(Scan2VKFlags!H26&lt;&gt;""," flags="""&amp;Scan2VKFlags!H26&amp;"""","")&amp;"/&gt;","")</f>
        <v>&lt;vk kbd="7" vk="'O'"/&gt;</v>
      </c>
      <c r="AM26" t="str">
        <f>IF(L26&lt;&gt;"","&lt;vk kbd="""&amp;L$1&amp;""" vk="""&amp;L26&amp;""""&amp;IF(Scan2VKFlags!I26&lt;&gt;""," flags="""&amp;Scan2VKFlags!I26&amp;"""","")&amp;"/&gt;","")</f>
        <v>&lt;vk kbd="8" vk="'O'"/&gt;</v>
      </c>
      <c r="AN26" t="str">
        <f>IF(M26&lt;&gt;"","&lt;vk kbd="""&amp;M$1&amp;""" vk="""&amp;M26&amp;""""&amp;IF(Scan2VKFlags!J26&lt;&gt;""," flags="""&amp;Scan2VKFlags!J26&amp;"""","")&amp;"/&gt;","")</f>
        <v>&lt;vk kbd="16" vk="'O'"/&gt;</v>
      </c>
      <c r="AO26" t="str">
        <f>IF(N26&lt;&gt;"","&lt;vk kbd="""&amp;N$1&amp;""" vk="""&amp;N26&amp;""""&amp;IF(Scan2VKFlags!K26&lt;&gt;""," flags="""&amp;Scan2VKFlags!K26&amp;"""","")&amp;"/&gt;","")</f>
        <v>&lt;vk kbd="10" vk="'O'"/&gt;</v>
      </c>
      <c r="AP26" t="str">
        <f>IF(O26&lt;&gt;"","&lt;vk kbd="""&amp;O$1&amp;""" vk="""&amp;O26&amp;""""&amp;IF(Scan2VKFlags!L26&lt;&gt;""," flags="""&amp;Scan2VKFlags!L26&amp;"""","")&amp;"/&gt;","")</f>
        <v>&lt;vk kbd="11" vk="'O'"/&gt;</v>
      </c>
      <c r="AQ26" t="str">
        <f>IF(P26&lt;&gt;"","&lt;vk kbd="""&amp;P$1&amp;""" vk="""&amp;P26&amp;""""&amp;IF(Scan2VKFlags!M26&lt;&gt;""," flags="""&amp;Scan2VKFlags!M26&amp;"""","")&amp;"/&gt;","")</f>
        <v>&lt;vk kbd="12" vk="'O'"/&gt;</v>
      </c>
      <c r="AR26" s="16" t="str">
        <f>IF(Q26&lt;&gt;"","&lt;vk kbd="""&amp;Q$1&amp;""" vk="""&amp;Q26&amp;""""&amp;IF(Scan2VKFlags!N26&lt;&gt;""," flags="""&amp;Scan2VKFlags!N26&amp;"""","")&amp;"/&gt;","")</f>
        <v>&lt;vk kbd="13" vk="'O'"/&gt;</v>
      </c>
      <c r="AS26" s="3" t="str">
        <f>IF(S26&lt;&gt;"","&lt;vk kbd="""&amp;S$1&amp;""" vk="""&amp;S26&amp;""""&amp;IF(Scan2VKFlags!O26&lt;&gt;""," flags="""&amp;Scan2VKFlags!O26&amp;"""","")&amp;"/&gt;","")</f>
        <v>&lt;vk kbd="20" vk="'I'"/&gt;</v>
      </c>
      <c r="AT26" t="str">
        <f>IF(T26&lt;&gt;"","&lt;vk kbd="""&amp;T$1&amp;""" vk="""&amp;T26&amp;""""&amp;IF(Scan2VKFlags!P26&lt;&gt;""," flags="""&amp;Scan2VKFlags!P26&amp;"""","")&amp;"/&gt;","")</f>
        <v>&lt;vk kbd="21" vk="'I'"/&gt;</v>
      </c>
      <c r="AU26" s="16" t="str">
        <f>IF(U26&lt;&gt;"","&lt;vk kbd="""&amp;U$1&amp;""" vk="""&amp;U26&amp;""""&amp;IF(Scan2VKFlags!Q26&lt;&gt;""," flags="""&amp;Scan2VKFlags!Q26&amp;"""","")&amp;"/&gt;","")</f>
        <v>&lt;vk kbd="22" vk="'O'"/&gt;</v>
      </c>
      <c r="AV26" s="3" t="str">
        <f>IF(W26&lt;&gt;"","&lt;vk kbd="""&amp;W$1&amp;""" vk="""&amp;W26&amp;""""&amp;IF(Scan2VKFlags!R26&lt;&gt;""," flags="""&amp;Scan2VKFlags!R26&amp;"""","")&amp;"/&gt;","")</f>
        <v>&lt;vk kbd="30" vk="'O'"/&gt;</v>
      </c>
      <c r="AW26" s="15" t="str">
        <f>IF(X26&lt;&gt;"","&lt;vk kbd="""&amp;X$1&amp;""" vk="""&amp;X26&amp;""""&amp;IF(Scan2VKFlags!S26&lt;&gt;""," flags="""&amp;Scan2VKFlags!S26&amp;"""","")&amp;"/&gt;","")</f>
        <v>&lt;vk kbd="33" vk="'O'"/&gt;</v>
      </c>
      <c r="AX26" s="15" t="str">
        <f>IF(Y26&lt;&gt;"","&lt;vk kbd="""&amp;Y$1&amp;""" vk="""&amp;Y26&amp;""""&amp;IF(Scan2VKFlags!T26&lt;&gt;""," flags="""&amp;Scan2VKFlags!T26&amp;"""","")&amp;"/&gt;","")</f>
        <v>&lt;vk kbd="34" vk="'O'"/&gt;</v>
      </c>
      <c r="AY26" s="18" t="str">
        <f>IF(AA26&lt;&gt;"","&lt;vk kbd="""&amp;AA$1&amp;""" vk="""&amp;AA26&amp;""""&amp;IF(Scan2VKFlags!U26&lt;&gt;""," flags="""&amp;Scan2VKFlags!U26&amp;"""","")&amp;"/&gt;","")</f>
        <v>&lt;vk kbd="37" vk="'O'"/&gt;</v>
      </c>
      <c r="AZ26" s="3" t="str">
        <f>IF(AC26&lt;&gt;"","&lt;vk kbd="""&amp;AC$1&amp;""" vk="""&amp;AC26&amp;""""&amp;IF(Scan2VKFlags!V26&lt;&gt;""," flags="""&amp;Scan2VKFlags!V26&amp;"""","")&amp;"/&gt;","")</f>
        <v>&lt;vk kbd="40" vk="'O'"/&gt;</v>
      </c>
      <c r="BA26" s="16" t="str">
        <f>IF(AD26&lt;&gt;"","&lt;vk kbd="""&amp;AD$1&amp;""" vk="""&amp;AD26&amp;""""&amp;IF(Scan2VKFlags!W26&lt;&gt;""," flags="""&amp;Scan2VKFlags!W26&amp;"""","")&amp;"/&gt;","")</f>
        <v>&lt;vk kbd="41" vk="'O'"/&gt;</v>
      </c>
      <c r="BB26" t="s">
        <v>854</v>
      </c>
    </row>
    <row r="27" spans="1:54" x14ac:dyDescent="0.25">
      <c r="A27">
        <f t="shared" si="7"/>
        <v>25</v>
      </c>
      <c r="B27" t="str">
        <f t="shared" si="4"/>
        <v>T19</v>
      </c>
      <c r="C27" s="7" t="s">
        <v>25</v>
      </c>
      <c r="D27" s="12" t="str">
        <f>trimtext(SplitText($C27,",",0))</f>
        <v>'P'</v>
      </c>
      <c r="E27" s="12" t="str">
        <f>IF(SplitText($C27,",",COLUMN(E:E)-COLUMN($D:$D))="",$D27,trimtext(SplitText($C27,",",COLUMN(E:E)-COLUMN($D:$D))))</f>
        <v>'P'</v>
      </c>
      <c r="F27" s="12" t="str">
        <f>IF(SplitText($C27,",",COLUMN(F:F)-COLUMN($D:$D))="",$D27,trimtext(SplitText($C27,",",COLUMN(F:F)-COLUMN($D:$D))))</f>
        <v>'P'</v>
      </c>
      <c r="G27" s="12" t="str">
        <f>IF(SplitText($C27,",",COLUMN(G:G)-COLUMN($D:$D))="",$D27,trimtext(SplitText($C27,",",COLUMN(G:G)-COLUMN($D:$D))))</f>
        <v>'P'</v>
      </c>
      <c r="H27" s="12" t="str">
        <f>IF(SplitText($C27,",",COLUMN(H:H)-COLUMN($D:$D))="",$D27,trimtext(SplitText($C27,",",COLUMN(H:H)-COLUMN($D:$D))))</f>
        <v>'P'</v>
      </c>
      <c r="I27" s="12" t="str">
        <f>IF(SplitText($C27,",",COLUMN(I:I)-COLUMN($D:$D))="",$D27,trimtext(SplitText($C27,",",COLUMN(I:I)-COLUMN($D:$D))))</f>
        <v>'P'</v>
      </c>
      <c r="J27" s="9" t="s">
        <v>210</v>
      </c>
      <c r="K27" s="12" t="str">
        <f>trimtext(SplitText($J27,",",0))</f>
        <v>'P'</v>
      </c>
      <c r="L27" s="12" t="str">
        <f>IF(SplitText($J27,",",COLUMN(L:L)-COLUMN($K:$K))="",$K27,trimtext(SplitText($J27,",",COLUMN(L:L)-COLUMN($K:$K))))</f>
        <v>'P'</v>
      </c>
      <c r="M27" s="12" t="str">
        <f>IF(SplitText($J27,",",COLUMN(M:M)-COLUMN($K:$K))="",$K27,trimtext(SplitText($J27,",",COLUMN(M:M)-COLUMN($K:$K))))</f>
        <v>'P'</v>
      </c>
      <c r="N27" s="12" t="str">
        <f>IF(SplitText($J27,",",COLUMN(N:N)-COLUMN($K:$K))="",$K27,trimtext(SplitText($J27,",",COLUMN(N:N)-COLUMN($K:$K))))</f>
        <v>'P'</v>
      </c>
      <c r="O27" s="12" t="str">
        <f>IF(SplitText($J27,",",COLUMN(O:O)-COLUMN($K:$K))="",$K27,trimtext(SplitText($J27,",",COLUMN(O:O)-COLUMN($K:$K))))</f>
        <v>'P'</v>
      </c>
      <c r="P27" s="12" t="str">
        <f>IF(SplitText($J27,",",COLUMN(P:P)-COLUMN($K:$K))="",$K27,trimtext(SplitText($J27,",",COLUMN(P:P)-COLUMN($K:$K))))</f>
        <v>'P'</v>
      </c>
      <c r="Q27" s="12" t="str">
        <f>IF(SplitText($J27,",",COLUMN(Q:Q)-COLUMN($K:$K))="",$K27,trimtext(SplitText($J27,",",COLUMN(Q:Q)-COLUMN($K:$K))))</f>
        <v>'P'</v>
      </c>
      <c r="R27" s="23" t="s">
        <v>367</v>
      </c>
      <c r="S27" s="12" t="str">
        <f>trimtext(SplitText($R27,",",0))</f>
        <v>'O'</v>
      </c>
      <c r="T27" s="12" t="str">
        <f>IF(SplitText($R27,",",COLUMN(T:T)-COLUMN($S:$S))="",$S27,trimtext(SplitText($R27,",",COLUMN(T:T)-COLUMN($S:$S))))</f>
        <v>'O'</v>
      </c>
      <c r="U27" s="12" t="str">
        <f>IF(SplitText($R27,",",COLUMN(U:U)-COLUMN($S:$S))="",$S27,trimtext(SplitText($R27,",",COLUMN(U:U)-COLUMN($S:$S))))</f>
        <v>'P'</v>
      </c>
      <c r="V27" s="23" t="s">
        <v>532</v>
      </c>
      <c r="W27" s="12" t="str">
        <f>trimtext(SplitText($V27,",",0))</f>
        <v>'P'</v>
      </c>
      <c r="X27" s="12" t="str">
        <f>IF(SplitText($V27,",",COLUMN(X:X)-COLUMN($W:$W))="",$W27,trimtext(SplitText($V27,",",COLUMN(X:X)-COLUMN($W:$W))))</f>
        <v>'P'</v>
      </c>
      <c r="Y27" s="12" t="str">
        <f>IF(SplitText($V27,",",COLUMN(Y:Y)-COLUMN($W:$W))="",$W27,trimtext(SplitText($V27,",",COLUMN(Y:Y)-COLUMN($W:$W))))</f>
        <v>'P'</v>
      </c>
      <c r="Z27" s="23" t="s">
        <v>657</v>
      </c>
      <c r="AA27" s="12" t="str">
        <f t="shared" si="5"/>
        <v>'P'</v>
      </c>
      <c r="AB27" s="2" t="s">
        <v>768</v>
      </c>
      <c r="AC27" s="12" t="str">
        <f>trimtext(SplitText($AB27,",",0))</f>
        <v>'P'</v>
      </c>
      <c r="AD27" s="12" t="str">
        <f>IF(SplitText($AB27,",",COLUMN(AD:AD)-COLUMN($AC:$AC))="",$AC27,trimtext(SplitText($AB27,",",COLUMN(AD:AD)-COLUMN($AC:$AC))))</f>
        <v>'P'</v>
      </c>
      <c r="AE27" s="18" t="str">
        <f t="shared" si="6"/>
        <v>&lt;xs:enumeration value="T19"&gt;&lt;xs:annotation&gt;&lt;xs:documentation&gt;Typically 'P' for keyboard type 4, different values for different keyboard types&lt;/xs:documentation&gt;&lt;xs:appinfo&gt;&lt;default-vk&gt;</v>
      </c>
      <c r="AF27" s="15" t="str">
        <f>IF(D27&lt;&gt;"","&lt;vk kbd="""&amp;D$1&amp;""" vk="""&amp;D27&amp;""""&amp;IF(Scan2VKFlags!B27&lt;&gt;""," flags="""&amp;Scan2VKFlags!B27&amp;"""","")&amp;"/&gt;","")</f>
        <v>&lt;vk kbd="1" vk="'P'"/&gt;</v>
      </c>
      <c r="AG27" s="15" t="str">
        <f>IF(E27&lt;&gt;"","&lt;vk kbd="""&amp;E$1&amp;""" vk="""&amp;E27&amp;""""&amp;IF(Scan2VKFlags!C27&lt;&gt;""," flags="""&amp;Scan2VKFlags!C27&amp;"""","")&amp;"/&gt;","")</f>
        <v>&lt;vk kbd="2" vk="'P'"/&gt;</v>
      </c>
      <c r="AH27" s="15" t="str">
        <f>IF(F27&lt;&gt;"","&lt;vk kbd="""&amp;F$1&amp;""" vk="""&amp;F27&amp;""""&amp;IF(Scan2VKFlags!D27&lt;&gt;""," flags="""&amp;Scan2VKFlags!D27&amp;"""","")&amp;"/&gt;","")</f>
        <v>&lt;vk kbd="3" vk="'P'"/&gt;</v>
      </c>
      <c r="AI27" s="15" t="str">
        <f>IF(G27&lt;&gt;"","&lt;vk kbd="""&amp;G$1&amp;""" vk="""&amp;G27&amp;""""&amp;IF(Scan2VKFlags!E27&lt;&gt;""," flags="""&amp;Scan2VKFlags!E27&amp;"""","")&amp;"/&gt;","")</f>
        <v>&lt;vk kbd="4" vk="'P'"/&gt;</v>
      </c>
      <c r="AJ27" s="15" t="str">
        <f>IF(H27&lt;&gt;"","&lt;vk kbd="""&amp;H$1&amp;""" vk="""&amp;H27&amp;""""&amp;IF(Scan2VKFlags!F27&lt;&gt;""," flags="""&amp;Scan2VKFlags!F27&amp;"""","")&amp;"/&gt;","")</f>
        <v>&lt;vk kbd="5" vk="'P'"/&gt;</v>
      </c>
      <c r="AK27" s="16" t="str">
        <f>IF(I27&lt;&gt;"","&lt;vk kbd="""&amp;I$1&amp;""" vk="""&amp;I27&amp;""""&amp;IF(Scan2VKFlags!G27&lt;&gt;""," flags="""&amp;Scan2VKFlags!G27&amp;"""","")&amp;"/&gt;","")</f>
        <v>&lt;vk kbd="6" vk="'P'"/&gt;</v>
      </c>
      <c r="AL27" s="3" t="str">
        <f>IF(K27&lt;&gt;"","&lt;vk kbd="""&amp;K$1&amp;""" vk="""&amp;K27&amp;""""&amp;IF(Scan2VKFlags!H27&lt;&gt;""," flags="""&amp;Scan2VKFlags!H27&amp;"""","")&amp;"/&gt;","")</f>
        <v>&lt;vk kbd="7" vk="'P'"/&gt;</v>
      </c>
      <c r="AM27" t="str">
        <f>IF(L27&lt;&gt;"","&lt;vk kbd="""&amp;L$1&amp;""" vk="""&amp;L27&amp;""""&amp;IF(Scan2VKFlags!I27&lt;&gt;""," flags="""&amp;Scan2VKFlags!I27&amp;"""","")&amp;"/&gt;","")</f>
        <v>&lt;vk kbd="8" vk="'P'"/&gt;</v>
      </c>
      <c r="AN27" t="str">
        <f>IF(M27&lt;&gt;"","&lt;vk kbd="""&amp;M$1&amp;""" vk="""&amp;M27&amp;""""&amp;IF(Scan2VKFlags!J27&lt;&gt;""," flags="""&amp;Scan2VKFlags!J27&amp;"""","")&amp;"/&gt;","")</f>
        <v>&lt;vk kbd="16" vk="'P'"/&gt;</v>
      </c>
      <c r="AO27" t="str">
        <f>IF(N27&lt;&gt;"","&lt;vk kbd="""&amp;N$1&amp;""" vk="""&amp;N27&amp;""""&amp;IF(Scan2VKFlags!K27&lt;&gt;""," flags="""&amp;Scan2VKFlags!K27&amp;"""","")&amp;"/&gt;","")</f>
        <v>&lt;vk kbd="10" vk="'P'"/&gt;</v>
      </c>
      <c r="AP27" t="str">
        <f>IF(O27&lt;&gt;"","&lt;vk kbd="""&amp;O$1&amp;""" vk="""&amp;O27&amp;""""&amp;IF(Scan2VKFlags!L27&lt;&gt;""," flags="""&amp;Scan2VKFlags!L27&amp;"""","")&amp;"/&gt;","")</f>
        <v>&lt;vk kbd="11" vk="'P'"/&gt;</v>
      </c>
      <c r="AQ27" t="str">
        <f>IF(P27&lt;&gt;"","&lt;vk kbd="""&amp;P$1&amp;""" vk="""&amp;P27&amp;""""&amp;IF(Scan2VKFlags!M27&lt;&gt;""," flags="""&amp;Scan2VKFlags!M27&amp;"""","")&amp;"/&gt;","")</f>
        <v>&lt;vk kbd="12" vk="'P'"/&gt;</v>
      </c>
      <c r="AR27" s="16" t="str">
        <f>IF(Q27&lt;&gt;"","&lt;vk kbd="""&amp;Q$1&amp;""" vk="""&amp;Q27&amp;""""&amp;IF(Scan2VKFlags!N27&lt;&gt;""," flags="""&amp;Scan2VKFlags!N27&amp;"""","")&amp;"/&gt;","")</f>
        <v>&lt;vk kbd="13" vk="'P'"/&gt;</v>
      </c>
      <c r="AS27" s="3" t="str">
        <f>IF(S27&lt;&gt;"","&lt;vk kbd="""&amp;S$1&amp;""" vk="""&amp;S27&amp;""""&amp;IF(Scan2VKFlags!O27&lt;&gt;""," flags="""&amp;Scan2VKFlags!O27&amp;"""","")&amp;"/&gt;","")</f>
        <v>&lt;vk kbd="20" vk="'O'"/&gt;</v>
      </c>
      <c r="AT27" t="str">
        <f>IF(T27&lt;&gt;"","&lt;vk kbd="""&amp;T$1&amp;""" vk="""&amp;T27&amp;""""&amp;IF(Scan2VKFlags!P27&lt;&gt;""," flags="""&amp;Scan2VKFlags!P27&amp;"""","")&amp;"/&gt;","")</f>
        <v>&lt;vk kbd="21" vk="'O'"/&gt;</v>
      </c>
      <c r="AU27" s="16" t="str">
        <f>IF(U27&lt;&gt;"","&lt;vk kbd="""&amp;U$1&amp;""" vk="""&amp;U27&amp;""""&amp;IF(Scan2VKFlags!Q27&lt;&gt;""," flags="""&amp;Scan2VKFlags!Q27&amp;"""","")&amp;"/&gt;","")</f>
        <v>&lt;vk kbd="22" vk="'P'"/&gt;</v>
      </c>
      <c r="AV27" s="3" t="str">
        <f>IF(W27&lt;&gt;"","&lt;vk kbd="""&amp;W$1&amp;""" vk="""&amp;W27&amp;""""&amp;IF(Scan2VKFlags!R27&lt;&gt;""," flags="""&amp;Scan2VKFlags!R27&amp;"""","")&amp;"/&gt;","")</f>
        <v>&lt;vk kbd="30" vk="'P'"/&gt;</v>
      </c>
      <c r="AW27" s="15" t="str">
        <f>IF(X27&lt;&gt;"","&lt;vk kbd="""&amp;X$1&amp;""" vk="""&amp;X27&amp;""""&amp;IF(Scan2VKFlags!S27&lt;&gt;""," flags="""&amp;Scan2VKFlags!S27&amp;"""","")&amp;"/&gt;","")</f>
        <v>&lt;vk kbd="33" vk="'P'"/&gt;</v>
      </c>
      <c r="AX27" s="15" t="str">
        <f>IF(Y27&lt;&gt;"","&lt;vk kbd="""&amp;Y$1&amp;""" vk="""&amp;Y27&amp;""""&amp;IF(Scan2VKFlags!T27&lt;&gt;""," flags="""&amp;Scan2VKFlags!T27&amp;"""","")&amp;"/&gt;","")</f>
        <v>&lt;vk kbd="34" vk="'P'"/&gt;</v>
      </c>
      <c r="AY27" s="18" t="str">
        <f>IF(AA27&lt;&gt;"","&lt;vk kbd="""&amp;AA$1&amp;""" vk="""&amp;AA27&amp;""""&amp;IF(Scan2VKFlags!U27&lt;&gt;""," flags="""&amp;Scan2VKFlags!U27&amp;"""","")&amp;"/&gt;","")</f>
        <v>&lt;vk kbd="37" vk="'P'"/&gt;</v>
      </c>
      <c r="AZ27" s="3" t="str">
        <f>IF(AC27&lt;&gt;"","&lt;vk kbd="""&amp;AC$1&amp;""" vk="""&amp;AC27&amp;""""&amp;IF(Scan2VKFlags!V27&lt;&gt;""," flags="""&amp;Scan2VKFlags!V27&amp;"""","")&amp;"/&gt;","")</f>
        <v>&lt;vk kbd="40" vk="'P'"/&gt;</v>
      </c>
      <c r="BA27" s="16" t="str">
        <f>IF(AD27&lt;&gt;"","&lt;vk kbd="""&amp;AD$1&amp;""" vk="""&amp;AD27&amp;""""&amp;IF(Scan2VKFlags!W27&lt;&gt;""," flags="""&amp;Scan2VKFlags!W27&amp;"""","")&amp;"/&gt;","")</f>
        <v>&lt;vk kbd="41" vk="'P'"/&gt;</v>
      </c>
      <c r="BB27" t="s">
        <v>854</v>
      </c>
    </row>
    <row r="28" spans="1:54" x14ac:dyDescent="0.25">
      <c r="A28">
        <f t="shared" si="7"/>
        <v>26</v>
      </c>
      <c r="B28" t="str">
        <f t="shared" si="4"/>
        <v>T1A</v>
      </c>
      <c r="C28" s="7" t="s">
        <v>26</v>
      </c>
      <c r="D28" s="12" t="str">
        <f>trimtext(SplitText($C28,",",0))</f>
        <v>OEM_4</v>
      </c>
      <c r="E28" s="12" t="str">
        <f>IF(SplitText($C28,",",COLUMN(E:E)-COLUMN($D:$D))="",$D28,trimtext(SplitText($C28,",",COLUMN(E:E)-COLUMN($D:$D))))</f>
        <v>OEM_6</v>
      </c>
      <c r="F28" s="12" t="str">
        <f>IF(SplitText($C28,",",COLUMN(F:F)-COLUMN($D:$D))="",$D28,trimtext(SplitText($C28,",",COLUMN(F:F)-COLUMN($D:$D))))</f>
        <v>OEM_4</v>
      </c>
      <c r="G28" s="12" t="str">
        <f>IF(SplitText($C28,",",COLUMN(G:G)-COLUMN($D:$D))="",$D28,trimtext(SplitText($C28,",",COLUMN(G:G)-COLUMN($D:$D))))</f>
        <v>OEM_4</v>
      </c>
      <c r="H28" s="12" t="str">
        <f>IF(SplitText($C28,",",COLUMN(H:H)-COLUMN($D:$D))="",$D28,trimtext(SplitText($C28,",",COLUMN(H:H)-COLUMN($D:$D))))</f>
        <v>OEM_4</v>
      </c>
      <c r="I28" s="12" t="str">
        <f>IF(SplitText($C28,",",COLUMN(I:I)-COLUMN($D:$D))="",$D28,trimtext(SplitText($C28,",",COLUMN(I:I)-COLUMN($D:$D))))</f>
        <v>OEM_4</v>
      </c>
      <c r="J28" s="9" t="s">
        <v>211</v>
      </c>
      <c r="K28" s="12" t="str">
        <f>trimtext(SplitText($J28,",",0))</f>
        <v>OEM_4</v>
      </c>
      <c r="L28" s="12" t="str">
        <f>IF(SplitText($J28,",",COLUMN(L:L)-COLUMN($K:$K))="",$K28,trimtext(SplitText($J28,",",COLUMN(L:L)-COLUMN($K:$K))))</f>
        <v>OEM_3</v>
      </c>
      <c r="M28" s="12" t="str">
        <f>IF(SplitText($J28,",",COLUMN(M:M)-COLUMN($K:$K))="",$K28,trimtext(SplitText($J28,",",COLUMN(M:M)-COLUMN($K:$K))))</f>
        <v>OEM_4</v>
      </c>
      <c r="N28" s="12" t="str">
        <f>IF(SplitText($J28,",",COLUMN(N:N)-COLUMN($K:$K))="",$K28,trimtext(SplitText($J28,",",COLUMN(N:N)-COLUMN($K:$K))))</f>
        <v>OEM_4</v>
      </c>
      <c r="O28" s="12" t="str">
        <f>IF(SplitText($J28,",",COLUMN(O:O)-COLUMN($K:$K))="",$K28,trimtext(SplitText($J28,",",COLUMN(O:O)-COLUMN($K:$K))))</f>
        <v>OEM_4</v>
      </c>
      <c r="P28" s="12" t="str">
        <f>IF(SplitText($J28,",",COLUMN(P:P)-COLUMN($K:$K))="",$K28,trimtext(SplitText($J28,",",COLUMN(P:P)-COLUMN($K:$K))))</f>
        <v>OEM_4</v>
      </c>
      <c r="Q28" s="12" t="str">
        <f>IF(SplitText($J28,",",COLUMN(Q:Q)-COLUMN($K:$K))="",$K28,trimtext(SplitText($J28,",",COLUMN(Q:Q)-COLUMN($K:$K))))</f>
        <v>OEM_4</v>
      </c>
      <c r="R28" s="23" t="s">
        <v>368</v>
      </c>
      <c r="S28" s="12" t="str">
        <f>trimtext(SplitText($R28,",",0))</f>
        <v>'P'</v>
      </c>
      <c r="T28" s="12" t="str">
        <f>IF(SplitText($R28,",",COLUMN(T:T)-COLUMN($S:$S))="",$S28,trimtext(SplitText($R28,",",COLUMN(T:T)-COLUMN($S:$S))))</f>
        <v>'P'</v>
      </c>
      <c r="U28" s="12" t="str">
        <f>IF(SplitText($R28,",",COLUMN(U:U)-COLUMN($S:$S))="",$S28,trimtext(SplitText($R28,",",COLUMN(U:U)-COLUMN($S:$S))))</f>
        <v>OEM_3</v>
      </c>
      <c r="V28" s="2" t="s">
        <v>369</v>
      </c>
      <c r="W28" s="12" t="str">
        <f>trimtext(SplitText($V28,",",0))</f>
        <v>OEM_3</v>
      </c>
      <c r="X28" s="12" t="str">
        <f>IF(SplitText($V28,",",COLUMN(X:X)-COLUMN($W:$W))="",$W28,trimtext(SplitText($V28,",",COLUMN(X:X)-COLUMN($W:$W))))</f>
        <v>OEM_3</v>
      </c>
      <c r="Y28" s="12" t="str">
        <f>IF(SplitText($V28,",",COLUMN(Y:Y)-COLUMN($W:$W))="",$W28,trimtext(SplitText($V28,",",COLUMN(Y:Y)-COLUMN($W:$W))))</f>
        <v>OEM_4</v>
      </c>
      <c r="Z28" s="2" t="s">
        <v>658</v>
      </c>
      <c r="AA28" s="12" t="str">
        <f t="shared" si="5"/>
        <v>OEM_3</v>
      </c>
      <c r="AB28" s="2" t="s">
        <v>769</v>
      </c>
      <c r="AC28" s="12" t="str">
        <f>trimtext(SplitText($AB28,",",0))</f>
        <v>OEM_3</v>
      </c>
      <c r="AD28" s="12" t="str">
        <f>IF(SplitText($AB28,",",COLUMN(AD:AD)-COLUMN($AC:$AC))="",$AC28,trimtext(SplitText($AB28,",",COLUMN(AD:AD)-COLUMN($AC:$AC))))</f>
        <v>OEM_4</v>
      </c>
      <c r="AE28" s="18" t="str">
        <f t="shared" si="6"/>
        <v>&lt;xs:enumeration value="T1A"&gt;&lt;xs:annotation&gt;&lt;xs:documentation&gt;Typically OEM_4 for keyboard type 4, different values for different keyboard types&lt;/xs:documentation&gt;&lt;xs:appinfo&gt;&lt;default-vk&gt;</v>
      </c>
      <c r="AF28" s="15" t="str">
        <f>IF(D28&lt;&gt;"","&lt;vk kbd="""&amp;D$1&amp;""" vk="""&amp;D28&amp;""""&amp;IF(Scan2VKFlags!B28&lt;&gt;""," flags="""&amp;Scan2VKFlags!B28&amp;"""","")&amp;"/&gt;","")</f>
        <v>&lt;vk kbd="1" vk="OEM_4"/&gt;</v>
      </c>
      <c r="AG28" s="15" t="str">
        <f>IF(E28&lt;&gt;"","&lt;vk kbd="""&amp;E$1&amp;""" vk="""&amp;E28&amp;""""&amp;IF(Scan2VKFlags!C28&lt;&gt;""," flags="""&amp;Scan2VKFlags!C28&amp;"""","")&amp;"/&gt;","")</f>
        <v>&lt;vk kbd="2" vk="OEM_6"/&gt;</v>
      </c>
      <c r="AH28" s="15" t="str">
        <f>IF(F28&lt;&gt;"","&lt;vk kbd="""&amp;F$1&amp;""" vk="""&amp;F28&amp;""""&amp;IF(Scan2VKFlags!D28&lt;&gt;""," flags="""&amp;Scan2VKFlags!D28&amp;"""","")&amp;"/&gt;","")</f>
        <v>&lt;vk kbd="3" vk="OEM_4"/&gt;</v>
      </c>
      <c r="AI28" s="15" t="str">
        <f>IF(G28&lt;&gt;"","&lt;vk kbd="""&amp;G$1&amp;""" vk="""&amp;G28&amp;""""&amp;IF(Scan2VKFlags!E28&lt;&gt;""," flags="""&amp;Scan2VKFlags!E28&amp;"""","")&amp;"/&gt;","")</f>
        <v>&lt;vk kbd="4" vk="OEM_4"/&gt;</v>
      </c>
      <c r="AJ28" s="15" t="str">
        <f>IF(H28&lt;&gt;"","&lt;vk kbd="""&amp;H$1&amp;""" vk="""&amp;H28&amp;""""&amp;IF(Scan2VKFlags!F28&lt;&gt;""," flags="""&amp;Scan2VKFlags!F28&amp;"""","")&amp;"/&gt;","")</f>
        <v>&lt;vk kbd="5" vk="OEM_4"/&gt;</v>
      </c>
      <c r="AK28" s="16" t="str">
        <f>IF(I28&lt;&gt;"","&lt;vk kbd="""&amp;I$1&amp;""" vk="""&amp;I28&amp;""""&amp;IF(Scan2VKFlags!G28&lt;&gt;""," flags="""&amp;Scan2VKFlags!G28&amp;"""","")&amp;"/&gt;","")</f>
        <v>&lt;vk kbd="6" vk="OEM_4"/&gt;</v>
      </c>
      <c r="AL28" s="3" t="str">
        <f>IF(K28&lt;&gt;"","&lt;vk kbd="""&amp;K$1&amp;""" vk="""&amp;K28&amp;""""&amp;IF(Scan2VKFlags!H28&lt;&gt;""," flags="""&amp;Scan2VKFlags!H28&amp;"""","")&amp;"/&gt;","")</f>
        <v>&lt;vk kbd="7" vk="OEM_4"/&gt;</v>
      </c>
      <c r="AM28" t="str">
        <f>IF(L28&lt;&gt;"","&lt;vk kbd="""&amp;L$1&amp;""" vk="""&amp;L28&amp;""""&amp;IF(Scan2VKFlags!I28&lt;&gt;""," flags="""&amp;Scan2VKFlags!I28&amp;"""","")&amp;"/&gt;","")</f>
        <v>&lt;vk kbd="8" vk="OEM_3"/&gt;</v>
      </c>
      <c r="AN28" t="str">
        <f>IF(M28&lt;&gt;"","&lt;vk kbd="""&amp;M$1&amp;""" vk="""&amp;M28&amp;""""&amp;IF(Scan2VKFlags!J28&lt;&gt;""," flags="""&amp;Scan2VKFlags!J28&amp;"""","")&amp;"/&gt;","")</f>
        <v>&lt;vk kbd="16" vk="OEM_4"/&gt;</v>
      </c>
      <c r="AO28" t="str">
        <f>IF(N28&lt;&gt;"","&lt;vk kbd="""&amp;N$1&amp;""" vk="""&amp;N28&amp;""""&amp;IF(Scan2VKFlags!K28&lt;&gt;""," flags="""&amp;Scan2VKFlags!K28&amp;"""","")&amp;"/&gt;","")</f>
        <v>&lt;vk kbd="10" vk="OEM_4"/&gt;</v>
      </c>
      <c r="AP28" t="str">
        <f>IF(O28&lt;&gt;"","&lt;vk kbd="""&amp;O$1&amp;""" vk="""&amp;O28&amp;""""&amp;IF(Scan2VKFlags!L28&lt;&gt;""," flags="""&amp;Scan2VKFlags!L28&amp;"""","")&amp;"/&gt;","")</f>
        <v>&lt;vk kbd="11" vk="OEM_4"/&gt;</v>
      </c>
      <c r="AQ28" t="str">
        <f>IF(P28&lt;&gt;"","&lt;vk kbd="""&amp;P$1&amp;""" vk="""&amp;P28&amp;""""&amp;IF(Scan2VKFlags!M28&lt;&gt;""," flags="""&amp;Scan2VKFlags!M28&amp;"""","")&amp;"/&gt;","")</f>
        <v>&lt;vk kbd="12" vk="OEM_4"/&gt;</v>
      </c>
      <c r="AR28" s="16" t="str">
        <f>IF(Q28&lt;&gt;"","&lt;vk kbd="""&amp;Q$1&amp;""" vk="""&amp;Q28&amp;""""&amp;IF(Scan2VKFlags!N28&lt;&gt;""," flags="""&amp;Scan2VKFlags!N28&amp;"""","")&amp;"/&gt;","")</f>
        <v>&lt;vk kbd="13" vk="OEM_4"/&gt;</v>
      </c>
      <c r="AS28" s="3" t="str">
        <f>IF(S28&lt;&gt;"","&lt;vk kbd="""&amp;S$1&amp;""" vk="""&amp;S28&amp;""""&amp;IF(Scan2VKFlags!O28&lt;&gt;""," flags="""&amp;Scan2VKFlags!O28&amp;"""","")&amp;"/&gt;","")</f>
        <v>&lt;vk kbd="20" vk="'P'"/&gt;</v>
      </c>
      <c r="AT28" t="str">
        <f>IF(T28&lt;&gt;"","&lt;vk kbd="""&amp;T$1&amp;""" vk="""&amp;T28&amp;""""&amp;IF(Scan2VKFlags!P28&lt;&gt;""," flags="""&amp;Scan2VKFlags!P28&amp;"""","")&amp;"/&gt;","")</f>
        <v>&lt;vk kbd="21" vk="'P'"/&gt;</v>
      </c>
      <c r="AU28" s="16" t="str">
        <f>IF(U28&lt;&gt;"","&lt;vk kbd="""&amp;U$1&amp;""" vk="""&amp;U28&amp;""""&amp;IF(Scan2VKFlags!Q28&lt;&gt;""," flags="""&amp;Scan2VKFlags!Q28&amp;"""","")&amp;"/&gt;","")</f>
        <v>&lt;vk kbd="22" vk="OEM_3"/&gt;</v>
      </c>
      <c r="AV28" s="3" t="str">
        <f>IF(W28&lt;&gt;"","&lt;vk kbd="""&amp;W$1&amp;""" vk="""&amp;W28&amp;""""&amp;IF(Scan2VKFlags!R28&lt;&gt;""," flags="""&amp;Scan2VKFlags!R28&amp;"""","")&amp;"/&gt;","")</f>
        <v>&lt;vk kbd="30" vk="OEM_3"/&gt;</v>
      </c>
      <c r="AW28" s="15" t="str">
        <f>IF(X28&lt;&gt;"","&lt;vk kbd="""&amp;X$1&amp;""" vk="""&amp;X28&amp;""""&amp;IF(Scan2VKFlags!S28&lt;&gt;""," flags="""&amp;Scan2VKFlags!S28&amp;"""","")&amp;"/&gt;","")</f>
        <v>&lt;vk kbd="33" vk="OEM_3"/&gt;</v>
      </c>
      <c r="AX28" s="15" t="str">
        <f>IF(Y28&lt;&gt;"","&lt;vk kbd="""&amp;Y$1&amp;""" vk="""&amp;Y28&amp;""""&amp;IF(Scan2VKFlags!T28&lt;&gt;""," flags="""&amp;Scan2VKFlags!T28&amp;"""","")&amp;"/&gt;","")</f>
        <v>&lt;vk kbd="34" vk="OEM_4"/&gt;</v>
      </c>
      <c r="AY28" s="18" t="str">
        <f>IF(AA28&lt;&gt;"","&lt;vk kbd="""&amp;AA$1&amp;""" vk="""&amp;AA28&amp;""""&amp;IF(Scan2VKFlags!U28&lt;&gt;""," flags="""&amp;Scan2VKFlags!U28&amp;"""","")&amp;"/&gt;","")</f>
        <v>&lt;vk kbd="37" vk="OEM_3"/&gt;</v>
      </c>
      <c r="AZ28" s="3" t="str">
        <f>IF(AC28&lt;&gt;"","&lt;vk kbd="""&amp;AC$1&amp;""" vk="""&amp;AC28&amp;""""&amp;IF(Scan2VKFlags!V28&lt;&gt;""," flags="""&amp;Scan2VKFlags!V28&amp;"""","")&amp;"/&gt;","")</f>
        <v>&lt;vk kbd="40" vk="OEM_3"/&gt;</v>
      </c>
      <c r="BA28" s="16" t="str">
        <f>IF(AD28&lt;&gt;"","&lt;vk kbd="""&amp;AD$1&amp;""" vk="""&amp;AD28&amp;""""&amp;IF(Scan2VKFlags!W28&lt;&gt;""," flags="""&amp;Scan2VKFlags!W28&amp;"""","")&amp;"/&gt;","")</f>
        <v>&lt;vk kbd="41" vk="OEM_4"/&gt;</v>
      </c>
      <c r="BB28" t="s">
        <v>854</v>
      </c>
    </row>
    <row r="29" spans="1:54" x14ac:dyDescent="0.25">
      <c r="A29">
        <f t="shared" si="7"/>
        <v>27</v>
      </c>
      <c r="B29" t="str">
        <f t="shared" si="4"/>
        <v>T1B</v>
      </c>
      <c r="C29" s="7" t="s">
        <v>27</v>
      </c>
      <c r="D29" s="12" t="str">
        <f>trimtext(SplitText($C29,",",0))</f>
        <v>OEM_6</v>
      </c>
      <c r="E29" s="12" t="str">
        <f>IF(SplitText($C29,",",COLUMN(E:E)-COLUMN($D:$D))="",$D29,trimtext(SplitText($C29,",",COLUMN(E:E)-COLUMN($D:$D))))</f>
        <v>OEM_1</v>
      </c>
      <c r="F29" s="12" t="str">
        <f>IF(SplitText($C29,",",COLUMN(F:F)-COLUMN($D:$D))="",$D29,trimtext(SplitText($C29,",",COLUMN(F:F)-COLUMN($D:$D))))</f>
        <v>OEM_6</v>
      </c>
      <c r="G29" s="12" t="str">
        <f>IF(SplitText($C29,",",COLUMN(G:G)-COLUMN($D:$D))="",$D29,trimtext(SplitText($C29,",",COLUMN(G:G)-COLUMN($D:$D))))</f>
        <v>OEM_6</v>
      </c>
      <c r="H29" s="12" t="str">
        <f>IF(SplitText($C29,",",COLUMN(H:H)-COLUMN($D:$D))="",$D29,trimtext(SplitText($C29,",",COLUMN(H:H)-COLUMN($D:$D))))</f>
        <v>OEM_6</v>
      </c>
      <c r="I29" s="12" t="str">
        <f>IF(SplitText($C29,",",COLUMN(I:I)-COLUMN($D:$D))="",$D29,trimtext(SplitText($C29,",",COLUMN(I:I)-COLUMN($D:$D))))</f>
        <v>OEM_6</v>
      </c>
      <c r="J29" s="9" t="s">
        <v>212</v>
      </c>
      <c r="K29" s="12" t="str">
        <f>trimtext(SplitText($J29,",",0))</f>
        <v>OEM_6</v>
      </c>
      <c r="L29" s="12" t="str">
        <f>IF(SplitText($J29,",",COLUMN(L:L)-COLUMN($K:$K))="",$K29,trimtext(SplitText($J29,",",COLUMN(L:L)-COLUMN($K:$K))))</f>
        <v>OEM_4</v>
      </c>
      <c r="M29" s="12" t="str">
        <f>IF(SplitText($J29,",",COLUMN(M:M)-COLUMN($K:$K))="",$K29,trimtext(SplitText($J29,",",COLUMN(M:M)-COLUMN($K:$K))))</f>
        <v>OEM_6</v>
      </c>
      <c r="N29" s="12" t="str">
        <f>IF(SplitText($J29,",",COLUMN(N:N)-COLUMN($K:$K))="",$K29,trimtext(SplitText($J29,",",COLUMN(N:N)-COLUMN($K:$K))))</f>
        <v>OEM_6</v>
      </c>
      <c r="O29" s="12" t="str">
        <f>IF(SplitText($J29,",",COLUMN(O:O)-COLUMN($K:$K))="",$K29,trimtext(SplitText($J29,",",COLUMN(O:O)-COLUMN($K:$K))))</f>
        <v>OEM_6</v>
      </c>
      <c r="P29" s="12" t="str">
        <f>IF(SplitText($J29,",",COLUMN(P:P)-COLUMN($K:$K))="",$K29,trimtext(SplitText($J29,",",COLUMN(P:P)-COLUMN($K:$K))))</f>
        <v>OEM_6</v>
      </c>
      <c r="Q29" s="12" t="str">
        <f>IF(SplitText($J29,",",COLUMN(Q:Q)-COLUMN($K:$K))="",$K29,trimtext(SplitText($J29,",",COLUMN(Q:Q)-COLUMN($K:$K))))</f>
        <v>OEM_6</v>
      </c>
      <c r="R29" s="2" t="s">
        <v>369</v>
      </c>
      <c r="S29" s="12" t="str">
        <f>trimtext(SplitText($R29,",",0))</f>
        <v>OEM_3</v>
      </c>
      <c r="T29" s="12" t="str">
        <f>IF(SplitText($R29,",",COLUMN(T:T)-COLUMN($S:$S))="",$S29,trimtext(SplitText($R29,",",COLUMN(T:T)-COLUMN($S:$S))))</f>
        <v>OEM_3</v>
      </c>
      <c r="U29" s="12" t="str">
        <f>IF(SplitText($R29,",",COLUMN(U:U)-COLUMN($S:$S))="",$S29,trimtext(SplitText($R29,",",COLUMN(U:U)-COLUMN($S:$S))))</f>
        <v>OEM_4</v>
      </c>
      <c r="V29" s="2" t="s">
        <v>533</v>
      </c>
      <c r="W29" s="12" t="str">
        <f>trimtext(SplitText($V29,",",0))</f>
        <v>OEM_4</v>
      </c>
      <c r="X29" s="12" t="str">
        <f>IF(SplitText($V29,",",COLUMN(X:X)-COLUMN($W:$W))="",$W29,trimtext(SplitText($V29,",",COLUMN(X:X)-COLUMN($W:$W))))</f>
        <v>OEM_4</v>
      </c>
      <c r="Y29" s="12" t="str">
        <f>IF(SplitText($V29,",",COLUMN(Y:Y)-COLUMN($W:$W))="",$W29,trimtext(SplitText($V29,",",COLUMN(Y:Y)-COLUMN($W:$W))))</f>
        <v>OEM_6</v>
      </c>
      <c r="Z29" s="2" t="s">
        <v>659</v>
      </c>
      <c r="AA29" s="12" t="str">
        <f t="shared" si="5"/>
        <v>OEM_4</v>
      </c>
      <c r="AB29" s="2" t="s">
        <v>770</v>
      </c>
      <c r="AC29" s="12" t="str">
        <f>trimtext(SplitText($AB29,",",0))</f>
        <v>OEM_4</v>
      </c>
      <c r="AD29" s="12" t="str">
        <f>IF(SplitText($AB29,",",COLUMN(AD:AD)-COLUMN($AC:$AC))="",$AC29,trimtext(SplitText($AB29,",",COLUMN(AD:AD)-COLUMN($AC:$AC))))</f>
        <v>OEM_6</v>
      </c>
      <c r="AE29" s="18" t="str">
        <f t="shared" si="6"/>
        <v>&lt;xs:enumeration value="T1B"&gt;&lt;xs:annotation&gt;&lt;xs:documentation&gt;Typically OEM_6 for keyboard type 4, different values for different keyboard types&lt;/xs:documentation&gt;&lt;xs:appinfo&gt;&lt;default-vk&gt;</v>
      </c>
      <c r="AF29" s="15" t="str">
        <f>IF(D29&lt;&gt;"","&lt;vk kbd="""&amp;D$1&amp;""" vk="""&amp;D29&amp;""""&amp;IF(Scan2VKFlags!B29&lt;&gt;""," flags="""&amp;Scan2VKFlags!B29&amp;"""","")&amp;"/&gt;","")</f>
        <v>&lt;vk kbd="1" vk="OEM_6"/&gt;</v>
      </c>
      <c r="AG29" s="15" t="str">
        <f>IF(E29&lt;&gt;"","&lt;vk kbd="""&amp;E$1&amp;""" vk="""&amp;E29&amp;""""&amp;IF(Scan2VKFlags!C29&lt;&gt;""," flags="""&amp;Scan2VKFlags!C29&amp;"""","")&amp;"/&gt;","")</f>
        <v>&lt;vk kbd="2" vk="OEM_1"/&gt;</v>
      </c>
      <c r="AH29" s="15" t="str">
        <f>IF(F29&lt;&gt;"","&lt;vk kbd="""&amp;F$1&amp;""" vk="""&amp;F29&amp;""""&amp;IF(Scan2VKFlags!D29&lt;&gt;""," flags="""&amp;Scan2VKFlags!D29&amp;"""","")&amp;"/&gt;","")</f>
        <v>&lt;vk kbd="3" vk="OEM_6"/&gt;</v>
      </c>
      <c r="AI29" s="15" t="str">
        <f>IF(G29&lt;&gt;"","&lt;vk kbd="""&amp;G$1&amp;""" vk="""&amp;G29&amp;""""&amp;IF(Scan2VKFlags!E29&lt;&gt;""," flags="""&amp;Scan2VKFlags!E29&amp;"""","")&amp;"/&gt;","")</f>
        <v>&lt;vk kbd="4" vk="OEM_6"/&gt;</v>
      </c>
      <c r="AJ29" s="15" t="str">
        <f>IF(H29&lt;&gt;"","&lt;vk kbd="""&amp;H$1&amp;""" vk="""&amp;H29&amp;""""&amp;IF(Scan2VKFlags!F29&lt;&gt;""," flags="""&amp;Scan2VKFlags!F29&amp;"""","")&amp;"/&gt;","")</f>
        <v>&lt;vk kbd="5" vk="OEM_6"/&gt;</v>
      </c>
      <c r="AK29" s="16" t="str">
        <f>IF(I29&lt;&gt;"","&lt;vk kbd="""&amp;I$1&amp;""" vk="""&amp;I29&amp;""""&amp;IF(Scan2VKFlags!G29&lt;&gt;""," flags="""&amp;Scan2VKFlags!G29&amp;"""","")&amp;"/&gt;","")</f>
        <v>&lt;vk kbd="6" vk="OEM_6"/&gt;</v>
      </c>
      <c r="AL29" s="3" t="str">
        <f>IF(K29&lt;&gt;"","&lt;vk kbd="""&amp;K$1&amp;""" vk="""&amp;K29&amp;""""&amp;IF(Scan2VKFlags!H29&lt;&gt;""," flags="""&amp;Scan2VKFlags!H29&amp;"""","")&amp;"/&gt;","")</f>
        <v>&lt;vk kbd="7" vk="OEM_6"/&gt;</v>
      </c>
      <c r="AM29" t="str">
        <f>IF(L29&lt;&gt;"","&lt;vk kbd="""&amp;L$1&amp;""" vk="""&amp;L29&amp;""""&amp;IF(Scan2VKFlags!I29&lt;&gt;""," flags="""&amp;Scan2VKFlags!I29&amp;"""","")&amp;"/&gt;","")</f>
        <v>&lt;vk kbd="8" vk="OEM_4"/&gt;</v>
      </c>
      <c r="AN29" t="str">
        <f>IF(M29&lt;&gt;"","&lt;vk kbd="""&amp;M$1&amp;""" vk="""&amp;M29&amp;""""&amp;IF(Scan2VKFlags!J29&lt;&gt;""," flags="""&amp;Scan2VKFlags!J29&amp;"""","")&amp;"/&gt;","")</f>
        <v>&lt;vk kbd="16" vk="OEM_6"/&gt;</v>
      </c>
      <c r="AO29" t="str">
        <f>IF(N29&lt;&gt;"","&lt;vk kbd="""&amp;N$1&amp;""" vk="""&amp;N29&amp;""""&amp;IF(Scan2VKFlags!K29&lt;&gt;""," flags="""&amp;Scan2VKFlags!K29&amp;"""","")&amp;"/&gt;","")</f>
        <v>&lt;vk kbd="10" vk="OEM_6"/&gt;</v>
      </c>
      <c r="AP29" t="str">
        <f>IF(O29&lt;&gt;"","&lt;vk kbd="""&amp;O$1&amp;""" vk="""&amp;O29&amp;""""&amp;IF(Scan2VKFlags!L29&lt;&gt;""," flags="""&amp;Scan2VKFlags!L29&amp;"""","")&amp;"/&gt;","")</f>
        <v>&lt;vk kbd="11" vk="OEM_6"/&gt;</v>
      </c>
      <c r="AQ29" t="str">
        <f>IF(P29&lt;&gt;"","&lt;vk kbd="""&amp;P$1&amp;""" vk="""&amp;P29&amp;""""&amp;IF(Scan2VKFlags!M29&lt;&gt;""," flags="""&amp;Scan2VKFlags!M29&amp;"""","")&amp;"/&gt;","")</f>
        <v>&lt;vk kbd="12" vk="OEM_6"/&gt;</v>
      </c>
      <c r="AR29" s="16" t="str">
        <f>IF(Q29&lt;&gt;"","&lt;vk kbd="""&amp;Q$1&amp;""" vk="""&amp;Q29&amp;""""&amp;IF(Scan2VKFlags!N29&lt;&gt;""," flags="""&amp;Scan2VKFlags!N29&amp;"""","")&amp;"/&gt;","")</f>
        <v>&lt;vk kbd="13" vk="OEM_6"/&gt;</v>
      </c>
      <c r="AS29" s="3" t="str">
        <f>IF(S29&lt;&gt;"","&lt;vk kbd="""&amp;S$1&amp;""" vk="""&amp;S29&amp;""""&amp;IF(Scan2VKFlags!O29&lt;&gt;""," flags="""&amp;Scan2VKFlags!O29&amp;"""","")&amp;"/&gt;","")</f>
        <v>&lt;vk kbd="20" vk="OEM_3"/&gt;</v>
      </c>
      <c r="AT29" t="str">
        <f>IF(T29&lt;&gt;"","&lt;vk kbd="""&amp;T$1&amp;""" vk="""&amp;T29&amp;""""&amp;IF(Scan2VKFlags!P29&lt;&gt;""," flags="""&amp;Scan2VKFlags!P29&amp;"""","")&amp;"/&gt;","")</f>
        <v>&lt;vk kbd="21" vk="OEM_3"/&gt;</v>
      </c>
      <c r="AU29" s="16" t="str">
        <f>IF(U29&lt;&gt;"","&lt;vk kbd="""&amp;U$1&amp;""" vk="""&amp;U29&amp;""""&amp;IF(Scan2VKFlags!Q29&lt;&gt;""," flags="""&amp;Scan2VKFlags!Q29&amp;"""","")&amp;"/&gt;","")</f>
        <v>&lt;vk kbd="22" vk="OEM_4"/&gt;</v>
      </c>
      <c r="AV29" s="3" t="str">
        <f>IF(W29&lt;&gt;"","&lt;vk kbd="""&amp;W$1&amp;""" vk="""&amp;W29&amp;""""&amp;IF(Scan2VKFlags!R29&lt;&gt;""," flags="""&amp;Scan2VKFlags!R29&amp;"""","")&amp;"/&gt;","")</f>
        <v>&lt;vk kbd="30" vk="OEM_4"/&gt;</v>
      </c>
      <c r="AW29" s="15" t="str">
        <f>IF(X29&lt;&gt;"","&lt;vk kbd="""&amp;X$1&amp;""" vk="""&amp;X29&amp;""""&amp;IF(Scan2VKFlags!S29&lt;&gt;""," flags="""&amp;Scan2VKFlags!S29&amp;"""","")&amp;"/&gt;","")</f>
        <v>&lt;vk kbd="33" vk="OEM_4"/&gt;</v>
      </c>
      <c r="AX29" s="15" t="str">
        <f>IF(Y29&lt;&gt;"","&lt;vk kbd="""&amp;Y$1&amp;""" vk="""&amp;Y29&amp;""""&amp;IF(Scan2VKFlags!T29&lt;&gt;""," flags="""&amp;Scan2VKFlags!T29&amp;"""","")&amp;"/&gt;","")</f>
        <v>&lt;vk kbd="34" vk="OEM_6"/&gt;</v>
      </c>
      <c r="AY29" s="18" t="str">
        <f>IF(AA29&lt;&gt;"","&lt;vk kbd="""&amp;AA$1&amp;""" vk="""&amp;AA29&amp;""""&amp;IF(Scan2VKFlags!U29&lt;&gt;""," flags="""&amp;Scan2VKFlags!U29&amp;"""","")&amp;"/&gt;","")</f>
        <v>&lt;vk kbd="37" vk="OEM_4"/&gt;</v>
      </c>
      <c r="AZ29" s="3" t="str">
        <f>IF(AC29&lt;&gt;"","&lt;vk kbd="""&amp;AC$1&amp;""" vk="""&amp;AC29&amp;""""&amp;IF(Scan2VKFlags!V29&lt;&gt;""," flags="""&amp;Scan2VKFlags!V29&amp;"""","")&amp;"/&gt;","")</f>
        <v>&lt;vk kbd="40" vk="OEM_4"/&gt;</v>
      </c>
      <c r="BA29" s="16" t="str">
        <f>IF(AD29&lt;&gt;"","&lt;vk kbd="""&amp;AD$1&amp;""" vk="""&amp;AD29&amp;""""&amp;IF(Scan2VKFlags!W29&lt;&gt;""," flags="""&amp;Scan2VKFlags!W29&amp;"""","")&amp;"/&gt;","")</f>
        <v>&lt;vk kbd="41" vk="OEM_6"/&gt;</v>
      </c>
      <c r="BB29" t="s">
        <v>854</v>
      </c>
    </row>
    <row r="30" spans="1:54" x14ac:dyDescent="0.25">
      <c r="A30">
        <f t="shared" si="7"/>
        <v>28</v>
      </c>
      <c r="B30" t="str">
        <f t="shared" si="4"/>
        <v>T1C</v>
      </c>
      <c r="C30" s="7" t="s">
        <v>28</v>
      </c>
      <c r="D30" s="12" t="str">
        <f>trimtext(SplitText($C30,",",0))</f>
        <v>RETURN</v>
      </c>
      <c r="E30" s="12" t="str">
        <f>IF(SplitText($C30,",",COLUMN(E:E)-COLUMN($D:$D))="",$D30,trimtext(SplitText($C30,",",COLUMN(E:E)-COLUMN($D:$D))))</f>
        <v>RETURN</v>
      </c>
      <c r="F30" s="12" t="str">
        <f>IF(SplitText($C30,",",COLUMN(F:F)-COLUMN($D:$D))="",$D30,trimtext(SplitText($C30,",",COLUMN(F:F)-COLUMN($D:$D))))</f>
        <v>RETURN</v>
      </c>
      <c r="G30" s="12" t="str">
        <f>IF(SplitText($C30,",",COLUMN(G:G)-COLUMN($D:$D))="",$D30,trimtext(SplitText($C30,",",COLUMN(G:G)-COLUMN($D:$D))))</f>
        <v>RETURN</v>
      </c>
      <c r="H30" s="12" t="str">
        <f>IF(SplitText($C30,",",COLUMN(H:H)-COLUMN($D:$D))="",$D30,trimtext(SplitText($C30,",",COLUMN(H:H)-COLUMN($D:$D))))</f>
        <v>RETURN</v>
      </c>
      <c r="I30" s="12" t="str">
        <f>IF(SplitText($C30,",",COLUMN(I:I)-COLUMN($D:$D))="",$D30,trimtext(SplitText($C30,",",COLUMN(I:I)-COLUMN($D:$D))))</f>
        <v>RETURN</v>
      </c>
      <c r="J30" s="9" t="s">
        <v>213</v>
      </c>
      <c r="K30" s="12" t="str">
        <f>trimtext(SplitText($J30,",",0))</f>
        <v>RETURN</v>
      </c>
      <c r="L30" s="12" t="str">
        <f>IF(SplitText($J30,",",COLUMN(L:L)-COLUMN($K:$K))="",$K30,trimtext(SplitText($J30,",",COLUMN(L:L)-COLUMN($K:$K))))</f>
        <v>RETURN</v>
      </c>
      <c r="M30" s="12" t="str">
        <f>IF(SplitText($J30,",",COLUMN(M:M)-COLUMN($K:$K))="",$K30,trimtext(SplitText($J30,",",COLUMN(M:M)-COLUMN($K:$K))))</f>
        <v>RETURN</v>
      </c>
      <c r="N30" s="12" t="str">
        <f>IF(SplitText($J30,",",COLUMN(N:N)-COLUMN($K:$K))="",$K30,trimtext(SplitText($J30,",",COLUMN(N:N)-COLUMN($K:$K))))</f>
        <v>RETURN</v>
      </c>
      <c r="O30" s="12" t="str">
        <f>IF(SplitText($J30,",",COLUMN(O:O)-COLUMN($K:$K))="",$K30,trimtext(SplitText($J30,",",COLUMN(O:O)-COLUMN($K:$K))))</f>
        <v>RETURN</v>
      </c>
      <c r="P30" s="12" t="str">
        <f>IF(SplitText($J30,",",COLUMN(P:P)-COLUMN($K:$K))="",$K30,trimtext(SplitText($J30,",",COLUMN(P:P)-COLUMN($K:$K))))</f>
        <v>RETURN</v>
      </c>
      <c r="Q30" s="12" t="str">
        <f>IF(SplitText($J30,",",COLUMN(Q:Q)-COLUMN($K:$K))="",$K30,trimtext(SplitText($J30,",",COLUMN(Q:Q)-COLUMN($K:$K))))</f>
        <v>RETURN</v>
      </c>
      <c r="R30" s="2" t="s">
        <v>370</v>
      </c>
      <c r="S30" s="12" t="str">
        <f>trimtext(SplitText($R30,",",0))</f>
        <v>OEM_4</v>
      </c>
      <c r="T30" s="12" t="str">
        <f>IF(SplitText($R30,",",COLUMN(T:T)-COLUMN($S:$S))="",$S30,trimtext(SplitText($R30,",",COLUMN(T:T)-COLUMN($S:$S))))</f>
        <v>OEM_4</v>
      </c>
      <c r="U30" s="12" t="str">
        <f>IF(SplitText($R30,",",COLUMN(U:U)-COLUMN($S:$S))="",$S30,trimtext(SplitText($R30,",",COLUMN(U:U)-COLUMN($S:$S))))</f>
        <v>RETURN</v>
      </c>
      <c r="V30" s="2" t="s">
        <v>534</v>
      </c>
      <c r="W30" s="12" t="str">
        <f>trimtext(SplitText($V30,",",0))</f>
        <v>RETURN</v>
      </c>
      <c r="X30" s="12" t="str">
        <f>IF(SplitText($V30,",",COLUMN(X:X)-COLUMN($W:$W))="",$W30,trimtext(SplitText($V30,",",COLUMN(X:X)-COLUMN($W:$W))))</f>
        <v>RETURN</v>
      </c>
      <c r="Y30" s="12" t="str">
        <f>IF(SplitText($V30,",",COLUMN(Y:Y)-COLUMN($W:$W))="",$W30,trimtext(SplitText($V30,",",COLUMN(Y:Y)-COLUMN($W:$W))))</f>
        <v>RETURN</v>
      </c>
      <c r="Z30" s="2" t="s">
        <v>660</v>
      </c>
      <c r="AA30" s="12" t="str">
        <f t="shared" si="5"/>
        <v>RETURN</v>
      </c>
      <c r="AB30" s="2" t="s">
        <v>771</v>
      </c>
      <c r="AC30" s="12" t="str">
        <f>trimtext(SplitText($AB30,",",0))</f>
        <v>RETURN</v>
      </c>
      <c r="AD30" s="12" t="str">
        <f>IF(SplitText($AB30,",",COLUMN(AD:AD)-COLUMN($AC:$AC))="",$AC30,trimtext(SplitText($AB30,",",COLUMN(AD:AD)-COLUMN($AC:$AC))))</f>
        <v>RETURN</v>
      </c>
      <c r="AE30" s="18" t="str">
        <f t="shared" si="6"/>
        <v>&lt;xs:enumeration value="T1C"&gt;&lt;xs:annotation&gt;&lt;xs:documentation&gt;Typically RETURN for keyboard type 4, different values for different keyboard types&lt;/xs:documentation&gt;&lt;xs:appinfo&gt;&lt;default-vk&gt;</v>
      </c>
      <c r="AF30" s="15" t="str">
        <f>IF(D30&lt;&gt;"","&lt;vk kbd="""&amp;D$1&amp;""" vk="""&amp;D30&amp;""""&amp;IF(Scan2VKFlags!B30&lt;&gt;""," flags="""&amp;Scan2VKFlags!B30&amp;"""","")&amp;"/&gt;","")</f>
        <v>&lt;vk kbd="1" vk="RETURN"/&gt;</v>
      </c>
      <c r="AG30" s="15" t="str">
        <f>IF(E30&lt;&gt;"","&lt;vk kbd="""&amp;E$1&amp;""" vk="""&amp;E30&amp;""""&amp;IF(Scan2VKFlags!C30&lt;&gt;""," flags="""&amp;Scan2VKFlags!C30&amp;"""","")&amp;"/&gt;","")</f>
        <v>&lt;vk kbd="2" vk="RETURN"/&gt;</v>
      </c>
      <c r="AH30" s="15" t="str">
        <f>IF(F30&lt;&gt;"","&lt;vk kbd="""&amp;F$1&amp;""" vk="""&amp;F30&amp;""""&amp;IF(Scan2VKFlags!D30&lt;&gt;""," flags="""&amp;Scan2VKFlags!D30&amp;"""","")&amp;"/&gt;","")</f>
        <v>&lt;vk kbd="3" vk="RETURN"/&gt;</v>
      </c>
      <c r="AI30" s="15" t="str">
        <f>IF(G30&lt;&gt;"","&lt;vk kbd="""&amp;G$1&amp;""" vk="""&amp;G30&amp;""""&amp;IF(Scan2VKFlags!E30&lt;&gt;""," flags="""&amp;Scan2VKFlags!E30&amp;"""","")&amp;"/&gt;","")</f>
        <v>&lt;vk kbd="4" vk="RETURN"/&gt;</v>
      </c>
      <c r="AJ30" s="15" t="str">
        <f>IF(H30&lt;&gt;"","&lt;vk kbd="""&amp;H$1&amp;""" vk="""&amp;H30&amp;""""&amp;IF(Scan2VKFlags!F30&lt;&gt;""," flags="""&amp;Scan2VKFlags!F30&amp;"""","")&amp;"/&gt;","")</f>
        <v>&lt;vk kbd="5" vk="RETURN"/&gt;</v>
      </c>
      <c r="AK30" s="16" t="str">
        <f>IF(I30&lt;&gt;"","&lt;vk kbd="""&amp;I$1&amp;""" vk="""&amp;I30&amp;""""&amp;IF(Scan2VKFlags!G30&lt;&gt;""," flags="""&amp;Scan2VKFlags!G30&amp;"""","")&amp;"/&gt;","")</f>
        <v>&lt;vk kbd="6" vk="RETURN"/&gt;</v>
      </c>
      <c r="AL30" s="3" t="str">
        <f>IF(K30&lt;&gt;"","&lt;vk kbd="""&amp;K$1&amp;""" vk="""&amp;K30&amp;""""&amp;IF(Scan2VKFlags!H30&lt;&gt;""," flags="""&amp;Scan2VKFlags!H30&amp;"""","")&amp;"/&gt;","")</f>
        <v>&lt;vk kbd="7" vk="RETURN"/&gt;</v>
      </c>
      <c r="AM30" t="str">
        <f>IF(L30&lt;&gt;"","&lt;vk kbd="""&amp;L$1&amp;""" vk="""&amp;L30&amp;""""&amp;IF(Scan2VKFlags!I30&lt;&gt;""," flags="""&amp;Scan2VKFlags!I30&amp;"""","")&amp;"/&gt;","")</f>
        <v>&lt;vk kbd="8" vk="RETURN"/&gt;</v>
      </c>
      <c r="AN30" t="str">
        <f>IF(M30&lt;&gt;"","&lt;vk kbd="""&amp;M$1&amp;""" vk="""&amp;M30&amp;""""&amp;IF(Scan2VKFlags!J30&lt;&gt;""," flags="""&amp;Scan2VKFlags!J30&amp;"""","")&amp;"/&gt;","")</f>
        <v>&lt;vk kbd="16" vk="RETURN"/&gt;</v>
      </c>
      <c r="AO30" t="str">
        <f>IF(N30&lt;&gt;"","&lt;vk kbd="""&amp;N$1&amp;""" vk="""&amp;N30&amp;""""&amp;IF(Scan2VKFlags!K30&lt;&gt;""," flags="""&amp;Scan2VKFlags!K30&amp;"""","")&amp;"/&gt;","")</f>
        <v>&lt;vk kbd="10" vk="RETURN"/&gt;</v>
      </c>
      <c r="AP30" t="str">
        <f>IF(O30&lt;&gt;"","&lt;vk kbd="""&amp;O$1&amp;""" vk="""&amp;O30&amp;""""&amp;IF(Scan2VKFlags!L30&lt;&gt;""," flags="""&amp;Scan2VKFlags!L30&amp;"""","")&amp;"/&gt;","")</f>
        <v>&lt;vk kbd="11" vk="RETURN"/&gt;</v>
      </c>
      <c r="AQ30" t="str">
        <f>IF(P30&lt;&gt;"","&lt;vk kbd="""&amp;P$1&amp;""" vk="""&amp;P30&amp;""""&amp;IF(Scan2VKFlags!M30&lt;&gt;""," flags="""&amp;Scan2VKFlags!M30&amp;"""","")&amp;"/&gt;","")</f>
        <v>&lt;vk kbd="12" vk="RETURN"/&gt;</v>
      </c>
      <c r="AR30" s="16" t="str">
        <f>IF(Q30&lt;&gt;"","&lt;vk kbd="""&amp;Q$1&amp;""" vk="""&amp;Q30&amp;""""&amp;IF(Scan2VKFlags!N30&lt;&gt;""," flags="""&amp;Scan2VKFlags!N30&amp;"""","")&amp;"/&gt;","")</f>
        <v>&lt;vk kbd="13" vk="RETURN"/&gt;</v>
      </c>
      <c r="AS30" s="3" t="str">
        <f>IF(S30&lt;&gt;"","&lt;vk kbd="""&amp;S$1&amp;""" vk="""&amp;S30&amp;""""&amp;IF(Scan2VKFlags!O30&lt;&gt;""," flags="""&amp;Scan2VKFlags!O30&amp;"""","")&amp;"/&gt;","")</f>
        <v>&lt;vk kbd="20" vk="OEM_4"/&gt;</v>
      </c>
      <c r="AT30" t="str">
        <f>IF(T30&lt;&gt;"","&lt;vk kbd="""&amp;T$1&amp;""" vk="""&amp;T30&amp;""""&amp;IF(Scan2VKFlags!P30&lt;&gt;""," flags="""&amp;Scan2VKFlags!P30&amp;"""","")&amp;"/&gt;","")</f>
        <v>&lt;vk kbd="21" vk="OEM_4"/&gt;</v>
      </c>
      <c r="AU30" s="16" t="str">
        <f>IF(U30&lt;&gt;"","&lt;vk kbd="""&amp;U$1&amp;""" vk="""&amp;U30&amp;""""&amp;IF(Scan2VKFlags!Q30&lt;&gt;""," flags="""&amp;Scan2VKFlags!Q30&amp;"""","")&amp;"/&gt;","")</f>
        <v>&lt;vk kbd="22" vk="RETURN"/&gt;</v>
      </c>
      <c r="AV30" s="3" t="str">
        <f>IF(W30&lt;&gt;"","&lt;vk kbd="""&amp;W$1&amp;""" vk="""&amp;W30&amp;""""&amp;IF(Scan2VKFlags!R30&lt;&gt;""," flags="""&amp;Scan2VKFlags!R30&amp;"""","")&amp;"/&gt;","")</f>
        <v>&lt;vk kbd="30" vk="RETURN"/&gt;</v>
      </c>
      <c r="AW30" s="15" t="str">
        <f>IF(X30&lt;&gt;"","&lt;vk kbd="""&amp;X$1&amp;""" vk="""&amp;X30&amp;""""&amp;IF(Scan2VKFlags!S30&lt;&gt;""," flags="""&amp;Scan2VKFlags!S30&amp;"""","")&amp;"/&gt;","")</f>
        <v>&lt;vk kbd="33" vk="RETURN"/&gt;</v>
      </c>
      <c r="AX30" s="15" t="str">
        <f>IF(Y30&lt;&gt;"","&lt;vk kbd="""&amp;Y$1&amp;""" vk="""&amp;Y30&amp;""""&amp;IF(Scan2VKFlags!T30&lt;&gt;""," flags="""&amp;Scan2VKFlags!T30&amp;"""","")&amp;"/&gt;","")</f>
        <v>&lt;vk kbd="34" vk="RETURN"/&gt;</v>
      </c>
      <c r="AY30" s="18" t="str">
        <f>IF(AA30&lt;&gt;"","&lt;vk kbd="""&amp;AA$1&amp;""" vk="""&amp;AA30&amp;""""&amp;IF(Scan2VKFlags!U30&lt;&gt;""," flags="""&amp;Scan2VKFlags!U30&amp;"""","")&amp;"/&gt;","")</f>
        <v>&lt;vk kbd="37" vk="RETURN"/&gt;</v>
      </c>
      <c r="AZ30" s="3" t="str">
        <f>IF(AC30&lt;&gt;"","&lt;vk kbd="""&amp;AC$1&amp;""" vk="""&amp;AC30&amp;""""&amp;IF(Scan2VKFlags!V30&lt;&gt;""," flags="""&amp;Scan2VKFlags!V30&amp;"""","")&amp;"/&gt;","")</f>
        <v>&lt;vk kbd="40" vk="RETURN"/&gt;</v>
      </c>
      <c r="BA30" s="16" t="str">
        <f>IF(AD30&lt;&gt;"","&lt;vk kbd="""&amp;AD$1&amp;""" vk="""&amp;AD30&amp;""""&amp;IF(Scan2VKFlags!W30&lt;&gt;""," flags="""&amp;Scan2VKFlags!W30&amp;"""","")&amp;"/&gt;","")</f>
        <v>&lt;vk kbd="41" vk="RETURN"/&gt;</v>
      </c>
      <c r="BB30" t="s">
        <v>854</v>
      </c>
    </row>
    <row r="31" spans="1:54" x14ac:dyDescent="0.25">
      <c r="A31">
        <f t="shared" si="7"/>
        <v>29</v>
      </c>
      <c r="B31" t="str">
        <f t="shared" si="4"/>
        <v>T1D</v>
      </c>
      <c r="C31" s="7" t="s">
        <v>29</v>
      </c>
      <c r="D31" s="12" t="str">
        <f>trimtext(SplitText($C31,",",0))</f>
        <v>LCONTROL</v>
      </c>
      <c r="E31" s="12" t="str">
        <f>IF(SplitText($C31,",",COLUMN(E:E)-COLUMN($D:$D))="",$D31,trimtext(SplitText($C31,",",COLUMN(E:E)-COLUMN($D:$D))))</f>
        <v>LCONTROL</v>
      </c>
      <c r="F31" s="12" t="str">
        <f>IF(SplitText($C31,",",COLUMN(F:F)-COLUMN($D:$D))="",$D31,trimtext(SplitText($C31,",",COLUMN(F:F)-COLUMN($D:$D))))</f>
        <v>LCONTROL</v>
      </c>
      <c r="G31" s="12" t="str">
        <f>IF(SplitText($C31,",",COLUMN(G:G)-COLUMN($D:$D))="",$D31,trimtext(SplitText($C31,",",COLUMN(G:G)-COLUMN($D:$D))))</f>
        <v>LCONTROL</v>
      </c>
      <c r="H31" s="12" t="str">
        <f>IF(SplitText($C31,",",COLUMN(H:H)-COLUMN($D:$D))="",$D31,trimtext(SplitText($C31,",",COLUMN(H:H)-COLUMN($D:$D))))</f>
        <v>LCONTROL</v>
      </c>
      <c r="I31" s="12" t="str">
        <f>IF(SplitText($C31,",",COLUMN(I:I)-COLUMN($D:$D))="",$D31,trimtext(SplitText($C31,",",COLUMN(I:I)-COLUMN($D:$D))))</f>
        <v>LCONTROL</v>
      </c>
      <c r="J31" s="9" t="s">
        <v>214</v>
      </c>
      <c r="K31" s="12" t="str">
        <f>trimtext(SplitText($J31,",",0))</f>
        <v>LCONTROL</v>
      </c>
      <c r="L31" s="12" t="str">
        <f>IF(SplitText($J31,",",COLUMN(L:L)-COLUMN($K:$K))="",$K31,trimtext(SplitText($J31,",",COLUMN(L:L)-COLUMN($K:$K))))</f>
        <v>LCONTROL</v>
      </c>
      <c r="M31" s="12" t="str">
        <f>IF(SplitText($J31,",",COLUMN(M:M)-COLUMN($K:$K))="",$K31,trimtext(SplitText($J31,",",COLUMN(M:M)-COLUMN($K:$K))))</f>
        <v>LCONTROL</v>
      </c>
      <c r="N31" s="12" t="str">
        <f>IF(SplitText($J31,",",COLUMN(N:N)-COLUMN($K:$K))="",$K31,trimtext(SplitText($J31,",",COLUMN(N:N)-COLUMN($K:$K))))</f>
        <v>LCONTROL</v>
      </c>
      <c r="O31" s="12" t="str">
        <f>IF(SplitText($J31,",",COLUMN(O:O)-COLUMN($K:$K))="",$K31,trimtext(SplitText($J31,",",COLUMN(O:O)-COLUMN($K:$K))))</f>
        <v>LCONTROL</v>
      </c>
      <c r="P31" s="12" t="str">
        <f>IF(SplitText($J31,",",COLUMN(P:P)-COLUMN($K:$K))="",$K31,trimtext(SplitText($J31,",",COLUMN(P:P)-COLUMN($K:$K))))</f>
        <v>LCONTROL</v>
      </c>
      <c r="Q31" s="12" t="str">
        <f>IF(SplitText($J31,",",COLUMN(Q:Q)-COLUMN($K:$K))="",$K31,trimtext(SplitText($J31,",",COLUMN(Q:Q)-COLUMN($K:$K))))</f>
        <v>LCONTROL</v>
      </c>
      <c r="R31" s="2" t="s">
        <v>371</v>
      </c>
      <c r="S31" s="12" t="str">
        <f>trimtext(SplitText($R31,",",0))</f>
        <v>RETURN</v>
      </c>
      <c r="T31" s="12" t="str">
        <f>IF(SplitText($R31,",",COLUMN(T:T)-COLUMN($S:$S))="",$S31,trimtext(SplitText($R31,",",COLUMN(T:T)-COLUMN($S:$S))))</f>
        <v>RETURN</v>
      </c>
      <c r="U31" s="12" t="str">
        <f>IF(SplitText($R31,",",COLUMN(U:U)-COLUMN($S:$S))="",$S31,trimtext(SplitText($R31,",",COLUMN(U:U)-COLUMN($S:$S))))</f>
        <v>LCONTROL</v>
      </c>
      <c r="V31" s="2" t="s">
        <v>535</v>
      </c>
      <c r="W31" s="12" t="str">
        <f>trimtext(SplitText($V31,",",0))</f>
        <v>LCONTROL</v>
      </c>
      <c r="X31" s="12" t="str">
        <f>IF(SplitText($V31,",",COLUMN(X:X)-COLUMN($W:$W))="",$W31,trimtext(SplitText($V31,",",COLUMN(X:X)-COLUMN($W:$W))))</f>
        <v>LCONTROL</v>
      </c>
      <c r="Y31" s="12" t="str">
        <f>IF(SplitText($V31,",",COLUMN(Y:Y)-COLUMN($W:$W))="",$W31,trimtext(SplitText($V31,",",COLUMN(Y:Y)-COLUMN($W:$W))))</f>
        <v>LCONTROL</v>
      </c>
      <c r="Z31" s="23" t="s">
        <v>661</v>
      </c>
      <c r="AA31" s="12" t="str">
        <f t="shared" si="5"/>
        <v>'A'</v>
      </c>
      <c r="AB31" s="2" t="s">
        <v>772</v>
      </c>
      <c r="AC31" s="12" t="str">
        <f>trimtext(SplitText($AB31,",",0))</f>
        <v>LCONTROL</v>
      </c>
      <c r="AD31" s="12" t="str">
        <f>IF(SplitText($AB31,",",COLUMN(AD:AD)-COLUMN($AC:$AC))="",$AC31,trimtext(SplitText($AB31,",",COLUMN(AD:AD)-COLUMN($AC:$AC))))</f>
        <v>LCONTROL</v>
      </c>
      <c r="AE31" s="18" t="str">
        <f t="shared" si="6"/>
        <v>&lt;xs:enumeration value="T1D"&gt;&lt;xs:annotation&gt;&lt;xs:documentation&gt;Typically LCONTROL for keyboard type 4, different values for different keyboard types&lt;/xs:documentation&gt;&lt;xs:appinfo&gt;&lt;default-vk&gt;</v>
      </c>
      <c r="AF31" s="15" t="str">
        <f>IF(D31&lt;&gt;"","&lt;vk kbd="""&amp;D$1&amp;""" vk="""&amp;D31&amp;""""&amp;IF(Scan2VKFlags!B31&lt;&gt;""," flags="""&amp;Scan2VKFlags!B31&amp;"""","")&amp;"/&gt;","")</f>
        <v>&lt;vk kbd="1" vk="LCONTROL"/&gt;</v>
      </c>
      <c r="AG31" s="15" t="str">
        <f>IF(E31&lt;&gt;"","&lt;vk kbd="""&amp;E$1&amp;""" vk="""&amp;E31&amp;""""&amp;IF(Scan2VKFlags!C31&lt;&gt;""," flags="""&amp;Scan2VKFlags!C31&amp;"""","")&amp;"/&gt;","")</f>
        <v>&lt;vk kbd="2" vk="LCONTROL"/&gt;</v>
      </c>
      <c r="AH31" s="15" t="str">
        <f>IF(F31&lt;&gt;"","&lt;vk kbd="""&amp;F$1&amp;""" vk="""&amp;F31&amp;""""&amp;IF(Scan2VKFlags!D31&lt;&gt;""," flags="""&amp;Scan2VKFlags!D31&amp;"""","")&amp;"/&gt;","")</f>
        <v>&lt;vk kbd="3" vk="LCONTROL"/&gt;</v>
      </c>
      <c r="AI31" s="15" t="str">
        <f>IF(G31&lt;&gt;"","&lt;vk kbd="""&amp;G$1&amp;""" vk="""&amp;G31&amp;""""&amp;IF(Scan2VKFlags!E31&lt;&gt;""," flags="""&amp;Scan2VKFlags!E31&amp;"""","")&amp;"/&gt;","")</f>
        <v>&lt;vk kbd="4" vk="LCONTROL"/&gt;</v>
      </c>
      <c r="AJ31" s="15" t="str">
        <f>IF(H31&lt;&gt;"","&lt;vk kbd="""&amp;H$1&amp;""" vk="""&amp;H31&amp;""""&amp;IF(Scan2VKFlags!F31&lt;&gt;""," flags="""&amp;Scan2VKFlags!F31&amp;"""","")&amp;"/&gt;","")</f>
        <v>&lt;vk kbd="5" vk="LCONTROL"/&gt;</v>
      </c>
      <c r="AK31" s="16" t="str">
        <f>IF(I31&lt;&gt;"","&lt;vk kbd="""&amp;I$1&amp;""" vk="""&amp;I31&amp;""""&amp;IF(Scan2VKFlags!G31&lt;&gt;""," flags="""&amp;Scan2VKFlags!G31&amp;"""","")&amp;"/&gt;","")</f>
        <v>&lt;vk kbd="6" vk="LCONTROL"/&gt;</v>
      </c>
      <c r="AL31" s="3" t="str">
        <f>IF(K31&lt;&gt;"","&lt;vk kbd="""&amp;K$1&amp;""" vk="""&amp;K31&amp;""""&amp;IF(Scan2VKFlags!H31&lt;&gt;""," flags="""&amp;Scan2VKFlags!H31&amp;"""","")&amp;"/&gt;","")</f>
        <v>&lt;vk kbd="7" vk="LCONTROL"/&gt;</v>
      </c>
      <c r="AM31" t="str">
        <f>IF(L31&lt;&gt;"","&lt;vk kbd="""&amp;L$1&amp;""" vk="""&amp;L31&amp;""""&amp;IF(Scan2VKFlags!I31&lt;&gt;""," flags="""&amp;Scan2VKFlags!I31&amp;"""","")&amp;"/&gt;","")</f>
        <v>&lt;vk kbd="8" vk="LCONTROL"/&gt;</v>
      </c>
      <c r="AN31" t="str">
        <f>IF(M31&lt;&gt;"","&lt;vk kbd="""&amp;M$1&amp;""" vk="""&amp;M31&amp;""""&amp;IF(Scan2VKFlags!J31&lt;&gt;""," flags="""&amp;Scan2VKFlags!J31&amp;"""","")&amp;"/&gt;","")</f>
        <v>&lt;vk kbd="16" vk="LCONTROL"/&gt;</v>
      </c>
      <c r="AO31" t="str">
        <f>IF(N31&lt;&gt;"","&lt;vk kbd="""&amp;N$1&amp;""" vk="""&amp;N31&amp;""""&amp;IF(Scan2VKFlags!K31&lt;&gt;""," flags="""&amp;Scan2VKFlags!K31&amp;"""","")&amp;"/&gt;","")</f>
        <v>&lt;vk kbd="10" vk="LCONTROL"/&gt;</v>
      </c>
      <c r="AP31" t="str">
        <f>IF(O31&lt;&gt;"","&lt;vk kbd="""&amp;O$1&amp;""" vk="""&amp;O31&amp;""""&amp;IF(Scan2VKFlags!L31&lt;&gt;""," flags="""&amp;Scan2VKFlags!L31&amp;"""","")&amp;"/&gt;","")</f>
        <v>&lt;vk kbd="11" vk="LCONTROL"/&gt;</v>
      </c>
      <c r="AQ31" t="str">
        <f>IF(P31&lt;&gt;"","&lt;vk kbd="""&amp;P$1&amp;""" vk="""&amp;P31&amp;""""&amp;IF(Scan2VKFlags!M31&lt;&gt;""," flags="""&amp;Scan2VKFlags!M31&amp;"""","")&amp;"/&gt;","")</f>
        <v>&lt;vk kbd="12" vk="LCONTROL"/&gt;</v>
      </c>
      <c r="AR31" s="16" t="str">
        <f>IF(Q31&lt;&gt;"","&lt;vk kbd="""&amp;Q$1&amp;""" vk="""&amp;Q31&amp;""""&amp;IF(Scan2VKFlags!N31&lt;&gt;""," flags="""&amp;Scan2VKFlags!N31&amp;"""","")&amp;"/&gt;","")</f>
        <v>&lt;vk kbd="13" vk="LCONTROL"/&gt;</v>
      </c>
      <c r="AS31" s="3" t="str">
        <f>IF(S31&lt;&gt;"","&lt;vk kbd="""&amp;S$1&amp;""" vk="""&amp;S31&amp;""""&amp;IF(Scan2VKFlags!O31&lt;&gt;""," flags="""&amp;Scan2VKFlags!O31&amp;"""","")&amp;"/&gt;","")</f>
        <v>&lt;vk kbd="20" vk="RETURN"/&gt;</v>
      </c>
      <c r="AT31" t="str">
        <f>IF(T31&lt;&gt;"","&lt;vk kbd="""&amp;T$1&amp;""" vk="""&amp;T31&amp;""""&amp;IF(Scan2VKFlags!P31&lt;&gt;""," flags="""&amp;Scan2VKFlags!P31&amp;"""","")&amp;"/&gt;","")</f>
        <v>&lt;vk kbd="21" vk="RETURN"/&gt;</v>
      </c>
      <c r="AU31" s="16" t="str">
        <f>IF(U31&lt;&gt;"","&lt;vk kbd="""&amp;U$1&amp;""" vk="""&amp;U31&amp;""""&amp;IF(Scan2VKFlags!Q31&lt;&gt;""," flags="""&amp;Scan2VKFlags!Q31&amp;"""","")&amp;"/&gt;","")</f>
        <v>&lt;vk kbd="22" vk="LCONTROL"/&gt;</v>
      </c>
      <c r="AV31" s="3" t="str">
        <f>IF(W31&lt;&gt;"","&lt;vk kbd="""&amp;W$1&amp;""" vk="""&amp;W31&amp;""""&amp;IF(Scan2VKFlags!R31&lt;&gt;""," flags="""&amp;Scan2VKFlags!R31&amp;"""","")&amp;"/&gt;","")</f>
        <v>&lt;vk kbd="30" vk="LCONTROL"/&gt;</v>
      </c>
      <c r="AW31" s="15" t="str">
        <f>IF(X31&lt;&gt;"","&lt;vk kbd="""&amp;X$1&amp;""" vk="""&amp;X31&amp;""""&amp;IF(Scan2VKFlags!S31&lt;&gt;""," flags="""&amp;Scan2VKFlags!S31&amp;"""","")&amp;"/&gt;","")</f>
        <v>&lt;vk kbd="33" vk="LCONTROL"/&gt;</v>
      </c>
      <c r="AX31" s="15" t="str">
        <f>IF(Y31&lt;&gt;"","&lt;vk kbd="""&amp;Y$1&amp;""" vk="""&amp;Y31&amp;""""&amp;IF(Scan2VKFlags!T31&lt;&gt;""," flags="""&amp;Scan2VKFlags!T31&amp;"""","")&amp;"/&gt;","")</f>
        <v>&lt;vk kbd="34" vk="LCONTROL"/&gt;</v>
      </c>
      <c r="AY31" s="18" t="str">
        <f>IF(AA31&lt;&gt;"","&lt;vk kbd="""&amp;AA$1&amp;""" vk="""&amp;AA31&amp;""""&amp;IF(Scan2VKFlags!U31&lt;&gt;""," flags="""&amp;Scan2VKFlags!U31&amp;"""","")&amp;"/&gt;","")</f>
        <v>&lt;vk kbd="37" vk="'A'"/&gt;</v>
      </c>
      <c r="AZ31" s="3" t="str">
        <f>IF(AC31&lt;&gt;"","&lt;vk kbd="""&amp;AC$1&amp;""" vk="""&amp;AC31&amp;""""&amp;IF(Scan2VKFlags!V31&lt;&gt;""," flags="""&amp;Scan2VKFlags!V31&amp;"""","")&amp;"/&gt;","")</f>
        <v>&lt;vk kbd="40" vk="LCONTROL"/&gt;</v>
      </c>
      <c r="BA31" s="16" t="str">
        <f>IF(AD31&lt;&gt;"","&lt;vk kbd="""&amp;AD$1&amp;""" vk="""&amp;AD31&amp;""""&amp;IF(Scan2VKFlags!W31&lt;&gt;""," flags="""&amp;Scan2VKFlags!W31&amp;"""","")&amp;"/&gt;","")</f>
        <v>&lt;vk kbd="41" vk="LCONTROL"/&gt;</v>
      </c>
      <c r="BB31" t="s">
        <v>854</v>
      </c>
    </row>
    <row r="32" spans="1:54" x14ac:dyDescent="0.25">
      <c r="A32">
        <f t="shared" si="7"/>
        <v>30</v>
      </c>
      <c r="B32" t="str">
        <f t="shared" si="4"/>
        <v>T1E</v>
      </c>
      <c r="C32" s="7" t="s">
        <v>30</v>
      </c>
      <c r="D32" s="12" t="str">
        <f>trimtext(SplitText($C32,",",0))</f>
        <v>'A'</v>
      </c>
      <c r="E32" s="12" t="str">
        <f>IF(SplitText($C32,",",COLUMN(E:E)-COLUMN($D:$D))="",$D32,trimtext(SplitText($C32,",",COLUMN(E:E)-COLUMN($D:$D))))</f>
        <v>'A'</v>
      </c>
      <c r="F32" s="12" t="str">
        <f>IF(SplitText($C32,",",COLUMN(F:F)-COLUMN($D:$D))="",$D32,trimtext(SplitText($C32,",",COLUMN(F:F)-COLUMN($D:$D))))</f>
        <v>'A'</v>
      </c>
      <c r="G32" s="12" t="str">
        <f>IF(SplitText($C32,",",COLUMN(G:G)-COLUMN($D:$D))="",$D32,trimtext(SplitText($C32,",",COLUMN(G:G)-COLUMN($D:$D))))</f>
        <v>'A'</v>
      </c>
      <c r="H32" s="12" t="str">
        <f>IF(SplitText($C32,",",COLUMN(H:H)-COLUMN($D:$D))="",$D32,trimtext(SplitText($C32,",",COLUMN(H:H)-COLUMN($D:$D))))</f>
        <v>'A'</v>
      </c>
      <c r="I32" s="12" t="str">
        <f>IF(SplitText($C32,",",COLUMN(I:I)-COLUMN($D:$D))="",$D32,trimtext(SplitText($C32,",",COLUMN(I:I)-COLUMN($D:$D))))</f>
        <v>'A'</v>
      </c>
      <c r="J32" s="9" t="s">
        <v>215</v>
      </c>
      <c r="K32" s="12" t="str">
        <f>trimtext(SplitText($J32,",",0))</f>
        <v>'A'</v>
      </c>
      <c r="L32" s="12" t="str">
        <f>IF(SplitText($J32,",",COLUMN(L:L)-COLUMN($K:$K))="",$K32,trimtext(SplitText($J32,",",COLUMN(L:L)-COLUMN($K:$K))))</f>
        <v>'A'</v>
      </c>
      <c r="M32" s="12" t="str">
        <f>IF(SplitText($J32,",",COLUMN(M:M)-COLUMN($K:$K))="",$K32,trimtext(SplitText($J32,",",COLUMN(M:M)-COLUMN($K:$K))))</f>
        <v>'A'</v>
      </c>
      <c r="N32" s="12" t="str">
        <f>IF(SplitText($J32,",",COLUMN(N:N)-COLUMN($K:$K))="",$K32,trimtext(SplitText($J32,",",COLUMN(N:N)-COLUMN($K:$K))))</f>
        <v>'A'</v>
      </c>
      <c r="O32" s="12" t="str">
        <f>IF(SplitText($J32,",",COLUMN(O:O)-COLUMN($K:$K))="",$K32,trimtext(SplitText($J32,",",COLUMN(O:O)-COLUMN($K:$K))))</f>
        <v>'A'</v>
      </c>
      <c r="P32" s="12" t="str">
        <f>IF(SplitText($J32,",",COLUMN(P:P)-COLUMN($K:$K))="",$K32,trimtext(SplitText($J32,",",COLUMN(P:P)-COLUMN($K:$K))))</f>
        <v>'A'</v>
      </c>
      <c r="Q32" s="12" t="str">
        <f>IF(SplitText($J32,",",COLUMN(Q:Q)-COLUMN($K:$K))="",$K32,trimtext(SplitText($J32,",",COLUMN(Q:Q)-COLUMN($K:$K))))</f>
        <v>'A'</v>
      </c>
      <c r="R32" s="2" t="s">
        <v>372</v>
      </c>
      <c r="S32" s="12" t="str">
        <f>trimtext(SplitText($R32,",",0))</f>
        <v>'A'</v>
      </c>
      <c r="T32" s="12" t="str">
        <f>IF(SplitText($R32,",",COLUMN(T:T)-COLUMN($S:$S))="",$S32,trimtext(SplitText($R32,",",COLUMN(T:T)-COLUMN($S:$S))))</f>
        <v>'A'</v>
      </c>
      <c r="U32" s="12" t="str">
        <f>IF(SplitText($R32,",",COLUMN(U:U)-COLUMN($S:$S))="",$S32,trimtext(SplitText($R32,",",COLUMN(U:U)-COLUMN($S:$S))))</f>
        <v>'A'</v>
      </c>
      <c r="V32" s="23" t="s">
        <v>536</v>
      </c>
      <c r="W32" s="12" t="str">
        <f>trimtext(SplitText($V32,",",0))</f>
        <v>'A'</v>
      </c>
      <c r="X32" s="12" t="str">
        <f>IF(SplitText($V32,",",COLUMN(X:X)-COLUMN($W:$W))="",$W32,trimtext(SplitText($V32,",",COLUMN(X:X)-COLUMN($W:$W))))</f>
        <v>'A'</v>
      </c>
      <c r="Y32" s="12" t="str">
        <f>IF(SplitText($V32,",",COLUMN(Y:Y)-COLUMN($W:$W))="",$W32,trimtext(SplitText($V32,",",COLUMN(Y:Y)-COLUMN($W:$W))))</f>
        <v>'A'</v>
      </c>
      <c r="Z32" s="23" t="s">
        <v>662</v>
      </c>
      <c r="AA32" s="12" t="str">
        <f t="shared" si="5"/>
        <v>'S'</v>
      </c>
      <c r="AB32" s="2" t="s">
        <v>773</v>
      </c>
      <c r="AC32" s="12" t="str">
        <f>trimtext(SplitText($AB32,",",0))</f>
        <v>'A'</v>
      </c>
      <c r="AD32" s="12" t="str">
        <f>IF(SplitText($AB32,",",COLUMN(AD:AD)-COLUMN($AC:$AC))="",$AC32,trimtext(SplitText($AB32,",",COLUMN(AD:AD)-COLUMN($AC:$AC))))</f>
        <v>'A'</v>
      </c>
      <c r="AE32" s="18" t="str">
        <f t="shared" si="6"/>
        <v>&lt;xs:enumeration value="T1E"&gt;&lt;xs:annotation&gt;&lt;xs:documentation&gt;Typically 'A' for keyboard type 4, different values for different keyboard types&lt;/xs:documentation&gt;&lt;xs:appinfo&gt;&lt;default-vk&gt;</v>
      </c>
      <c r="AF32" s="15" t="str">
        <f>IF(D32&lt;&gt;"","&lt;vk kbd="""&amp;D$1&amp;""" vk="""&amp;D32&amp;""""&amp;IF(Scan2VKFlags!B32&lt;&gt;""," flags="""&amp;Scan2VKFlags!B32&amp;"""","")&amp;"/&gt;","")</f>
        <v>&lt;vk kbd="1" vk="'A'"/&gt;</v>
      </c>
      <c r="AG32" s="15" t="str">
        <f>IF(E32&lt;&gt;"","&lt;vk kbd="""&amp;E$1&amp;""" vk="""&amp;E32&amp;""""&amp;IF(Scan2VKFlags!C32&lt;&gt;""," flags="""&amp;Scan2VKFlags!C32&amp;"""","")&amp;"/&gt;","")</f>
        <v>&lt;vk kbd="2" vk="'A'"/&gt;</v>
      </c>
      <c r="AH32" s="15" t="str">
        <f>IF(F32&lt;&gt;"","&lt;vk kbd="""&amp;F$1&amp;""" vk="""&amp;F32&amp;""""&amp;IF(Scan2VKFlags!D32&lt;&gt;""," flags="""&amp;Scan2VKFlags!D32&amp;"""","")&amp;"/&gt;","")</f>
        <v>&lt;vk kbd="3" vk="'A'"/&gt;</v>
      </c>
      <c r="AI32" s="15" t="str">
        <f>IF(G32&lt;&gt;"","&lt;vk kbd="""&amp;G$1&amp;""" vk="""&amp;G32&amp;""""&amp;IF(Scan2VKFlags!E32&lt;&gt;""," flags="""&amp;Scan2VKFlags!E32&amp;"""","")&amp;"/&gt;","")</f>
        <v>&lt;vk kbd="4" vk="'A'"/&gt;</v>
      </c>
      <c r="AJ32" s="15" t="str">
        <f>IF(H32&lt;&gt;"","&lt;vk kbd="""&amp;H$1&amp;""" vk="""&amp;H32&amp;""""&amp;IF(Scan2VKFlags!F32&lt;&gt;""," flags="""&amp;Scan2VKFlags!F32&amp;"""","")&amp;"/&gt;","")</f>
        <v>&lt;vk kbd="5" vk="'A'"/&gt;</v>
      </c>
      <c r="AK32" s="16" t="str">
        <f>IF(I32&lt;&gt;"","&lt;vk kbd="""&amp;I$1&amp;""" vk="""&amp;I32&amp;""""&amp;IF(Scan2VKFlags!G32&lt;&gt;""," flags="""&amp;Scan2VKFlags!G32&amp;"""","")&amp;"/&gt;","")</f>
        <v>&lt;vk kbd="6" vk="'A'"/&gt;</v>
      </c>
      <c r="AL32" s="3" t="str">
        <f>IF(K32&lt;&gt;"","&lt;vk kbd="""&amp;K$1&amp;""" vk="""&amp;K32&amp;""""&amp;IF(Scan2VKFlags!H32&lt;&gt;""," flags="""&amp;Scan2VKFlags!H32&amp;"""","")&amp;"/&gt;","")</f>
        <v>&lt;vk kbd="7" vk="'A'"/&gt;</v>
      </c>
      <c r="AM32" t="str">
        <f>IF(L32&lt;&gt;"","&lt;vk kbd="""&amp;L$1&amp;""" vk="""&amp;L32&amp;""""&amp;IF(Scan2VKFlags!I32&lt;&gt;""," flags="""&amp;Scan2VKFlags!I32&amp;"""","")&amp;"/&gt;","")</f>
        <v>&lt;vk kbd="8" vk="'A'"/&gt;</v>
      </c>
      <c r="AN32" t="str">
        <f>IF(M32&lt;&gt;"","&lt;vk kbd="""&amp;M$1&amp;""" vk="""&amp;M32&amp;""""&amp;IF(Scan2VKFlags!J32&lt;&gt;""," flags="""&amp;Scan2VKFlags!J32&amp;"""","")&amp;"/&gt;","")</f>
        <v>&lt;vk kbd="16" vk="'A'"/&gt;</v>
      </c>
      <c r="AO32" t="str">
        <f>IF(N32&lt;&gt;"","&lt;vk kbd="""&amp;N$1&amp;""" vk="""&amp;N32&amp;""""&amp;IF(Scan2VKFlags!K32&lt;&gt;""," flags="""&amp;Scan2VKFlags!K32&amp;"""","")&amp;"/&gt;","")</f>
        <v>&lt;vk kbd="10" vk="'A'"/&gt;</v>
      </c>
      <c r="AP32" t="str">
        <f>IF(O32&lt;&gt;"","&lt;vk kbd="""&amp;O$1&amp;""" vk="""&amp;O32&amp;""""&amp;IF(Scan2VKFlags!L32&lt;&gt;""," flags="""&amp;Scan2VKFlags!L32&amp;"""","")&amp;"/&gt;","")</f>
        <v>&lt;vk kbd="11" vk="'A'"/&gt;</v>
      </c>
      <c r="AQ32" t="str">
        <f>IF(P32&lt;&gt;"","&lt;vk kbd="""&amp;P$1&amp;""" vk="""&amp;P32&amp;""""&amp;IF(Scan2VKFlags!M32&lt;&gt;""," flags="""&amp;Scan2VKFlags!M32&amp;"""","")&amp;"/&gt;","")</f>
        <v>&lt;vk kbd="12" vk="'A'"/&gt;</v>
      </c>
      <c r="AR32" s="16" t="str">
        <f>IF(Q32&lt;&gt;"","&lt;vk kbd="""&amp;Q$1&amp;""" vk="""&amp;Q32&amp;""""&amp;IF(Scan2VKFlags!N32&lt;&gt;""," flags="""&amp;Scan2VKFlags!N32&amp;"""","")&amp;"/&gt;","")</f>
        <v>&lt;vk kbd="13" vk="'A'"/&gt;</v>
      </c>
      <c r="AS32" s="3" t="str">
        <f>IF(S32&lt;&gt;"","&lt;vk kbd="""&amp;S$1&amp;""" vk="""&amp;S32&amp;""""&amp;IF(Scan2VKFlags!O32&lt;&gt;""," flags="""&amp;Scan2VKFlags!O32&amp;"""","")&amp;"/&gt;","")</f>
        <v>&lt;vk kbd="20" vk="'A'"/&gt;</v>
      </c>
      <c r="AT32" t="str">
        <f>IF(T32&lt;&gt;"","&lt;vk kbd="""&amp;T$1&amp;""" vk="""&amp;T32&amp;""""&amp;IF(Scan2VKFlags!P32&lt;&gt;""," flags="""&amp;Scan2VKFlags!P32&amp;"""","")&amp;"/&gt;","")</f>
        <v>&lt;vk kbd="21" vk="'A'"/&gt;</v>
      </c>
      <c r="AU32" s="16" t="str">
        <f>IF(U32&lt;&gt;"","&lt;vk kbd="""&amp;U$1&amp;""" vk="""&amp;U32&amp;""""&amp;IF(Scan2VKFlags!Q32&lt;&gt;""," flags="""&amp;Scan2VKFlags!Q32&amp;"""","")&amp;"/&gt;","")</f>
        <v>&lt;vk kbd="22" vk="'A'"/&gt;</v>
      </c>
      <c r="AV32" s="3" t="str">
        <f>IF(W32&lt;&gt;"","&lt;vk kbd="""&amp;W$1&amp;""" vk="""&amp;W32&amp;""""&amp;IF(Scan2VKFlags!R32&lt;&gt;""," flags="""&amp;Scan2VKFlags!R32&amp;"""","")&amp;"/&gt;","")</f>
        <v>&lt;vk kbd="30" vk="'A'"/&gt;</v>
      </c>
      <c r="AW32" s="15" t="str">
        <f>IF(X32&lt;&gt;"","&lt;vk kbd="""&amp;X$1&amp;""" vk="""&amp;X32&amp;""""&amp;IF(Scan2VKFlags!S32&lt;&gt;""," flags="""&amp;Scan2VKFlags!S32&amp;"""","")&amp;"/&gt;","")</f>
        <v>&lt;vk kbd="33" vk="'A'"/&gt;</v>
      </c>
      <c r="AX32" s="15" t="str">
        <f>IF(Y32&lt;&gt;"","&lt;vk kbd="""&amp;Y$1&amp;""" vk="""&amp;Y32&amp;""""&amp;IF(Scan2VKFlags!T32&lt;&gt;""," flags="""&amp;Scan2VKFlags!T32&amp;"""","")&amp;"/&gt;","")</f>
        <v>&lt;vk kbd="34" vk="'A'"/&gt;</v>
      </c>
      <c r="AY32" s="18" t="str">
        <f>IF(AA32&lt;&gt;"","&lt;vk kbd="""&amp;AA$1&amp;""" vk="""&amp;AA32&amp;""""&amp;IF(Scan2VKFlags!U32&lt;&gt;""," flags="""&amp;Scan2VKFlags!U32&amp;"""","")&amp;"/&gt;","")</f>
        <v>&lt;vk kbd="37" vk="'S'"/&gt;</v>
      </c>
      <c r="AZ32" s="3" t="str">
        <f>IF(AC32&lt;&gt;"","&lt;vk kbd="""&amp;AC$1&amp;""" vk="""&amp;AC32&amp;""""&amp;IF(Scan2VKFlags!V32&lt;&gt;""," flags="""&amp;Scan2VKFlags!V32&amp;"""","")&amp;"/&gt;","")</f>
        <v>&lt;vk kbd="40" vk="'A'"/&gt;</v>
      </c>
      <c r="BA32" s="16" t="str">
        <f>IF(AD32&lt;&gt;"","&lt;vk kbd="""&amp;AD$1&amp;""" vk="""&amp;AD32&amp;""""&amp;IF(Scan2VKFlags!W32&lt;&gt;""," flags="""&amp;Scan2VKFlags!W32&amp;"""","")&amp;"/&gt;","")</f>
        <v>&lt;vk kbd="41" vk="'A'"/&gt;</v>
      </c>
      <c r="BB32" t="s">
        <v>854</v>
      </c>
    </row>
    <row r="33" spans="1:54" x14ac:dyDescent="0.25">
      <c r="A33">
        <f t="shared" si="7"/>
        <v>31</v>
      </c>
      <c r="B33" t="str">
        <f t="shared" si="4"/>
        <v>T1F</v>
      </c>
      <c r="C33" s="7" t="s">
        <v>31</v>
      </c>
      <c r="D33" s="12" t="str">
        <f>trimtext(SplitText($C33,",",0))</f>
        <v>'S'</v>
      </c>
      <c r="E33" s="12" t="str">
        <f>IF(SplitText($C33,",",COLUMN(E:E)-COLUMN($D:$D))="",$D33,trimtext(SplitText($C33,",",COLUMN(E:E)-COLUMN($D:$D))))</f>
        <v>'S'</v>
      </c>
      <c r="F33" s="12" t="str">
        <f>IF(SplitText($C33,",",COLUMN(F:F)-COLUMN($D:$D))="",$D33,trimtext(SplitText($C33,",",COLUMN(F:F)-COLUMN($D:$D))))</f>
        <v>'S'</v>
      </c>
      <c r="G33" s="12" t="str">
        <f>IF(SplitText($C33,",",COLUMN(G:G)-COLUMN($D:$D))="",$D33,trimtext(SplitText($C33,",",COLUMN(G:G)-COLUMN($D:$D))))</f>
        <v>'S'</v>
      </c>
      <c r="H33" s="12" t="str">
        <f>IF(SplitText($C33,",",COLUMN(H:H)-COLUMN($D:$D))="",$D33,trimtext(SplitText($C33,",",COLUMN(H:H)-COLUMN($D:$D))))</f>
        <v>'S'</v>
      </c>
      <c r="I33" s="12" t="str">
        <f>IF(SplitText($C33,",",COLUMN(I:I)-COLUMN($D:$D))="",$D33,trimtext(SplitText($C33,",",COLUMN(I:I)-COLUMN($D:$D))))</f>
        <v>'S'</v>
      </c>
      <c r="J33" s="9" t="s">
        <v>216</v>
      </c>
      <c r="K33" s="12" t="str">
        <f>trimtext(SplitText($J33,",",0))</f>
        <v>'S'</v>
      </c>
      <c r="L33" s="12" t="str">
        <f>IF(SplitText($J33,",",COLUMN(L:L)-COLUMN($K:$K))="",$K33,trimtext(SplitText($J33,",",COLUMN(L:L)-COLUMN($K:$K))))</f>
        <v>'S'</v>
      </c>
      <c r="M33" s="12" t="str">
        <f>IF(SplitText($J33,",",COLUMN(M:M)-COLUMN($K:$K))="",$K33,trimtext(SplitText($J33,",",COLUMN(M:M)-COLUMN($K:$K))))</f>
        <v>'S'</v>
      </c>
      <c r="N33" s="12" t="str">
        <f>IF(SplitText($J33,",",COLUMN(N:N)-COLUMN($K:$K))="",$K33,trimtext(SplitText($J33,",",COLUMN(N:N)-COLUMN($K:$K))))</f>
        <v>'S'</v>
      </c>
      <c r="O33" s="12" t="str">
        <f>IF(SplitText($J33,",",COLUMN(O:O)-COLUMN($K:$K))="",$K33,trimtext(SplitText($J33,",",COLUMN(O:O)-COLUMN($K:$K))))</f>
        <v>'S'</v>
      </c>
      <c r="P33" s="12" t="str">
        <f>IF(SplitText($J33,",",COLUMN(P:P)-COLUMN($K:$K))="",$K33,trimtext(SplitText($J33,",",COLUMN(P:P)-COLUMN($K:$K))))</f>
        <v>'S'</v>
      </c>
      <c r="Q33" s="12" t="str">
        <f>IF(SplitText($J33,",",COLUMN(Q:Q)-COLUMN($K:$K))="",$K33,trimtext(SplitText($J33,",",COLUMN(Q:Q)-COLUMN($K:$K))))</f>
        <v>'S'</v>
      </c>
      <c r="R33" s="2" t="s">
        <v>373</v>
      </c>
      <c r="S33" s="12" t="str">
        <f>trimtext(SplitText($R33,",",0))</f>
        <v>'S'</v>
      </c>
      <c r="T33" s="12" t="str">
        <f>IF(SplitText($R33,",",COLUMN(T:T)-COLUMN($S:$S))="",$S33,trimtext(SplitText($R33,",",COLUMN(T:T)-COLUMN($S:$S))))</f>
        <v>'S'</v>
      </c>
      <c r="U33" s="12" t="str">
        <f>IF(SplitText($R33,",",COLUMN(U:U)-COLUMN($S:$S))="",$S33,trimtext(SplitText($R33,",",COLUMN(U:U)-COLUMN($S:$S))))</f>
        <v>'S'</v>
      </c>
      <c r="V33" s="23" t="s">
        <v>537</v>
      </c>
      <c r="W33" s="12" t="str">
        <f>trimtext(SplitText($V33,",",0))</f>
        <v>'S'</v>
      </c>
      <c r="X33" s="12" t="str">
        <f>IF(SplitText($V33,",",COLUMN(X:X)-COLUMN($W:$W))="",$W33,trimtext(SplitText($V33,",",COLUMN(X:X)-COLUMN($W:$W))))</f>
        <v>'S'</v>
      </c>
      <c r="Y33" s="12" t="str">
        <f>IF(SplitText($V33,",",COLUMN(Y:Y)-COLUMN($W:$W))="",$W33,trimtext(SplitText($V33,",",COLUMN(Y:Y)-COLUMN($W:$W))))</f>
        <v>'S'</v>
      </c>
      <c r="Z33" s="23" t="s">
        <v>663</v>
      </c>
      <c r="AA33" s="12" t="str">
        <f t="shared" si="5"/>
        <v>'D'</v>
      </c>
      <c r="AB33" s="2" t="s">
        <v>774</v>
      </c>
      <c r="AC33" s="12" t="str">
        <f>trimtext(SplitText($AB33,",",0))</f>
        <v>'S'</v>
      </c>
      <c r="AD33" s="12" t="str">
        <f>IF(SplitText($AB33,",",COLUMN(AD:AD)-COLUMN($AC:$AC))="",$AC33,trimtext(SplitText($AB33,",",COLUMN(AD:AD)-COLUMN($AC:$AC))))</f>
        <v>'S'</v>
      </c>
      <c r="AE33" s="18" t="str">
        <f t="shared" si="6"/>
        <v>&lt;xs:enumeration value="T1F"&gt;&lt;xs:annotation&gt;&lt;xs:documentation&gt;Typically 'S' for keyboard type 4, different values for different keyboard types&lt;/xs:documentation&gt;&lt;xs:appinfo&gt;&lt;default-vk&gt;</v>
      </c>
      <c r="AF33" s="15" t="str">
        <f>IF(D33&lt;&gt;"","&lt;vk kbd="""&amp;D$1&amp;""" vk="""&amp;D33&amp;""""&amp;IF(Scan2VKFlags!B33&lt;&gt;""," flags="""&amp;Scan2VKFlags!B33&amp;"""","")&amp;"/&gt;","")</f>
        <v>&lt;vk kbd="1" vk="'S'"/&gt;</v>
      </c>
      <c r="AG33" s="15" t="str">
        <f>IF(E33&lt;&gt;"","&lt;vk kbd="""&amp;E$1&amp;""" vk="""&amp;E33&amp;""""&amp;IF(Scan2VKFlags!C33&lt;&gt;""," flags="""&amp;Scan2VKFlags!C33&amp;"""","")&amp;"/&gt;","")</f>
        <v>&lt;vk kbd="2" vk="'S'"/&gt;</v>
      </c>
      <c r="AH33" s="15" t="str">
        <f>IF(F33&lt;&gt;"","&lt;vk kbd="""&amp;F$1&amp;""" vk="""&amp;F33&amp;""""&amp;IF(Scan2VKFlags!D33&lt;&gt;""," flags="""&amp;Scan2VKFlags!D33&amp;"""","")&amp;"/&gt;","")</f>
        <v>&lt;vk kbd="3" vk="'S'"/&gt;</v>
      </c>
      <c r="AI33" s="15" t="str">
        <f>IF(G33&lt;&gt;"","&lt;vk kbd="""&amp;G$1&amp;""" vk="""&amp;G33&amp;""""&amp;IF(Scan2VKFlags!E33&lt;&gt;""," flags="""&amp;Scan2VKFlags!E33&amp;"""","")&amp;"/&gt;","")</f>
        <v>&lt;vk kbd="4" vk="'S'"/&gt;</v>
      </c>
      <c r="AJ33" s="15" t="str">
        <f>IF(H33&lt;&gt;"","&lt;vk kbd="""&amp;H$1&amp;""" vk="""&amp;H33&amp;""""&amp;IF(Scan2VKFlags!F33&lt;&gt;""," flags="""&amp;Scan2VKFlags!F33&amp;"""","")&amp;"/&gt;","")</f>
        <v>&lt;vk kbd="5" vk="'S'"/&gt;</v>
      </c>
      <c r="AK33" s="16" t="str">
        <f>IF(I33&lt;&gt;"","&lt;vk kbd="""&amp;I$1&amp;""" vk="""&amp;I33&amp;""""&amp;IF(Scan2VKFlags!G33&lt;&gt;""," flags="""&amp;Scan2VKFlags!G33&amp;"""","")&amp;"/&gt;","")</f>
        <v>&lt;vk kbd="6" vk="'S'"/&gt;</v>
      </c>
      <c r="AL33" s="3" t="str">
        <f>IF(K33&lt;&gt;"","&lt;vk kbd="""&amp;K$1&amp;""" vk="""&amp;K33&amp;""""&amp;IF(Scan2VKFlags!H33&lt;&gt;""," flags="""&amp;Scan2VKFlags!H33&amp;"""","")&amp;"/&gt;","")</f>
        <v>&lt;vk kbd="7" vk="'S'"/&gt;</v>
      </c>
      <c r="AM33" t="str">
        <f>IF(L33&lt;&gt;"","&lt;vk kbd="""&amp;L$1&amp;""" vk="""&amp;L33&amp;""""&amp;IF(Scan2VKFlags!I33&lt;&gt;""," flags="""&amp;Scan2VKFlags!I33&amp;"""","")&amp;"/&gt;","")</f>
        <v>&lt;vk kbd="8" vk="'S'"/&gt;</v>
      </c>
      <c r="AN33" t="str">
        <f>IF(M33&lt;&gt;"","&lt;vk kbd="""&amp;M$1&amp;""" vk="""&amp;M33&amp;""""&amp;IF(Scan2VKFlags!J33&lt;&gt;""," flags="""&amp;Scan2VKFlags!J33&amp;"""","")&amp;"/&gt;","")</f>
        <v>&lt;vk kbd="16" vk="'S'"/&gt;</v>
      </c>
      <c r="AO33" t="str">
        <f>IF(N33&lt;&gt;"","&lt;vk kbd="""&amp;N$1&amp;""" vk="""&amp;N33&amp;""""&amp;IF(Scan2VKFlags!K33&lt;&gt;""," flags="""&amp;Scan2VKFlags!K33&amp;"""","")&amp;"/&gt;","")</f>
        <v>&lt;vk kbd="10" vk="'S'"/&gt;</v>
      </c>
      <c r="AP33" t="str">
        <f>IF(O33&lt;&gt;"","&lt;vk kbd="""&amp;O$1&amp;""" vk="""&amp;O33&amp;""""&amp;IF(Scan2VKFlags!L33&lt;&gt;""," flags="""&amp;Scan2VKFlags!L33&amp;"""","")&amp;"/&gt;","")</f>
        <v>&lt;vk kbd="11" vk="'S'"/&gt;</v>
      </c>
      <c r="AQ33" t="str">
        <f>IF(P33&lt;&gt;"","&lt;vk kbd="""&amp;P$1&amp;""" vk="""&amp;P33&amp;""""&amp;IF(Scan2VKFlags!M33&lt;&gt;""," flags="""&amp;Scan2VKFlags!M33&amp;"""","")&amp;"/&gt;","")</f>
        <v>&lt;vk kbd="12" vk="'S'"/&gt;</v>
      </c>
      <c r="AR33" s="16" t="str">
        <f>IF(Q33&lt;&gt;"","&lt;vk kbd="""&amp;Q$1&amp;""" vk="""&amp;Q33&amp;""""&amp;IF(Scan2VKFlags!N33&lt;&gt;""," flags="""&amp;Scan2VKFlags!N33&amp;"""","")&amp;"/&gt;","")</f>
        <v>&lt;vk kbd="13" vk="'S'"/&gt;</v>
      </c>
      <c r="AS33" s="3" t="str">
        <f>IF(S33&lt;&gt;"","&lt;vk kbd="""&amp;S$1&amp;""" vk="""&amp;S33&amp;""""&amp;IF(Scan2VKFlags!O33&lt;&gt;""," flags="""&amp;Scan2VKFlags!O33&amp;"""","")&amp;"/&gt;","")</f>
        <v>&lt;vk kbd="20" vk="'S'"/&gt;</v>
      </c>
      <c r="AT33" t="str">
        <f>IF(T33&lt;&gt;"","&lt;vk kbd="""&amp;T$1&amp;""" vk="""&amp;T33&amp;""""&amp;IF(Scan2VKFlags!P33&lt;&gt;""," flags="""&amp;Scan2VKFlags!P33&amp;"""","")&amp;"/&gt;","")</f>
        <v>&lt;vk kbd="21" vk="'S'"/&gt;</v>
      </c>
      <c r="AU33" s="16" t="str">
        <f>IF(U33&lt;&gt;"","&lt;vk kbd="""&amp;U$1&amp;""" vk="""&amp;U33&amp;""""&amp;IF(Scan2VKFlags!Q33&lt;&gt;""," flags="""&amp;Scan2VKFlags!Q33&amp;"""","")&amp;"/&gt;","")</f>
        <v>&lt;vk kbd="22" vk="'S'"/&gt;</v>
      </c>
      <c r="AV33" s="3" t="str">
        <f>IF(W33&lt;&gt;"","&lt;vk kbd="""&amp;W$1&amp;""" vk="""&amp;W33&amp;""""&amp;IF(Scan2VKFlags!R33&lt;&gt;""," flags="""&amp;Scan2VKFlags!R33&amp;"""","")&amp;"/&gt;","")</f>
        <v>&lt;vk kbd="30" vk="'S'"/&gt;</v>
      </c>
      <c r="AW33" s="15" t="str">
        <f>IF(X33&lt;&gt;"","&lt;vk kbd="""&amp;X$1&amp;""" vk="""&amp;X33&amp;""""&amp;IF(Scan2VKFlags!S33&lt;&gt;""," flags="""&amp;Scan2VKFlags!S33&amp;"""","")&amp;"/&gt;","")</f>
        <v>&lt;vk kbd="33" vk="'S'"/&gt;</v>
      </c>
      <c r="AX33" s="15" t="str">
        <f>IF(Y33&lt;&gt;"","&lt;vk kbd="""&amp;Y$1&amp;""" vk="""&amp;Y33&amp;""""&amp;IF(Scan2VKFlags!T33&lt;&gt;""," flags="""&amp;Scan2VKFlags!T33&amp;"""","")&amp;"/&gt;","")</f>
        <v>&lt;vk kbd="34" vk="'S'"/&gt;</v>
      </c>
      <c r="AY33" s="18" t="str">
        <f>IF(AA33&lt;&gt;"","&lt;vk kbd="""&amp;AA$1&amp;""" vk="""&amp;AA33&amp;""""&amp;IF(Scan2VKFlags!U33&lt;&gt;""," flags="""&amp;Scan2VKFlags!U33&amp;"""","")&amp;"/&gt;","")</f>
        <v>&lt;vk kbd="37" vk="'D'"/&gt;</v>
      </c>
      <c r="AZ33" s="3" t="str">
        <f>IF(AC33&lt;&gt;"","&lt;vk kbd="""&amp;AC$1&amp;""" vk="""&amp;AC33&amp;""""&amp;IF(Scan2VKFlags!V33&lt;&gt;""," flags="""&amp;Scan2VKFlags!V33&amp;"""","")&amp;"/&gt;","")</f>
        <v>&lt;vk kbd="40" vk="'S'"/&gt;</v>
      </c>
      <c r="BA33" s="16" t="str">
        <f>IF(AD33&lt;&gt;"","&lt;vk kbd="""&amp;AD$1&amp;""" vk="""&amp;AD33&amp;""""&amp;IF(Scan2VKFlags!W33&lt;&gt;""," flags="""&amp;Scan2VKFlags!W33&amp;"""","")&amp;"/&gt;","")</f>
        <v>&lt;vk kbd="41" vk="'S'"/&gt;</v>
      </c>
      <c r="BB33" t="s">
        <v>854</v>
      </c>
    </row>
    <row r="34" spans="1:54" x14ac:dyDescent="0.25">
      <c r="A34">
        <f t="shared" si="7"/>
        <v>32</v>
      </c>
      <c r="B34" t="str">
        <f t="shared" si="4"/>
        <v>T20</v>
      </c>
      <c r="C34" s="7" t="s">
        <v>32</v>
      </c>
      <c r="D34" s="12" t="str">
        <f>trimtext(SplitText($C34,",",0))</f>
        <v>'D'</v>
      </c>
      <c r="E34" s="12" t="str">
        <f>IF(SplitText($C34,",",COLUMN(E:E)-COLUMN($D:$D))="",$D34,trimtext(SplitText($C34,",",COLUMN(E:E)-COLUMN($D:$D))))</f>
        <v>'D'</v>
      </c>
      <c r="F34" s="12" t="str">
        <f>IF(SplitText($C34,",",COLUMN(F:F)-COLUMN($D:$D))="",$D34,trimtext(SplitText($C34,",",COLUMN(F:F)-COLUMN($D:$D))))</f>
        <v>'D'</v>
      </c>
      <c r="G34" s="12" t="str">
        <f>IF(SplitText($C34,",",COLUMN(G:G)-COLUMN($D:$D))="",$D34,trimtext(SplitText($C34,",",COLUMN(G:G)-COLUMN($D:$D))))</f>
        <v>'D'</v>
      </c>
      <c r="H34" s="12" t="str">
        <f>IF(SplitText($C34,",",COLUMN(H:H)-COLUMN($D:$D))="",$D34,trimtext(SplitText($C34,",",COLUMN(H:H)-COLUMN($D:$D))))</f>
        <v>'D'</v>
      </c>
      <c r="I34" s="12" t="str">
        <f>IF(SplitText($C34,",",COLUMN(I:I)-COLUMN($D:$D))="",$D34,trimtext(SplitText($C34,",",COLUMN(I:I)-COLUMN($D:$D))))</f>
        <v>'D'</v>
      </c>
      <c r="J34" s="9" t="s">
        <v>217</v>
      </c>
      <c r="K34" s="12" t="str">
        <f>trimtext(SplitText($J34,",",0))</f>
        <v>'D'</v>
      </c>
      <c r="L34" s="12" t="str">
        <f>IF(SplitText($J34,",",COLUMN(L:L)-COLUMN($K:$K))="",$K34,trimtext(SplitText($J34,",",COLUMN(L:L)-COLUMN($K:$K))))</f>
        <v>'D'</v>
      </c>
      <c r="M34" s="12" t="str">
        <f>IF(SplitText($J34,",",COLUMN(M:M)-COLUMN($K:$K))="",$K34,trimtext(SplitText($J34,",",COLUMN(M:M)-COLUMN($K:$K))))</f>
        <v>'D'</v>
      </c>
      <c r="N34" s="12" t="str">
        <f>IF(SplitText($J34,",",COLUMN(N:N)-COLUMN($K:$K))="",$K34,trimtext(SplitText($J34,",",COLUMN(N:N)-COLUMN($K:$K))))</f>
        <v>'D'</v>
      </c>
      <c r="O34" s="12" t="str">
        <f>IF(SplitText($J34,",",COLUMN(O:O)-COLUMN($K:$K))="",$K34,trimtext(SplitText($J34,",",COLUMN(O:O)-COLUMN($K:$K))))</f>
        <v>'D'</v>
      </c>
      <c r="P34" s="12" t="str">
        <f>IF(SplitText($J34,",",COLUMN(P:P)-COLUMN($K:$K))="",$K34,trimtext(SplitText($J34,",",COLUMN(P:P)-COLUMN($K:$K))))</f>
        <v>'D'</v>
      </c>
      <c r="Q34" s="12" t="str">
        <f>IF(SplitText($J34,",",COLUMN(Q:Q)-COLUMN($K:$K))="",$K34,trimtext(SplitText($J34,",",COLUMN(Q:Q)-COLUMN($K:$K))))</f>
        <v>'D'</v>
      </c>
      <c r="R34" s="2" t="s">
        <v>374</v>
      </c>
      <c r="S34" s="12" t="str">
        <f>trimtext(SplitText($R34,",",0))</f>
        <v>'D'</v>
      </c>
      <c r="T34" s="12" t="str">
        <f>IF(SplitText($R34,",",COLUMN(T:T)-COLUMN($S:$S))="",$S34,trimtext(SplitText($R34,",",COLUMN(T:T)-COLUMN($S:$S))))</f>
        <v>'D'</v>
      </c>
      <c r="U34" s="12" t="str">
        <f>IF(SplitText($R34,",",COLUMN(U:U)-COLUMN($S:$S))="",$S34,trimtext(SplitText($R34,",",COLUMN(U:U)-COLUMN($S:$S))))</f>
        <v>'D'</v>
      </c>
      <c r="V34" s="23" t="s">
        <v>538</v>
      </c>
      <c r="W34" s="12" t="str">
        <f>trimtext(SplitText($V34,",",0))</f>
        <v>'D'</v>
      </c>
      <c r="X34" s="12" t="str">
        <f>IF(SplitText($V34,",",COLUMN(X:X)-COLUMN($W:$W))="",$W34,trimtext(SplitText($V34,",",COLUMN(X:X)-COLUMN($W:$W))))</f>
        <v>'D'</v>
      </c>
      <c r="Y34" s="12" t="str">
        <f>IF(SplitText($V34,",",COLUMN(Y:Y)-COLUMN($W:$W))="",$W34,trimtext(SplitText($V34,",",COLUMN(Y:Y)-COLUMN($W:$W))))</f>
        <v>'D'</v>
      </c>
      <c r="Z34" s="23" t="s">
        <v>664</v>
      </c>
      <c r="AA34" s="12" t="str">
        <f t="shared" si="5"/>
        <v>'F'</v>
      </c>
      <c r="AB34" s="2" t="s">
        <v>775</v>
      </c>
      <c r="AC34" s="12" t="str">
        <f>trimtext(SplitText($AB34,",",0))</f>
        <v>'D'</v>
      </c>
      <c r="AD34" s="12" t="str">
        <f>IF(SplitText($AB34,",",COLUMN(AD:AD)-COLUMN($AC:$AC))="",$AC34,trimtext(SplitText($AB34,",",COLUMN(AD:AD)-COLUMN($AC:$AC))))</f>
        <v>'D'</v>
      </c>
      <c r="AE34" s="18" t="str">
        <f t="shared" si="6"/>
        <v>&lt;xs:enumeration value="T20"&gt;&lt;xs:annotation&gt;&lt;xs:documentation&gt;Typically 'D' for keyboard type 4, different values for different keyboard types&lt;/xs:documentation&gt;&lt;xs:appinfo&gt;&lt;default-vk&gt;</v>
      </c>
      <c r="AF34" s="15" t="str">
        <f>IF(D34&lt;&gt;"","&lt;vk kbd="""&amp;D$1&amp;""" vk="""&amp;D34&amp;""""&amp;IF(Scan2VKFlags!B34&lt;&gt;""," flags="""&amp;Scan2VKFlags!B34&amp;"""","")&amp;"/&gt;","")</f>
        <v>&lt;vk kbd="1" vk="'D'"/&gt;</v>
      </c>
      <c r="AG34" s="15" t="str">
        <f>IF(E34&lt;&gt;"","&lt;vk kbd="""&amp;E$1&amp;""" vk="""&amp;E34&amp;""""&amp;IF(Scan2VKFlags!C34&lt;&gt;""," flags="""&amp;Scan2VKFlags!C34&amp;"""","")&amp;"/&gt;","")</f>
        <v>&lt;vk kbd="2" vk="'D'"/&gt;</v>
      </c>
      <c r="AH34" s="15" t="str">
        <f>IF(F34&lt;&gt;"","&lt;vk kbd="""&amp;F$1&amp;""" vk="""&amp;F34&amp;""""&amp;IF(Scan2VKFlags!D34&lt;&gt;""," flags="""&amp;Scan2VKFlags!D34&amp;"""","")&amp;"/&gt;","")</f>
        <v>&lt;vk kbd="3" vk="'D'"/&gt;</v>
      </c>
      <c r="AI34" s="15" t="str">
        <f>IF(G34&lt;&gt;"","&lt;vk kbd="""&amp;G$1&amp;""" vk="""&amp;G34&amp;""""&amp;IF(Scan2VKFlags!E34&lt;&gt;""," flags="""&amp;Scan2VKFlags!E34&amp;"""","")&amp;"/&gt;","")</f>
        <v>&lt;vk kbd="4" vk="'D'"/&gt;</v>
      </c>
      <c r="AJ34" s="15" t="str">
        <f>IF(H34&lt;&gt;"","&lt;vk kbd="""&amp;H$1&amp;""" vk="""&amp;H34&amp;""""&amp;IF(Scan2VKFlags!F34&lt;&gt;""," flags="""&amp;Scan2VKFlags!F34&amp;"""","")&amp;"/&gt;","")</f>
        <v>&lt;vk kbd="5" vk="'D'"/&gt;</v>
      </c>
      <c r="AK34" s="16" t="str">
        <f>IF(I34&lt;&gt;"","&lt;vk kbd="""&amp;I$1&amp;""" vk="""&amp;I34&amp;""""&amp;IF(Scan2VKFlags!G34&lt;&gt;""," flags="""&amp;Scan2VKFlags!G34&amp;"""","")&amp;"/&gt;","")</f>
        <v>&lt;vk kbd="6" vk="'D'"/&gt;</v>
      </c>
      <c r="AL34" s="3" t="str">
        <f>IF(K34&lt;&gt;"","&lt;vk kbd="""&amp;K$1&amp;""" vk="""&amp;K34&amp;""""&amp;IF(Scan2VKFlags!H34&lt;&gt;""," flags="""&amp;Scan2VKFlags!H34&amp;"""","")&amp;"/&gt;","")</f>
        <v>&lt;vk kbd="7" vk="'D'"/&gt;</v>
      </c>
      <c r="AM34" t="str">
        <f>IF(L34&lt;&gt;"","&lt;vk kbd="""&amp;L$1&amp;""" vk="""&amp;L34&amp;""""&amp;IF(Scan2VKFlags!I34&lt;&gt;""," flags="""&amp;Scan2VKFlags!I34&amp;"""","")&amp;"/&gt;","")</f>
        <v>&lt;vk kbd="8" vk="'D'"/&gt;</v>
      </c>
      <c r="AN34" t="str">
        <f>IF(M34&lt;&gt;"","&lt;vk kbd="""&amp;M$1&amp;""" vk="""&amp;M34&amp;""""&amp;IF(Scan2VKFlags!J34&lt;&gt;""," flags="""&amp;Scan2VKFlags!J34&amp;"""","")&amp;"/&gt;","")</f>
        <v>&lt;vk kbd="16" vk="'D'"/&gt;</v>
      </c>
      <c r="AO34" t="str">
        <f>IF(N34&lt;&gt;"","&lt;vk kbd="""&amp;N$1&amp;""" vk="""&amp;N34&amp;""""&amp;IF(Scan2VKFlags!K34&lt;&gt;""," flags="""&amp;Scan2VKFlags!K34&amp;"""","")&amp;"/&gt;","")</f>
        <v>&lt;vk kbd="10" vk="'D'"/&gt;</v>
      </c>
      <c r="AP34" t="str">
        <f>IF(O34&lt;&gt;"","&lt;vk kbd="""&amp;O$1&amp;""" vk="""&amp;O34&amp;""""&amp;IF(Scan2VKFlags!L34&lt;&gt;""," flags="""&amp;Scan2VKFlags!L34&amp;"""","")&amp;"/&gt;","")</f>
        <v>&lt;vk kbd="11" vk="'D'"/&gt;</v>
      </c>
      <c r="AQ34" t="str">
        <f>IF(P34&lt;&gt;"","&lt;vk kbd="""&amp;P$1&amp;""" vk="""&amp;P34&amp;""""&amp;IF(Scan2VKFlags!M34&lt;&gt;""," flags="""&amp;Scan2VKFlags!M34&amp;"""","")&amp;"/&gt;","")</f>
        <v>&lt;vk kbd="12" vk="'D'"/&gt;</v>
      </c>
      <c r="AR34" s="16" t="str">
        <f>IF(Q34&lt;&gt;"","&lt;vk kbd="""&amp;Q$1&amp;""" vk="""&amp;Q34&amp;""""&amp;IF(Scan2VKFlags!N34&lt;&gt;""," flags="""&amp;Scan2VKFlags!N34&amp;"""","")&amp;"/&gt;","")</f>
        <v>&lt;vk kbd="13" vk="'D'"/&gt;</v>
      </c>
      <c r="AS34" s="3" t="str">
        <f>IF(S34&lt;&gt;"","&lt;vk kbd="""&amp;S$1&amp;""" vk="""&amp;S34&amp;""""&amp;IF(Scan2VKFlags!O34&lt;&gt;""," flags="""&amp;Scan2VKFlags!O34&amp;"""","")&amp;"/&gt;","")</f>
        <v>&lt;vk kbd="20" vk="'D'"/&gt;</v>
      </c>
      <c r="AT34" t="str">
        <f>IF(T34&lt;&gt;"","&lt;vk kbd="""&amp;T$1&amp;""" vk="""&amp;T34&amp;""""&amp;IF(Scan2VKFlags!P34&lt;&gt;""," flags="""&amp;Scan2VKFlags!P34&amp;"""","")&amp;"/&gt;","")</f>
        <v>&lt;vk kbd="21" vk="'D'"/&gt;</v>
      </c>
      <c r="AU34" s="16" t="str">
        <f>IF(U34&lt;&gt;"","&lt;vk kbd="""&amp;U$1&amp;""" vk="""&amp;U34&amp;""""&amp;IF(Scan2VKFlags!Q34&lt;&gt;""," flags="""&amp;Scan2VKFlags!Q34&amp;"""","")&amp;"/&gt;","")</f>
        <v>&lt;vk kbd="22" vk="'D'"/&gt;</v>
      </c>
      <c r="AV34" s="3" t="str">
        <f>IF(W34&lt;&gt;"","&lt;vk kbd="""&amp;W$1&amp;""" vk="""&amp;W34&amp;""""&amp;IF(Scan2VKFlags!R34&lt;&gt;""," flags="""&amp;Scan2VKFlags!R34&amp;"""","")&amp;"/&gt;","")</f>
        <v>&lt;vk kbd="30" vk="'D'"/&gt;</v>
      </c>
      <c r="AW34" s="15" t="str">
        <f>IF(X34&lt;&gt;"","&lt;vk kbd="""&amp;X$1&amp;""" vk="""&amp;X34&amp;""""&amp;IF(Scan2VKFlags!S34&lt;&gt;""," flags="""&amp;Scan2VKFlags!S34&amp;"""","")&amp;"/&gt;","")</f>
        <v>&lt;vk kbd="33" vk="'D'"/&gt;</v>
      </c>
      <c r="AX34" s="15" t="str">
        <f>IF(Y34&lt;&gt;"","&lt;vk kbd="""&amp;Y$1&amp;""" vk="""&amp;Y34&amp;""""&amp;IF(Scan2VKFlags!T34&lt;&gt;""," flags="""&amp;Scan2VKFlags!T34&amp;"""","")&amp;"/&gt;","")</f>
        <v>&lt;vk kbd="34" vk="'D'"/&gt;</v>
      </c>
      <c r="AY34" s="18" t="str">
        <f>IF(AA34&lt;&gt;"","&lt;vk kbd="""&amp;AA$1&amp;""" vk="""&amp;AA34&amp;""""&amp;IF(Scan2VKFlags!U34&lt;&gt;""," flags="""&amp;Scan2VKFlags!U34&amp;"""","")&amp;"/&gt;","")</f>
        <v>&lt;vk kbd="37" vk="'F'"/&gt;</v>
      </c>
      <c r="AZ34" s="3" t="str">
        <f>IF(AC34&lt;&gt;"","&lt;vk kbd="""&amp;AC$1&amp;""" vk="""&amp;AC34&amp;""""&amp;IF(Scan2VKFlags!V34&lt;&gt;""," flags="""&amp;Scan2VKFlags!V34&amp;"""","")&amp;"/&gt;","")</f>
        <v>&lt;vk kbd="40" vk="'D'"/&gt;</v>
      </c>
      <c r="BA34" s="16" t="str">
        <f>IF(AD34&lt;&gt;"","&lt;vk kbd="""&amp;AD$1&amp;""" vk="""&amp;AD34&amp;""""&amp;IF(Scan2VKFlags!W34&lt;&gt;""," flags="""&amp;Scan2VKFlags!W34&amp;"""","")&amp;"/&gt;","")</f>
        <v>&lt;vk kbd="41" vk="'D'"/&gt;</v>
      </c>
      <c r="BB34" t="s">
        <v>854</v>
      </c>
    </row>
    <row r="35" spans="1:54" x14ac:dyDescent="0.25">
      <c r="A35">
        <f t="shared" si="7"/>
        <v>33</v>
      </c>
      <c r="B35" t="str">
        <f t="shared" si="4"/>
        <v>T21</v>
      </c>
      <c r="C35" s="7" t="s">
        <v>33</v>
      </c>
      <c r="D35" s="12" t="str">
        <f>trimtext(SplitText($C35,",",0))</f>
        <v>'F'</v>
      </c>
      <c r="E35" s="12" t="str">
        <f>IF(SplitText($C35,",",COLUMN(E:E)-COLUMN($D:$D))="",$D35,trimtext(SplitText($C35,",",COLUMN(E:E)-COLUMN($D:$D))))</f>
        <v>'F'</v>
      </c>
      <c r="F35" s="12" t="str">
        <f>IF(SplitText($C35,",",COLUMN(F:F)-COLUMN($D:$D))="",$D35,trimtext(SplitText($C35,",",COLUMN(F:F)-COLUMN($D:$D))))</f>
        <v>'F'</v>
      </c>
      <c r="G35" s="12" t="str">
        <f>IF(SplitText($C35,",",COLUMN(G:G)-COLUMN($D:$D))="",$D35,trimtext(SplitText($C35,",",COLUMN(G:G)-COLUMN($D:$D))))</f>
        <v>'F'</v>
      </c>
      <c r="H35" s="12" t="str">
        <f>IF(SplitText($C35,",",COLUMN(H:H)-COLUMN($D:$D))="",$D35,trimtext(SplitText($C35,",",COLUMN(H:H)-COLUMN($D:$D))))</f>
        <v>'F'</v>
      </c>
      <c r="I35" s="12" t="str">
        <f>IF(SplitText($C35,",",COLUMN(I:I)-COLUMN($D:$D))="",$D35,trimtext(SplitText($C35,",",COLUMN(I:I)-COLUMN($D:$D))))</f>
        <v>'F'</v>
      </c>
      <c r="J35" s="9" t="s">
        <v>218</v>
      </c>
      <c r="K35" s="12" t="str">
        <f>trimtext(SplitText($J35,",",0))</f>
        <v>'F'</v>
      </c>
      <c r="L35" s="12" t="str">
        <f>IF(SplitText($J35,",",COLUMN(L:L)-COLUMN($K:$K))="",$K35,trimtext(SplitText($J35,",",COLUMN(L:L)-COLUMN($K:$K))))</f>
        <v>'F'</v>
      </c>
      <c r="M35" s="12" t="str">
        <f>IF(SplitText($J35,",",COLUMN(M:M)-COLUMN($K:$K))="",$K35,trimtext(SplitText($J35,",",COLUMN(M:M)-COLUMN($K:$K))))</f>
        <v>'F'</v>
      </c>
      <c r="N35" s="12" t="str">
        <f>IF(SplitText($J35,",",COLUMN(N:N)-COLUMN($K:$K))="",$K35,trimtext(SplitText($J35,",",COLUMN(N:N)-COLUMN($K:$K))))</f>
        <v>'F'</v>
      </c>
      <c r="O35" s="12" t="str">
        <f>IF(SplitText($J35,",",COLUMN(O:O)-COLUMN($K:$K))="",$K35,trimtext(SplitText($J35,",",COLUMN(O:O)-COLUMN($K:$K))))</f>
        <v>'F'</v>
      </c>
      <c r="P35" s="12" t="str">
        <f>IF(SplitText($J35,",",COLUMN(P:P)-COLUMN($K:$K))="",$K35,trimtext(SplitText($J35,",",COLUMN(P:P)-COLUMN($K:$K))))</f>
        <v>'F'</v>
      </c>
      <c r="Q35" s="12" t="str">
        <f>IF(SplitText($J35,",",COLUMN(Q:Q)-COLUMN($K:$K))="",$K35,trimtext(SplitText($J35,",",COLUMN(Q:Q)-COLUMN($K:$K))))</f>
        <v>'F'</v>
      </c>
      <c r="R35" s="2" t="s">
        <v>375</v>
      </c>
      <c r="S35" s="12" t="str">
        <f>trimtext(SplitText($R35,",",0))</f>
        <v>'F'</v>
      </c>
      <c r="T35" s="12" t="str">
        <f>IF(SplitText($R35,",",COLUMN(T:T)-COLUMN($S:$S))="",$S35,trimtext(SplitText($R35,",",COLUMN(T:T)-COLUMN($S:$S))))</f>
        <v>'F'</v>
      </c>
      <c r="U35" s="12" t="str">
        <f>IF(SplitText($R35,",",COLUMN(U:U)-COLUMN($S:$S))="",$S35,trimtext(SplitText($R35,",",COLUMN(U:U)-COLUMN($S:$S))))</f>
        <v>'F'</v>
      </c>
      <c r="V35" s="23" t="s">
        <v>539</v>
      </c>
      <c r="W35" s="12" t="str">
        <f>trimtext(SplitText($V35,",",0))</f>
        <v>'F'</v>
      </c>
      <c r="X35" s="12" t="str">
        <f>IF(SplitText($V35,",",COLUMN(X:X)-COLUMN($W:$W))="",$W35,trimtext(SplitText($V35,",",COLUMN(X:X)-COLUMN($W:$W))))</f>
        <v>'F'</v>
      </c>
      <c r="Y35" s="12" t="str">
        <f>IF(SplitText($V35,",",COLUMN(Y:Y)-COLUMN($W:$W))="",$W35,trimtext(SplitText($V35,",",COLUMN(Y:Y)-COLUMN($W:$W))))</f>
        <v>'F'</v>
      </c>
      <c r="Z35" s="23" t="s">
        <v>665</v>
      </c>
      <c r="AA35" s="12" t="str">
        <f t="shared" si="5"/>
        <v>'G'</v>
      </c>
      <c r="AB35" s="2" t="s">
        <v>776</v>
      </c>
      <c r="AC35" s="12" t="str">
        <f>trimtext(SplitText($AB35,",",0))</f>
        <v>'F'</v>
      </c>
      <c r="AD35" s="12" t="str">
        <f>IF(SplitText($AB35,",",COLUMN(AD:AD)-COLUMN($AC:$AC))="",$AC35,trimtext(SplitText($AB35,",",COLUMN(AD:AD)-COLUMN($AC:$AC))))</f>
        <v>'F'</v>
      </c>
      <c r="AE35" s="18" t="str">
        <f t="shared" si="6"/>
        <v>&lt;xs:enumeration value="T21"&gt;&lt;xs:annotation&gt;&lt;xs:documentation&gt;Typically 'F' for keyboard type 4, different values for different keyboard types&lt;/xs:documentation&gt;&lt;xs:appinfo&gt;&lt;default-vk&gt;</v>
      </c>
      <c r="AF35" s="15" t="str">
        <f>IF(D35&lt;&gt;"","&lt;vk kbd="""&amp;D$1&amp;""" vk="""&amp;D35&amp;""""&amp;IF(Scan2VKFlags!B35&lt;&gt;""," flags="""&amp;Scan2VKFlags!B35&amp;"""","")&amp;"/&gt;","")</f>
        <v>&lt;vk kbd="1" vk="'F'"/&gt;</v>
      </c>
      <c r="AG35" s="15" t="str">
        <f>IF(E35&lt;&gt;"","&lt;vk kbd="""&amp;E$1&amp;""" vk="""&amp;E35&amp;""""&amp;IF(Scan2VKFlags!C35&lt;&gt;""," flags="""&amp;Scan2VKFlags!C35&amp;"""","")&amp;"/&gt;","")</f>
        <v>&lt;vk kbd="2" vk="'F'"/&gt;</v>
      </c>
      <c r="AH35" s="15" t="str">
        <f>IF(F35&lt;&gt;"","&lt;vk kbd="""&amp;F$1&amp;""" vk="""&amp;F35&amp;""""&amp;IF(Scan2VKFlags!D35&lt;&gt;""," flags="""&amp;Scan2VKFlags!D35&amp;"""","")&amp;"/&gt;","")</f>
        <v>&lt;vk kbd="3" vk="'F'"/&gt;</v>
      </c>
      <c r="AI35" s="15" t="str">
        <f>IF(G35&lt;&gt;"","&lt;vk kbd="""&amp;G$1&amp;""" vk="""&amp;G35&amp;""""&amp;IF(Scan2VKFlags!E35&lt;&gt;""," flags="""&amp;Scan2VKFlags!E35&amp;"""","")&amp;"/&gt;","")</f>
        <v>&lt;vk kbd="4" vk="'F'"/&gt;</v>
      </c>
      <c r="AJ35" s="15" t="str">
        <f>IF(H35&lt;&gt;"","&lt;vk kbd="""&amp;H$1&amp;""" vk="""&amp;H35&amp;""""&amp;IF(Scan2VKFlags!F35&lt;&gt;""," flags="""&amp;Scan2VKFlags!F35&amp;"""","")&amp;"/&gt;","")</f>
        <v>&lt;vk kbd="5" vk="'F'"/&gt;</v>
      </c>
      <c r="AK35" s="16" t="str">
        <f>IF(I35&lt;&gt;"","&lt;vk kbd="""&amp;I$1&amp;""" vk="""&amp;I35&amp;""""&amp;IF(Scan2VKFlags!G35&lt;&gt;""," flags="""&amp;Scan2VKFlags!G35&amp;"""","")&amp;"/&gt;","")</f>
        <v>&lt;vk kbd="6" vk="'F'"/&gt;</v>
      </c>
      <c r="AL35" s="3" t="str">
        <f>IF(K35&lt;&gt;"","&lt;vk kbd="""&amp;K$1&amp;""" vk="""&amp;K35&amp;""""&amp;IF(Scan2VKFlags!H35&lt;&gt;""," flags="""&amp;Scan2VKFlags!H35&amp;"""","")&amp;"/&gt;","")</f>
        <v>&lt;vk kbd="7" vk="'F'"/&gt;</v>
      </c>
      <c r="AM35" t="str">
        <f>IF(L35&lt;&gt;"","&lt;vk kbd="""&amp;L$1&amp;""" vk="""&amp;L35&amp;""""&amp;IF(Scan2VKFlags!I35&lt;&gt;""," flags="""&amp;Scan2VKFlags!I35&amp;"""","")&amp;"/&gt;","")</f>
        <v>&lt;vk kbd="8" vk="'F'"/&gt;</v>
      </c>
      <c r="AN35" t="str">
        <f>IF(M35&lt;&gt;"","&lt;vk kbd="""&amp;M$1&amp;""" vk="""&amp;M35&amp;""""&amp;IF(Scan2VKFlags!J35&lt;&gt;""," flags="""&amp;Scan2VKFlags!J35&amp;"""","")&amp;"/&gt;","")</f>
        <v>&lt;vk kbd="16" vk="'F'"/&gt;</v>
      </c>
      <c r="AO35" t="str">
        <f>IF(N35&lt;&gt;"","&lt;vk kbd="""&amp;N$1&amp;""" vk="""&amp;N35&amp;""""&amp;IF(Scan2VKFlags!K35&lt;&gt;""," flags="""&amp;Scan2VKFlags!K35&amp;"""","")&amp;"/&gt;","")</f>
        <v>&lt;vk kbd="10" vk="'F'"/&gt;</v>
      </c>
      <c r="AP35" t="str">
        <f>IF(O35&lt;&gt;"","&lt;vk kbd="""&amp;O$1&amp;""" vk="""&amp;O35&amp;""""&amp;IF(Scan2VKFlags!L35&lt;&gt;""," flags="""&amp;Scan2VKFlags!L35&amp;"""","")&amp;"/&gt;","")</f>
        <v>&lt;vk kbd="11" vk="'F'"/&gt;</v>
      </c>
      <c r="AQ35" t="str">
        <f>IF(P35&lt;&gt;"","&lt;vk kbd="""&amp;P$1&amp;""" vk="""&amp;P35&amp;""""&amp;IF(Scan2VKFlags!M35&lt;&gt;""," flags="""&amp;Scan2VKFlags!M35&amp;"""","")&amp;"/&gt;","")</f>
        <v>&lt;vk kbd="12" vk="'F'"/&gt;</v>
      </c>
      <c r="AR35" s="16" t="str">
        <f>IF(Q35&lt;&gt;"","&lt;vk kbd="""&amp;Q$1&amp;""" vk="""&amp;Q35&amp;""""&amp;IF(Scan2VKFlags!N35&lt;&gt;""," flags="""&amp;Scan2VKFlags!N35&amp;"""","")&amp;"/&gt;","")</f>
        <v>&lt;vk kbd="13" vk="'F'"/&gt;</v>
      </c>
      <c r="AS35" s="3" t="str">
        <f>IF(S35&lt;&gt;"","&lt;vk kbd="""&amp;S$1&amp;""" vk="""&amp;S35&amp;""""&amp;IF(Scan2VKFlags!O35&lt;&gt;""," flags="""&amp;Scan2VKFlags!O35&amp;"""","")&amp;"/&gt;","")</f>
        <v>&lt;vk kbd="20" vk="'F'"/&gt;</v>
      </c>
      <c r="AT35" t="str">
        <f>IF(T35&lt;&gt;"","&lt;vk kbd="""&amp;T$1&amp;""" vk="""&amp;T35&amp;""""&amp;IF(Scan2VKFlags!P35&lt;&gt;""," flags="""&amp;Scan2VKFlags!P35&amp;"""","")&amp;"/&gt;","")</f>
        <v>&lt;vk kbd="21" vk="'F'"/&gt;</v>
      </c>
      <c r="AU35" s="16" t="str">
        <f>IF(U35&lt;&gt;"","&lt;vk kbd="""&amp;U$1&amp;""" vk="""&amp;U35&amp;""""&amp;IF(Scan2VKFlags!Q35&lt;&gt;""," flags="""&amp;Scan2VKFlags!Q35&amp;"""","")&amp;"/&gt;","")</f>
        <v>&lt;vk kbd="22" vk="'F'"/&gt;</v>
      </c>
      <c r="AV35" s="3" t="str">
        <f>IF(W35&lt;&gt;"","&lt;vk kbd="""&amp;W$1&amp;""" vk="""&amp;W35&amp;""""&amp;IF(Scan2VKFlags!R35&lt;&gt;""," flags="""&amp;Scan2VKFlags!R35&amp;"""","")&amp;"/&gt;","")</f>
        <v>&lt;vk kbd="30" vk="'F'"/&gt;</v>
      </c>
      <c r="AW35" s="15" t="str">
        <f>IF(X35&lt;&gt;"","&lt;vk kbd="""&amp;X$1&amp;""" vk="""&amp;X35&amp;""""&amp;IF(Scan2VKFlags!S35&lt;&gt;""," flags="""&amp;Scan2VKFlags!S35&amp;"""","")&amp;"/&gt;","")</f>
        <v>&lt;vk kbd="33" vk="'F'"/&gt;</v>
      </c>
      <c r="AX35" s="15" t="str">
        <f>IF(Y35&lt;&gt;"","&lt;vk kbd="""&amp;Y$1&amp;""" vk="""&amp;Y35&amp;""""&amp;IF(Scan2VKFlags!T35&lt;&gt;""," flags="""&amp;Scan2VKFlags!T35&amp;"""","")&amp;"/&gt;","")</f>
        <v>&lt;vk kbd="34" vk="'F'"/&gt;</v>
      </c>
      <c r="AY35" s="18" t="str">
        <f>IF(AA35&lt;&gt;"","&lt;vk kbd="""&amp;AA$1&amp;""" vk="""&amp;AA35&amp;""""&amp;IF(Scan2VKFlags!U35&lt;&gt;""," flags="""&amp;Scan2VKFlags!U35&amp;"""","")&amp;"/&gt;","")</f>
        <v>&lt;vk kbd="37" vk="'G'"/&gt;</v>
      </c>
      <c r="AZ35" s="3" t="str">
        <f>IF(AC35&lt;&gt;"","&lt;vk kbd="""&amp;AC$1&amp;""" vk="""&amp;AC35&amp;""""&amp;IF(Scan2VKFlags!V35&lt;&gt;""," flags="""&amp;Scan2VKFlags!V35&amp;"""","")&amp;"/&gt;","")</f>
        <v>&lt;vk kbd="40" vk="'F'"/&gt;</v>
      </c>
      <c r="BA35" s="16" t="str">
        <f>IF(AD35&lt;&gt;"","&lt;vk kbd="""&amp;AD$1&amp;""" vk="""&amp;AD35&amp;""""&amp;IF(Scan2VKFlags!W35&lt;&gt;""," flags="""&amp;Scan2VKFlags!W35&amp;"""","")&amp;"/&gt;","")</f>
        <v>&lt;vk kbd="41" vk="'F'"/&gt;</v>
      </c>
      <c r="BB35" t="s">
        <v>854</v>
      </c>
    </row>
    <row r="36" spans="1:54" x14ac:dyDescent="0.25">
      <c r="A36">
        <f t="shared" si="7"/>
        <v>34</v>
      </c>
      <c r="B36" t="str">
        <f t="shared" si="4"/>
        <v>T22</v>
      </c>
      <c r="C36" s="7" t="s">
        <v>34</v>
      </c>
      <c r="D36" s="12" t="str">
        <f>trimtext(SplitText($C36,",",0))</f>
        <v>'G'</v>
      </c>
      <c r="E36" s="12" t="str">
        <f>IF(SplitText($C36,",",COLUMN(E:E)-COLUMN($D:$D))="",$D36,trimtext(SplitText($C36,",",COLUMN(E:E)-COLUMN($D:$D))))</f>
        <v>'G'</v>
      </c>
      <c r="F36" s="12" t="str">
        <f>IF(SplitText($C36,",",COLUMN(F:F)-COLUMN($D:$D))="",$D36,trimtext(SplitText($C36,",",COLUMN(F:F)-COLUMN($D:$D))))</f>
        <v>'G'</v>
      </c>
      <c r="G36" s="12" t="str">
        <f>IF(SplitText($C36,",",COLUMN(G:G)-COLUMN($D:$D))="",$D36,trimtext(SplitText($C36,",",COLUMN(G:G)-COLUMN($D:$D))))</f>
        <v>'G'</v>
      </c>
      <c r="H36" s="12" t="str">
        <f>IF(SplitText($C36,",",COLUMN(H:H)-COLUMN($D:$D))="",$D36,trimtext(SplitText($C36,",",COLUMN(H:H)-COLUMN($D:$D))))</f>
        <v>'G'</v>
      </c>
      <c r="I36" s="12" t="str">
        <f>IF(SplitText($C36,",",COLUMN(I:I)-COLUMN($D:$D))="",$D36,trimtext(SplitText($C36,",",COLUMN(I:I)-COLUMN($D:$D))))</f>
        <v>'G'</v>
      </c>
      <c r="J36" s="9" t="s">
        <v>219</v>
      </c>
      <c r="K36" s="12" t="str">
        <f>trimtext(SplitText($J36,",",0))</f>
        <v>'G'</v>
      </c>
      <c r="L36" s="12" t="str">
        <f>IF(SplitText($J36,",",COLUMN(L:L)-COLUMN($K:$K))="",$K36,trimtext(SplitText($J36,",",COLUMN(L:L)-COLUMN($K:$K))))</f>
        <v>'G'</v>
      </c>
      <c r="M36" s="12" t="str">
        <f>IF(SplitText($J36,",",COLUMN(M:M)-COLUMN($K:$K))="",$K36,trimtext(SplitText($J36,",",COLUMN(M:M)-COLUMN($K:$K))))</f>
        <v>'G'</v>
      </c>
      <c r="N36" s="12" t="str">
        <f>IF(SplitText($J36,",",COLUMN(N:N)-COLUMN($K:$K))="",$K36,trimtext(SplitText($J36,",",COLUMN(N:N)-COLUMN($K:$K))))</f>
        <v>'G'</v>
      </c>
      <c r="O36" s="12" t="str">
        <f>IF(SplitText($J36,",",COLUMN(O:O)-COLUMN($K:$K))="",$K36,trimtext(SplitText($J36,",",COLUMN(O:O)-COLUMN($K:$K))))</f>
        <v>'G'</v>
      </c>
      <c r="P36" s="12" t="str">
        <f>IF(SplitText($J36,",",COLUMN(P:P)-COLUMN($K:$K))="",$K36,trimtext(SplitText($J36,",",COLUMN(P:P)-COLUMN($K:$K))))</f>
        <v>'G'</v>
      </c>
      <c r="Q36" s="12" t="str">
        <f>IF(SplitText($J36,",",COLUMN(Q:Q)-COLUMN($K:$K))="",$K36,trimtext(SplitText($J36,",",COLUMN(Q:Q)-COLUMN($K:$K))))</f>
        <v>'G'</v>
      </c>
      <c r="R36" s="2" t="s">
        <v>376</v>
      </c>
      <c r="S36" s="12" t="str">
        <f>trimtext(SplitText($R36,",",0))</f>
        <v>'G'</v>
      </c>
      <c r="T36" s="12" t="str">
        <f>IF(SplitText($R36,",",COLUMN(T:T)-COLUMN($S:$S))="",$S36,trimtext(SplitText($R36,",",COLUMN(T:T)-COLUMN($S:$S))))</f>
        <v>'G'</v>
      </c>
      <c r="U36" s="12" t="str">
        <f>IF(SplitText($R36,",",COLUMN(U:U)-COLUMN($S:$S))="",$S36,trimtext(SplitText($R36,",",COLUMN(U:U)-COLUMN($S:$S))))</f>
        <v>'G'</v>
      </c>
      <c r="V36" s="23" t="s">
        <v>540</v>
      </c>
      <c r="W36" s="12" t="str">
        <f>trimtext(SplitText($V36,",",0))</f>
        <v>'G'</v>
      </c>
      <c r="X36" s="12" t="str">
        <f>IF(SplitText($V36,",",COLUMN(X:X)-COLUMN($W:$W))="",$W36,trimtext(SplitText($V36,",",COLUMN(X:X)-COLUMN($W:$W))))</f>
        <v>'G'</v>
      </c>
      <c r="Y36" s="12" t="str">
        <f>IF(SplitText($V36,",",COLUMN(Y:Y)-COLUMN($W:$W))="",$W36,trimtext(SplitText($V36,",",COLUMN(Y:Y)-COLUMN($W:$W))))</f>
        <v>'G'</v>
      </c>
      <c r="Z36" s="23" t="s">
        <v>666</v>
      </c>
      <c r="AA36" s="12" t="str">
        <f t="shared" si="5"/>
        <v>'H'</v>
      </c>
      <c r="AB36" s="2" t="s">
        <v>777</v>
      </c>
      <c r="AC36" s="12" t="str">
        <f>trimtext(SplitText($AB36,",",0))</f>
        <v>'G'</v>
      </c>
      <c r="AD36" s="12" t="str">
        <f>IF(SplitText($AB36,",",COLUMN(AD:AD)-COLUMN($AC:$AC))="",$AC36,trimtext(SplitText($AB36,",",COLUMN(AD:AD)-COLUMN($AC:$AC))))</f>
        <v>'G'</v>
      </c>
      <c r="AE36" s="18" t="str">
        <f t="shared" si="6"/>
        <v>&lt;xs:enumeration value="T22"&gt;&lt;xs:annotation&gt;&lt;xs:documentation&gt;Typically 'G' for keyboard type 4, different values for different keyboard types&lt;/xs:documentation&gt;&lt;xs:appinfo&gt;&lt;default-vk&gt;</v>
      </c>
      <c r="AF36" s="15" t="str">
        <f>IF(D36&lt;&gt;"","&lt;vk kbd="""&amp;D$1&amp;""" vk="""&amp;D36&amp;""""&amp;IF(Scan2VKFlags!B36&lt;&gt;""," flags="""&amp;Scan2VKFlags!B36&amp;"""","")&amp;"/&gt;","")</f>
        <v>&lt;vk kbd="1" vk="'G'"/&gt;</v>
      </c>
      <c r="AG36" s="15" t="str">
        <f>IF(E36&lt;&gt;"","&lt;vk kbd="""&amp;E$1&amp;""" vk="""&amp;E36&amp;""""&amp;IF(Scan2VKFlags!C36&lt;&gt;""," flags="""&amp;Scan2VKFlags!C36&amp;"""","")&amp;"/&gt;","")</f>
        <v>&lt;vk kbd="2" vk="'G'"/&gt;</v>
      </c>
      <c r="AH36" s="15" t="str">
        <f>IF(F36&lt;&gt;"","&lt;vk kbd="""&amp;F$1&amp;""" vk="""&amp;F36&amp;""""&amp;IF(Scan2VKFlags!D36&lt;&gt;""," flags="""&amp;Scan2VKFlags!D36&amp;"""","")&amp;"/&gt;","")</f>
        <v>&lt;vk kbd="3" vk="'G'"/&gt;</v>
      </c>
      <c r="AI36" s="15" t="str">
        <f>IF(G36&lt;&gt;"","&lt;vk kbd="""&amp;G$1&amp;""" vk="""&amp;G36&amp;""""&amp;IF(Scan2VKFlags!E36&lt;&gt;""," flags="""&amp;Scan2VKFlags!E36&amp;"""","")&amp;"/&gt;","")</f>
        <v>&lt;vk kbd="4" vk="'G'"/&gt;</v>
      </c>
      <c r="AJ36" s="15" t="str">
        <f>IF(H36&lt;&gt;"","&lt;vk kbd="""&amp;H$1&amp;""" vk="""&amp;H36&amp;""""&amp;IF(Scan2VKFlags!F36&lt;&gt;""," flags="""&amp;Scan2VKFlags!F36&amp;"""","")&amp;"/&gt;","")</f>
        <v>&lt;vk kbd="5" vk="'G'"/&gt;</v>
      </c>
      <c r="AK36" s="16" t="str">
        <f>IF(I36&lt;&gt;"","&lt;vk kbd="""&amp;I$1&amp;""" vk="""&amp;I36&amp;""""&amp;IF(Scan2VKFlags!G36&lt;&gt;""," flags="""&amp;Scan2VKFlags!G36&amp;"""","")&amp;"/&gt;","")</f>
        <v>&lt;vk kbd="6" vk="'G'"/&gt;</v>
      </c>
      <c r="AL36" s="3" t="str">
        <f>IF(K36&lt;&gt;"","&lt;vk kbd="""&amp;K$1&amp;""" vk="""&amp;K36&amp;""""&amp;IF(Scan2VKFlags!H36&lt;&gt;""," flags="""&amp;Scan2VKFlags!H36&amp;"""","")&amp;"/&gt;","")</f>
        <v>&lt;vk kbd="7" vk="'G'"/&gt;</v>
      </c>
      <c r="AM36" t="str">
        <f>IF(L36&lt;&gt;"","&lt;vk kbd="""&amp;L$1&amp;""" vk="""&amp;L36&amp;""""&amp;IF(Scan2VKFlags!I36&lt;&gt;""," flags="""&amp;Scan2VKFlags!I36&amp;"""","")&amp;"/&gt;","")</f>
        <v>&lt;vk kbd="8" vk="'G'"/&gt;</v>
      </c>
      <c r="AN36" t="str">
        <f>IF(M36&lt;&gt;"","&lt;vk kbd="""&amp;M$1&amp;""" vk="""&amp;M36&amp;""""&amp;IF(Scan2VKFlags!J36&lt;&gt;""," flags="""&amp;Scan2VKFlags!J36&amp;"""","")&amp;"/&gt;","")</f>
        <v>&lt;vk kbd="16" vk="'G'"/&gt;</v>
      </c>
      <c r="AO36" t="str">
        <f>IF(N36&lt;&gt;"","&lt;vk kbd="""&amp;N$1&amp;""" vk="""&amp;N36&amp;""""&amp;IF(Scan2VKFlags!K36&lt;&gt;""," flags="""&amp;Scan2VKFlags!K36&amp;"""","")&amp;"/&gt;","")</f>
        <v>&lt;vk kbd="10" vk="'G'"/&gt;</v>
      </c>
      <c r="AP36" t="str">
        <f>IF(O36&lt;&gt;"","&lt;vk kbd="""&amp;O$1&amp;""" vk="""&amp;O36&amp;""""&amp;IF(Scan2VKFlags!L36&lt;&gt;""," flags="""&amp;Scan2VKFlags!L36&amp;"""","")&amp;"/&gt;","")</f>
        <v>&lt;vk kbd="11" vk="'G'"/&gt;</v>
      </c>
      <c r="AQ36" t="str">
        <f>IF(P36&lt;&gt;"","&lt;vk kbd="""&amp;P$1&amp;""" vk="""&amp;P36&amp;""""&amp;IF(Scan2VKFlags!M36&lt;&gt;""," flags="""&amp;Scan2VKFlags!M36&amp;"""","")&amp;"/&gt;","")</f>
        <v>&lt;vk kbd="12" vk="'G'"/&gt;</v>
      </c>
      <c r="AR36" s="16" t="str">
        <f>IF(Q36&lt;&gt;"","&lt;vk kbd="""&amp;Q$1&amp;""" vk="""&amp;Q36&amp;""""&amp;IF(Scan2VKFlags!N36&lt;&gt;""," flags="""&amp;Scan2VKFlags!N36&amp;"""","")&amp;"/&gt;","")</f>
        <v>&lt;vk kbd="13" vk="'G'"/&gt;</v>
      </c>
      <c r="AS36" s="3" t="str">
        <f>IF(S36&lt;&gt;"","&lt;vk kbd="""&amp;S$1&amp;""" vk="""&amp;S36&amp;""""&amp;IF(Scan2VKFlags!O36&lt;&gt;""," flags="""&amp;Scan2VKFlags!O36&amp;"""","")&amp;"/&gt;","")</f>
        <v>&lt;vk kbd="20" vk="'G'"/&gt;</v>
      </c>
      <c r="AT36" t="str">
        <f>IF(T36&lt;&gt;"","&lt;vk kbd="""&amp;T$1&amp;""" vk="""&amp;T36&amp;""""&amp;IF(Scan2VKFlags!P36&lt;&gt;""," flags="""&amp;Scan2VKFlags!P36&amp;"""","")&amp;"/&gt;","")</f>
        <v>&lt;vk kbd="21" vk="'G'"/&gt;</v>
      </c>
      <c r="AU36" s="16" t="str">
        <f>IF(U36&lt;&gt;"","&lt;vk kbd="""&amp;U$1&amp;""" vk="""&amp;U36&amp;""""&amp;IF(Scan2VKFlags!Q36&lt;&gt;""," flags="""&amp;Scan2VKFlags!Q36&amp;"""","")&amp;"/&gt;","")</f>
        <v>&lt;vk kbd="22" vk="'G'"/&gt;</v>
      </c>
      <c r="AV36" s="3" t="str">
        <f>IF(W36&lt;&gt;"","&lt;vk kbd="""&amp;W$1&amp;""" vk="""&amp;W36&amp;""""&amp;IF(Scan2VKFlags!R36&lt;&gt;""," flags="""&amp;Scan2VKFlags!R36&amp;"""","")&amp;"/&gt;","")</f>
        <v>&lt;vk kbd="30" vk="'G'"/&gt;</v>
      </c>
      <c r="AW36" s="15" t="str">
        <f>IF(X36&lt;&gt;"","&lt;vk kbd="""&amp;X$1&amp;""" vk="""&amp;X36&amp;""""&amp;IF(Scan2VKFlags!S36&lt;&gt;""," flags="""&amp;Scan2VKFlags!S36&amp;"""","")&amp;"/&gt;","")</f>
        <v>&lt;vk kbd="33" vk="'G'"/&gt;</v>
      </c>
      <c r="AX36" s="15" t="str">
        <f>IF(Y36&lt;&gt;"","&lt;vk kbd="""&amp;Y$1&amp;""" vk="""&amp;Y36&amp;""""&amp;IF(Scan2VKFlags!T36&lt;&gt;""," flags="""&amp;Scan2VKFlags!T36&amp;"""","")&amp;"/&gt;","")</f>
        <v>&lt;vk kbd="34" vk="'G'"/&gt;</v>
      </c>
      <c r="AY36" s="18" t="str">
        <f>IF(AA36&lt;&gt;"","&lt;vk kbd="""&amp;AA$1&amp;""" vk="""&amp;AA36&amp;""""&amp;IF(Scan2VKFlags!U36&lt;&gt;""," flags="""&amp;Scan2VKFlags!U36&amp;"""","")&amp;"/&gt;","")</f>
        <v>&lt;vk kbd="37" vk="'H'"/&gt;</v>
      </c>
      <c r="AZ36" s="3" t="str">
        <f>IF(AC36&lt;&gt;"","&lt;vk kbd="""&amp;AC$1&amp;""" vk="""&amp;AC36&amp;""""&amp;IF(Scan2VKFlags!V36&lt;&gt;""," flags="""&amp;Scan2VKFlags!V36&amp;"""","")&amp;"/&gt;","")</f>
        <v>&lt;vk kbd="40" vk="'G'"/&gt;</v>
      </c>
      <c r="BA36" s="16" t="str">
        <f>IF(AD36&lt;&gt;"","&lt;vk kbd="""&amp;AD$1&amp;""" vk="""&amp;AD36&amp;""""&amp;IF(Scan2VKFlags!W36&lt;&gt;""," flags="""&amp;Scan2VKFlags!W36&amp;"""","")&amp;"/&gt;","")</f>
        <v>&lt;vk kbd="41" vk="'G'"/&gt;</v>
      </c>
      <c r="BB36" t="s">
        <v>854</v>
      </c>
    </row>
    <row r="37" spans="1:54" x14ac:dyDescent="0.25">
      <c r="A37">
        <f t="shared" si="7"/>
        <v>35</v>
      </c>
      <c r="B37" t="str">
        <f t="shared" si="4"/>
        <v>T23</v>
      </c>
      <c r="C37" s="7" t="s">
        <v>35</v>
      </c>
      <c r="D37" s="12" t="str">
        <f>trimtext(SplitText($C37,",",0))</f>
        <v>'H'</v>
      </c>
      <c r="E37" s="12" t="str">
        <f>IF(SplitText($C37,",",COLUMN(E:E)-COLUMN($D:$D))="",$D37,trimtext(SplitText($C37,",",COLUMN(E:E)-COLUMN($D:$D))))</f>
        <v>'H'</v>
      </c>
      <c r="F37" s="12" t="str">
        <f>IF(SplitText($C37,",",COLUMN(F:F)-COLUMN($D:$D))="",$D37,trimtext(SplitText($C37,",",COLUMN(F:F)-COLUMN($D:$D))))</f>
        <v>'H'</v>
      </c>
      <c r="G37" s="12" t="str">
        <f>IF(SplitText($C37,",",COLUMN(G:G)-COLUMN($D:$D))="",$D37,trimtext(SplitText($C37,",",COLUMN(G:G)-COLUMN($D:$D))))</f>
        <v>'H'</v>
      </c>
      <c r="H37" s="12" t="str">
        <f>IF(SplitText($C37,",",COLUMN(H:H)-COLUMN($D:$D))="",$D37,trimtext(SplitText($C37,",",COLUMN(H:H)-COLUMN($D:$D))))</f>
        <v>'H'</v>
      </c>
      <c r="I37" s="12" t="str">
        <f>IF(SplitText($C37,",",COLUMN(I:I)-COLUMN($D:$D))="",$D37,trimtext(SplitText($C37,",",COLUMN(I:I)-COLUMN($D:$D))))</f>
        <v>'H'</v>
      </c>
      <c r="J37" s="9" t="s">
        <v>220</v>
      </c>
      <c r="K37" s="12" t="str">
        <f>trimtext(SplitText($J37,",",0))</f>
        <v>'H'</v>
      </c>
      <c r="L37" s="12" t="str">
        <f>IF(SplitText($J37,",",COLUMN(L:L)-COLUMN($K:$K))="",$K37,trimtext(SplitText($J37,",",COLUMN(L:L)-COLUMN($K:$K))))</f>
        <v>'H'</v>
      </c>
      <c r="M37" s="12" t="str">
        <f>IF(SplitText($J37,",",COLUMN(M:M)-COLUMN($K:$K))="",$K37,trimtext(SplitText($J37,",",COLUMN(M:M)-COLUMN($K:$K))))</f>
        <v>'H'</v>
      </c>
      <c r="N37" s="12" t="str">
        <f>IF(SplitText($J37,",",COLUMN(N:N)-COLUMN($K:$K))="",$K37,trimtext(SplitText($J37,",",COLUMN(N:N)-COLUMN($K:$K))))</f>
        <v>'H'</v>
      </c>
      <c r="O37" s="12" t="str">
        <f>IF(SplitText($J37,",",COLUMN(O:O)-COLUMN($K:$K))="",$K37,trimtext(SplitText($J37,",",COLUMN(O:O)-COLUMN($K:$K))))</f>
        <v>'H'</v>
      </c>
      <c r="P37" s="12" t="str">
        <f>IF(SplitText($J37,",",COLUMN(P:P)-COLUMN($K:$K))="",$K37,trimtext(SplitText($J37,",",COLUMN(P:P)-COLUMN($K:$K))))</f>
        <v>'H'</v>
      </c>
      <c r="Q37" s="12" t="str">
        <f>IF(SplitText($J37,",",COLUMN(Q:Q)-COLUMN($K:$K))="",$K37,trimtext(SplitText($J37,",",COLUMN(Q:Q)-COLUMN($K:$K))))</f>
        <v>'H'</v>
      </c>
      <c r="R37" s="2" t="s">
        <v>377</v>
      </c>
      <c r="S37" s="12" t="str">
        <f>trimtext(SplitText($R37,",",0))</f>
        <v>'H'</v>
      </c>
      <c r="T37" s="12" t="str">
        <f>IF(SplitText($R37,",",COLUMN(T:T)-COLUMN($S:$S))="",$S37,trimtext(SplitText($R37,",",COLUMN(T:T)-COLUMN($S:$S))))</f>
        <v>'H'</v>
      </c>
      <c r="U37" s="12" t="str">
        <f>IF(SplitText($R37,",",COLUMN(U:U)-COLUMN($S:$S))="",$S37,trimtext(SplitText($R37,",",COLUMN(U:U)-COLUMN($S:$S))))</f>
        <v>'H'</v>
      </c>
      <c r="V37" s="23" t="s">
        <v>541</v>
      </c>
      <c r="W37" s="12" t="str">
        <f>trimtext(SplitText($V37,",",0))</f>
        <v>'H'</v>
      </c>
      <c r="X37" s="12" t="str">
        <f>IF(SplitText($V37,",",COLUMN(X:X)-COLUMN($W:$W))="",$W37,trimtext(SplitText($V37,",",COLUMN(X:X)-COLUMN($W:$W))))</f>
        <v>'H'</v>
      </c>
      <c r="Y37" s="12" t="str">
        <f>IF(SplitText($V37,",",COLUMN(Y:Y)-COLUMN($W:$W))="",$W37,trimtext(SplitText($V37,",",COLUMN(Y:Y)-COLUMN($W:$W))))</f>
        <v>'H'</v>
      </c>
      <c r="Z37" s="23" t="s">
        <v>667</v>
      </c>
      <c r="AA37" s="12" t="str">
        <f t="shared" si="5"/>
        <v>'J'</v>
      </c>
      <c r="AB37" s="2" t="s">
        <v>778</v>
      </c>
      <c r="AC37" s="12" t="str">
        <f>trimtext(SplitText($AB37,",",0))</f>
        <v>'H'</v>
      </c>
      <c r="AD37" s="12" t="str">
        <f>IF(SplitText($AB37,",",COLUMN(AD:AD)-COLUMN($AC:$AC))="",$AC37,trimtext(SplitText($AB37,",",COLUMN(AD:AD)-COLUMN($AC:$AC))))</f>
        <v>'H'</v>
      </c>
      <c r="AE37" s="18" t="str">
        <f t="shared" si="6"/>
        <v>&lt;xs:enumeration value="T23"&gt;&lt;xs:annotation&gt;&lt;xs:documentation&gt;Typically 'H' for keyboard type 4, different values for different keyboard types&lt;/xs:documentation&gt;&lt;xs:appinfo&gt;&lt;default-vk&gt;</v>
      </c>
      <c r="AF37" s="15" t="str">
        <f>IF(D37&lt;&gt;"","&lt;vk kbd="""&amp;D$1&amp;""" vk="""&amp;D37&amp;""""&amp;IF(Scan2VKFlags!B37&lt;&gt;""," flags="""&amp;Scan2VKFlags!B37&amp;"""","")&amp;"/&gt;","")</f>
        <v>&lt;vk kbd="1" vk="'H'"/&gt;</v>
      </c>
      <c r="AG37" s="15" t="str">
        <f>IF(E37&lt;&gt;"","&lt;vk kbd="""&amp;E$1&amp;""" vk="""&amp;E37&amp;""""&amp;IF(Scan2VKFlags!C37&lt;&gt;""," flags="""&amp;Scan2VKFlags!C37&amp;"""","")&amp;"/&gt;","")</f>
        <v>&lt;vk kbd="2" vk="'H'"/&gt;</v>
      </c>
      <c r="AH37" s="15" t="str">
        <f>IF(F37&lt;&gt;"","&lt;vk kbd="""&amp;F$1&amp;""" vk="""&amp;F37&amp;""""&amp;IF(Scan2VKFlags!D37&lt;&gt;""," flags="""&amp;Scan2VKFlags!D37&amp;"""","")&amp;"/&gt;","")</f>
        <v>&lt;vk kbd="3" vk="'H'"/&gt;</v>
      </c>
      <c r="AI37" s="15" t="str">
        <f>IF(G37&lt;&gt;"","&lt;vk kbd="""&amp;G$1&amp;""" vk="""&amp;G37&amp;""""&amp;IF(Scan2VKFlags!E37&lt;&gt;""," flags="""&amp;Scan2VKFlags!E37&amp;"""","")&amp;"/&gt;","")</f>
        <v>&lt;vk kbd="4" vk="'H'"/&gt;</v>
      </c>
      <c r="AJ37" s="15" t="str">
        <f>IF(H37&lt;&gt;"","&lt;vk kbd="""&amp;H$1&amp;""" vk="""&amp;H37&amp;""""&amp;IF(Scan2VKFlags!F37&lt;&gt;""," flags="""&amp;Scan2VKFlags!F37&amp;"""","")&amp;"/&gt;","")</f>
        <v>&lt;vk kbd="5" vk="'H'"/&gt;</v>
      </c>
      <c r="AK37" s="16" t="str">
        <f>IF(I37&lt;&gt;"","&lt;vk kbd="""&amp;I$1&amp;""" vk="""&amp;I37&amp;""""&amp;IF(Scan2VKFlags!G37&lt;&gt;""," flags="""&amp;Scan2VKFlags!G37&amp;"""","")&amp;"/&gt;","")</f>
        <v>&lt;vk kbd="6" vk="'H'"/&gt;</v>
      </c>
      <c r="AL37" s="3" t="str">
        <f>IF(K37&lt;&gt;"","&lt;vk kbd="""&amp;K$1&amp;""" vk="""&amp;K37&amp;""""&amp;IF(Scan2VKFlags!H37&lt;&gt;""," flags="""&amp;Scan2VKFlags!H37&amp;"""","")&amp;"/&gt;","")</f>
        <v>&lt;vk kbd="7" vk="'H'"/&gt;</v>
      </c>
      <c r="AM37" t="str">
        <f>IF(L37&lt;&gt;"","&lt;vk kbd="""&amp;L$1&amp;""" vk="""&amp;L37&amp;""""&amp;IF(Scan2VKFlags!I37&lt;&gt;""," flags="""&amp;Scan2VKFlags!I37&amp;"""","")&amp;"/&gt;","")</f>
        <v>&lt;vk kbd="8" vk="'H'"/&gt;</v>
      </c>
      <c r="AN37" t="str">
        <f>IF(M37&lt;&gt;"","&lt;vk kbd="""&amp;M$1&amp;""" vk="""&amp;M37&amp;""""&amp;IF(Scan2VKFlags!J37&lt;&gt;""," flags="""&amp;Scan2VKFlags!J37&amp;"""","")&amp;"/&gt;","")</f>
        <v>&lt;vk kbd="16" vk="'H'"/&gt;</v>
      </c>
      <c r="AO37" t="str">
        <f>IF(N37&lt;&gt;"","&lt;vk kbd="""&amp;N$1&amp;""" vk="""&amp;N37&amp;""""&amp;IF(Scan2VKFlags!K37&lt;&gt;""," flags="""&amp;Scan2VKFlags!K37&amp;"""","")&amp;"/&gt;","")</f>
        <v>&lt;vk kbd="10" vk="'H'"/&gt;</v>
      </c>
      <c r="AP37" t="str">
        <f>IF(O37&lt;&gt;"","&lt;vk kbd="""&amp;O$1&amp;""" vk="""&amp;O37&amp;""""&amp;IF(Scan2VKFlags!L37&lt;&gt;""," flags="""&amp;Scan2VKFlags!L37&amp;"""","")&amp;"/&gt;","")</f>
        <v>&lt;vk kbd="11" vk="'H'"/&gt;</v>
      </c>
      <c r="AQ37" t="str">
        <f>IF(P37&lt;&gt;"","&lt;vk kbd="""&amp;P$1&amp;""" vk="""&amp;P37&amp;""""&amp;IF(Scan2VKFlags!M37&lt;&gt;""," flags="""&amp;Scan2VKFlags!M37&amp;"""","")&amp;"/&gt;","")</f>
        <v>&lt;vk kbd="12" vk="'H'"/&gt;</v>
      </c>
      <c r="AR37" s="16" t="str">
        <f>IF(Q37&lt;&gt;"","&lt;vk kbd="""&amp;Q$1&amp;""" vk="""&amp;Q37&amp;""""&amp;IF(Scan2VKFlags!N37&lt;&gt;""," flags="""&amp;Scan2VKFlags!N37&amp;"""","")&amp;"/&gt;","")</f>
        <v>&lt;vk kbd="13" vk="'H'"/&gt;</v>
      </c>
      <c r="AS37" s="3" t="str">
        <f>IF(S37&lt;&gt;"","&lt;vk kbd="""&amp;S$1&amp;""" vk="""&amp;S37&amp;""""&amp;IF(Scan2VKFlags!O37&lt;&gt;""," flags="""&amp;Scan2VKFlags!O37&amp;"""","")&amp;"/&gt;","")</f>
        <v>&lt;vk kbd="20" vk="'H'"/&gt;</v>
      </c>
      <c r="AT37" t="str">
        <f>IF(T37&lt;&gt;"","&lt;vk kbd="""&amp;T$1&amp;""" vk="""&amp;T37&amp;""""&amp;IF(Scan2VKFlags!P37&lt;&gt;""," flags="""&amp;Scan2VKFlags!P37&amp;"""","")&amp;"/&gt;","")</f>
        <v>&lt;vk kbd="21" vk="'H'"/&gt;</v>
      </c>
      <c r="AU37" s="16" t="str">
        <f>IF(U37&lt;&gt;"","&lt;vk kbd="""&amp;U$1&amp;""" vk="""&amp;U37&amp;""""&amp;IF(Scan2VKFlags!Q37&lt;&gt;""," flags="""&amp;Scan2VKFlags!Q37&amp;"""","")&amp;"/&gt;","")</f>
        <v>&lt;vk kbd="22" vk="'H'"/&gt;</v>
      </c>
      <c r="AV37" s="3" t="str">
        <f>IF(W37&lt;&gt;"","&lt;vk kbd="""&amp;W$1&amp;""" vk="""&amp;W37&amp;""""&amp;IF(Scan2VKFlags!R37&lt;&gt;""," flags="""&amp;Scan2VKFlags!R37&amp;"""","")&amp;"/&gt;","")</f>
        <v>&lt;vk kbd="30" vk="'H'"/&gt;</v>
      </c>
      <c r="AW37" s="15" t="str">
        <f>IF(X37&lt;&gt;"","&lt;vk kbd="""&amp;X$1&amp;""" vk="""&amp;X37&amp;""""&amp;IF(Scan2VKFlags!S37&lt;&gt;""," flags="""&amp;Scan2VKFlags!S37&amp;"""","")&amp;"/&gt;","")</f>
        <v>&lt;vk kbd="33" vk="'H'"/&gt;</v>
      </c>
      <c r="AX37" s="15" t="str">
        <f>IF(Y37&lt;&gt;"","&lt;vk kbd="""&amp;Y$1&amp;""" vk="""&amp;Y37&amp;""""&amp;IF(Scan2VKFlags!T37&lt;&gt;""," flags="""&amp;Scan2VKFlags!T37&amp;"""","")&amp;"/&gt;","")</f>
        <v>&lt;vk kbd="34" vk="'H'"/&gt;</v>
      </c>
      <c r="AY37" s="18" t="str">
        <f>IF(AA37&lt;&gt;"","&lt;vk kbd="""&amp;AA$1&amp;""" vk="""&amp;AA37&amp;""""&amp;IF(Scan2VKFlags!U37&lt;&gt;""," flags="""&amp;Scan2VKFlags!U37&amp;"""","")&amp;"/&gt;","")</f>
        <v>&lt;vk kbd="37" vk="'J'"/&gt;</v>
      </c>
      <c r="AZ37" s="3" t="str">
        <f>IF(AC37&lt;&gt;"","&lt;vk kbd="""&amp;AC$1&amp;""" vk="""&amp;AC37&amp;""""&amp;IF(Scan2VKFlags!V37&lt;&gt;""," flags="""&amp;Scan2VKFlags!V37&amp;"""","")&amp;"/&gt;","")</f>
        <v>&lt;vk kbd="40" vk="'H'"/&gt;</v>
      </c>
      <c r="BA37" s="16" t="str">
        <f>IF(AD37&lt;&gt;"","&lt;vk kbd="""&amp;AD$1&amp;""" vk="""&amp;AD37&amp;""""&amp;IF(Scan2VKFlags!W37&lt;&gt;""," flags="""&amp;Scan2VKFlags!W37&amp;"""","")&amp;"/&gt;","")</f>
        <v>&lt;vk kbd="41" vk="'H'"/&gt;</v>
      </c>
      <c r="BB37" t="s">
        <v>854</v>
      </c>
    </row>
    <row r="38" spans="1:54" x14ac:dyDescent="0.25">
      <c r="A38">
        <f t="shared" si="7"/>
        <v>36</v>
      </c>
      <c r="B38" t="str">
        <f t="shared" si="4"/>
        <v>T24</v>
      </c>
      <c r="C38" s="7" t="s">
        <v>36</v>
      </c>
      <c r="D38" s="12" t="str">
        <f>trimtext(SplitText($C38,",",0))</f>
        <v>'J'</v>
      </c>
      <c r="E38" s="12" t="str">
        <f>IF(SplitText($C38,",",COLUMN(E:E)-COLUMN($D:$D))="",$D38,trimtext(SplitText($C38,",",COLUMN(E:E)-COLUMN($D:$D))))</f>
        <v>'J'</v>
      </c>
      <c r="F38" s="12" t="str">
        <f>IF(SplitText($C38,",",COLUMN(F:F)-COLUMN($D:$D))="",$D38,trimtext(SplitText($C38,",",COLUMN(F:F)-COLUMN($D:$D))))</f>
        <v>'J'</v>
      </c>
      <c r="G38" s="12" t="str">
        <f>IF(SplitText($C38,",",COLUMN(G:G)-COLUMN($D:$D))="",$D38,trimtext(SplitText($C38,",",COLUMN(G:G)-COLUMN($D:$D))))</f>
        <v>'J'</v>
      </c>
      <c r="H38" s="12" t="str">
        <f>IF(SplitText($C38,",",COLUMN(H:H)-COLUMN($D:$D))="",$D38,trimtext(SplitText($C38,",",COLUMN(H:H)-COLUMN($D:$D))))</f>
        <v>'J'</v>
      </c>
      <c r="I38" s="12" t="str">
        <f>IF(SplitText($C38,",",COLUMN(I:I)-COLUMN($D:$D))="",$D38,trimtext(SplitText($C38,",",COLUMN(I:I)-COLUMN($D:$D))))</f>
        <v>'J'</v>
      </c>
      <c r="J38" s="9" t="s">
        <v>221</v>
      </c>
      <c r="K38" s="12" t="str">
        <f>trimtext(SplitText($J38,",",0))</f>
        <v>'J'</v>
      </c>
      <c r="L38" s="12" t="str">
        <f>IF(SplitText($J38,",",COLUMN(L:L)-COLUMN($K:$K))="",$K38,trimtext(SplitText($J38,",",COLUMN(L:L)-COLUMN($K:$K))))</f>
        <v>'J'</v>
      </c>
      <c r="M38" s="12" t="str">
        <f>IF(SplitText($J38,",",COLUMN(M:M)-COLUMN($K:$K))="",$K38,trimtext(SplitText($J38,",",COLUMN(M:M)-COLUMN($K:$K))))</f>
        <v>'J'</v>
      </c>
      <c r="N38" s="12" t="str">
        <f>IF(SplitText($J38,",",COLUMN(N:N)-COLUMN($K:$K))="",$K38,trimtext(SplitText($J38,",",COLUMN(N:N)-COLUMN($K:$K))))</f>
        <v>'J'</v>
      </c>
      <c r="O38" s="12" t="str">
        <f>IF(SplitText($J38,",",COLUMN(O:O)-COLUMN($K:$K))="",$K38,trimtext(SplitText($J38,",",COLUMN(O:O)-COLUMN($K:$K))))</f>
        <v>'J'</v>
      </c>
      <c r="P38" s="12" t="str">
        <f>IF(SplitText($J38,",",COLUMN(P:P)-COLUMN($K:$K))="",$K38,trimtext(SplitText($J38,",",COLUMN(P:P)-COLUMN($K:$K))))</f>
        <v>'J'</v>
      </c>
      <c r="Q38" s="12" t="str">
        <f>IF(SplitText($J38,",",COLUMN(Q:Q)-COLUMN($K:$K))="",$K38,trimtext(SplitText($J38,",",COLUMN(Q:Q)-COLUMN($K:$K))))</f>
        <v>'J'</v>
      </c>
      <c r="R38" s="2" t="s">
        <v>378</v>
      </c>
      <c r="S38" s="12" t="str">
        <f>trimtext(SplitText($R38,",",0))</f>
        <v>'J'</v>
      </c>
      <c r="T38" s="12" t="str">
        <f>IF(SplitText($R38,",",COLUMN(T:T)-COLUMN($S:$S))="",$S38,trimtext(SplitText($R38,",",COLUMN(T:T)-COLUMN($S:$S))))</f>
        <v>'J'</v>
      </c>
      <c r="U38" s="12" t="str">
        <f>IF(SplitText($R38,",",COLUMN(U:U)-COLUMN($S:$S))="",$S38,trimtext(SplitText($R38,",",COLUMN(U:U)-COLUMN($S:$S))))</f>
        <v>'J'</v>
      </c>
      <c r="V38" s="23" t="s">
        <v>542</v>
      </c>
      <c r="W38" s="12" t="str">
        <f>trimtext(SplitText($V38,",",0))</f>
        <v>'J'</v>
      </c>
      <c r="X38" s="12" t="str">
        <f>IF(SplitText($V38,",",COLUMN(X:X)-COLUMN($W:$W))="",$W38,trimtext(SplitText($V38,",",COLUMN(X:X)-COLUMN($W:$W))))</f>
        <v>'J'</v>
      </c>
      <c r="Y38" s="12" t="str">
        <f>IF(SplitText($V38,",",COLUMN(Y:Y)-COLUMN($W:$W))="",$W38,trimtext(SplitText($V38,",",COLUMN(Y:Y)-COLUMN($W:$W))))</f>
        <v>'J'</v>
      </c>
      <c r="Z38" s="23" t="s">
        <v>668</v>
      </c>
      <c r="AA38" s="12" t="str">
        <f t="shared" si="5"/>
        <v>'K'</v>
      </c>
      <c r="AB38" s="2" t="s">
        <v>779</v>
      </c>
      <c r="AC38" s="12" t="str">
        <f>trimtext(SplitText($AB38,",",0))</f>
        <v>'J'</v>
      </c>
      <c r="AD38" s="12" t="str">
        <f>IF(SplitText($AB38,",",COLUMN(AD:AD)-COLUMN($AC:$AC))="",$AC38,trimtext(SplitText($AB38,",",COLUMN(AD:AD)-COLUMN($AC:$AC))))</f>
        <v>'J'</v>
      </c>
      <c r="AE38" s="18" t="str">
        <f t="shared" si="6"/>
        <v>&lt;xs:enumeration value="T24"&gt;&lt;xs:annotation&gt;&lt;xs:documentation&gt;Typically 'J' for keyboard type 4, different values for different keyboard types&lt;/xs:documentation&gt;&lt;xs:appinfo&gt;&lt;default-vk&gt;</v>
      </c>
      <c r="AF38" s="15" t="str">
        <f>IF(D38&lt;&gt;"","&lt;vk kbd="""&amp;D$1&amp;""" vk="""&amp;D38&amp;""""&amp;IF(Scan2VKFlags!B38&lt;&gt;""," flags="""&amp;Scan2VKFlags!B38&amp;"""","")&amp;"/&gt;","")</f>
        <v>&lt;vk kbd="1" vk="'J'"/&gt;</v>
      </c>
      <c r="AG38" s="15" t="str">
        <f>IF(E38&lt;&gt;"","&lt;vk kbd="""&amp;E$1&amp;""" vk="""&amp;E38&amp;""""&amp;IF(Scan2VKFlags!C38&lt;&gt;""," flags="""&amp;Scan2VKFlags!C38&amp;"""","")&amp;"/&gt;","")</f>
        <v>&lt;vk kbd="2" vk="'J'"/&gt;</v>
      </c>
      <c r="AH38" s="15" t="str">
        <f>IF(F38&lt;&gt;"","&lt;vk kbd="""&amp;F$1&amp;""" vk="""&amp;F38&amp;""""&amp;IF(Scan2VKFlags!D38&lt;&gt;""," flags="""&amp;Scan2VKFlags!D38&amp;"""","")&amp;"/&gt;","")</f>
        <v>&lt;vk kbd="3" vk="'J'"/&gt;</v>
      </c>
      <c r="AI38" s="15" t="str">
        <f>IF(G38&lt;&gt;"","&lt;vk kbd="""&amp;G$1&amp;""" vk="""&amp;G38&amp;""""&amp;IF(Scan2VKFlags!E38&lt;&gt;""," flags="""&amp;Scan2VKFlags!E38&amp;"""","")&amp;"/&gt;","")</f>
        <v>&lt;vk kbd="4" vk="'J'"/&gt;</v>
      </c>
      <c r="AJ38" s="15" t="str">
        <f>IF(H38&lt;&gt;"","&lt;vk kbd="""&amp;H$1&amp;""" vk="""&amp;H38&amp;""""&amp;IF(Scan2VKFlags!F38&lt;&gt;""," flags="""&amp;Scan2VKFlags!F38&amp;"""","")&amp;"/&gt;","")</f>
        <v>&lt;vk kbd="5" vk="'J'"/&gt;</v>
      </c>
      <c r="AK38" s="16" t="str">
        <f>IF(I38&lt;&gt;"","&lt;vk kbd="""&amp;I$1&amp;""" vk="""&amp;I38&amp;""""&amp;IF(Scan2VKFlags!G38&lt;&gt;""," flags="""&amp;Scan2VKFlags!G38&amp;"""","")&amp;"/&gt;","")</f>
        <v>&lt;vk kbd="6" vk="'J'"/&gt;</v>
      </c>
      <c r="AL38" s="3" t="str">
        <f>IF(K38&lt;&gt;"","&lt;vk kbd="""&amp;K$1&amp;""" vk="""&amp;K38&amp;""""&amp;IF(Scan2VKFlags!H38&lt;&gt;""," flags="""&amp;Scan2VKFlags!H38&amp;"""","")&amp;"/&gt;","")</f>
        <v>&lt;vk kbd="7" vk="'J'"/&gt;</v>
      </c>
      <c r="AM38" t="str">
        <f>IF(L38&lt;&gt;"","&lt;vk kbd="""&amp;L$1&amp;""" vk="""&amp;L38&amp;""""&amp;IF(Scan2VKFlags!I38&lt;&gt;""," flags="""&amp;Scan2VKFlags!I38&amp;"""","")&amp;"/&gt;","")</f>
        <v>&lt;vk kbd="8" vk="'J'"/&gt;</v>
      </c>
      <c r="AN38" t="str">
        <f>IF(M38&lt;&gt;"","&lt;vk kbd="""&amp;M$1&amp;""" vk="""&amp;M38&amp;""""&amp;IF(Scan2VKFlags!J38&lt;&gt;""," flags="""&amp;Scan2VKFlags!J38&amp;"""","")&amp;"/&gt;","")</f>
        <v>&lt;vk kbd="16" vk="'J'"/&gt;</v>
      </c>
      <c r="AO38" t="str">
        <f>IF(N38&lt;&gt;"","&lt;vk kbd="""&amp;N$1&amp;""" vk="""&amp;N38&amp;""""&amp;IF(Scan2VKFlags!K38&lt;&gt;""," flags="""&amp;Scan2VKFlags!K38&amp;"""","")&amp;"/&gt;","")</f>
        <v>&lt;vk kbd="10" vk="'J'"/&gt;</v>
      </c>
      <c r="AP38" t="str">
        <f>IF(O38&lt;&gt;"","&lt;vk kbd="""&amp;O$1&amp;""" vk="""&amp;O38&amp;""""&amp;IF(Scan2VKFlags!L38&lt;&gt;""," flags="""&amp;Scan2VKFlags!L38&amp;"""","")&amp;"/&gt;","")</f>
        <v>&lt;vk kbd="11" vk="'J'"/&gt;</v>
      </c>
      <c r="AQ38" t="str">
        <f>IF(P38&lt;&gt;"","&lt;vk kbd="""&amp;P$1&amp;""" vk="""&amp;P38&amp;""""&amp;IF(Scan2VKFlags!M38&lt;&gt;""," flags="""&amp;Scan2VKFlags!M38&amp;"""","")&amp;"/&gt;","")</f>
        <v>&lt;vk kbd="12" vk="'J'"/&gt;</v>
      </c>
      <c r="AR38" s="16" t="str">
        <f>IF(Q38&lt;&gt;"","&lt;vk kbd="""&amp;Q$1&amp;""" vk="""&amp;Q38&amp;""""&amp;IF(Scan2VKFlags!N38&lt;&gt;""," flags="""&amp;Scan2VKFlags!N38&amp;"""","")&amp;"/&gt;","")</f>
        <v>&lt;vk kbd="13" vk="'J'"/&gt;</v>
      </c>
      <c r="AS38" s="3" t="str">
        <f>IF(S38&lt;&gt;"","&lt;vk kbd="""&amp;S$1&amp;""" vk="""&amp;S38&amp;""""&amp;IF(Scan2VKFlags!O38&lt;&gt;""," flags="""&amp;Scan2VKFlags!O38&amp;"""","")&amp;"/&gt;","")</f>
        <v>&lt;vk kbd="20" vk="'J'"/&gt;</v>
      </c>
      <c r="AT38" t="str">
        <f>IF(T38&lt;&gt;"","&lt;vk kbd="""&amp;T$1&amp;""" vk="""&amp;T38&amp;""""&amp;IF(Scan2VKFlags!P38&lt;&gt;""," flags="""&amp;Scan2VKFlags!P38&amp;"""","")&amp;"/&gt;","")</f>
        <v>&lt;vk kbd="21" vk="'J'"/&gt;</v>
      </c>
      <c r="AU38" s="16" t="str">
        <f>IF(U38&lt;&gt;"","&lt;vk kbd="""&amp;U$1&amp;""" vk="""&amp;U38&amp;""""&amp;IF(Scan2VKFlags!Q38&lt;&gt;""," flags="""&amp;Scan2VKFlags!Q38&amp;"""","")&amp;"/&gt;","")</f>
        <v>&lt;vk kbd="22" vk="'J'"/&gt;</v>
      </c>
      <c r="AV38" s="3" t="str">
        <f>IF(W38&lt;&gt;"","&lt;vk kbd="""&amp;W$1&amp;""" vk="""&amp;W38&amp;""""&amp;IF(Scan2VKFlags!R38&lt;&gt;""," flags="""&amp;Scan2VKFlags!R38&amp;"""","")&amp;"/&gt;","")</f>
        <v>&lt;vk kbd="30" vk="'J'"/&gt;</v>
      </c>
      <c r="AW38" s="15" t="str">
        <f>IF(X38&lt;&gt;"","&lt;vk kbd="""&amp;X$1&amp;""" vk="""&amp;X38&amp;""""&amp;IF(Scan2VKFlags!S38&lt;&gt;""," flags="""&amp;Scan2VKFlags!S38&amp;"""","")&amp;"/&gt;","")</f>
        <v>&lt;vk kbd="33" vk="'J'"/&gt;</v>
      </c>
      <c r="AX38" s="15" t="str">
        <f>IF(Y38&lt;&gt;"","&lt;vk kbd="""&amp;Y$1&amp;""" vk="""&amp;Y38&amp;""""&amp;IF(Scan2VKFlags!T38&lt;&gt;""," flags="""&amp;Scan2VKFlags!T38&amp;"""","")&amp;"/&gt;","")</f>
        <v>&lt;vk kbd="34" vk="'J'"/&gt;</v>
      </c>
      <c r="AY38" s="18" t="str">
        <f>IF(AA38&lt;&gt;"","&lt;vk kbd="""&amp;AA$1&amp;""" vk="""&amp;AA38&amp;""""&amp;IF(Scan2VKFlags!U38&lt;&gt;""," flags="""&amp;Scan2VKFlags!U38&amp;"""","")&amp;"/&gt;","")</f>
        <v>&lt;vk kbd="37" vk="'K'"/&gt;</v>
      </c>
      <c r="AZ38" s="3" t="str">
        <f>IF(AC38&lt;&gt;"","&lt;vk kbd="""&amp;AC$1&amp;""" vk="""&amp;AC38&amp;""""&amp;IF(Scan2VKFlags!V38&lt;&gt;""," flags="""&amp;Scan2VKFlags!V38&amp;"""","")&amp;"/&gt;","")</f>
        <v>&lt;vk kbd="40" vk="'J'"/&gt;</v>
      </c>
      <c r="BA38" s="16" t="str">
        <f>IF(AD38&lt;&gt;"","&lt;vk kbd="""&amp;AD$1&amp;""" vk="""&amp;AD38&amp;""""&amp;IF(Scan2VKFlags!W38&lt;&gt;""," flags="""&amp;Scan2VKFlags!W38&amp;"""","")&amp;"/&gt;","")</f>
        <v>&lt;vk kbd="41" vk="'J'"/&gt;</v>
      </c>
      <c r="BB38" t="s">
        <v>854</v>
      </c>
    </row>
    <row r="39" spans="1:54" x14ac:dyDescent="0.25">
      <c r="A39">
        <f t="shared" si="7"/>
        <v>37</v>
      </c>
      <c r="B39" t="str">
        <f t="shared" si="4"/>
        <v>T25</v>
      </c>
      <c r="C39" s="7" t="s">
        <v>37</v>
      </c>
      <c r="D39" s="12" t="str">
        <f>trimtext(SplitText($C39,",",0))</f>
        <v>'K'</v>
      </c>
      <c r="E39" s="12" t="str">
        <f>IF(SplitText($C39,",",COLUMN(E:E)-COLUMN($D:$D))="",$D39,trimtext(SplitText($C39,",",COLUMN(E:E)-COLUMN($D:$D))))</f>
        <v>'K'</v>
      </c>
      <c r="F39" s="12" t="str">
        <f>IF(SplitText($C39,",",COLUMN(F:F)-COLUMN($D:$D))="",$D39,trimtext(SplitText($C39,",",COLUMN(F:F)-COLUMN($D:$D))))</f>
        <v>'K'</v>
      </c>
      <c r="G39" s="12" t="str">
        <f>IF(SplitText($C39,",",COLUMN(G:G)-COLUMN($D:$D))="",$D39,trimtext(SplitText($C39,",",COLUMN(G:G)-COLUMN($D:$D))))</f>
        <v>'K'</v>
      </c>
      <c r="H39" s="12" t="str">
        <f>IF(SplitText($C39,",",COLUMN(H:H)-COLUMN($D:$D))="",$D39,trimtext(SplitText($C39,",",COLUMN(H:H)-COLUMN($D:$D))))</f>
        <v>'K'</v>
      </c>
      <c r="I39" s="12" t="str">
        <f>IF(SplitText($C39,",",COLUMN(I:I)-COLUMN($D:$D))="",$D39,trimtext(SplitText($C39,",",COLUMN(I:I)-COLUMN($D:$D))))</f>
        <v>'K'</v>
      </c>
      <c r="J39" s="9" t="s">
        <v>222</v>
      </c>
      <c r="K39" s="12" t="str">
        <f>trimtext(SplitText($J39,",",0))</f>
        <v>'K'</v>
      </c>
      <c r="L39" s="12" t="str">
        <f>IF(SplitText($J39,",",COLUMN(L:L)-COLUMN($K:$K))="",$K39,trimtext(SplitText($J39,",",COLUMN(L:L)-COLUMN($K:$K))))</f>
        <v>'K'</v>
      </c>
      <c r="M39" s="12" t="str">
        <f>IF(SplitText($J39,",",COLUMN(M:M)-COLUMN($K:$K))="",$K39,trimtext(SplitText($J39,",",COLUMN(M:M)-COLUMN($K:$K))))</f>
        <v>'K'</v>
      </c>
      <c r="N39" s="12" t="str">
        <f>IF(SplitText($J39,",",COLUMN(N:N)-COLUMN($K:$K))="",$K39,trimtext(SplitText($J39,",",COLUMN(N:N)-COLUMN($K:$K))))</f>
        <v>'K'</v>
      </c>
      <c r="O39" s="12" t="str">
        <f>IF(SplitText($J39,",",COLUMN(O:O)-COLUMN($K:$K))="",$K39,trimtext(SplitText($J39,",",COLUMN(O:O)-COLUMN($K:$K))))</f>
        <v>'K'</v>
      </c>
      <c r="P39" s="12" t="str">
        <f>IF(SplitText($J39,",",COLUMN(P:P)-COLUMN($K:$K))="",$K39,trimtext(SplitText($J39,",",COLUMN(P:P)-COLUMN($K:$K))))</f>
        <v>'K'</v>
      </c>
      <c r="Q39" s="12" t="str">
        <f>IF(SplitText($J39,",",COLUMN(Q:Q)-COLUMN($K:$K))="",$K39,trimtext(SplitText($J39,",",COLUMN(Q:Q)-COLUMN($K:$K))))</f>
        <v>'K'</v>
      </c>
      <c r="R39" s="2" t="s">
        <v>379</v>
      </c>
      <c r="S39" s="12" t="str">
        <f>trimtext(SplitText($R39,",",0))</f>
        <v>'K'</v>
      </c>
      <c r="T39" s="12" t="str">
        <f>IF(SplitText($R39,",",COLUMN(T:T)-COLUMN($S:$S))="",$S39,trimtext(SplitText($R39,",",COLUMN(T:T)-COLUMN($S:$S))))</f>
        <v>'K'</v>
      </c>
      <c r="U39" s="12" t="str">
        <f>IF(SplitText($R39,",",COLUMN(U:U)-COLUMN($S:$S))="",$S39,trimtext(SplitText($R39,",",COLUMN(U:U)-COLUMN($S:$S))))</f>
        <v>'K'</v>
      </c>
      <c r="V39" s="23" t="s">
        <v>543</v>
      </c>
      <c r="W39" s="12" t="str">
        <f>trimtext(SplitText($V39,",",0))</f>
        <v>'K'</v>
      </c>
      <c r="X39" s="12" t="str">
        <f>IF(SplitText($V39,",",COLUMN(X:X)-COLUMN($W:$W))="",$W39,trimtext(SplitText($V39,",",COLUMN(X:X)-COLUMN($W:$W))))</f>
        <v>'K'</v>
      </c>
      <c r="Y39" s="12" t="str">
        <f>IF(SplitText($V39,",",COLUMN(Y:Y)-COLUMN($W:$W))="",$W39,trimtext(SplitText($V39,",",COLUMN(Y:Y)-COLUMN($W:$W))))</f>
        <v>'K'</v>
      </c>
      <c r="Z39" s="23" t="s">
        <v>669</v>
      </c>
      <c r="AA39" s="12" t="str">
        <f t="shared" si="5"/>
        <v>'L'</v>
      </c>
      <c r="AB39" s="2" t="s">
        <v>780</v>
      </c>
      <c r="AC39" s="12" t="str">
        <f>trimtext(SplitText($AB39,",",0))</f>
        <v>'K'</v>
      </c>
      <c r="AD39" s="12" t="str">
        <f>IF(SplitText($AB39,",",COLUMN(AD:AD)-COLUMN($AC:$AC))="",$AC39,trimtext(SplitText($AB39,",",COLUMN(AD:AD)-COLUMN($AC:$AC))))</f>
        <v>'K'</v>
      </c>
      <c r="AE39" s="18" t="str">
        <f t="shared" si="6"/>
        <v>&lt;xs:enumeration value="T25"&gt;&lt;xs:annotation&gt;&lt;xs:documentation&gt;Typically 'K' for keyboard type 4, different values for different keyboard types&lt;/xs:documentation&gt;&lt;xs:appinfo&gt;&lt;default-vk&gt;</v>
      </c>
      <c r="AF39" s="15" t="str">
        <f>IF(D39&lt;&gt;"","&lt;vk kbd="""&amp;D$1&amp;""" vk="""&amp;D39&amp;""""&amp;IF(Scan2VKFlags!B39&lt;&gt;""," flags="""&amp;Scan2VKFlags!B39&amp;"""","")&amp;"/&gt;","")</f>
        <v>&lt;vk kbd="1" vk="'K'"/&gt;</v>
      </c>
      <c r="AG39" s="15" t="str">
        <f>IF(E39&lt;&gt;"","&lt;vk kbd="""&amp;E$1&amp;""" vk="""&amp;E39&amp;""""&amp;IF(Scan2VKFlags!C39&lt;&gt;""," flags="""&amp;Scan2VKFlags!C39&amp;"""","")&amp;"/&gt;","")</f>
        <v>&lt;vk kbd="2" vk="'K'"/&gt;</v>
      </c>
      <c r="AH39" s="15" t="str">
        <f>IF(F39&lt;&gt;"","&lt;vk kbd="""&amp;F$1&amp;""" vk="""&amp;F39&amp;""""&amp;IF(Scan2VKFlags!D39&lt;&gt;""," flags="""&amp;Scan2VKFlags!D39&amp;"""","")&amp;"/&gt;","")</f>
        <v>&lt;vk kbd="3" vk="'K'"/&gt;</v>
      </c>
      <c r="AI39" s="15" t="str">
        <f>IF(G39&lt;&gt;"","&lt;vk kbd="""&amp;G$1&amp;""" vk="""&amp;G39&amp;""""&amp;IF(Scan2VKFlags!E39&lt;&gt;""," flags="""&amp;Scan2VKFlags!E39&amp;"""","")&amp;"/&gt;","")</f>
        <v>&lt;vk kbd="4" vk="'K'"/&gt;</v>
      </c>
      <c r="AJ39" s="15" t="str">
        <f>IF(H39&lt;&gt;"","&lt;vk kbd="""&amp;H$1&amp;""" vk="""&amp;H39&amp;""""&amp;IF(Scan2VKFlags!F39&lt;&gt;""," flags="""&amp;Scan2VKFlags!F39&amp;"""","")&amp;"/&gt;","")</f>
        <v>&lt;vk kbd="5" vk="'K'"/&gt;</v>
      </c>
      <c r="AK39" s="16" t="str">
        <f>IF(I39&lt;&gt;"","&lt;vk kbd="""&amp;I$1&amp;""" vk="""&amp;I39&amp;""""&amp;IF(Scan2VKFlags!G39&lt;&gt;""," flags="""&amp;Scan2VKFlags!G39&amp;"""","")&amp;"/&gt;","")</f>
        <v>&lt;vk kbd="6" vk="'K'"/&gt;</v>
      </c>
      <c r="AL39" s="3" t="str">
        <f>IF(K39&lt;&gt;"","&lt;vk kbd="""&amp;K$1&amp;""" vk="""&amp;K39&amp;""""&amp;IF(Scan2VKFlags!H39&lt;&gt;""," flags="""&amp;Scan2VKFlags!H39&amp;"""","")&amp;"/&gt;","")</f>
        <v>&lt;vk kbd="7" vk="'K'"/&gt;</v>
      </c>
      <c r="AM39" t="str">
        <f>IF(L39&lt;&gt;"","&lt;vk kbd="""&amp;L$1&amp;""" vk="""&amp;L39&amp;""""&amp;IF(Scan2VKFlags!I39&lt;&gt;""," flags="""&amp;Scan2VKFlags!I39&amp;"""","")&amp;"/&gt;","")</f>
        <v>&lt;vk kbd="8" vk="'K'"/&gt;</v>
      </c>
      <c r="AN39" t="str">
        <f>IF(M39&lt;&gt;"","&lt;vk kbd="""&amp;M$1&amp;""" vk="""&amp;M39&amp;""""&amp;IF(Scan2VKFlags!J39&lt;&gt;""," flags="""&amp;Scan2VKFlags!J39&amp;"""","")&amp;"/&gt;","")</f>
        <v>&lt;vk kbd="16" vk="'K'"/&gt;</v>
      </c>
      <c r="AO39" t="str">
        <f>IF(N39&lt;&gt;"","&lt;vk kbd="""&amp;N$1&amp;""" vk="""&amp;N39&amp;""""&amp;IF(Scan2VKFlags!K39&lt;&gt;""," flags="""&amp;Scan2VKFlags!K39&amp;"""","")&amp;"/&gt;","")</f>
        <v>&lt;vk kbd="10" vk="'K'"/&gt;</v>
      </c>
      <c r="AP39" t="str">
        <f>IF(O39&lt;&gt;"","&lt;vk kbd="""&amp;O$1&amp;""" vk="""&amp;O39&amp;""""&amp;IF(Scan2VKFlags!L39&lt;&gt;""," flags="""&amp;Scan2VKFlags!L39&amp;"""","")&amp;"/&gt;","")</f>
        <v>&lt;vk kbd="11" vk="'K'"/&gt;</v>
      </c>
      <c r="AQ39" t="str">
        <f>IF(P39&lt;&gt;"","&lt;vk kbd="""&amp;P$1&amp;""" vk="""&amp;P39&amp;""""&amp;IF(Scan2VKFlags!M39&lt;&gt;""," flags="""&amp;Scan2VKFlags!M39&amp;"""","")&amp;"/&gt;","")</f>
        <v>&lt;vk kbd="12" vk="'K'"/&gt;</v>
      </c>
      <c r="AR39" s="16" t="str">
        <f>IF(Q39&lt;&gt;"","&lt;vk kbd="""&amp;Q$1&amp;""" vk="""&amp;Q39&amp;""""&amp;IF(Scan2VKFlags!N39&lt;&gt;""," flags="""&amp;Scan2VKFlags!N39&amp;"""","")&amp;"/&gt;","")</f>
        <v>&lt;vk kbd="13" vk="'K'"/&gt;</v>
      </c>
      <c r="AS39" s="3" t="str">
        <f>IF(S39&lt;&gt;"","&lt;vk kbd="""&amp;S$1&amp;""" vk="""&amp;S39&amp;""""&amp;IF(Scan2VKFlags!O39&lt;&gt;""," flags="""&amp;Scan2VKFlags!O39&amp;"""","")&amp;"/&gt;","")</f>
        <v>&lt;vk kbd="20" vk="'K'"/&gt;</v>
      </c>
      <c r="AT39" t="str">
        <f>IF(T39&lt;&gt;"","&lt;vk kbd="""&amp;T$1&amp;""" vk="""&amp;T39&amp;""""&amp;IF(Scan2VKFlags!P39&lt;&gt;""," flags="""&amp;Scan2VKFlags!P39&amp;"""","")&amp;"/&gt;","")</f>
        <v>&lt;vk kbd="21" vk="'K'"/&gt;</v>
      </c>
      <c r="AU39" s="16" t="str">
        <f>IF(U39&lt;&gt;"","&lt;vk kbd="""&amp;U$1&amp;""" vk="""&amp;U39&amp;""""&amp;IF(Scan2VKFlags!Q39&lt;&gt;""," flags="""&amp;Scan2VKFlags!Q39&amp;"""","")&amp;"/&gt;","")</f>
        <v>&lt;vk kbd="22" vk="'K'"/&gt;</v>
      </c>
      <c r="AV39" s="3" t="str">
        <f>IF(W39&lt;&gt;"","&lt;vk kbd="""&amp;W$1&amp;""" vk="""&amp;W39&amp;""""&amp;IF(Scan2VKFlags!R39&lt;&gt;""," flags="""&amp;Scan2VKFlags!R39&amp;"""","")&amp;"/&gt;","")</f>
        <v>&lt;vk kbd="30" vk="'K'"/&gt;</v>
      </c>
      <c r="AW39" s="15" t="str">
        <f>IF(X39&lt;&gt;"","&lt;vk kbd="""&amp;X$1&amp;""" vk="""&amp;X39&amp;""""&amp;IF(Scan2VKFlags!S39&lt;&gt;""," flags="""&amp;Scan2VKFlags!S39&amp;"""","")&amp;"/&gt;","")</f>
        <v>&lt;vk kbd="33" vk="'K'"/&gt;</v>
      </c>
      <c r="AX39" s="15" t="str">
        <f>IF(Y39&lt;&gt;"","&lt;vk kbd="""&amp;Y$1&amp;""" vk="""&amp;Y39&amp;""""&amp;IF(Scan2VKFlags!T39&lt;&gt;""," flags="""&amp;Scan2VKFlags!T39&amp;"""","")&amp;"/&gt;","")</f>
        <v>&lt;vk kbd="34" vk="'K'"/&gt;</v>
      </c>
      <c r="AY39" s="18" t="str">
        <f>IF(AA39&lt;&gt;"","&lt;vk kbd="""&amp;AA$1&amp;""" vk="""&amp;AA39&amp;""""&amp;IF(Scan2VKFlags!U39&lt;&gt;""," flags="""&amp;Scan2VKFlags!U39&amp;"""","")&amp;"/&gt;","")</f>
        <v>&lt;vk kbd="37" vk="'L'"/&gt;</v>
      </c>
      <c r="AZ39" s="3" t="str">
        <f>IF(AC39&lt;&gt;"","&lt;vk kbd="""&amp;AC$1&amp;""" vk="""&amp;AC39&amp;""""&amp;IF(Scan2VKFlags!V39&lt;&gt;""," flags="""&amp;Scan2VKFlags!V39&amp;"""","")&amp;"/&gt;","")</f>
        <v>&lt;vk kbd="40" vk="'K'"/&gt;</v>
      </c>
      <c r="BA39" s="16" t="str">
        <f>IF(AD39&lt;&gt;"","&lt;vk kbd="""&amp;AD$1&amp;""" vk="""&amp;AD39&amp;""""&amp;IF(Scan2VKFlags!W39&lt;&gt;""," flags="""&amp;Scan2VKFlags!W39&amp;"""","")&amp;"/&gt;","")</f>
        <v>&lt;vk kbd="41" vk="'K'"/&gt;</v>
      </c>
      <c r="BB39" t="s">
        <v>854</v>
      </c>
    </row>
    <row r="40" spans="1:54" x14ac:dyDescent="0.25">
      <c r="A40">
        <f t="shared" si="7"/>
        <v>38</v>
      </c>
      <c r="B40" t="str">
        <f t="shared" si="4"/>
        <v>T26</v>
      </c>
      <c r="C40" s="7" t="s">
        <v>38</v>
      </c>
      <c r="D40" s="12" t="str">
        <f>trimtext(SplitText($C40,",",0))</f>
        <v>'L'</v>
      </c>
      <c r="E40" s="12" t="str">
        <f>IF(SplitText($C40,",",COLUMN(E:E)-COLUMN($D:$D))="",$D40,trimtext(SplitText($C40,",",COLUMN(E:E)-COLUMN($D:$D))))</f>
        <v>'L'</v>
      </c>
      <c r="F40" s="12" t="str">
        <f>IF(SplitText($C40,",",COLUMN(F:F)-COLUMN($D:$D))="",$D40,trimtext(SplitText($C40,",",COLUMN(F:F)-COLUMN($D:$D))))</f>
        <v>'L'</v>
      </c>
      <c r="G40" s="12" t="str">
        <f>IF(SplitText($C40,",",COLUMN(G:G)-COLUMN($D:$D))="",$D40,trimtext(SplitText($C40,",",COLUMN(G:G)-COLUMN($D:$D))))</f>
        <v>'L'</v>
      </c>
      <c r="H40" s="12" t="str">
        <f>IF(SplitText($C40,",",COLUMN(H:H)-COLUMN($D:$D))="",$D40,trimtext(SplitText($C40,",",COLUMN(H:H)-COLUMN($D:$D))))</f>
        <v>'L'</v>
      </c>
      <c r="I40" s="12" t="str">
        <f>IF(SplitText($C40,",",COLUMN(I:I)-COLUMN($D:$D))="",$D40,trimtext(SplitText($C40,",",COLUMN(I:I)-COLUMN($D:$D))))</f>
        <v>'L'</v>
      </c>
      <c r="J40" s="9" t="s">
        <v>223</v>
      </c>
      <c r="K40" s="12" t="str">
        <f>trimtext(SplitText($J40,",",0))</f>
        <v>'L'</v>
      </c>
      <c r="L40" s="12" t="str">
        <f>IF(SplitText($J40,",",COLUMN(L:L)-COLUMN($K:$K))="",$K40,trimtext(SplitText($J40,",",COLUMN(L:L)-COLUMN($K:$K))))</f>
        <v>'L'</v>
      </c>
      <c r="M40" s="12" t="str">
        <f>IF(SplitText($J40,",",COLUMN(M:M)-COLUMN($K:$K))="",$K40,trimtext(SplitText($J40,",",COLUMN(M:M)-COLUMN($K:$K))))</f>
        <v>'L'</v>
      </c>
      <c r="N40" s="12" t="str">
        <f>IF(SplitText($J40,",",COLUMN(N:N)-COLUMN($K:$K))="",$K40,trimtext(SplitText($J40,",",COLUMN(N:N)-COLUMN($K:$K))))</f>
        <v>'L'</v>
      </c>
      <c r="O40" s="12" t="str">
        <f>IF(SplitText($J40,",",COLUMN(O:O)-COLUMN($K:$K))="",$K40,trimtext(SplitText($J40,",",COLUMN(O:O)-COLUMN($K:$K))))</f>
        <v>'L'</v>
      </c>
      <c r="P40" s="12" t="str">
        <f>IF(SplitText($J40,",",COLUMN(P:P)-COLUMN($K:$K))="",$K40,trimtext(SplitText($J40,",",COLUMN(P:P)-COLUMN($K:$K))))</f>
        <v>'L'</v>
      </c>
      <c r="Q40" s="12" t="str">
        <f>IF(SplitText($J40,",",COLUMN(Q:Q)-COLUMN($K:$K))="",$K40,trimtext(SplitText($J40,",",COLUMN(Q:Q)-COLUMN($K:$K))))</f>
        <v>'L'</v>
      </c>
      <c r="R40" s="2" t="s">
        <v>380</v>
      </c>
      <c r="S40" s="12" t="str">
        <f>trimtext(SplitText($R40,",",0))</f>
        <v>'L'</v>
      </c>
      <c r="T40" s="12" t="str">
        <f>IF(SplitText($R40,",",COLUMN(T:T)-COLUMN($S:$S))="",$S40,trimtext(SplitText($R40,",",COLUMN(T:T)-COLUMN($S:$S))))</f>
        <v>'L'</v>
      </c>
      <c r="U40" s="12" t="str">
        <f>IF(SplitText($R40,",",COLUMN(U:U)-COLUMN($S:$S))="",$S40,trimtext(SplitText($R40,",",COLUMN(U:U)-COLUMN($S:$S))))</f>
        <v>'L'</v>
      </c>
      <c r="V40" s="23" t="s">
        <v>544</v>
      </c>
      <c r="W40" s="12" t="str">
        <f>trimtext(SplitText($V40,",",0))</f>
        <v>'L'</v>
      </c>
      <c r="X40" s="12" t="str">
        <f>IF(SplitText($V40,",",COLUMN(X:X)-COLUMN($W:$W))="",$W40,trimtext(SplitText($V40,",",COLUMN(X:X)-COLUMN($W:$W))))</f>
        <v>'L'</v>
      </c>
      <c r="Y40" s="12" t="str">
        <f>IF(SplitText($V40,",",COLUMN(Y:Y)-COLUMN($W:$W))="",$W40,trimtext(SplitText($V40,",",COLUMN(Y:Y)-COLUMN($W:$W))))</f>
        <v>'L'</v>
      </c>
      <c r="Z40" s="2" t="s">
        <v>670</v>
      </c>
      <c r="AA40" s="12" t="str">
        <f t="shared" si="5"/>
        <v>OEM_PLUS</v>
      </c>
      <c r="AB40" s="2" t="s">
        <v>781</v>
      </c>
      <c r="AC40" s="12" t="str">
        <f>trimtext(SplitText($AB40,",",0))</f>
        <v>'L'</v>
      </c>
      <c r="AD40" s="12" t="str">
        <f>IF(SplitText($AB40,",",COLUMN(AD:AD)-COLUMN($AC:$AC))="",$AC40,trimtext(SplitText($AB40,",",COLUMN(AD:AD)-COLUMN($AC:$AC))))</f>
        <v>'L'</v>
      </c>
      <c r="AE40" s="18" t="str">
        <f t="shared" si="6"/>
        <v>&lt;xs:enumeration value="T26"&gt;&lt;xs:annotation&gt;&lt;xs:documentation&gt;Typically 'L' for keyboard type 4, different values for different keyboard types&lt;/xs:documentation&gt;&lt;xs:appinfo&gt;&lt;default-vk&gt;</v>
      </c>
      <c r="AF40" s="15" t="str">
        <f>IF(D40&lt;&gt;"","&lt;vk kbd="""&amp;D$1&amp;""" vk="""&amp;D40&amp;""""&amp;IF(Scan2VKFlags!B40&lt;&gt;""," flags="""&amp;Scan2VKFlags!B40&amp;"""","")&amp;"/&gt;","")</f>
        <v>&lt;vk kbd="1" vk="'L'"/&gt;</v>
      </c>
      <c r="AG40" s="15" t="str">
        <f>IF(E40&lt;&gt;"","&lt;vk kbd="""&amp;E$1&amp;""" vk="""&amp;E40&amp;""""&amp;IF(Scan2VKFlags!C40&lt;&gt;""," flags="""&amp;Scan2VKFlags!C40&amp;"""","")&amp;"/&gt;","")</f>
        <v>&lt;vk kbd="2" vk="'L'"/&gt;</v>
      </c>
      <c r="AH40" s="15" t="str">
        <f>IF(F40&lt;&gt;"","&lt;vk kbd="""&amp;F$1&amp;""" vk="""&amp;F40&amp;""""&amp;IF(Scan2VKFlags!D40&lt;&gt;""," flags="""&amp;Scan2VKFlags!D40&amp;"""","")&amp;"/&gt;","")</f>
        <v>&lt;vk kbd="3" vk="'L'"/&gt;</v>
      </c>
      <c r="AI40" s="15" t="str">
        <f>IF(G40&lt;&gt;"","&lt;vk kbd="""&amp;G$1&amp;""" vk="""&amp;G40&amp;""""&amp;IF(Scan2VKFlags!E40&lt;&gt;""," flags="""&amp;Scan2VKFlags!E40&amp;"""","")&amp;"/&gt;","")</f>
        <v>&lt;vk kbd="4" vk="'L'"/&gt;</v>
      </c>
      <c r="AJ40" s="15" t="str">
        <f>IF(H40&lt;&gt;"","&lt;vk kbd="""&amp;H$1&amp;""" vk="""&amp;H40&amp;""""&amp;IF(Scan2VKFlags!F40&lt;&gt;""," flags="""&amp;Scan2VKFlags!F40&amp;"""","")&amp;"/&gt;","")</f>
        <v>&lt;vk kbd="5" vk="'L'"/&gt;</v>
      </c>
      <c r="AK40" s="16" t="str">
        <f>IF(I40&lt;&gt;"","&lt;vk kbd="""&amp;I$1&amp;""" vk="""&amp;I40&amp;""""&amp;IF(Scan2VKFlags!G40&lt;&gt;""," flags="""&amp;Scan2VKFlags!G40&amp;"""","")&amp;"/&gt;","")</f>
        <v>&lt;vk kbd="6" vk="'L'"/&gt;</v>
      </c>
      <c r="AL40" s="3" t="str">
        <f>IF(K40&lt;&gt;"","&lt;vk kbd="""&amp;K$1&amp;""" vk="""&amp;K40&amp;""""&amp;IF(Scan2VKFlags!H40&lt;&gt;""," flags="""&amp;Scan2VKFlags!H40&amp;"""","")&amp;"/&gt;","")</f>
        <v>&lt;vk kbd="7" vk="'L'"/&gt;</v>
      </c>
      <c r="AM40" t="str">
        <f>IF(L40&lt;&gt;"","&lt;vk kbd="""&amp;L$1&amp;""" vk="""&amp;L40&amp;""""&amp;IF(Scan2VKFlags!I40&lt;&gt;""," flags="""&amp;Scan2VKFlags!I40&amp;"""","")&amp;"/&gt;","")</f>
        <v>&lt;vk kbd="8" vk="'L'"/&gt;</v>
      </c>
      <c r="AN40" t="str">
        <f>IF(M40&lt;&gt;"","&lt;vk kbd="""&amp;M$1&amp;""" vk="""&amp;M40&amp;""""&amp;IF(Scan2VKFlags!J40&lt;&gt;""," flags="""&amp;Scan2VKFlags!J40&amp;"""","")&amp;"/&gt;","")</f>
        <v>&lt;vk kbd="16" vk="'L'"/&gt;</v>
      </c>
      <c r="AO40" t="str">
        <f>IF(N40&lt;&gt;"","&lt;vk kbd="""&amp;N$1&amp;""" vk="""&amp;N40&amp;""""&amp;IF(Scan2VKFlags!K40&lt;&gt;""," flags="""&amp;Scan2VKFlags!K40&amp;"""","")&amp;"/&gt;","")</f>
        <v>&lt;vk kbd="10" vk="'L'"/&gt;</v>
      </c>
      <c r="AP40" t="str">
        <f>IF(O40&lt;&gt;"","&lt;vk kbd="""&amp;O$1&amp;""" vk="""&amp;O40&amp;""""&amp;IF(Scan2VKFlags!L40&lt;&gt;""," flags="""&amp;Scan2VKFlags!L40&amp;"""","")&amp;"/&gt;","")</f>
        <v>&lt;vk kbd="11" vk="'L'"/&gt;</v>
      </c>
      <c r="AQ40" t="str">
        <f>IF(P40&lt;&gt;"","&lt;vk kbd="""&amp;P$1&amp;""" vk="""&amp;P40&amp;""""&amp;IF(Scan2VKFlags!M40&lt;&gt;""," flags="""&amp;Scan2VKFlags!M40&amp;"""","")&amp;"/&gt;","")</f>
        <v>&lt;vk kbd="12" vk="'L'"/&gt;</v>
      </c>
      <c r="AR40" s="16" t="str">
        <f>IF(Q40&lt;&gt;"","&lt;vk kbd="""&amp;Q$1&amp;""" vk="""&amp;Q40&amp;""""&amp;IF(Scan2VKFlags!N40&lt;&gt;""," flags="""&amp;Scan2VKFlags!N40&amp;"""","")&amp;"/&gt;","")</f>
        <v>&lt;vk kbd="13" vk="'L'"/&gt;</v>
      </c>
      <c r="AS40" s="3" t="str">
        <f>IF(S40&lt;&gt;"","&lt;vk kbd="""&amp;S$1&amp;""" vk="""&amp;S40&amp;""""&amp;IF(Scan2VKFlags!O40&lt;&gt;""," flags="""&amp;Scan2VKFlags!O40&amp;"""","")&amp;"/&gt;","")</f>
        <v>&lt;vk kbd="20" vk="'L'"/&gt;</v>
      </c>
      <c r="AT40" t="str">
        <f>IF(T40&lt;&gt;"","&lt;vk kbd="""&amp;T$1&amp;""" vk="""&amp;T40&amp;""""&amp;IF(Scan2VKFlags!P40&lt;&gt;""," flags="""&amp;Scan2VKFlags!P40&amp;"""","")&amp;"/&gt;","")</f>
        <v>&lt;vk kbd="21" vk="'L'"/&gt;</v>
      </c>
      <c r="AU40" s="16" t="str">
        <f>IF(U40&lt;&gt;"","&lt;vk kbd="""&amp;U$1&amp;""" vk="""&amp;U40&amp;""""&amp;IF(Scan2VKFlags!Q40&lt;&gt;""," flags="""&amp;Scan2VKFlags!Q40&amp;"""","")&amp;"/&gt;","")</f>
        <v>&lt;vk kbd="22" vk="'L'"/&gt;</v>
      </c>
      <c r="AV40" s="3" t="str">
        <f>IF(W40&lt;&gt;"","&lt;vk kbd="""&amp;W$1&amp;""" vk="""&amp;W40&amp;""""&amp;IF(Scan2VKFlags!R40&lt;&gt;""," flags="""&amp;Scan2VKFlags!R40&amp;"""","")&amp;"/&gt;","")</f>
        <v>&lt;vk kbd="30" vk="'L'"/&gt;</v>
      </c>
      <c r="AW40" s="15" t="str">
        <f>IF(X40&lt;&gt;"","&lt;vk kbd="""&amp;X$1&amp;""" vk="""&amp;X40&amp;""""&amp;IF(Scan2VKFlags!S40&lt;&gt;""," flags="""&amp;Scan2VKFlags!S40&amp;"""","")&amp;"/&gt;","")</f>
        <v>&lt;vk kbd="33" vk="'L'"/&gt;</v>
      </c>
      <c r="AX40" s="15" t="str">
        <f>IF(Y40&lt;&gt;"","&lt;vk kbd="""&amp;Y$1&amp;""" vk="""&amp;Y40&amp;""""&amp;IF(Scan2VKFlags!T40&lt;&gt;""," flags="""&amp;Scan2VKFlags!T40&amp;"""","")&amp;"/&gt;","")</f>
        <v>&lt;vk kbd="34" vk="'L'"/&gt;</v>
      </c>
      <c r="AY40" s="18" t="str">
        <f>IF(AA40&lt;&gt;"","&lt;vk kbd="""&amp;AA$1&amp;""" vk="""&amp;AA40&amp;""""&amp;IF(Scan2VKFlags!U40&lt;&gt;""," flags="""&amp;Scan2VKFlags!U40&amp;"""","")&amp;"/&gt;","")</f>
        <v>&lt;vk kbd="37" vk="OEM_PLUS"/&gt;</v>
      </c>
      <c r="AZ40" s="3" t="str">
        <f>IF(AC40&lt;&gt;"","&lt;vk kbd="""&amp;AC$1&amp;""" vk="""&amp;AC40&amp;""""&amp;IF(Scan2VKFlags!V40&lt;&gt;""," flags="""&amp;Scan2VKFlags!V40&amp;"""","")&amp;"/&gt;","")</f>
        <v>&lt;vk kbd="40" vk="'L'"/&gt;</v>
      </c>
      <c r="BA40" s="16" t="str">
        <f>IF(AD40&lt;&gt;"","&lt;vk kbd="""&amp;AD$1&amp;""" vk="""&amp;AD40&amp;""""&amp;IF(Scan2VKFlags!W40&lt;&gt;""," flags="""&amp;Scan2VKFlags!W40&amp;"""","")&amp;"/&gt;","")</f>
        <v>&lt;vk kbd="41" vk="'L'"/&gt;</v>
      </c>
      <c r="BB40" t="s">
        <v>854</v>
      </c>
    </row>
    <row r="41" spans="1:54" x14ac:dyDescent="0.25">
      <c r="A41">
        <f t="shared" si="7"/>
        <v>39</v>
      </c>
      <c r="B41" t="str">
        <f t="shared" si="4"/>
        <v>T27</v>
      </c>
      <c r="C41" s="7" t="s">
        <v>39</v>
      </c>
      <c r="D41" s="12" t="str">
        <f>trimtext(SplitText($C41,",",0))</f>
        <v>OEM_1</v>
      </c>
      <c r="E41" s="12" t="str">
        <f>IF(SplitText($C41,",",COLUMN(E:E)-COLUMN($D:$D))="",$D41,trimtext(SplitText($C41,",",COLUMN(E:E)-COLUMN($D:$D))))</f>
        <v>OEM_PLUS</v>
      </c>
      <c r="F41" s="12" t="str">
        <f>IF(SplitText($C41,",",COLUMN(F:F)-COLUMN($D:$D))="",$D41,trimtext(SplitText($C41,",",COLUMN(F:F)-COLUMN($D:$D))))</f>
        <v>OEM_1</v>
      </c>
      <c r="G41" s="12" t="str">
        <f>IF(SplitText($C41,",",COLUMN(G:G)-COLUMN($D:$D))="",$D41,trimtext(SplitText($C41,",",COLUMN(G:G)-COLUMN($D:$D))))</f>
        <v>OEM_1</v>
      </c>
      <c r="H41" s="12" t="str">
        <f>IF(SplitText($C41,",",COLUMN(H:H)-COLUMN($D:$D))="",$D41,trimtext(SplitText($C41,",",COLUMN(H:H)-COLUMN($D:$D))))</f>
        <v>OEM_1</v>
      </c>
      <c r="I41" s="12" t="str">
        <f>IF(SplitText($C41,",",COLUMN(I:I)-COLUMN($D:$D))="",$D41,trimtext(SplitText($C41,",",COLUMN(I:I)-COLUMN($D:$D))))</f>
        <v>OEM_1</v>
      </c>
      <c r="J41" s="9" t="s">
        <v>224</v>
      </c>
      <c r="K41" s="12" t="str">
        <f>trimtext(SplitText($J41,",",0))</f>
        <v>OEM_PLUS</v>
      </c>
      <c r="L41" s="12" t="str">
        <f>IF(SplitText($J41,",",COLUMN(L:L)-COLUMN($K:$K))="",$K41,trimtext(SplitText($J41,",",COLUMN(L:L)-COLUMN($K:$K))))</f>
        <v>OEM_PLUS</v>
      </c>
      <c r="M41" s="12" t="str">
        <f>IF(SplitText($J41,",",COLUMN(M:M)-COLUMN($K:$K))="",$K41,trimtext(SplitText($J41,",",COLUMN(M:M)-COLUMN($K:$K))))</f>
        <v>OEM_1</v>
      </c>
      <c r="N41" s="12" t="str">
        <f>IF(SplitText($J41,",",COLUMN(N:N)-COLUMN($K:$K))="",$K41,trimtext(SplitText($J41,",",COLUMN(N:N)-COLUMN($K:$K))))</f>
        <v>OEM_1</v>
      </c>
      <c r="O41" s="12" t="str">
        <f>IF(SplitText($J41,",",COLUMN(O:O)-COLUMN($K:$K))="",$K41,trimtext(SplitText($J41,",",COLUMN(O:O)-COLUMN($K:$K))))</f>
        <v>OEM_1</v>
      </c>
      <c r="P41" s="12" t="str">
        <f>IF(SplitText($J41,",",COLUMN(P:P)-COLUMN($K:$K))="",$K41,trimtext(SplitText($J41,",",COLUMN(P:P)-COLUMN($K:$K))))</f>
        <v>OEM_1</v>
      </c>
      <c r="Q41" s="12" t="str">
        <f>IF(SplitText($J41,",",COLUMN(Q:Q)-COLUMN($K:$K))="",$K41,trimtext(SplitText($J41,",",COLUMN(Q:Q)-COLUMN($K:$K))))</f>
        <v>OEM_1</v>
      </c>
      <c r="R41" s="2" t="s">
        <v>381</v>
      </c>
      <c r="S41" s="12" t="str">
        <f>trimtext(SplitText($R41,",",0))</f>
        <v>OEM_PLUS</v>
      </c>
      <c r="T41" s="12" t="str">
        <f>IF(SplitText($R41,",",COLUMN(T:T)-COLUMN($S:$S))="",$S41,trimtext(SplitText($R41,",",COLUMN(T:T)-COLUMN($S:$S))))</f>
        <v>OEM_PLUS</v>
      </c>
      <c r="U41" s="12" t="str">
        <f>IF(SplitText($R41,",",COLUMN(U:U)-COLUMN($S:$S))="",$S41,trimtext(SplitText($R41,",",COLUMN(U:U)-COLUMN($S:$S))))</f>
        <v>OEM_PLUS</v>
      </c>
      <c r="V41" s="2" t="s">
        <v>545</v>
      </c>
      <c r="W41" s="12" t="str">
        <f>trimtext(SplitText($V41,",",0))</f>
        <v>OEM_PLUS</v>
      </c>
      <c r="X41" s="12" t="str">
        <f>IF(SplitText($V41,",",COLUMN(X:X)-COLUMN($W:$W))="",$W41,trimtext(SplitText($V41,",",COLUMN(X:X)-COLUMN($W:$W))))</f>
        <v>OEM_PLUS</v>
      </c>
      <c r="Y41" s="12" t="str">
        <f>IF(SplitText($V41,",",COLUMN(Y:Y)-COLUMN($W:$W))="",$W41,trimtext(SplitText($V41,",",COLUMN(Y:Y)-COLUMN($W:$W))))</f>
        <v>OEM_1</v>
      </c>
      <c r="Z41" s="2" t="s">
        <v>671</v>
      </c>
      <c r="AA41" s="12" t="str">
        <f t="shared" si="5"/>
        <v>OEM_1</v>
      </c>
      <c r="AB41" s="2" t="s">
        <v>782</v>
      </c>
      <c r="AC41" s="12" t="str">
        <f>trimtext(SplitText($AB41,",",0))</f>
        <v>OEM_PLUS</v>
      </c>
      <c r="AD41" s="12" t="str">
        <f>IF(SplitText($AB41,",",COLUMN(AD:AD)-COLUMN($AC:$AC))="",$AC41,trimtext(SplitText($AB41,",",COLUMN(AD:AD)-COLUMN($AC:$AC))))</f>
        <v>OEM_1</v>
      </c>
      <c r="AE41" s="18" t="str">
        <f t="shared" si="6"/>
        <v>&lt;xs:enumeration value="T27"&gt;&lt;xs:annotation&gt;&lt;xs:documentation&gt;Typically OEM_1 for keyboard type 4, different values for different keyboard types&lt;/xs:documentation&gt;&lt;xs:appinfo&gt;&lt;default-vk&gt;</v>
      </c>
      <c r="AF41" s="15" t="str">
        <f>IF(D41&lt;&gt;"","&lt;vk kbd="""&amp;D$1&amp;""" vk="""&amp;D41&amp;""""&amp;IF(Scan2VKFlags!B41&lt;&gt;""," flags="""&amp;Scan2VKFlags!B41&amp;"""","")&amp;"/&gt;","")</f>
        <v>&lt;vk kbd="1" vk="OEM_1"/&gt;</v>
      </c>
      <c r="AG41" s="15" t="str">
        <f>IF(E41&lt;&gt;"","&lt;vk kbd="""&amp;E$1&amp;""" vk="""&amp;E41&amp;""""&amp;IF(Scan2VKFlags!C41&lt;&gt;""," flags="""&amp;Scan2VKFlags!C41&amp;"""","")&amp;"/&gt;","")</f>
        <v>&lt;vk kbd="2" vk="OEM_PLUS"/&gt;</v>
      </c>
      <c r="AH41" s="15" t="str">
        <f>IF(F41&lt;&gt;"","&lt;vk kbd="""&amp;F$1&amp;""" vk="""&amp;F41&amp;""""&amp;IF(Scan2VKFlags!D41&lt;&gt;""," flags="""&amp;Scan2VKFlags!D41&amp;"""","")&amp;"/&gt;","")</f>
        <v>&lt;vk kbd="3" vk="OEM_1"/&gt;</v>
      </c>
      <c r="AI41" s="15" t="str">
        <f>IF(G41&lt;&gt;"","&lt;vk kbd="""&amp;G$1&amp;""" vk="""&amp;G41&amp;""""&amp;IF(Scan2VKFlags!E41&lt;&gt;""," flags="""&amp;Scan2VKFlags!E41&amp;"""","")&amp;"/&gt;","")</f>
        <v>&lt;vk kbd="4" vk="OEM_1"/&gt;</v>
      </c>
      <c r="AJ41" s="15" t="str">
        <f>IF(H41&lt;&gt;"","&lt;vk kbd="""&amp;H$1&amp;""" vk="""&amp;H41&amp;""""&amp;IF(Scan2VKFlags!F41&lt;&gt;""," flags="""&amp;Scan2VKFlags!F41&amp;"""","")&amp;"/&gt;","")</f>
        <v>&lt;vk kbd="5" vk="OEM_1"/&gt;</v>
      </c>
      <c r="AK41" s="16" t="str">
        <f>IF(I41&lt;&gt;"","&lt;vk kbd="""&amp;I$1&amp;""" vk="""&amp;I41&amp;""""&amp;IF(Scan2VKFlags!G41&lt;&gt;""," flags="""&amp;Scan2VKFlags!G41&amp;"""","")&amp;"/&gt;","")</f>
        <v>&lt;vk kbd="6" vk="OEM_1"/&gt;</v>
      </c>
      <c r="AL41" s="3" t="str">
        <f>IF(K41&lt;&gt;"","&lt;vk kbd="""&amp;K$1&amp;""" vk="""&amp;K41&amp;""""&amp;IF(Scan2VKFlags!H41&lt;&gt;""," flags="""&amp;Scan2VKFlags!H41&amp;"""","")&amp;"/&gt;","")</f>
        <v>&lt;vk kbd="7" vk="OEM_PLUS"/&gt;</v>
      </c>
      <c r="AM41" t="str">
        <f>IF(L41&lt;&gt;"","&lt;vk kbd="""&amp;L$1&amp;""" vk="""&amp;L41&amp;""""&amp;IF(Scan2VKFlags!I41&lt;&gt;""," flags="""&amp;Scan2VKFlags!I41&amp;"""","")&amp;"/&gt;","")</f>
        <v>&lt;vk kbd="8" vk="OEM_PLUS"/&gt;</v>
      </c>
      <c r="AN41" t="str">
        <f>IF(M41&lt;&gt;"","&lt;vk kbd="""&amp;M$1&amp;""" vk="""&amp;M41&amp;""""&amp;IF(Scan2VKFlags!J41&lt;&gt;""," flags="""&amp;Scan2VKFlags!J41&amp;"""","")&amp;"/&gt;","")</f>
        <v>&lt;vk kbd="16" vk="OEM_1"/&gt;</v>
      </c>
      <c r="AO41" t="str">
        <f>IF(N41&lt;&gt;"","&lt;vk kbd="""&amp;N$1&amp;""" vk="""&amp;N41&amp;""""&amp;IF(Scan2VKFlags!K41&lt;&gt;""," flags="""&amp;Scan2VKFlags!K41&amp;"""","")&amp;"/&gt;","")</f>
        <v>&lt;vk kbd="10" vk="OEM_1"/&gt;</v>
      </c>
      <c r="AP41" t="str">
        <f>IF(O41&lt;&gt;"","&lt;vk kbd="""&amp;O$1&amp;""" vk="""&amp;O41&amp;""""&amp;IF(Scan2VKFlags!L41&lt;&gt;""," flags="""&amp;Scan2VKFlags!L41&amp;"""","")&amp;"/&gt;","")</f>
        <v>&lt;vk kbd="11" vk="OEM_1"/&gt;</v>
      </c>
      <c r="AQ41" t="str">
        <f>IF(P41&lt;&gt;"","&lt;vk kbd="""&amp;P$1&amp;""" vk="""&amp;P41&amp;""""&amp;IF(Scan2VKFlags!M41&lt;&gt;""," flags="""&amp;Scan2VKFlags!M41&amp;"""","")&amp;"/&gt;","")</f>
        <v>&lt;vk kbd="12" vk="OEM_1"/&gt;</v>
      </c>
      <c r="AR41" s="16" t="str">
        <f>IF(Q41&lt;&gt;"","&lt;vk kbd="""&amp;Q$1&amp;""" vk="""&amp;Q41&amp;""""&amp;IF(Scan2VKFlags!N41&lt;&gt;""," flags="""&amp;Scan2VKFlags!N41&amp;"""","")&amp;"/&gt;","")</f>
        <v>&lt;vk kbd="13" vk="OEM_1"/&gt;</v>
      </c>
      <c r="AS41" s="3" t="str">
        <f>IF(S41&lt;&gt;"","&lt;vk kbd="""&amp;S$1&amp;""" vk="""&amp;S41&amp;""""&amp;IF(Scan2VKFlags!O41&lt;&gt;""," flags="""&amp;Scan2VKFlags!O41&amp;"""","")&amp;"/&gt;","")</f>
        <v>&lt;vk kbd="20" vk="OEM_PLUS"/&gt;</v>
      </c>
      <c r="AT41" t="str">
        <f>IF(T41&lt;&gt;"","&lt;vk kbd="""&amp;T$1&amp;""" vk="""&amp;T41&amp;""""&amp;IF(Scan2VKFlags!P41&lt;&gt;""," flags="""&amp;Scan2VKFlags!P41&amp;"""","")&amp;"/&gt;","")</f>
        <v>&lt;vk kbd="21" vk="OEM_PLUS"/&gt;</v>
      </c>
      <c r="AU41" s="16" t="str">
        <f>IF(U41&lt;&gt;"","&lt;vk kbd="""&amp;U$1&amp;""" vk="""&amp;U41&amp;""""&amp;IF(Scan2VKFlags!Q41&lt;&gt;""," flags="""&amp;Scan2VKFlags!Q41&amp;"""","")&amp;"/&gt;","")</f>
        <v>&lt;vk kbd="22" vk="OEM_PLUS"/&gt;</v>
      </c>
      <c r="AV41" s="3" t="str">
        <f>IF(W41&lt;&gt;"","&lt;vk kbd="""&amp;W$1&amp;""" vk="""&amp;W41&amp;""""&amp;IF(Scan2VKFlags!R41&lt;&gt;""," flags="""&amp;Scan2VKFlags!R41&amp;"""","")&amp;"/&gt;","")</f>
        <v>&lt;vk kbd="30" vk="OEM_PLUS"/&gt;</v>
      </c>
      <c r="AW41" s="15" t="str">
        <f>IF(X41&lt;&gt;"","&lt;vk kbd="""&amp;X$1&amp;""" vk="""&amp;X41&amp;""""&amp;IF(Scan2VKFlags!S41&lt;&gt;""," flags="""&amp;Scan2VKFlags!S41&amp;"""","")&amp;"/&gt;","")</f>
        <v>&lt;vk kbd="33" vk="OEM_PLUS"/&gt;</v>
      </c>
      <c r="AX41" s="15" t="str">
        <f>IF(Y41&lt;&gt;"","&lt;vk kbd="""&amp;Y$1&amp;""" vk="""&amp;Y41&amp;""""&amp;IF(Scan2VKFlags!T41&lt;&gt;""," flags="""&amp;Scan2VKFlags!T41&amp;"""","")&amp;"/&gt;","")</f>
        <v>&lt;vk kbd="34" vk="OEM_1"/&gt;</v>
      </c>
      <c r="AY41" s="18" t="str">
        <f>IF(AA41&lt;&gt;"","&lt;vk kbd="""&amp;AA$1&amp;""" vk="""&amp;AA41&amp;""""&amp;IF(Scan2VKFlags!U41&lt;&gt;""," flags="""&amp;Scan2VKFlags!U41&amp;"""","")&amp;"/&gt;","")</f>
        <v>&lt;vk kbd="37" vk="OEM_1"/&gt;</v>
      </c>
      <c r="AZ41" s="3" t="str">
        <f>IF(AC41&lt;&gt;"","&lt;vk kbd="""&amp;AC$1&amp;""" vk="""&amp;AC41&amp;""""&amp;IF(Scan2VKFlags!V41&lt;&gt;""," flags="""&amp;Scan2VKFlags!V41&amp;"""","")&amp;"/&gt;","")</f>
        <v>&lt;vk kbd="40" vk="OEM_PLUS"/&gt;</v>
      </c>
      <c r="BA41" s="16" t="str">
        <f>IF(AD41&lt;&gt;"","&lt;vk kbd="""&amp;AD$1&amp;""" vk="""&amp;AD41&amp;""""&amp;IF(Scan2VKFlags!W41&lt;&gt;""," flags="""&amp;Scan2VKFlags!W41&amp;"""","")&amp;"/&gt;","")</f>
        <v>&lt;vk kbd="41" vk="OEM_1"/&gt;</v>
      </c>
      <c r="BB41" t="s">
        <v>854</v>
      </c>
    </row>
    <row r="42" spans="1:54" x14ac:dyDescent="0.25">
      <c r="A42">
        <f t="shared" si="7"/>
        <v>40</v>
      </c>
      <c r="B42" t="str">
        <f t="shared" si="4"/>
        <v>T28</v>
      </c>
      <c r="C42" s="7" t="s">
        <v>40</v>
      </c>
      <c r="D42" s="12" t="str">
        <f>trimtext(SplitText($C42,",",0))</f>
        <v>OEM_7</v>
      </c>
      <c r="E42" s="12" t="str">
        <f>IF(SplitText($C42,",",COLUMN(E:E)-COLUMN($D:$D))="",$D42,trimtext(SplitText($C42,",",COLUMN(E:E)-COLUMN($D:$D))))</f>
        <v>OEM_3</v>
      </c>
      <c r="F42" s="12" t="str">
        <f>IF(SplitText($C42,",",COLUMN(F:F)-COLUMN($D:$D))="",$D42,trimtext(SplitText($C42,",",COLUMN(F:F)-COLUMN($D:$D))))</f>
        <v>OEM_7</v>
      </c>
      <c r="G42" s="12" t="str">
        <f>IF(SplitText($C42,",",COLUMN(G:G)-COLUMN($D:$D))="",$D42,trimtext(SplitText($C42,",",COLUMN(G:G)-COLUMN($D:$D))))</f>
        <v>OEM_7</v>
      </c>
      <c r="H42" s="12" t="str">
        <f>IF(SplitText($C42,",",COLUMN(H:H)-COLUMN($D:$D))="",$D42,trimtext(SplitText($C42,",",COLUMN(H:H)-COLUMN($D:$D))))</f>
        <v>OEM_3</v>
      </c>
      <c r="I42" s="12" t="str">
        <f>IF(SplitText($C42,",",COLUMN(I:I)-COLUMN($D:$D))="",$D42,trimtext(SplitText($C42,",",COLUMN(I:I)-COLUMN($D:$D))))</f>
        <v>OEM_3</v>
      </c>
      <c r="J42" s="9" t="s">
        <v>225</v>
      </c>
      <c r="K42" s="12" t="str">
        <f>trimtext(SplitText($J42,",",0))</f>
        <v>OEM_1</v>
      </c>
      <c r="L42" s="12" t="str">
        <f>IF(SplitText($J42,",",COLUMN(L:L)-COLUMN($K:$K))="",$K42,trimtext(SplitText($J42,",",COLUMN(L:L)-COLUMN($K:$K))))</f>
        <v>OEM_1</v>
      </c>
      <c r="M42" s="12" t="str">
        <f>IF(SplitText($J42,",",COLUMN(M:M)-COLUMN($K:$K))="",$K42,trimtext(SplitText($J42,",",COLUMN(M:M)-COLUMN($K:$K))))</f>
        <v>OEM_7</v>
      </c>
      <c r="N42" s="12" t="str">
        <f>IF(SplitText($J42,",",COLUMN(N:N)-COLUMN($K:$K))="",$K42,trimtext(SplitText($J42,",",COLUMN(N:N)-COLUMN($K:$K))))</f>
        <v>OEM_7</v>
      </c>
      <c r="O42" s="12" t="str">
        <f>IF(SplitText($J42,",",COLUMN(O:O)-COLUMN($K:$K))="",$K42,trimtext(SplitText($J42,",",COLUMN(O:O)-COLUMN($K:$K))))</f>
        <v>OEM_7</v>
      </c>
      <c r="P42" s="12" t="str">
        <f>IF(SplitText($J42,",",COLUMN(P:P)-COLUMN($K:$K))="",$K42,trimtext(SplitText($J42,",",COLUMN(P:P)-COLUMN($K:$K))))</f>
        <v>OEM_7</v>
      </c>
      <c r="Q42" s="12" t="str">
        <f>IF(SplitText($J42,",",COLUMN(Q:Q)-COLUMN($K:$K))="",$K42,trimtext(SplitText($J42,",",COLUMN(Q:Q)-COLUMN($K:$K))))</f>
        <v>OEM_7</v>
      </c>
      <c r="R42" s="2" t="s">
        <v>382</v>
      </c>
      <c r="S42" s="12" t="str">
        <f>trimtext(SplitText($R42,",",0))</f>
        <v>OEM_1</v>
      </c>
      <c r="T42" s="12" t="str">
        <f>IF(SplitText($R42,",",COLUMN(T:T)-COLUMN($S:$S))="",$S42,trimtext(SplitText($R42,",",COLUMN(T:T)-COLUMN($S:$S))))</f>
        <v>OEM_1</v>
      </c>
      <c r="U42" s="12" t="str">
        <f>IF(SplitText($R42,",",COLUMN(U:U)-COLUMN($S:$S))="",$S42,trimtext(SplitText($R42,",",COLUMN(U:U)-COLUMN($S:$S))))</f>
        <v>OEM_1</v>
      </c>
      <c r="V42" s="2" t="s">
        <v>546</v>
      </c>
      <c r="W42" s="12" t="str">
        <f>trimtext(SplitText($V42,",",0))</f>
        <v>OEM_1</v>
      </c>
      <c r="X42" s="12" t="str">
        <f>IF(SplitText($V42,",",COLUMN(X:X)-COLUMN($W:$W))="",$W42,trimtext(SplitText($V42,",",COLUMN(X:X)-COLUMN($W:$W))))</f>
        <v>OEM_1</v>
      </c>
      <c r="Y42" s="12" t="str">
        <f>IF(SplitText($V42,",",COLUMN(Y:Y)-COLUMN($W:$W))="",$W42,trimtext(SplitText($V42,",",COLUMN(Y:Y)-COLUMN($W:$W))))</f>
        <v>OEM_7</v>
      </c>
      <c r="Z42" s="2" t="s">
        <v>672</v>
      </c>
      <c r="AA42" s="12" t="str">
        <f t="shared" si="5"/>
        <v>OEM_6</v>
      </c>
      <c r="AB42" s="2" t="s">
        <v>783</v>
      </c>
      <c r="AC42" s="12" t="str">
        <f>trimtext(SplitText($AB42,",",0))</f>
        <v>OEM_1</v>
      </c>
      <c r="AD42" s="12" t="str">
        <f>IF(SplitText($AB42,",",COLUMN(AD:AD)-COLUMN($AC:$AC))="",$AC42,trimtext(SplitText($AB42,",",COLUMN(AD:AD)-COLUMN($AC:$AC))))</f>
        <v>OEM_7</v>
      </c>
      <c r="AE42" s="18" t="str">
        <f t="shared" si="6"/>
        <v>&lt;xs:enumeration value="T28"&gt;&lt;xs:annotation&gt;&lt;xs:documentation&gt;Typically OEM_7 for keyboard type 4, different values for different keyboard types&lt;/xs:documentation&gt;&lt;xs:appinfo&gt;&lt;default-vk&gt;</v>
      </c>
      <c r="AF42" s="15" t="str">
        <f>IF(D42&lt;&gt;"","&lt;vk kbd="""&amp;D$1&amp;""" vk="""&amp;D42&amp;""""&amp;IF(Scan2VKFlags!B42&lt;&gt;""," flags="""&amp;Scan2VKFlags!B42&amp;"""","")&amp;"/&gt;","")</f>
        <v>&lt;vk kbd="1" vk="OEM_7"/&gt;</v>
      </c>
      <c r="AG42" s="15" t="str">
        <f>IF(E42&lt;&gt;"","&lt;vk kbd="""&amp;E$1&amp;""" vk="""&amp;E42&amp;""""&amp;IF(Scan2VKFlags!C42&lt;&gt;""," flags="""&amp;Scan2VKFlags!C42&amp;"""","")&amp;"/&gt;","")</f>
        <v>&lt;vk kbd="2" vk="OEM_3"/&gt;</v>
      </c>
      <c r="AH42" s="15" t="str">
        <f>IF(F42&lt;&gt;"","&lt;vk kbd="""&amp;F$1&amp;""" vk="""&amp;F42&amp;""""&amp;IF(Scan2VKFlags!D42&lt;&gt;""," flags="""&amp;Scan2VKFlags!D42&amp;"""","")&amp;"/&gt;","")</f>
        <v>&lt;vk kbd="3" vk="OEM_7"/&gt;</v>
      </c>
      <c r="AI42" s="15" t="str">
        <f>IF(G42&lt;&gt;"","&lt;vk kbd="""&amp;G$1&amp;""" vk="""&amp;G42&amp;""""&amp;IF(Scan2VKFlags!E42&lt;&gt;""," flags="""&amp;Scan2VKFlags!E42&amp;"""","")&amp;"/&gt;","")</f>
        <v>&lt;vk kbd="4" vk="OEM_7"/&gt;</v>
      </c>
      <c r="AJ42" s="15" t="str">
        <f>IF(H42&lt;&gt;"","&lt;vk kbd="""&amp;H$1&amp;""" vk="""&amp;H42&amp;""""&amp;IF(Scan2VKFlags!F42&lt;&gt;""," flags="""&amp;Scan2VKFlags!F42&amp;"""","")&amp;"/&gt;","")</f>
        <v>&lt;vk kbd="5" vk="OEM_3"/&gt;</v>
      </c>
      <c r="AK42" s="16" t="str">
        <f>IF(I42&lt;&gt;"","&lt;vk kbd="""&amp;I$1&amp;""" vk="""&amp;I42&amp;""""&amp;IF(Scan2VKFlags!G42&lt;&gt;""," flags="""&amp;Scan2VKFlags!G42&amp;"""","")&amp;"/&gt;","")</f>
        <v>&lt;vk kbd="6" vk="OEM_3"/&gt;</v>
      </c>
      <c r="AL42" s="3" t="str">
        <f>IF(K42&lt;&gt;"","&lt;vk kbd="""&amp;K$1&amp;""" vk="""&amp;K42&amp;""""&amp;IF(Scan2VKFlags!H42&lt;&gt;""," flags="""&amp;Scan2VKFlags!H42&amp;"""","")&amp;"/&gt;","")</f>
        <v>&lt;vk kbd="7" vk="OEM_1"/&gt;</v>
      </c>
      <c r="AM42" t="str">
        <f>IF(L42&lt;&gt;"","&lt;vk kbd="""&amp;L$1&amp;""" vk="""&amp;L42&amp;""""&amp;IF(Scan2VKFlags!I42&lt;&gt;""," flags="""&amp;Scan2VKFlags!I42&amp;"""","")&amp;"/&gt;","")</f>
        <v>&lt;vk kbd="8" vk="OEM_1"/&gt;</v>
      </c>
      <c r="AN42" t="str">
        <f>IF(M42&lt;&gt;"","&lt;vk kbd="""&amp;M$1&amp;""" vk="""&amp;M42&amp;""""&amp;IF(Scan2VKFlags!J42&lt;&gt;""," flags="""&amp;Scan2VKFlags!J42&amp;"""","")&amp;"/&gt;","")</f>
        <v>&lt;vk kbd="16" vk="OEM_7"/&gt;</v>
      </c>
      <c r="AO42" t="str">
        <f>IF(N42&lt;&gt;"","&lt;vk kbd="""&amp;N$1&amp;""" vk="""&amp;N42&amp;""""&amp;IF(Scan2VKFlags!K42&lt;&gt;""," flags="""&amp;Scan2VKFlags!K42&amp;"""","")&amp;"/&gt;","")</f>
        <v>&lt;vk kbd="10" vk="OEM_7"/&gt;</v>
      </c>
      <c r="AP42" t="str">
        <f>IF(O42&lt;&gt;"","&lt;vk kbd="""&amp;O$1&amp;""" vk="""&amp;O42&amp;""""&amp;IF(Scan2VKFlags!L42&lt;&gt;""," flags="""&amp;Scan2VKFlags!L42&amp;"""","")&amp;"/&gt;","")</f>
        <v>&lt;vk kbd="11" vk="OEM_7"/&gt;</v>
      </c>
      <c r="AQ42" t="str">
        <f>IF(P42&lt;&gt;"","&lt;vk kbd="""&amp;P$1&amp;""" vk="""&amp;P42&amp;""""&amp;IF(Scan2VKFlags!M42&lt;&gt;""," flags="""&amp;Scan2VKFlags!M42&amp;"""","")&amp;"/&gt;","")</f>
        <v>&lt;vk kbd="12" vk="OEM_7"/&gt;</v>
      </c>
      <c r="AR42" s="16" t="str">
        <f>IF(Q42&lt;&gt;"","&lt;vk kbd="""&amp;Q$1&amp;""" vk="""&amp;Q42&amp;""""&amp;IF(Scan2VKFlags!N42&lt;&gt;""," flags="""&amp;Scan2VKFlags!N42&amp;"""","")&amp;"/&gt;","")</f>
        <v>&lt;vk kbd="13" vk="OEM_7"/&gt;</v>
      </c>
      <c r="AS42" s="3" t="str">
        <f>IF(S42&lt;&gt;"","&lt;vk kbd="""&amp;S$1&amp;""" vk="""&amp;S42&amp;""""&amp;IF(Scan2VKFlags!O42&lt;&gt;""," flags="""&amp;Scan2VKFlags!O42&amp;"""","")&amp;"/&gt;","")</f>
        <v>&lt;vk kbd="20" vk="OEM_1"/&gt;</v>
      </c>
      <c r="AT42" t="str">
        <f>IF(T42&lt;&gt;"","&lt;vk kbd="""&amp;T$1&amp;""" vk="""&amp;T42&amp;""""&amp;IF(Scan2VKFlags!P42&lt;&gt;""," flags="""&amp;Scan2VKFlags!P42&amp;"""","")&amp;"/&gt;","")</f>
        <v>&lt;vk kbd="21" vk="OEM_1"/&gt;</v>
      </c>
      <c r="AU42" s="16" t="str">
        <f>IF(U42&lt;&gt;"","&lt;vk kbd="""&amp;U$1&amp;""" vk="""&amp;U42&amp;""""&amp;IF(Scan2VKFlags!Q42&lt;&gt;""," flags="""&amp;Scan2VKFlags!Q42&amp;"""","")&amp;"/&gt;","")</f>
        <v>&lt;vk kbd="22" vk="OEM_1"/&gt;</v>
      </c>
      <c r="AV42" s="3" t="str">
        <f>IF(W42&lt;&gt;"","&lt;vk kbd="""&amp;W$1&amp;""" vk="""&amp;W42&amp;""""&amp;IF(Scan2VKFlags!R42&lt;&gt;""," flags="""&amp;Scan2VKFlags!R42&amp;"""","")&amp;"/&gt;","")</f>
        <v>&lt;vk kbd="30" vk="OEM_1"/&gt;</v>
      </c>
      <c r="AW42" s="15" t="str">
        <f>IF(X42&lt;&gt;"","&lt;vk kbd="""&amp;X$1&amp;""" vk="""&amp;X42&amp;""""&amp;IF(Scan2VKFlags!S42&lt;&gt;""," flags="""&amp;Scan2VKFlags!S42&amp;"""","")&amp;"/&gt;","")</f>
        <v>&lt;vk kbd="33" vk="OEM_1"/&gt;</v>
      </c>
      <c r="AX42" s="15" t="str">
        <f>IF(Y42&lt;&gt;"","&lt;vk kbd="""&amp;Y$1&amp;""" vk="""&amp;Y42&amp;""""&amp;IF(Scan2VKFlags!T42&lt;&gt;""," flags="""&amp;Scan2VKFlags!T42&amp;"""","")&amp;"/&gt;","")</f>
        <v>&lt;vk kbd="34" vk="OEM_7"/&gt;</v>
      </c>
      <c r="AY42" s="18" t="str">
        <f>IF(AA42&lt;&gt;"","&lt;vk kbd="""&amp;AA$1&amp;""" vk="""&amp;AA42&amp;""""&amp;IF(Scan2VKFlags!U42&lt;&gt;""," flags="""&amp;Scan2VKFlags!U42&amp;"""","")&amp;"/&gt;","")</f>
        <v>&lt;vk kbd="37" vk="OEM_6"/&gt;</v>
      </c>
      <c r="AZ42" s="3" t="str">
        <f>IF(AC42&lt;&gt;"","&lt;vk kbd="""&amp;AC$1&amp;""" vk="""&amp;AC42&amp;""""&amp;IF(Scan2VKFlags!V42&lt;&gt;""," flags="""&amp;Scan2VKFlags!V42&amp;"""","")&amp;"/&gt;","")</f>
        <v>&lt;vk kbd="40" vk="OEM_1"/&gt;</v>
      </c>
      <c r="BA42" s="16" t="str">
        <f>IF(AD42&lt;&gt;"","&lt;vk kbd="""&amp;AD$1&amp;""" vk="""&amp;AD42&amp;""""&amp;IF(Scan2VKFlags!W42&lt;&gt;""," flags="""&amp;Scan2VKFlags!W42&amp;"""","")&amp;"/&gt;","")</f>
        <v>&lt;vk kbd="41" vk="OEM_7"/&gt;</v>
      </c>
      <c r="BB42" t="s">
        <v>854</v>
      </c>
    </row>
    <row r="43" spans="1:54" x14ac:dyDescent="0.25">
      <c r="A43">
        <f t="shared" si="7"/>
        <v>41</v>
      </c>
      <c r="B43" t="str">
        <f t="shared" si="4"/>
        <v>T29</v>
      </c>
      <c r="C43" s="7" t="s">
        <v>41</v>
      </c>
      <c r="D43" s="12" t="str">
        <f>trimtext(SplitText($C43,",",0))</f>
        <v>OEM_3</v>
      </c>
      <c r="E43" s="12" t="str">
        <f>IF(SplitText($C43,",",COLUMN(E:E)-COLUMN($D:$D))="",$D43,trimtext(SplitText($C43,",",COLUMN(E:E)-COLUMN($D:$D))))</f>
        <v>OEM_7</v>
      </c>
      <c r="F43" s="12" t="str">
        <f>IF(SplitText($C43,",",COLUMN(F:F)-COLUMN($D:$D))="",$D43,trimtext(SplitText($C43,",",COLUMN(F:F)-COLUMN($D:$D))))</f>
        <v>OEM_3</v>
      </c>
      <c r="G43" s="12" t="str">
        <f>IF(SplitText($C43,",",COLUMN(G:G)-COLUMN($D:$D))="",$D43,trimtext(SplitText($C43,",",COLUMN(G:G)-COLUMN($D:$D))))</f>
        <v>OEM_3</v>
      </c>
      <c r="H43" s="12" t="str">
        <f>IF(SplitText($C43,",",COLUMN(H:H)-COLUMN($D:$D))="",$D43,trimtext(SplitText($C43,",",COLUMN(H:H)-COLUMN($D:$D))))</f>
        <v>OEM_7</v>
      </c>
      <c r="I43" s="12" t="str">
        <f>IF(SplitText($C43,",",COLUMN(I:I)-COLUMN($D:$D))="",$D43,trimtext(SplitText($C43,",",COLUMN(I:I)-COLUMN($D:$D))))</f>
        <v>OEM_7</v>
      </c>
      <c r="J43" s="9" t="s">
        <v>226</v>
      </c>
      <c r="K43" s="12" t="str">
        <f>trimtext(SplitText($J43,",",0))</f>
        <v>OEM_3</v>
      </c>
      <c r="L43" s="12" t="str">
        <f>IF(SplitText($J43,",",COLUMN(L:L)-COLUMN($K:$K))="",$K43,trimtext(SplitText($J43,",",COLUMN(L:L)-COLUMN($K:$K))))</f>
        <v>DBE_SBCSCHAR</v>
      </c>
      <c r="M43" s="12" t="str">
        <f>IF(SplitText($J43,",",COLUMN(M:M)-COLUMN($K:$K))="",$K43,trimtext(SplitText($J43,",",COLUMN(M:M)-COLUMN($K:$K))))</f>
        <v>OEM_3</v>
      </c>
      <c r="N43" s="12" t="str">
        <f>IF(SplitText($J43,",",COLUMN(N:N)-COLUMN($K:$K))="",$K43,trimtext(SplitText($J43,",",COLUMN(N:N)-COLUMN($K:$K))))</f>
        <v>OEM_3</v>
      </c>
      <c r="O43" s="12" t="str">
        <f>IF(SplitText($J43,",",COLUMN(O:O)-COLUMN($K:$K))="",$K43,trimtext(SplitText($J43,",",COLUMN(O:O)-COLUMN($K:$K))))</f>
        <v>OEM_3</v>
      </c>
      <c r="P43" s="12" t="str">
        <f>IF(SplitText($J43,",",COLUMN(P:P)-COLUMN($K:$K))="",$K43,trimtext(SplitText($J43,",",COLUMN(P:P)-COLUMN($K:$K))))</f>
        <v>OEM_3</v>
      </c>
      <c r="Q43" s="12" t="str">
        <f>IF(SplitText($J43,",",COLUMN(Q:Q)-COLUMN($K:$K))="",$K43,trimtext(SplitText($J43,",",COLUMN(Q:Q)-COLUMN($K:$K))))</f>
        <v>OEM_3</v>
      </c>
      <c r="R43" s="2" t="s">
        <v>383</v>
      </c>
      <c r="S43" s="12" t="str">
        <f>trimtext(SplitText($R43,",",0))</f>
        <v>OEM_6</v>
      </c>
      <c r="T43" s="12" t="str">
        <f>IF(SplitText($R43,",",COLUMN(T:T)-COLUMN($S:$S))="",$S43,trimtext(SplitText($R43,",",COLUMN(T:T)-COLUMN($S:$S))))</f>
        <v>OEM_6</v>
      </c>
      <c r="U43" s="12" t="str">
        <f>IF(SplitText($R43,",",COLUMN(U:U)-COLUMN($S:$S))="",$S43,trimtext(SplitText($R43,",",COLUMN(U:U)-COLUMN($S:$S))))</f>
        <v>DBE_SBCSCH</v>
      </c>
      <c r="V43" s="24" t="s">
        <v>547</v>
      </c>
      <c r="W43" s="12" t="str">
        <f>trimtext(SplitText($V43,",",0))</f>
        <v>DBE_SBCSCHAR</v>
      </c>
      <c r="X43" s="12" t="str">
        <f>IF(SplitText($V43,",",COLUMN(X:X)-COLUMN($W:$W))="",$W43,trimtext(SplitText($V43,",",COLUMN(X:X)-COLUMN($W:$W))))</f>
        <v>DBE_SBCSCHAR</v>
      </c>
      <c r="Y43" s="12" t="str">
        <f>IF(SplitText($V43,",",COLUMN(Y:Y)-COLUMN($W:$W))="",$W43,trimtext(SplitText($V43,",",COLUMN(Y:Y)-COLUMN($W:$W))))</f>
        <v>OEM_3</v>
      </c>
      <c r="Z43" s="23" t="s">
        <v>673</v>
      </c>
      <c r="AA43" s="12" t="str">
        <f t="shared" si="5"/>
        <v>'Z'</v>
      </c>
      <c r="AB43" s="2" t="s">
        <v>784</v>
      </c>
      <c r="AC43" s="12" t="str">
        <f>trimtext(SplitText($AB43,",",0))</f>
        <v>_none_</v>
      </c>
      <c r="AD43" s="12" t="str">
        <f>IF(SplitText($AB43,",",COLUMN(AD:AD)-COLUMN($AC:$AC))="",$AC43,trimtext(SplitText($AB43,",",COLUMN(AD:AD)-COLUMN($AC:$AC))))</f>
        <v>DBE_SBCSCHAR</v>
      </c>
      <c r="AE43" s="18" t="str">
        <f t="shared" si="6"/>
        <v>&lt;xs:enumeration value="T29"&gt;&lt;xs:annotation&gt;&lt;xs:documentation&gt;Typically OEM_3 for keyboard type 4, different values for different keyboard types&lt;/xs:documentation&gt;&lt;xs:appinfo&gt;&lt;default-vk&gt;</v>
      </c>
      <c r="AF43" s="15" t="str">
        <f>IF(D43&lt;&gt;"","&lt;vk kbd="""&amp;D$1&amp;""" vk="""&amp;D43&amp;""""&amp;IF(Scan2VKFlags!B43&lt;&gt;""," flags="""&amp;Scan2VKFlags!B43&amp;"""","")&amp;"/&gt;","")</f>
        <v>&lt;vk kbd="1" vk="OEM_3"/&gt;</v>
      </c>
      <c r="AG43" s="15" t="str">
        <f>IF(E43&lt;&gt;"","&lt;vk kbd="""&amp;E$1&amp;""" vk="""&amp;E43&amp;""""&amp;IF(Scan2VKFlags!C43&lt;&gt;""," flags="""&amp;Scan2VKFlags!C43&amp;"""","")&amp;"/&gt;","")</f>
        <v>&lt;vk kbd="2" vk="OEM_7"/&gt;</v>
      </c>
      <c r="AH43" s="15" t="str">
        <f>IF(F43&lt;&gt;"","&lt;vk kbd="""&amp;F$1&amp;""" vk="""&amp;F43&amp;""""&amp;IF(Scan2VKFlags!D43&lt;&gt;""," flags="""&amp;Scan2VKFlags!D43&amp;"""","")&amp;"/&gt;","")</f>
        <v>&lt;vk kbd="3" vk="OEM_3"/&gt;</v>
      </c>
      <c r="AI43" s="15" t="str">
        <f>IF(G43&lt;&gt;"","&lt;vk kbd="""&amp;G$1&amp;""" vk="""&amp;G43&amp;""""&amp;IF(Scan2VKFlags!E43&lt;&gt;""," flags="""&amp;Scan2VKFlags!E43&amp;"""","")&amp;"/&gt;","")</f>
        <v>&lt;vk kbd="4" vk="OEM_3"/&gt;</v>
      </c>
      <c r="AJ43" s="15" t="str">
        <f>IF(H43&lt;&gt;"","&lt;vk kbd="""&amp;H$1&amp;""" vk="""&amp;H43&amp;""""&amp;IF(Scan2VKFlags!F43&lt;&gt;""," flags="""&amp;Scan2VKFlags!F43&amp;"""","")&amp;"/&gt;","")</f>
        <v>&lt;vk kbd="5" vk="OEM_7"/&gt;</v>
      </c>
      <c r="AK43" s="16" t="str">
        <f>IF(I43&lt;&gt;"","&lt;vk kbd="""&amp;I$1&amp;""" vk="""&amp;I43&amp;""""&amp;IF(Scan2VKFlags!G43&lt;&gt;""," flags="""&amp;Scan2VKFlags!G43&amp;"""","")&amp;"/&gt;","")</f>
        <v>&lt;vk kbd="6" vk="OEM_7"/&gt;</v>
      </c>
      <c r="AL43" s="3" t="str">
        <f>IF(K43&lt;&gt;"","&lt;vk kbd="""&amp;K$1&amp;""" vk="""&amp;K43&amp;""""&amp;IF(Scan2VKFlags!H43&lt;&gt;""," flags="""&amp;Scan2VKFlags!H43&amp;"""","")&amp;"/&gt;","")</f>
        <v>&lt;vk kbd="7" vk="OEM_3"/&gt;</v>
      </c>
      <c r="AM43" t="str">
        <f>IF(L43&lt;&gt;"","&lt;vk kbd="""&amp;L$1&amp;""" vk="""&amp;L43&amp;""""&amp;IF(Scan2VKFlags!I43&lt;&gt;""," flags="""&amp;Scan2VKFlags!I43&amp;"""","")&amp;"/&gt;","")</f>
        <v>&lt;vk kbd="8" vk="DBE_SBCSCHAR"/&gt;</v>
      </c>
      <c r="AN43" t="str">
        <f>IF(M43&lt;&gt;"","&lt;vk kbd="""&amp;M$1&amp;""" vk="""&amp;M43&amp;""""&amp;IF(Scan2VKFlags!J43&lt;&gt;""," flags="""&amp;Scan2VKFlags!J43&amp;"""","")&amp;"/&gt;","")</f>
        <v>&lt;vk kbd="16" vk="OEM_3"/&gt;</v>
      </c>
      <c r="AO43" t="str">
        <f>IF(N43&lt;&gt;"","&lt;vk kbd="""&amp;N$1&amp;""" vk="""&amp;N43&amp;""""&amp;IF(Scan2VKFlags!K43&lt;&gt;""," flags="""&amp;Scan2VKFlags!K43&amp;"""","")&amp;"/&gt;","")</f>
        <v>&lt;vk kbd="10" vk="OEM_3"/&gt;</v>
      </c>
      <c r="AP43" t="str">
        <f>IF(O43&lt;&gt;"","&lt;vk kbd="""&amp;O$1&amp;""" vk="""&amp;O43&amp;""""&amp;IF(Scan2VKFlags!L43&lt;&gt;""," flags="""&amp;Scan2VKFlags!L43&amp;"""","")&amp;"/&gt;","")</f>
        <v>&lt;vk kbd="11" vk="OEM_3"/&gt;</v>
      </c>
      <c r="AQ43" t="str">
        <f>IF(P43&lt;&gt;"","&lt;vk kbd="""&amp;P$1&amp;""" vk="""&amp;P43&amp;""""&amp;IF(Scan2VKFlags!M43&lt;&gt;""," flags="""&amp;Scan2VKFlags!M43&amp;"""","")&amp;"/&gt;","")</f>
        <v>&lt;vk kbd="12" vk="OEM_3"/&gt;</v>
      </c>
      <c r="AR43" s="16" t="str">
        <f>IF(Q43&lt;&gt;"","&lt;vk kbd="""&amp;Q$1&amp;""" vk="""&amp;Q43&amp;""""&amp;IF(Scan2VKFlags!N43&lt;&gt;""," flags="""&amp;Scan2VKFlags!N43&amp;"""","")&amp;"/&gt;","")</f>
        <v>&lt;vk kbd="13" vk="OEM_3"/&gt;</v>
      </c>
      <c r="AS43" s="3" t="str">
        <f>IF(S43&lt;&gt;"","&lt;vk kbd="""&amp;S$1&amp;""" vk="""&amp;S43&amp;""""&amp;IF(Scan2VKFlags!O43&lt;&gt;""," flags="""&amp;Scan2VKFlags!O43&amp;"""","")&amp;"/&gt;","")</f>
        <v>&lt;vk kbd="20" vk="OEM_6"/&gt;</v>
      </c>
      <c r="AT43" t="str">
        <f>IF(T43&lt;&gt;"","&lt;vk kbd="""&amp;T$1&amp;""" vk="""&amp;T43&amp;""""&amp;IF(Scan2VKFlags!P43&lt;&gt;""," flags="""&amp;Scan2VKFlags!P43&amp;"""","")&amp;"/&gt;","")</f>
        <v>&lt;vk kbd="21" vk="OEM_6"/&gt;</v>
      </c>
      <c r="AU43" s="16" t="str">
        <f>IF(U43&lt;&gt;"","&lt;vk kbd="""&amp;U$1&amp;""" vk="""&amp;U43&amp;""""&amp;IF(Scan2VKFlags!Q43&lt;&gt;""," flags="""&amp;Scan2VKFlags!Q43&amp;"""","")&amp;"/&gt;","")</f>
        <v>&lt;vk kbd="22" vk="DBE_SBCSCH"/&gt;</v>
      </c>
      <c r="AV43" s="3" t="str">
        <f>IF(W43&lt;&gt;"","&lt;vk kbd="""&amp;W$1&amp;""" vk="""&amp;W43&amp;""""&amp;IF(Scan2VKFlags!R43&lt;&gt;""," flags="""&amp;Scan2VKFlags!R43&amp;"""","")&amp;"/&gt;","")</f>
        <v>&lt;vk kbd="30" vk="DBE_SBCSCHAR"/&gt;</v>
      </c>
      <c r="AW43" s="15" t="str">
        <f>IF(X43&lt;&gt;"","&lt;vk kbd="""&amp;X$1&amp;""" vk="""&amp;X43&amp;""""&amp;IF(Scan2VKFlags!S43&lt;&gt;""," flags="""&amp;Scan2VKFlags!S43&amp;"""","")&amp;"/&gt;","")</f>
        <v>&lt;vk kbd="33" vk="DBE_SBCSCHAR"/&gt;</v>
      </c>
      <c r="AX43" s="15" t="str">
        <f>IF(Y43&lt;&gt;"","&lt;vk kbd="""&amp;Y$1&amp;""" vk="""&amp;Y43&amp;""""&amp;IF(Scan2VKFlags!T43&lt;&gt;""," flags="""&amp;Scan2VKFlags!T43&amp;"""","")&amp;"/&gt;","")</f>
        <v>&lt;vk kbd="34" vk="OEM_3"/&gt;</v>
      </c>
      <c r="AY43" s="18" t="str">
        <f>IF(AA43&lt;&gt;"","&lt;vk kbd="""&amp;AA$1&amp;""" vk="""&amp;AA43&amp;""""&amp;IF(Scan2VKFlags!U43&lt;&gt;""," flags="""&amp;Scan2VKFlags!U43&amp;"""","")&amp;"/&gt;","")</f>
        <v>&lt;vk kbd="37" vk="'Z'"/&gt;</v>
      </c>
      <c r="AZ43" s="3" t="str">
        <f>IF(AC43&lt;&gt;"","&lt;vk kbd="""&amp;AC$1&amp;""" vk="""&amp;AC43&amp;""""&amp;IF(Scan2VKFlags!V43&lt;&gt;""," flags="""&amp;Scan2VKFlags!V43&amp;"""","")&amp;"/&gt;","")</f>
        <v>&lt;vk kbd="40" vk="_none_"/&gt;</v>
      </c>
      <c r="BA43" s="16" t="str">
        <f>IF(AD43&lt;&gt;"","&lt;vk kbd="""&amp;AD$1&amp;""" vk="""&amp;AD43&amp;""""&amp;IF(Scan2VKFlags!W43&lt;&gt;""," flags="""&amp;Scan2VKFlags!W43&amp;"""","")&amp;"/&gt;","")</f>
        <v>&lt;vk kbd="41" vk="DBE_SBCSCHAR"/&gt;</v>
      </c>
      <c r="BB43" t="s">
        <v>854</v>
      </c>
    </row>
    <row r="44" spans="1:54" x14ac:dyDescent="0.25">
      <c r="A44">
        <f t="shared" si="7"/>
        <v>42</v>
      </c>
      <c r="B44" t="str">
        <f t="shared" si="4"/>
        <v>T2A</v>
      </c>
      <c r="C44" s="7" t="s">
        <v>42</v>
      </c>
      <c r="D44" s="12" t="str">
        <f>trimtext(SplitText($C44,",",0))</f>
        <v>LSHIFT</v>
      </c>
      <c r="E44" s="12" t="str">
        <f>IF(SplitText($C44,",",COLUMN(E:E)-COLUMN($D:$D))="",$D44,trimtext(SplitText($C44,",",COLUMN(E:E)-COLUMN($D:$D))))</f>
        <v>LSHIFT</v>
      </c>
      <c r="F44" s="12" t="str">
        <f>IF(SplitText($C44,",",COLUMN(F:F)-COLUMN($D:$D))="",$D44,trimtext(SplitText($C44,",",COLUMN(F:F)-COLUMN($D:$D))))</f>
        <v>LSHIFT</v>
      </c>
      <c r="G44" s="12" t="str">
        <f>IF(SplitText($C44,",",COLUMN(G:G)-COLUMN($D:$D))="",$D44,trimtext(SplitText($C44,",",COLUMN(G:G)-COLUMN($D:$D))))</f>
        <v>LSHIFT</v>
      </c>
      <c r="H44" s="12" t="str">
        <f>IF(SplitText($C44,",",COLUMN(H:H)-COLUMN($D:$D))="",$D44,trimtext(SplitText($C44,",",COLUMN(H:H)-COLUMN($D:$D))))</f>
        <v>LSHIFT</v>
      </c>
      <c r="I44" s="12" t="str">
        <f>IF(SplitText($C44,",",COLUMN(I:I)-COLUMN($D:$D))="",$D44,trimtext(SplitText($C44,",",COLUMN(I:I)-COLUMN($D:$D))))</f>
        <v>LSHIFT</v>
      </c>
      <c r="J44" s="9" t="s">
        <v>227</v>
      </c>
      <c r="K44" s="12" t="str">
        <f>trimtext(SplitText($J44,",",0))</f>
        <v>LSHIFT</v>
      </c>
      <c r="L44" s="12" t="str">
        <f>IF(SplitText($J44,",",COLUMN(L:L)-COLUMN($K:$K))="",$K44,trimtext(SplitText($J44,",",COLUMN(L:L)-COLUMN($K:$K))))</f>
        <v>LSHIFT</v>
      </c>
      <c r="M44" s="12" t="str">
        <f>IF(SplitText($J44,",",COLUMN(M:M)-COLUMN($K:$K))="",$K44,trimtext(SplitText($J44,",",COLUMN(M:M)-COLUMN($K:$K))))</f>
        <v>LSHIFT</v>
      </c>
      <c r="N44" s="12" t="str">
        <f>IF(SplitText($J44,",",COLUMN(N:N)-COLUMN($K:$K))="",$K44,trimtext(SplitText($J44,",",COLUMN(N:N)-COLUMN($K:$K))))</f>
        <v>LSHIFT</v>
      </c>
      <c r="O44" s="12" t="str">
        <f>IF(SplitText($J44,",",COLUMN(O:O)-COLUMN($K:$K))="",$K44,trimtext(SplitText($J44,",",COLUMN(O:O)-COLUMN($K:$K))))</f>
        <v>LSHIFT</v>
      </c>
      <c r="P44" s="12" t="str">
        <f>IF(SplitText($J44,",",COLUMN(P:P)-COLUMN($K:$K))="",$K44,trimtext(SplitText($J44,",",COLUMN(P:P)-COLUMN($K:$K))))</f>
        <v>LSHIFT</v>
      </c>
      <c r="Q44" s="12" t="str">
        <f>IF(SplitText($J44,",",COLUMN(Q:Q)-COLUMN($K:$K))="",$K44,trimtext(SplitText($J44,",",COLUMN(Q:Q)-COLUMN($K:$K))))</f>
        <v>LSHIFT</v>
      </c>
      <c r="R44" s="23" t="s">
        <v>384</v>
      </c>
      <c r="S44" s="12" t="str">
        <f>trimtext(SplitText($R44,",",0))</f>
        <v>'Z'</v>
      </c>
      <c r="T44" s="12" t="str">
        <f>IF(SplitText($R44,",",COLUMN(T:T)-COLUMN($S:$S))="",$S44,trimtext(SplitText($R44,",",COLUMN(T:T)-COLUMN($S:$S))))</f>
        <v>'Z'</v>
      </c>
      <c r="U44" s="12" t="str">
        <f>IF(SplitText($R44,",",COLUMN(U:U)-COLUMN($S:$S))="",$S44,trimtext(SplitText($R44,",",COLUMN(U:U)-COLUMN($S:$S))))</f>
        <v>LSHIFT</v>
      </c>
      <c r="V44" s="2" t="s">
        <v>548</v>
      </c>
      <c r="W44" s="12" t="str">
        <f>trimtext(SplitText($V44,",",0))</f>
        <v>LSHIFT</v>
      </c>
      <c r="X44" s="12" t="str">
        <f>IF(SplitText($V44,",",COLUMN(X:X)-COLUMN($W:$W))="",$W44,trimtext(SplitText($V44,",",COLUMN(X:X)-COLUMN($W:$W))))</f>
        <v>LSHIFT</v>
      </c>
      <c r="Y44" s="12" t="str">
        <f>IF(SplitText($V44,",",COLUMN(Y:Y)-COLUMN($W:$W))="",$W44,trimtext(SplitText($V44,",",COLUMN(Y:Y)-COLUMN($W:$W))))</f>
        <v>LSHIFT</v>
      </c>
      <c r="Z44" s="23" t="s">
        <v>674</v>
      </c>
      <c r="AA44" s="12" t="str">
        <f t="shared" si="5"/>
        <v>'X'</v>
      </c>
      <c r="AB44" s="2" t="s">
        <v>785</v>
      </c>
      <c r="AC44" s="12" t="str">
        <f>trimtext(SplitText($AB44,",",0))</f>
        <v>LSHIFT</v>
      </c>
      <c r="AD44" s="12" t="str">
        <f>IF(SplitText($AB44,",",COLUMN(AD:AD)-COLUMN($AC:$AC))="",$AC44,trimtext(SplitText($AB44,",",COLUMN(AD:AD)-COLUMN($AC:$AC))))</f>
        <v>LSHIFT</v>
      </c>
      <c r="AE44" s="18" t="str">
        <f t="shared" si="6"/>
        <v>&lt;xs:enumeration value="T2A"&gt;&lt;xs:annotation&gt;&lt;xs:documentation&gt;Typically LSHIFT for keyboard type 4, different values for different keyboard types&lt;/xs:documentation&gt;&lt;xs:appinfo&gt;&lt;default-vk&gt;</v>
      </c>
      <c r="AF44" s="15" t="str">
        <f>IF(D44&lt;&gt;"","&lt;vk kbd="""&amp;D$1&amp;""" vk="""&amp;D44&amp;""""&amp;IF(Scan2VKFlags!B44&lt;&gt;""," flags="""&amp;Scan2VKFlags!B44&amp;"""","")&amp;"/&gt;","")</f>
        <v>&lt;vk kbd="1" vk="LSHIFT"/&gt;</v>
      </c>
      <c r="AG44" s="15" t="str">
        <f>IF(E44&lt;&gt;"","&lt;vk kbd="""&amp;E$1&amp;""" vk="""&amp;E44&amp;""""&amp;IF(Scan2VKFlags!C44&lt;&gt;""," flags="""&amp;Scan2VKFlags!C44&amp;"""","")&amp;"/&gt;","")</f>
        <v>&lt;vk kbd="2" vk="LSHIFT"/&gt;</v>
      </c>
      <c r="AH44" s="15" t="str">
        <f>IF(F44&lt;&gt;"","&lt;vk kbd="""&amp;F$1&amp;""" vk="""&amp;F44&amp;""""&amp;IF(Scan2VKFlags!D44&lt;&gt;""," flags="""&amp;Scan2VKFlags!D44&amp;"""","")&amp;"/&gt;","")</f>
        <v>&lt;vk kbd="3" vk="LSHIFT"/&gt;</v>
      </c>
      <c r="AI44" s="15" t="str">
        <f>IF(G44&lt;&gt;"","&lt;vk kbd="""&amp;G$1&amp;""" vk="""&amp;G44&amp;""""&amp;IF(Scan2VKFlags!E44&lt;&gt;""," flags="""&amp;Scan2VKFlags!E44&amp;"""","")&amp;"/&gt;","")</f>
        <v>&lt;vk kbd="4" vk="LSHIFT"/&gt;</v>
      </c>
      <c r="AJ44" s="15" t="str">
        <f>IF(H44&lt;&gt;"","&lt;vk kbd="""&amp;H$1&amp;""" vk="""&amp;H44&amp;""""&amp;IF(Scan2VKFlags!F44&lt;&gt;""," flags="""&amp;Scan2VKFlags!F44&amp;"""","")&amp;"/&gt;","")</f>
        <v>&lt;vk kbd="5" vk="LSHIFT"/&gt;</v>
      </c>
      <c r="AK44" s="16" t="str">
        <f>IF(I44&lt;&gt;"","&lt;vk kbd="""&amp;I$1&amp;""" vk="""&amp;I44&amp;""""&amp;IF(Scan2VKFlags!G44&lt;&gt;""," flags="""&amp;Scan2VKFlags!G44&amp;"""","")&amp;"/&gt;","")</f>
        <v>&lt;vk kbd="6" vk="LSHIFT"/&gt;</v>
      </c>
      <c r="AL44" s="3" t="str">
        <f>IF(K44&lt;&gt;"","&lt;vk kbd="""&amp;K$1&amp;""" vk="""&amp;K44&amp;""""&amp;IF(Scan2VKFlags!H44&lt;&gt;""," flags="""&amp;Scan2VKFlags!H44&amp;"""","")&amp;"/&gt;","")</f>
        <v>&lt;vk kbd="7" vk="LSHIFT"/&gt;</v>
      </c>
      <c r="AM44" t="str">
        <f>IF(L44&lt;&gt;"","&lt;vk kbd="""&amp;L$1&amp;""" vk="""&amp;L44&amp;""""&amp;IF(Scan2VKFlags!I44&lt;&gt;""," flags="""&amp;Scan2VKFlags!I44&amp;"""","")&amp;"/&gt;","")</f>
        <v>&lt;vk kbd="8" vk="LSHIFT"/&gt;</v>
      </c>
      <c r="AN44" t="str">
        <f>IF(M44&lt;&gt;"","&lt;vk kbd="""&amp;M$1&amp;""" vk="""&amp;M44&amp;""""&amp;IF(Scan2VKFlags!J44&lt;&gt;""," flags="""&amp;Scan2VKFlags!J44&amp;"""","")&amp;"/&gt;","")</f>
        <v>&lt;vk kbd="16" vk="LSHIFT"/&gt;</v>
      </c>
      <c r="AO44" t="str">
        <f>IF(N44&lt;&gt;"","&lt;vk kbd="""&amp;N$1&amp;""" vk="""&amp;N44&amp;""""&amp;IF(Scan2VKFlags!K44&lt;&gt;""," flags="""&amp;Scan2VKFlags!K44&amp;"""","")&amp;"/&gt;","")</f>
        <v>&lt;vk kbd="10" vk="LSHIFT"/&gt;</v>
      </c>
      <c r="AP44" t="str">
        <f>IF(O44&lt;&gt;"","&lt;vk kbd="""&amp;O$1&amp;""" vk="""&amp;O44&amp;""""&amp;IF(Scan2VKFlags!L44&lt;&gt;""," flags="""&amp;Scan2VKFlags!L44&amp;"""","")&amp;"/&gt;","")</f>
        <v>&lt;vk kbd="11" vk="LSHIFT"/&gt;</v>
      </c>
      <c r="AQ44" t="str">
        <f>IF(P44&lt;&gt;"","&lt;vk kbd="""&amp;P$1&amp;""" vk="""&amp;P44&amp;""""&amp;IF(Scan2VKFlags!M44&lt;&gt;""," flags="""&amp;Scan2VKFlags!M44&amp;"""","")&amp;"/&gt;","")</f>
        <v>&lt;vk kbd="12" vk="LSHIFT"/&gt;</v>
      </c>
      <c r="AR44" s="16" t="str">
        <f>IF(Q44&lt;&gt;"","&lt;vk kbd="""&amp;Q$1&amp;""" vk="""&amp;Q44&amp;""""&amp;IF(Scan2VKFlags!N44&lt;&gt;""," flags="""&amp;Scan2VKFlags!N44&amp;"""","")&amp;"/&gt;","")</f>
        <v>&lt;vk kbd="13" vk="LSHIFT"/&gt;</v>
      </c>
      <c r="AS44" s="3" t="str">
        <f>IF(S44&lt;&gt;"","&lt;vk kbd="""&amp;S$1&amp;""" vk="""&amp;S44&amp;""""&amp;IF(Scan2VKFlags!O44&lt;&gt;""," flags="""&amp;Scan2VKFlags!O44&amp;"""","")&amp;"/&gt;","")</f>
        <v>&lt;vk kbd="20" vk="'Z'"/&gt;</v>
      </c>
      <c r="AT44" t="str">
        <f>IF(T44&lt;&gt;"","&lt;vk kbd="""&amp;T$1&amp;""" vk="""&amp;T44&amp;""""&amp;IF(Scan2VKFlags!P44&lt;&gt;""," flags="""&amp;Scan2VKFlags!P44&amp;"""","")&amp;"/&gt;","")</f>
        <v>&lt;vk kbd="21" vk="'Z'"/&gt;</v>
      </c>
      <c r="AU44" s="16" t="str">
        <f>IF(U44&lt;&gt;"","&lt;vk kbd="""&amp;U$1&amp;""" vk="""&amp;U44&amp;""""&amp;IF(Scan2VKFlags!Q44&lt;&gt;""," flags="""&amp;Scan2VKFlags!Q44&amp;"""","")&amp;"/&gt;","")</f>
        <v>&lt;vk kbd="22" vk="LSHIFT"/&gt;</v>
      </c>
      <c r="AV44" s="3" t="str">
        <f>IF(W44&lt;&gt;"","&lt;vk kbd="""&amp;W$1&amp;""" vk="""&amp;W44&amp;""""&amp;IF(Scan2VKFlags!R44&lt;&gt;""," flags="""&amp;Scan2VKFlags!R44&amp;"""","")&amp;"/&gt;","")</f>
        <v>&lt;vk kbd="30" vk="LSHIFT"/&gt;</v>
      </c>
      <c r="AW44" s="15" t="str">
        <f>IF(X44&lt;&gt;"","&lt;vk kbd="""&amp;X$1&amp;""" vk="""&amp;X44&amp;""""&amp;IF(Scan2VKFlags!S44&lt;&gt;""," flags="""&amp;Scan2VKFlags!S44&amp;"""","")&amp;"/&gt;","")</f>
        <v>&lt;vk kbd="33" vk="LSHIFT"/&gt;</v>
      </c>
      <c r="AX44" s="15" t="str">
        <f>IF(Y44&lt;&gt;"","&lt;vk kbd="""&amp;Y$1&amp;""" vk="""&amp;Y44&amp;""""&amp;IF(Scan2VKFlags!T44&lt;&gt;""," flags="""&amp;Scan2VKFlags!T44&amp;"""","")&amp;"/&gt;","")</f>
        <v>&lt;vk kbd="34" vk="LSHIFT"/&gt;</v>
      </c>
      <c r="AY44" s="18" t="str">
        <f>IF(AA44&lt;&gt;"","&lt;vk kbd="""&amp;AA$1&amp;""" vk="""&amp;AA44&amp;""""&amp;IF(Scan2VKFlags!U44&lt;&gt;""," flags="""&amp;Scan2VKFlags!U44&amp;"""","")&amp;"/&gt;","")</f>
        <v>&lt;vk kbd="37" vk="'X'"/&gt;</v>
      </c>
      <c r="AZ44" s="3" t="str">
        <f>IF(AC44&lt;&gt;"","&lt;vk kbd="""&amp;AC$1&amp;""" vk="""&amp;AC44&amp;""""&amp;IF(Scan2VKFlags!V44&lt;&gt;""," flags="""&amp;Scan2VKFlags!V44&amp;"""","")&amp;"/&gt;","")</f>
        <v>&lt;vk kbd="40" vk="LSHIFT"/&gt;</v>
      </c>
      <c r="BA44" s="16" t="str">
        <f>IF(AD44&lt;&gt;"","&lt;vk kbd="""&amp;AD$1&amp;""" vk="""&amp;AD44&amp;""""&amp;IF(Scan2VKFlags!W44&lt;&gt;""," flags="""&amp;Scan2VKFlags!W44&amp;"""","")&amp;"/&gt;","")</f>
        <v>&lt;vk kbd="41" vk="LSHIFT"/&gt;</v>
      </c>
      <c r="BB44" t="s">
        <v>854</v>
      </c>
    </row>
    <row r="45" spans="1:54" x14ac:dyDescent="0.25">
      <c r="A45">
        <f t="shared" si="7"/>
        <v>43</v>
      </c>
      <c r="B45" t="str">
        <f t="shared" si="4"/>
        <v>T2B</v>
      </c>
      <c r="C45" s="7" t="s">
        <v>43</v>
      </c>
      <c r="D45" s="12" t="str">
        <f>trimtext(SplitText($C45,",",0))</f>
        <v>OEM_5</v>
      </c>
      <c r="E45" s="12" t="str">
        <f>IF(SplitText($C45,",",COLUMN(E:E)-COLUMN($D:$D))="",$D45,trimtext(SplitText($C45,",",COLUMN(E:E)-COLUMN($D:$D))))</f>
        <v>OEM_5</v>
      </c>
      <c r="F45" s="12" t="str">
        <f>IF(SplitText($C45,",",COLUMN(F:F)-COLUMN($D:$D))="",$D45,trimtext(SplitText($C45,",",COLUMN(F:F)-COLUMN($D:$D))))</f>
        <v>OEM_5</v>
      </c>
      <c r="G45" s="12" t="str">
        <f>IF(SplitText($C45,",",COLUMN(G:G)-COLUMN($D:$D))="",$D45,trimtext(SplitText($C45,",",COLUMN(G:G)-COLUMN($D:$D))))</f>
        <v>OEM_5</v>
      </c>
      <c r="H45" s="12" t="str">
        <f>IF(SplitText($C45,",",COLUMN(H:H)-COLUMN($D:$D))="",$D45,trimtext(SplitText($C45,",",COLUMN(H:H)-COLUMN($D:$D))))</f>
        <v>OEM_5</v>
      </c>
      <c r="I45" s="12" t="str">
        <f>IF(SplitText($C45,",",COLUMN(I:I)-COLUMN($D:$D))="",$D45,trimtext(SplitText($C45,",",COLUMN(I:I)-COLUMN($D:$D))))</f>
        <v>OEM_5</v>
      </c>
      <c r="J45" s="9" t="s">
        <v>228</v>
      </c>
      <c r="K45" s="12" t="str">
        <f>trimtext(SplitText($J45,",",0))</f>
        <v>OEM_5</v>
      </c>
      <c r="L45" s="12" t="str">
        <f>IF(SplitText($J45,",",COLUMN(L:L)-COLUMN($K:$K))="",$K45,trimtext(SplitText($J45,",",COLUMN(L:L)-COLUMN($K:$K))))</f>
        <v>OEM_6</v>
      </c>
      <c r="M45" s="12" t="str">
        <f>IF(SplitText($J45,",",COLUMN(M:M)-COLUMN($K:$K))="",$K45,trimtext(SplitText($J45,",",COLUMN(M:M)-COLUMN($K:$K))))</f>
        <v>OEM_5</v>
      </c>
      <c r="N45" s="12" t="str">
        <f>IF(SplitText($J45,",",COLUMN(N:N)-COLUMN($K:$K))="",$K45,trimtext(SplitText($J45,",",COLUMN(N:N)-COLUMN($K:$K))))</f>
        <v>OEM_5</v>
      </c>
      <c r="O45" s="12" t="str">
        <f>IF(SplitText($J45,",",COLUMN(O:O)-COLUMN($K:$K))="",$K45,trimtext(SplitText($J45,",",COLUMN(O:O)-COLUMN($K:$K))))</f>
        <v>OEM_5</v>
      </c>
      <c r="P45" s="12" t="str">
        <f>IF(SplitText($J45,",",COLUMN(P:P)-COLUMN($K:$K))="",$K45,trimtext(SplitText($J45,",",COLUMN(P:P)-COLUMN($K:$K))))</f>
        <v>OEM_5</v>
      </c>
      <c r="Q45" s="12" t="str">
        <f>IF(SplitText($J45,",",COLUMN(Q:Q)-COLUMN($K:$K))="",$K45,trimtext(SplitText($J45,",",COLUMN(Q:Q)-COLUMN($K:$K))))</f>
        <v>OEM_5</v>
      </c>
      <c r="R45" s="23" t="s">
        <v>385</v>
      </c>
      <c r="S45" s="12" t="str">
        <f>trimtext(SplitText($R45,",",0))</f>
        <v>'X'</v>
      </c>
      <c r="T45" s="12" t="str">
        <f>IF(SplitText($R45,",",COLUMN(T:T)-COLUMN($S:$S))="",$S45,trimtext(SplitText($R45,",",COLUMN(T:T)-COLUMN($S:$S))))</f>
        <v>'X'</v>
      </c>
      <c r="U45" s="12" t="str">
        <f>IF(SplitText($R45,",",COLUMN(U:U)-COLUMN($S:$S))="",$S45,trimtext(SplitText($R45,",",COLUMN(U:U)-COLUMN($S:$S))))</f>
        <v>OEM_6</v>
      </c>
      <c r="V45" s="2" t="s">
        <v>549</v>
      </c>
      <c r="W45" s="12" t="str">
        <f>trimtext(SplitText($V45,",",0))</f>
        <v>OEM_6</v>
      </c>
      <c r="X45" s="12" t="str">
        <f>IF(SplitText($V45,",",COLUMN(X:X)-COLUMN($W:$W))="",$W45,trimtext(SplitText($V45,",",COLUMN(X:X)-COLUMN($W:$W))))</f>
        <v>OEM_6</v>
      </c>
      <c r="Y45" s="12" t="str">
        <f>IF(SplitText($V45,",",COLUMN(Y:Y)-COLUMN($W:$W))="",$W45,trimtext(SplitText($V45,",",COLUMN(Y:Y)-COLUMN($W:$W))))</f>
        <v>OEM_5</v>
      </c>
      <c r="Z45" s="23" t="s">
        <v>675</v>
      </c>
      <c r="AA45" s="12" t="str">
        <f t="shared" si="5"/>
        <v>'C'</v>
      </c>
      <c r="AB45" s="2" t="s">
        <v>786</v>
      </c>
      <c r="AC45" s="12" t="str">
        <f>trimtext(SplitText($AB45,",",0))</f>
        <v>OEM_6</v>
      </c>
      <c r="AD45" s="12" t="str">
        <f>IF(SplitText($AB45,",",COLUMN(AD:AD)-COLUMN($AC:$AC))="",$AC45,trimtext(SplitText($AB45,",",COLUMN(AD:AD)-COLUMN($AC:$AC))))</f>
        <v>OEM_5</v>
      </c>
      <c r="AE45" s="18" t="str">
        <f t="shared" si="6"/>
        <v>&lt;xs:enumeration value="T2B"&gt;&lt;xs:annotation&gt;&lt;xs:documentation&gt;Typically OEM_5 for keyboard type 4, different values for different keyboard types&lt;/xs:documentation&gt;&lt;xs:appinfo&gt;&lt;default-vk&gt;</v>
      </c>
      <c r="AF45" s="15" t="str">
        <f>IF(D45&lt;&gt;"","&lt;vk kbd="""&amp;D$1&amp;""" vk="""&amp;D45&amp;""""&amp;IF(Scan2VKFlags!B45&lt;&gt;""," flags="""&amp;Scan2VKFlags!B45&amp;"""","")&amp;"/&gt;","")</f>
        <v>&lt;vk kbd="1" vk="OEM_5"/&gt;</v>
      </c>
      <c r="AG45" s="15" t="str">
        <f>IF(E45&lt;&gt;"","&lt;vk kbd="""&amp;E$1&amp;""" vk="""&amp;E45&amp;""""&amp;IF(Scan2VKFlags!C45&lt;&gt;""," flags="""&amp;Scan2VKFlags!C45&amp;"""","")&amp;"/&gt;","")</f>
        <v>&lt;vk kbd="2" vk="OEM_5"/&gt;</v>
      </c>
      <c r="AH45" s="15" t="str">
        <f>IF(F45&lt;&gt;"","&lt;vk kbd="""&amp;F$1&amp;""" vk="""&amp;F45&amp;""""&amp;IF(Scan2VKFlags!D45&lt;&gt;""," flags="""&amp;Scan2VKFlags!D45&amp;"""","")&amp;"/&gt;","")</f>
        <v>&lt;vk kbd="3" vk="OEM_5"/&gt;</v>
      </c>
      <c r="AI45" s="15" t="str">
        <f>IF(G45&lt;&gt;"","&lt;vk kbd="""&amp;G$1&amp;""" vk="""&amp;G45&amp;""""&amp;IF(Scan2VKFlags!E45&lt;&gt;""," flags="""&amp;Scan2VKFlags!E45&amp;"""","")&amp;"/&gt;","")</f>
        <v>&lt;vk kbd="4" vk="OEM_5"/&gt;</v>
      </c>
      <c r="AJ45" s="15" t="str">
        <f>IF(H45&lt;&gt;"","&lt;vk kbd="""&amp;H$1&amp;""" vk="""&amp;H45&amp;""""&amp;IF(Scan2VKFlags!F45&lt;&gt;""," flags="""&amp;Scan2VKFlags!F45&amp;"""","")&amp;"/&gt;","")</f>
        <v>&lt;vk kbd="5" vk="OEM_5"/&gt;</v>
      </c>
      <c r="AK45" s="16" t="str">
        <f>IF(I45&lt;&gt;"","&lt;vk kbd="""&amp;I$1&amp;""" vk="""&amp;I45&amp;""""&amp;IF(Scan2VKFlags!G45&lt;&gt;""," flags="""&amp;Scan2VKFlags!G45&amp;"""","")&amp;"/&gt;","")</f>
        <v>&lt;vk kbd="6" vk="OEM_5"/&gt;</v>
      </c>
      <c r="AL45" s="3" t="str">
        <f>IF(K45&lt;&gt;"","&lt;vk kbd="""&amp;K$1&amp;""" vk="""&amp;K45&amp;""""&amp;IF(Scan2VKFlags!H45&lt;&gt;""," flags="""&amp;Scan2VKFlags!H45&amp;"""","")&amp;"/&gt;","")</f>
        <v>&lt;vk kbd="7" vk="OEM_5"/&gt;</v>
      </c>
      <c r="AM45" t="str">
        <f>IF(L45&lt;&gt;"","&lt;vk kbd="""&amp;L$1&amp;""" vk="""&amp;L45&amp;""""&amp;IF(Scan2VKFlags!I45&lt;&gt;""," flags="""&amp;Scan2VKFlags!I45&amp;"""","")&amp;"/&gt;","")</f>
        <v>&lt;vk kbd="8" vk="OEM_6"/&gt;</v>
      </c>
      <c r="AN45" t="str">
        <f>IF(M45&lt;&gt;"","&lt;vk kbd="""&amp;M$1&amp;""" vk="""&amp;M45&amp;""""&amp;IF(Scan2VKFlags!J45&lt;&gt;""," flags="""&amp;Scan2VKFlags!J45&amp;"""","")&amp;"/&gt;","")</f>
        <v>&lt;vk kbd="16" vk="OEM_5"/&gt;</v>
      </c>
      <c r="AO45" t="str">
        <f>IF(N45&lt;&gt;"","&lt;vk kbd="""&amp;N$1&amp;""" vk="""&amp;N45&amp;""""&amp;IF(Scan2VKFlags!K45&lt;&gt;""," flags="""&amp;Scan2VKFlags!K45&amp;"""","")&amp;"/&gt;","")</f>
        <v>&lt;vk kbd="10" vk="OEM_5"/&gt;</v>
      </c>
      <c r="AP45" t="str">
        <f>IF(O45&lt;&gt;"","&lt;vk kbd="""&amp;O$1&amp;""" vk="""&amp;O45&amp;""""&amp;IF(Scan2VKFlags!L45&lt;&gt;""," flags="""&amp;Scan2VKFlags!L45&amp;"""","")&amp;"/&gt;","")</f>
        <v>&lt;vk kbd="11" vk="OEM_5"/&gt;</v>
      </c>
      <c r="AQ45" t="str">
        <f>IF(P45&lt;&gt;"","&lt;vk kbd="""&amp;P$1&amp;""" vk="""&amp;P45&amp;""""&amp;IF(Scan2VKFlags!M45&lt;&gt;""," flags="""&amp;Scan2VKFlags!M45&amp;"""","")&amp;"/&gt;","")</f>
        <v>&lt;vk kbd="12" vk="OEM_5"/&gt;</v>
      </c>
      <c r="AR45" s="16" t="str">
        <f>IF(Q45&lt;&gt;"","&lt;vk kbd="""&amp;Q$1&amp;""" vk="""&amp;Q45&amp;""""&amp;IF(Scan2VKFlags!N45&lt;&gt;""," flags="""&amp;Scan2VKFlags!N45&amp;"""","")&amp;"/&gt;","")</f>
        <v>&lt;vk kbd="13" vk="OEM_5"/&gt;</v>
      </c>
      <c r="AS45" s="3" t="str">
        <f>IF(S45&lt;&gt;"","&lt;vk kbd="""&amp;S$1&amp;""" vk="""&amp;S45&amp;""""&amp;IF(Scan2VKFlags!O45&lt;&gt;""," flags="""&amp;Scan2VKFlags!O45&amp;"""","")&amp;"/&gt;","")</f>
        <v>&lt;vk kbd="20" vk="'X'"/&gt;</v>
      </c>
      <c r="AT45" t="str">
        <f>IF(T45&lt;&gt;"","&lt;vk kbd="""&amp;T$1&amp;""" vk="""&amp;T45&amp;""""&amp;IF(Scan2VKFlags!P45&lt;&gt;""," flags="""&amp;Scan2VKFlags!P45&amp;"""","")&amp;"/&gt;","")</f>
        <v>&lt;vk kbd="21" vk="'X'"/&gt;</v>
      </c>
      <c r="AU45" s="16" t="str">
        <f>IF(U45&lt;&gt;"","&lt;vk kbd="""&amp;U$1&amp;""" vk="""&amp;U45&amp;""""&amp;IF(Scan2VKFlags!Q45&lt;&gt;""," flags="""&amp;Scan2VKFlags!Q45&amp;"""","")&amp;"/&gt;","")</f>
        <v>&lt;vk kbd="22" vk="OEM_6"/&gt;</v>
      </c>
      <c r="AV45" s="3" t="str">
        <f>IF(W45&lt;&gt;"","&lt;vk kbd="""&amp;W$1&amp;""" vk="""&amp;W45&amp;""""&amp;IF(Scan2VKFlags!R45&lt;&gt;""," flags="""&amp;Scan2VKFlags!R45&amp;"""","")&amp;"/&gt;","")</f>
        <v>&lt;vk kbd="30" vk="OEM_6"/&gt;</v>
      </c>
      <c r="AW45" s="15" t="str">
        <f>IF(X45&lt;&gt;"","&lt;vk kbd="""&amp;X$1&amp;""" vk="""&amp;X45&amp;""""&amp;IF(Scan2VKFlags!S45&lt;&gt;""," flags="""&amp;Scan2VKFlags!S45&amp;"""","")&amp;"/&gt;","")</f>
        <v>&lt;vk kbd="33" vk="OEM_6"/&gt;</v>
      </c>
      <c r="AX45" s="15" t="str">
        <f>IF(Y45&lt;&gt;"","&lt;vk kbd="""&amp;Y$1&amp;""" vk="""&amp;Y45&amp;""""&amp;IF(Scan2VKFlags!T45&lt;&gt;""," flags="""&amp;Scan2VKFlags!T45&amp;"""","")&amp;"/&gt;","")</f>
        <v>&lt;vk kbd="34" vk="OEM_5"/&gt;</v>
      </c>
      <c r="AY45" s="18" t="str">
        <f>IF(AA45&lt;&gt;"","&lt;vk kbd="""&amp;AA$1&amp;""" vk="""&amp;AA45&amp;""""&amp;IF(Scan2VKFlags!U45&lt;&gt;""," flags="""&amp;Scan2VKFlags!U45&amp;"""","")&amp;"/&gt;","")</f>
        <v>&lt;vk kbd="37" vk="'C'"/&gt;</v>
      </c>
      <c r="AZ45" s="3" t="str">
        <f>IF(AC45&lt;&gt;"","&lt;vk kbd="""&amp;AC$1&amp;""" vk="""&amp;AC45&amp;""""&amp;IF(Scan2VKFlags!V45&lt;&gt;""," flags="""&amp;Scan2VKFlags!V45&amp;"""","")&amp;"/&gt;","")</f>
        <v>&lt;vk kbd="40" vk="OEM_6"/&gt;</v>
      </c>
      <c r="BA45" s="16" t="str">
        <f>IF(AD45&lt;&gt;"","&lt;vk kbd="""&amp;AD$1&amp;""" vk="""&amp;AD45&amp;""""&amp;IF(Scan2VKFlags!W45&lt;&gt;""," flags="""&amp;Scan2VKFlags!W45&amp;"""","")&amp;"/&gt;","")</f>
        <v>&lt;vk kbd="41" vk="OEM_5"/&gt;</v>
      </c>
      <c r="BB45" t="s">
        <v>854</v>
      </c>
    </row>
    <row r="46" spans="1:54" x14ac:dyDescent="0.25">
      <c r="A46">
        <f t="shared" si="7"/>
        <v>44</v>
      </c>
      <c r="B46" t="str">
        <f t="shared" si="4"/>
        <v>T2C</v>
      </c>
      <c r="C46" s="7" t="s">
        <v>44</v>
      </c>
      <c r="D46" s="12" t="str">
        <f>trimtext(SplitText($C46,",",0))</f>
        <v>'Z'</v>
      </c>
      <c r="E46" s="12" t="str">
        <f>IF(SplitText($C46,",",COLUMN(E:E)-COLUMN($D:$D))="",$D46,trimtext(SplitText($C46,",",COLUMN(E:E)-COLUMN($D:$D))))</f>
        <v>'Z'</v>
      </c>
      <c r="F46" s="12" t="str">
        <f>IF(SplitText($C46,",",COLUMN(F:F)-COLUMN($D:$D))="",$D46,trimtext(SplitText($C46,",",COLUMN(F:F)-COLUMN($D:$D))))</f>
        <v>'Z'</v>
      </c>
      <c r="G46" s="12" t="str">
        <f>IF(SplitText($C46,",",COLUMN(G:G)-COLUMN($D:$D))="",$D46,trimtext(SplitText($C46,",",COLUMN(G:G)-COLUMN($D:$D))))</f>
        <v>'Z'</v>
      </c>
      <c r="H46" s="12" t="str">
        <f>IF(SplitText($C46,",",COLUMN(H:H)-COLUMN($D:$D))="",$D46,trimtext(SplitText($C46,",",COLUMN(H:H)-COLUMN($D:$D))))</f>
        <v>'Z'</v>
      </c>
      <c r="I46" s="12" t="str">
        <f>IF(SplitText($C46,",",COLUMN(I:I)-COLUMN($D:$D))="",$D46,trimtext(SplitText($C46,",",COLUMN(I:I)-COLUMN($D:$D))))</f>
        <v>'Z'</v>
      </c>
      <c r="J46" s="9" t="s">
        <v>229</v>
      </c>
      <c r="K46" s="12" t="str">
        <f>trimtext(SplitText($J46,",",0))</f>
        <v>'Z'</v>
      </c>
      <c r="L46" s="12" t="str">
        <f>IF(SplitText($J46,",",COLUMN(L:L)-COLUMN($K:$K))="",$K46,trimtext(SplitText($J46,",",COLUMN(L:L)-COLUMN($K:$K))))</f>
        <v>'Z'</v>
      </c>
      <c r="M46" s="12" t="str">
        <f>IF(SplitText($J46,",",COLUMN(M:M)-COLUMN($K:$K))="",$K46,trimtext(SplitText($J46,",",COLUMN(M:M)-COLUMN($K:$K))))</f>
        <v>'Z'</v>
      </c>
      <c r="N46" s="12" t="str">
        <f>IF(SplitText($J46,",",COLUMN(N:N)-COLUMN($K:$K))="",$K46,trimtext(SplitText($J46,",",COLUMN(N:N)-COLUMN($K:$K))))</f>
        <v>'Z'</v>
      </c>
      <c r="O46" s="12" t="str">
        <f>IF(SplitText($J46,",",COLUMN(O:O)-COLUMN($K:$K))="",$K46,trimtext(SplitText($J46,",",COLUMN(O:O)-COLUMN($K:$K))))</f>
        <v>'Z'</v>
      </c>
      <c r="P46" s="12" t="str">
        <f>IF(SplitText($J46,",",COLUMN(P:P)-COLUMN($K:$K))="",$K46,trimtext(SplitText($J46,",",COLUMN(P:P)-COLUMN($K:$K))))</f>
        <v>'Z'</v>
      </c>
      <c r="Q46" s="12" t="str">
        <f>IF(SplitText($J46,",",COLUMN(Q:Q)-COLUMN($K:$K))="",$K46,trimtext(SplitText($J46,",",COLUMN(Q:Q)-COLUMN($K:$K))))</f>
        <v>'Z'</v>
      </c>
      <c r="R46" s="23" t="s">
        <v>386</v>
      </c>
      <c r="S46" s="12" t="str">
        <f>trimtext(SplitText($R46,",",0))</f>
        <v>'C'</v>
      </c>
      <c r="T46" s="12" t="str">
        <f>IF(SplitText($R46,",",COLUMN(T:T)-COLUMN($S:$S))="",$S46,trimtext(SplitText($R46,",",COLUMN(T:T)-COLUMN($S:$S))))</f>
        <v>'C'</v>
      </c>
      <c r="U46" s="12" t="str">
        <f>IF(SplitText($R46,",",COLUMN(U:U)-COLUMN($S:$S))="",$S46,trimtext(SplitText($R46,",",COLUMN(U:U)-COLUMN($S:$S))))</f>
        <v>'Z'</v>
      </c>
      <c r="V46" s="23" t="s">
        <v>550</v>
      </c>
      <c r="W46" s="12" t="str">
        <f>trimtext(SplitText($V46,",",0))</f>
        <v>'Z'</v>
      </c>
      <c r="X46" s="12" t="str">
        <f>IF(SplitText($V46,",",COLUMN(X:X)-COLUMN($W:$W))="",$W46,trimtext(SplitText($V46,",",COLUMN(X:X)-COLUMN($W:$W))))</f>
        <v>'Z'</v>
      </c>
      <c r="Y46" s="12" t="str">
        <f>IF(SplitText($V46,",",COLUMN(Y:Y)-COLUMN($W:$W))="",$W46,trimtext(SplitText($V46,",",COLUMN(Y:Y)-COLUMN($W:$W))))</f>
        <v>'Z'</v>
      </c>
      <c r="Z46" s="23" t="s">
        <v>676</v>
      </c>
      <c r="AA46" s="12" t="str">
        <f t="shared" si="5"/>
        <v>'V'</v>
      </c>
      <c r="AB46" s="2" t="s">
        <v>787</v>
      </c>
      <c r="AC46" s="12" t="str">
        <f>trimtext(SplitText($AB46,",",0))</f>
        <v>'Z'</v>
      </c>
      <c r="AD46" s="12" t="str">
        <f>IF(SplitText($AB46,",",COLUMN(AD:AD)-COLUMN($AC:$AC))="",$AC46,trimtext(SplitText($AB46,",",COLUMN(AD:AD)-COLUMN($AC:$AC))))</f>
        <v>'Z'</v>
      </c>
      <c r="AE46" s="18" t="str">
        <f t="shared" si="6"/>
        <v>&lt;xs:enumeration value="T2C"&gt;&lt;xs:annotation&gt;&lt;xs:documentation&gt;Typically 'Z' for keyboard type 4, different values for different keyboard types&lt;/xs:documentation&gt;&lt;xs:appinfo&gt;&lt;default-vk&gt;</v>
      </c>
      <c r="AF46" s="15" t="str">
        <f>IF(D46&lt;&gt;"","&lt;vk kbd="""&amp;D$1&amp;""" vk="""&amp;D46&amp;""""&amp;IF(Scan2VKFlags!B46&lt;&gt;""," flags="""&amp;Scan2VKFlags!B46&amp;"""","")&amp;"/&gt;","")</f>
        <v>&lt;vk kbd="1" vk="'Z'"/&gt;</v>
      </c>
      <c r="AG46" s="15" t="str">
        <f>IF(E46&lt;&gt;"","&lt;vk kbd="""&amp;E$1&amp;""" vk="""&amp;E46&amp;""""&amp;IF(Scan2VKFlags!C46&lt;&gt;""," flags="""&amp;Scan2VKFlags!C46&amp;"""","")&amp;"/&gt;","")</f>
        <v>&lt;vk kbd="2" vk="'Z'"/&gt;</v>
      </c>
      <c r="AH46" s="15" t="str">
        <f>IF(F46&lt;&gt;"","&lt;vk kbd="""&amp;F$1&amp;""" vk="""&amp;F46&amp;""""&amp;IF(Scan2VKFlags!D46&lt;&gt;""," flags="""&amp;Scan2VKFlags!D46&amp;"""","")&amp;"/&gt;","")</f>
        <v>&lt;vk kbd="3" vk="'Z'"/&gt;</v>
      </c>
      <c r="AI46" s="15" t="str">
        <f>IF(G46&lt;&gt;"","&lt;vk kbd="""&amp;G$1&amp;""" vk="""&amp;G46&amp;""""&amp;IF(Scan2VKFlags!E46&lt;&gt;""," flags="""&amp;Scan2VKFlags!E46&amp;"""","")&amp;"/&gt;","")</f>
        <v>&lt;vk kbd="4" vk="'Z'"/&gt;</v>
      </c>
      <c r="AJ46" s="15" t="str">
        <f>IF(H46&lt;&gt;"","&lt;vk kbd="""&amp;H$1&amp;""" vk="""&amp;H46&amp;""""&amp;IF(Scan2VKFlags!F46&lt;&gt;""," flags="""&amp;Scan2VKFlags!F46&amp;"""","")&amp;"/&gt;","")</f>
        <v>&lt;vk kbd="5" vk="'Z'"/&gt;</v>
      </c>
      <c r="AK46" s="16" t="str">
        <f>IF(I46&lt;&gt;"","&lt;vk kbd="""&amp;I$1&amp;""" vk="""&amp;I46&amp;""""&amp;IF(Scan2VKFlags!G46&lt;&gt;""," flags="""&amp;Scan2VKFlags!G46&amp;"""","")&amp;"/&gt;","")</f>
        <v>&lt;vk kbd="6" vk="'Z'"/&gt;</v>
      </c>
      <c r="AL46" s="3" t="str">
        <f>IF(K46&lt;&gt;"","&lt;vk kbd="""&amp;K$1&amp;""" vk="""&amp;K46&amp;""""&amp;IF(Scan2VKFlags!H46&lt;&gt;""," flags="""&amp;Scan2VKFlags!H46&amp;"""","")&amp;"/&gt;","")</f>
        <v>&lt;vk kbd="7" vk="'Z'"/&gt;</v>
      </c>
      <c r="AM46" t="str">
        <f>IF(L46&lt;&gt;"","&lt;vk kbd="""&amp;L$1&amp;""" vk="""&amp;L46&amp;""""&amp;IF(Scan2VKFlags!I46&lt;&gt;""," flags="""&amp;Scan2VKFlags!I46&amp;"""","")&amp;"/&gt;","")</f>
        <v>&lt;vk kbd="8" vk="'Z'"/&gt;</v>
      </c>
      <c r="AN46" t="str">
        <f>IF(M46&lt;&gt;"","&lt;vk kbd="""&amp;M$1&amp;""" vk="""&amp;M46&amp;""""&amp;IF(Scan2VKFlags!J46&lt;&gt;""," flags="""&amp;Scan2VKFlags!J46&amp;"""","")&amp;"/&gt;","")</f>
        <v>&lt;vk kbd="16" vk="'Z'"/&gt;</v>
      </c>
      <c r="AO46" t="str">
        <f>IF(N46&lt;&gt;"","&lt;vk kbd="""&amp;N$1&amp;""" vk="""&amp;N46&amp;""""&amp;IF(Scan2VKFlags!K46&lt;&gt;""," flags="""&amp;Scan2VKFlags!K46&amp;"""","")&amp;"/&gt;","")</f>
        <v>&lt;vk kbd="10" vk="'Z'"/&gt;</v>
      </c>
      <c r="AP46" t="str">
        <f>IF(O46&lt;&gt;"","&lt;vk kbd="""&amp;O$1&amp;""" vk="""&amp;O46&amp;""""&amp;IF(Scan2VKFlags!L46&lt;&gt;""," flags="""&amp;Scan2VKFlags!L46&amp;"""","")&amp;"/&gt;","")</f>
        <v>&lt;vk kbd="11" vk="'Z'"/&gt;</v>
      </c>
      <c r="AQ46" t="str">
        <f>IF(P46&lt;&gt;"","&lt;vk kbd="""&amp;P$1&amp;""" vk="""&amp;P46&amp;""""&amp;IF(Scan2VKFlags!M46&lt;&gt;""," flags="""&amp;Scan2VKFlags!M46&amp;"""","")&amp;"/&gt;","")</f>
        <v>&lt;vk kbd="12" vk="'Z'"/&gt;</v>
      </c>
      <c r="AR46" s="16" t="str">
        <f>IF(Q46&lt;&gt;"","&lt;vk kbd="""&amp;Q$1&amp;""" vk="""&amp;Q46&amp;""""&amp;IF(Scan2VKFlags!N46&lt;&gt;""," flags="""&amp;Scan2VKFlags!N46&amp;"""","")&amp;"/&gt;","")</f>
        <v>&lt;vk kbd="13" vk="'Z'"/&gt;</v>
      </c>
      <c r="AS46" s="3" t="str">
        <f>IF(S46&lt;&gt;"","&lt;vk kbd="""&amp;S$1&amp;""" vk="""&amp;S46&amp;""""&amp;IF(Scan2VKFlags!O46&lt;&gt;""," flags="""&amp;Scan2VKFlags!O46&amp;"""","")&amp;"/&gt;","")</f>
        <v>&lt;vk kbd="20" vk="'C'"/&gt;</v>
      </c>
      <c r="AT46" t="str">
        <f>IF(T46&lt;&gt;"","&lt;vk kbd="""&amp;T$1&amp;""" vk="""&amp;T46&amp;""""&amp;IF(Scan2VKFlags!P46&lt;&gt;""," flags="""&amp;Scan2VKFlags!P46&amp;"""","")&amp;"/&gt;","")</f>
        <v>&lt;vk kbd="21" vk="'C'"/&gt;</v>
      </c>
      <c r="AU46" s="16" t="str">
        <f>IF(U46&lt;&gt;"","&lt;vk kbd="""&amp;U$1&amp;""" vk="""&amp;U46&amp;""""&amp;IF(Scan2VKFlags!Q46&lt;&gt;""," flags="""&amp;Scan2VKFlags!Q46&amp;"""","")&amp;"/&gt;","")</f>
        <v>&lt;vk kbd="22" vk="'Z'"/&gt;</v>
      </c>
      <c r="AV46" s="3" t="str">
        <f>IF(W46&lt;&gt;"","&lt;vk kbd="""&amp;W$1&amp;""" vk="""&amp;W46&amp;""""&amp;IF(Scan2VKFlags!R46&lt;&gt;""," flags="""&amp;Scan2VKFlags!R46&amp;"""","")&amp;"/&gt;","")</f>
        <v>&lt;vk kbd="30" vk="'Z'"/&gt;</v>
      </c>
      <c r="AW46" s="15" t="str">
        <f>IF(X46&lt;&gt;"","&lt;vk kbd="""&amp;X$1&amp;""" vk="""&amp;X46&amp;""""&amp;IF(Scan2VKFlags!S46&lt;&gt;""," flags="""&amp;Scan2VKFlags!S46&amp;"""","")&amp;"/&gt;","")</f>
        <v>&lt;vk kbd="33" vk="'Z'"/&gt;</v>
      </c>
      <c r="AX46" s="15" t="str">
        <f>IF(Y46&lt;&gt;"","&lt;vk kbd="""&amp;Y$1&amp;""" vk="""&amp;Y46&amp;""""&amp;IF(Scan2VKFlags!T46&lt;&gt;""," flags="""&amp;Scan2VKFlags!T46&amp;"""","")&amp;"/&gt;","")</f>
        <v>&lt;vk kbd="34" vk="'Z'"/&gt;</v>
      </c>
      <c r="AY46" s="18" t="str">
        <f>IF(AA46&lt;&gt;"","&lt;vk kbd="""&amp;AA$1&amp;""" vk="""&amp;AA46&amp;""""&amp;IF(Scan2VKFlags!U46&lt;&gt;""," flags="""&amp;Scan2VKFlags!U46&amp;"""","")&amp;"/&gt;","")</f>
        <v>&lt;vk kbd="37" vk="'V'"/&gt;</v>
      </c>
      <c r="AZ46" s="3" t="str">
        <f>IF(AC46&lt;&gt;"","&lt;vk kbd="""&amp;AC$1&amp;""" vk="""&amp;AC46&amp;""""&amp;IF(Scan2VKFlags!V46&lt;&gt;""," flags="""&amp;Scan2VKFlags!V46&amp;"""","")&amp;"/&gt;","")</f>
        <v>&lt;vk kbd="40" vk="'Z'"/&gt;</v>
      </c>
      <c r="BA46" s="16" t="str">
        <f>IF(AD46&lt;&gt;"","&lt;vk kbd="""&amp;AD$1&amp;""" vk="""&amp;AD46&amp;""""&amp;IF(Scan2VKFlags!W46&lt;&gt;""," flags="""&amp;Scan2VKFlags!W46&amp;"""","")&amp;"/&gt;","")</f>
        <v>&lt;vk kbd="41" vk="'Z'"/&gt;</v>
      </c>
      <c r="BB46" t="s">
        <v>854</v>
      </c>
    </row>
    <row r="47" spans="1:54" x14ac:dyDescent="0.25">
      <c r="A47">
        <f t="shared" si="7"/>
        <v>45</v>
      </c>
      <c r="B47" t="str">
        <f t="shared" si="4"/>
        <v>T2D</v>
      </c>
      <c r="C47" s="7" t="s">
        <v>45</v>
      </c>
      <c r="D47" s="12" t="str">
        <f>trimtext(SplitText($C47,",",0))</f>
        <v>'X'</v>
      </c>
      <c r="E47" s="12" t="str">
        <f>IF(SplitText($C47,",",COLUMN(E:E)-COLUMN($D:$D))="",$D47,trimtext(SplitText($C47,",",COLUMN(E:E)-COLUMN($D:$D))))</f>
        <v>'X'</v>
      </c>
      <c r="F47" s="12" t="str">
        <f>IF(SplitText($C47,",",COLUMN(F:F)-COLUMN($D:$D))="",$D47,trimtext(SplitText($C47,",",COLUMN(F:F)-COLUMN($D:$D))))</f>
        <v>'X'</v>
      </c>
      <c r="G47" s="12" t="str">
        <f>IF(SplitText($C47,",",COLUMN(G:G)-COLUMN($D:$D))="",$D47,trimtext(SplitText($C47,",",COLUMN(G:G)-COLUMN($D:$D))))</f>
        <v>'X'</v>
      </c>
      <c r="H47" s="12" t="str">
        <f>IF(SplitText($C47,",",COLUMN(H:H)-COLUMN($D:$D))="",$D47,trimtext(SplitText($C47,",",COLUMN(H:H)-COLUMN($D:$D))))</f>
        <v>'X'</v>
      </c>
      <c r="I47" s="12" t="str">
        <f>IF(SplitText($C47,",",COLUMN(I:I)-COLUMN($D:$D))="",$D47,trimtext(SplitText($C47,",",COLUMN(I:I)-COLUMN($D:$D))))</f>
        <v>'X'</v>
      </c>
      <c r="J47" s="9" t="s">
        <v>230</v>
      </c>
      <c r="K47" s="12" t="str">
        <f>trimtext(SplitText($J47,",",0))</f>
        <v>'X'</v>
      </c>
      <c r="L47" s="12" t="str">
        <f>IF(SplitText($J47,",",COLUMN(L:L)-COLUMN($K:$K))="",$K47,trimtext(SplitText($J47,",",COLUMN(L:L)-COLUMN($K:$K))))</f>
        <v>'X'</v>
      </c>
      <c r="M47" s="12" t="str">
        <f>IF(SplitText($J47,",",COLUMN(M:M)-COLUMN($K:$K))="",$K47,trimtext(SplitText($J47,",",COLUMN(M:M)-COLUMN($K:$K))))</f>
        <v>'X'</v>
      </c>
      <c r="N47" s="12" t="str">
        <f>IF(SplitText($J47,",",COLUMN(N:N)-COLUMN($K:$K))="",$K47,trimtext(SplitText($J47,",",COLUMN(N:N)-COLUMN($K:$K))))</f>
        <v>'X'</v>
      </c>
      <c r="O47" s="12" t="str">
        <f>IF(SplitText($J47,",",COLUMN(O:O)-COLUMN($K:$K))="",$K47,trimtext(SplitText($J47,",",COLUMN(O:O)-COLUMN($K:$K))))</f>
        <v>'X'</v>
      </c>
      <c r="P47" s="12" t="str">
        <f>IF(SplitText($J47,",",COLUMN(P:P)-COLUMN($K:$K))="",$K47,trimtext(SplitText($J47,",",COLUMN(P:P)-COLUMN($K:$K))))</f>
        <v>'X'</v>
      </c>
      <c r="Q47" s="12" t="str">
        <f>IF(SplitText($J47,",",COLUMN(Q:Q)-COLUMN($K:$K))="",$K47,trimtext(SplitText($J47,",",COLUMN(Q:Q)-COLUMN($K:$K))))</f>
        <v>'X'</v>
      </c>
      <c r="R47" s="23" t="s">
        <v>387</v>
      </c>
      <c r="S47" s="12" t="str">
        <f>trimtext(SplitText($R47,",",0))</f>
        <v>'V'</v>
      </c>
      <c r="T47" s="12" t="str">
        <f>IF(SplitText($R47,",",COLUMN(T:T)-COLUMN($S:$S))="",$S47,trimtext(SplitText($R47,",",COLUMN(T:T)-COLUMN($S:$S))))</f>
        <v>'V'</v>
      </c>
      <c r="U47" s="12" t="str">
        <f>IF(SplitText($R47,",",COLUMN(U:U)-COLUMN($S:$S))="",$S47,trimtext(SplitText($R47,",",COLUMN(U:U)-COLUMN($S:$S))))</f>
        <v>'X'</v>
      </c>
      <c r="V47" s="23" t="s">
        <v>551</v>
      </c>
      <c r="W47" s="12" t="str">
        <f>trimtext(SplitText($V47,",",0))</f>
        <v>'X'</v>
      </c>
      <c r="X47" s="12" t="str">
        <f>IF(SplitText($V47,",",COLUMN(X:X)-COLUMN($W:$W))="",$W47,trimtext(SplitText($V47,",",COLUMN(X:X)-COLUMN($W:$W))))</f>
        <v>'X'</v>
      </c>
      <c r="Y47" s="12" t="str">
        <f>IF(SplitText($V47,",",COLUMN(Y:Y)-COLUMN($W:$W))="",$W47,trimtext(SplitText($V47,",",COLUMN(Y:Y)-COLUMN($W:$W))))</f>
        <v>'X'</v>
      </c>
      <c r="Z47" s="23" t="s">
        <v>677</v>
      </c>
      <c r="AA47" s="12" t="str">
        <f t="shared" si="5"/>
        <v>'B'</v>
      </c>
      <c r="AB47" s="2" t="s">
        <v>788</v>
      </c>
      <c r="AC47" s="12" t="str">
        <f>trimtext(SplitText($AB47,",",0))</f>
        <v>'X'</v>
      </c>
      <c r="AD47" s="12" t="str">
        <f>IF(SplitText($AB47,",",COLUMN(AD:AD)-COLUMN($AC:$AC))="",$AC47,trimtext(SplitText($AB47,",",COLUMN(AD:AD)-COLUMN($AC:$AC))))</f>
        <v>'X'</v>
      </c>
      <c r="AE47" s="18" t="str">
        <f t="shared" si="6"/>
        <v>&lt;xs:enumeration value="T2D"&gt;&lt;xs:annotation&gt;&lt;xs:documentation&gt;Typically 'X' for keyboard type 4, different values for different keyboard types&lt;/xs:documentation&gt;&lt;xs:appinfo&gt;&lt;default-vk&gt;</v>
      </c>
      <c r="AF47" s="15" t="str">
        <f>IF(D47&lt;&gt;"","&lt;vk kbd="""&amp;D$1&amp;""" vk="""&amp;D47&amp;""""&amp;IF(Scan2VKFlags!B47&lt;&gt;""," flags="""&amp;Scan2VKFlags!B47&amp;"""","")&amp;"/&gt;","")</f>
        <v>&lt;vk kbd="1" vk="'X'"/&gt;</v>
      </c>
      <c r="AG47" s="15" t="str">
        <f>IF(E47&lt;&gt;"","&lt;vk kbd="""&amp;E$1&amp;""" vk="""&amp;E47&amp;""""&amp;IF(Scan2VKFlags!C47&lt;&gt;""," flags="""&amp;Scan2VKFlags!C47&amp;"""","")&amp;"/&gt;","")</f>
        <v>&lt;vk kbd="2" vk="'X'"/&gt;</v>
      </c>
      <c r="AH47" s="15" t="str">
        <f>IF(F47&lt;&gt;"","&lt;vk kbd="""&amp;F$1&amp;""" vk="""&amp;F47&amp;""""&amp;IF(Scan2VKFlags!D47&lt;&gt;""," flags="""&amp;Scan2VKFlags!D47&amp;"""","")&amp;"/&gt;","")</f>
        <v>&lt;vk kbd="3" vk="'X'"/&gt;</v>
      </c>
      <c r="AI47" s="15" t="str">
        <f>IF(G47&lt;&gt;"","&lt;vk kbd="""&amp;G$1&amp;""" vk="""&amp;G47&amp;""""&amp;IF(Scan2VKFlags!E47&lt;&gt;""," flags="""&amp;Scan2VKFlags!E47&amp;"""","")&amp;"/&gt;","")</f>
        <v>&lt;vk kbd="4" vk="'X'"/&gt;</v>
      </c>
      <c r="AJ47" s="15" t="str">
        <f>IF(H47&lt;&gt;"","&lt;vk kbd="""&amp;H$1&amp;""" vk="""&amp;H47&amp;""""&amp;IF(Scan2VKFlags!F47&lt;&gt;""," flags="""&amp;Scan2VKFlags!F47&amp;"""","")&amp;"/&gt;","")</f>
        <v>&lt;vk kbd="5" vk="'X'"/&gt;</v>
      </c>
      <c r="AK47" s="16" t="str">
        <f>IF(I47&lt;&gt;"","&lt;vk kbd="""&amp;I$1&amp;""" vk="""&amp;I47&amp;""""&amp;IF(Scan2VKFlags!G47&lt;&gt;""," flags="""&amp;Scan2VKFlags!G47&amp;"""","")&amp;"/&gt;","")</f>
        <v>&lt;vk kbd="6" vk="'X'"/&gt;</v>
      </c>
      <c r="AL47" s="3" t="str">
        <f>IF(K47&lt;&gt;"","&lt;vk kbd="""&amp;K$1&amp;""" vk="""&amp;K47&amp;""""&amp;IF(Scan2VKFlags!H47&lt;&gt;""," flags="""&amp;Scan2VKFlags!H47&amp;"""","")&amp;"/&gt;","")</f>
        <v>&lt;vk kbd="7" vk="'X'"/&gt;</v>
      </c>
      <c r="AM47" t="str">
        <f>IF(L47&lt;&gt;"","&lt;vk kbd="""&amp;L$1&amp;""" vk="""&amp;L47&amp;""""&amp;IF(Scan2VKFlags!I47&lt;&gt;""," flags="""&amp;Scan2VKFlags!I47&amp;"""","")&amp;"/&gt;","")</f>
        <v>&lt;vk kbd="8" vk="'X'"/&gt;</v>
      </c>
      <c r="AN47" t="str">
        <f>IF(M47&lt;&gt;"","&lt;vk kbd="""&amp;M$1&amp;""" vk="""&amp;M47&amp;""""&amp;IF(Scan2VKFlags!J47&lt;&gt;""," flags="""&amp;Scan2VKFlags!J47&amp;"""","")&amp;"/&gt;","")</f>
        <v>&lt;vk kbd="16" vk="'X'"/&gt;</v>
      </c>
      <c r="AO47" t="str">
        <f>IF(N47&lt;&gt;"","&lt;vk kbd="""&amp;N$1&amp;""" vk="""&amp;N47&amp;""""&amp;IF(Scan2VKFlags!K47&lt;&gt;""," flags="""&amp;Scan2VKFlags!K47&amp;"""","")&amp;"/&gt;","")</f>
        <v>&lt;vk kbd="10" vk="'X'"/&gt;</v>
      </c>
      <c r="AP47" t="str">
        <f>IF(O47&lt;&gt;"","&lt;vk kbd="""&amp;O$1&amp;""" vk="""&amp;O47&amp;""""&amp;IF(Scan2VKFlags!L47&lt;&gt;""," flags="""&amp;Scan2VKFlags!L47&amp;"""","")&amp;"/&gt;","")</f>
        <v>&lt;vk kbd="11" vk="'X'"/&gt;</v>
      </c>
      <c r="AQ47" t="str">
        <f>IF(P47&lt;&gt;"","&lt;vk kbd="""&amp;P$1&amp;""" vk="""&amp;P47&amp;""""&amp;IF(Scan2VKFlags!M47&lt;&gt;""," flags="""&amp;Scan2VKFlags!M47&amp;"""","")&amp;"/&gt;","")</f>
        <v>&lt;vk kbd="12" vk="'X'"/&gt;</v>
      </c>
      <c r="AR47" s="16" t="str">
        <f>IF(Q47&lt;&gt;"","&lt;vk kbd="""&amp;Q$1&amp;""" vk="""&amp;Q47&amp;""""&amp;IF(Scan2VKFlags!N47&lt;&gt;""," flags="""&amp;Scan2VKFlags!N47&amp;"""","")&amp;"/&gt;","")</f>
        <v>&lt;vk kbd="13" vk="'X'"/&gt;</v>
      </c>
      <c r="AS47" s="3" t="str">
        <f>IF(S47&lt;&gt;"","&lt;vk kbd="""&amp;S$1&amp;""" vk="""&amp;S47&amp;""""&amp;IF(Scan2VKFlags!O47&lt;&gt;""," flags="""&amp;Scan2VKFlags!O47&amp;"""","")&amp;"/&gt;","")</f>
        <v>&lt;vk kbd="20" vk="'V'"/&gt;</v>
      </c>
      <c r="AT47" t="str">
        <f>IF(T47&lt;&gt;"","&lt;vk kbd="""&amp;T$1&amp;""" vk="""&amp;T47&amp;""""&amp;IF(Scan2VKFlags!P47&lt;&gt;""," flags="""&amp;Scan2VKFlags!P47&amp;"""","")&amp;"/&gt;","")</f>
        <v>&lt;vk kbd="21" vk="'V'"/&gt;</v>
      </c>
      <c r="AU47" s="16" t="str">
        <f>IF(U47&lt;&gt;"","&lt;vk kbd="""&amp;U$1&amp;""" vk="""&amp;U47&amp;""""&amp;IF(Scan2VKFlags!Q47&lt;&gt;""," flags="""&amp;Scan2VKFlags!Q47&amp;"""","")&amp;"/&gt;","")</f>
        <v>&lt;vk kbd="22" vk="'X'"/&gt;</v>
      </c>
      <c r="AV47" s="3" t="str">
        <f>IF(W47&lt;&gt;"","&lt;vk kbd="""&amp;W$1&amp;""" vk="""&amp;W47&amp;""""&amp;IF(Scan2VKFlags!R47&lt;&gt;""," flags="""&amp;Scan2VKFlags!R47&amp;"""","")&amp;"/&gt;","")</f>
        <v>&lt;vk kbd="30" vk="'X'"/&gt;</v>
      </c>
      <c r="AW47" s="15" t="str">
        <f>IF(X47&lt;&gt;"","&lt;vk kbd="""&amp;X$1&amp;""" vk="""&amp;X47&amp;""""&amp;IF(Scan2VKFlags!S47&lt;&gt;""," flags="""&amp;Scan2VKFlags!S47&amp;"""","")&amp;"/&gt;","")</f>
        <v>&lt;vk kbd="33" vk="'X'"/&gt;</v>
      </c>
      <c r="AX47" s="15" t="str">
        <f>IF(Y47&lt;&gt;"","&lt;vk kbd="""&amp;Y$1&amp;""" vk="""&amp;Y47&amp;""""&amp;IF(Scan2VKFlags!T47&lt;&gt;""," flags="""&amp;Scan2VKFlags!T47&amp;"""","")&amp;"/&gt;","")</f>
        <v>&lt;vk kbd="34" vk="'X'"/&gt;</v>
      </c>
      <c r="AY47" s="18" t="str">
        <f>IF(AA47&lt;&gt;"","&lt;vk kbd="""&amp;AA$1&amp;""" vk="""&amp;AA47&amp;""""&amp;IF(Scan2VKFlags!U47&lt;&gt;""," flags="""&amp;Scan2VKFlags!U47&amp;"""","")&amp;"/&gt;","")</f>
        <v>&lt;vk kbd="37" vk="'B'"/&gt;</v>
      </c>
      <c r="AZ47" s="3" t="str">
        <f>IF(AC47&lt;&gt;"","&lt;vk kbd="""&amp;AC$1&amp;""" vk="""&amp;AC47&amp;""""&amp;IF(Scan2VKFlags!V47&lt;&gt;""," flags="""&amp;Scan2VKFlags!V47&amp;"""","")&amp;"/&gt;","")</f>
        <v>&lt;vk kbd="40" vk="'X'"/&gt;</v>
      </c>
      <c r="BA47" s="16" t="str">
        <f>IF(AD47&lt;&gt;"","&lt;vk kbd="""&amp;AD$1&amp;""" vk="""&amp;AD47&amp;""""&amp;IF(Scan2VKFlags!W47&lt;&gt;""," flags="""&amp;Scan2VKFlags!W47&amp;"""","")&amp;"/&gt;","")</f>
        <v>&lt;vk kbd="41" vk="'X'"/&gt;</v>
      </c>
      <c r="BB47" t="s">
        <v>854</v>
      </c>
    </row>
    <row r="48" spans="1:54" x14ac:dyDescent="0.25">
      <c r="A48">
        <f t="shared" si="7"/>
        <v>46</v>
      </c>
      <c r="B48" t="str">
        <f t="shared" si="4"/>
        <v>T2E</v>
      </c>
      <c r="C48" s="7" t="s">
        <v>46</v>
      </c>
      <c r="D48" s="12" t="str">
        <f>trimtext(SplitText($C48,",",0))</f>
        <v>'C'</v>
      </c>
      <c r="E48" s="12" t="str">
        <f>IF(SplitText($C48,",",COLUMN(E:E)-COLUMN($D:$D))="",$D48,trimtext(SplitText($C48,",",COLUMN(E:E)-COLUMN($D:$D))))</f>
        <v>'C'</v>
      </c>
      <c r="F48" s="12" t="str">
        <f>IF(SplitText($C48,",",COLUMN(F:F)-COLUMN($D:$D))="",$D48,trimtext(SplitText($C48,",",COLUMN(F:F)-COLUMN($D:$D))))</f>
        <v>'C'</v>
      </c>
      <c r="G48" s="12" t="str">
        <f>IF(SplitText($C48,",",COLUMN(G:G)-COLUMN($D:$D))="",$D48,trimtext(SplitText($C48,",",COLUMN(G:G)-COLUMN($D:$D))))</f>
        <v>'C'</v>
      </c>
      <c r="H48" s="12" t="str">
        <f>IF(SplitText($C48,",",COLUMN(H:H)-COLUMN($D:$D))="",$D48,trimtext(SplitText($C48,",",COLUMN(H:H)-COLUMN($D:$D))))</f>
        <v>'C'</v>
      </c>
      <c r="I48" s="12" t="str">
        <f>IF(SplitText($C48,",",COLUMN(I:I)-COLUMN($D:$D))="",$D48,trimtext(SplitText($C48,",",COLUMN(I:I)-COLUMN($D:$D))))</f>
        <v>'C'</v>
      </c>
      <c r="J48" s="9" t="s">
        <v>231</v>
      </c>
      <c r="K48" s="12" t="str">
        <f>trimtext(SplitText($J48,",",0))</f>
        <v>'C'</v>
      </c>
      <c r="L48" s="12" t="str">
        <f>IF(SplitText($J48,",",COLUMN(L:L)-COLUMN($K:$K))="",$K48,trimtext(SplitText($J48,",",COLUMN(L:L)-COLUMN($K:$K))))</f>
        <v>'C'</v>
      </c>
      <c r="M48" s="12" t="str">
        <f>IF(SplitText($J48,",",COLUMN(M:M)-COLUMN($K:$K))="",$K48,trimtext(SplitText($J48,",",COLUMN(M:M)-COLUMN($K:$K))))</f>
        <v>'C'</v>
      </c>
      <c r="N48" s="12" t="str">
        <f>IF(SplitText($J48,",",COLUMN(N:N)-COLUMN($K:$K))="",$K48,trimtext(SplitText($J48,",",COLUMN(N:N)-COLUMN($K:$K))))</f>
        <v>'C'</v>
      </c>
      <c r="O48" s="12" t="str">
        <f>IF(SplitText($J48,",",COLUMN(O:O)-COLUMN($K:$K))="",$K48,trimtext(SplitText($J48,",",COLUMN(O:O)-COLUMN($K:$K))))</f>
        <v>'C'</v>
      </c>
      <c r="P48" s="12" t="str">
        <f>IF(SplitText($J48,",",COLUMN(P:P)-COLUMN($K:$K))="",$K48,trimtext(SplitText($J48,",",COLUMN(P:P)-COLUMN($K:$K))))</f>
        <v>'C'</v>
      </c>
      <c r="Q48" s="12" t="str">
        <f>IF(SplitText($J48,",",COLUMN(Q:Q)-COLUMN($K:$K))="",$K48,trimtext(SplitText($J48,",",COLUMN(Q:Q)-COLUMN($K:$K))))</f>
        <v>'C'</v>
      </c>
      <c r="R48" s="23" t="s">
        <v>388</v>
      </c>
      <c r="S48" s="12" t="str">
        <f>trimtext(SplitText($R48,",",0))</f>
        <v>'B'</v>
      </c>
      <c r="T48" s="12" t="str">
        <f>IF(SplitText($R48,",",COLUMN(T:T)-COLUMN($S:$S))="",$S48,trimtext(SplitText($R48,",",COLUMN(T:T)-COLUMN($S:$S))))</f>
        <v>'B'</v>
      </c>
      <c r="U48" s="12" t="str">
        <f>IF(SplitText($R48,",",COLUMN(U:U)-COLUMN($S:$S))="",$S48,trimtext(SplitText($R48,",",COLUMN(U:U)-COLUMN($S:$S))))</f>
        <v>'C'</v>
      </c>
      <c r="V48" s="23" t="s">
        <v>552</v>
      </c>
      <c r="W48" s="12" t="str">
        <f>trimtext(SplitText($V48,",",0))</f>
        <v>'C'</v>
      </c>
      <c r="X48" s="12" t="str">
        <f>IF(SplitText($V48,",",COLUMN(X:X)-COLUMN($W:$W))="",$W48,trimtext(SplitText($V48,",",COLUMN(X:X)-COLUMN($W:$W))))</f>
        <v>'C'</v>
      </c>
      <c r="Y48" s="12" t="str">
        <f>IF(SplitText($V48,",",COLUMN(Y:Y)-COLUMN($W:$W))="",$W48,trimtext(SplitText($V48,",",COLUMN(Y:Y)-COLUMN($W:$W))))</f>
        <v>'C'</v>
      </c>
      <c r="Z48" s="23" t="s">
        <v>678</v>
      </c>
      <c r="AA48" s="12" t="str">
        <f t="shared" si="5"/>
        <v>'N'</v>
      </c>
      <c r="AB48" s="2" t="s">
        <v>789</v>
      </c>
      <c r="AC48" s="12" t="str">
        <f>trimtext(SplitText($AB48,",",0))</f>
        <v>'C'</v>
      </c>
      <c r="AD48" s="12" t="str">
        <f>IF(SplitText($AB48,",",COLUMN(AD:AD)-COLUMN($AC:$AC))="",$AC48,trimtext(SplitText($AB48,",",COLUMN(AD:AD)-COLUMN($AC:$AC))))</f>
        <v>'C'</v>
      </c>
      <c r="AE48" s="18" t="str">
        <f t="shared" si="6"/>
        <v>&lt;xs:enumeration value="T2E"&gt;&lt;xs:annotation&gt;&lt;xs:documentation&gt;Typically 'C' for keyboard type 4, different values for different keyboard types&lt;/xs:documentation&gt;&lt;xs:appinfo&gt;&lt;default-vk&gt;</v>
      </c>
      <c r="AF48" s="15" t="str">
        <f>IF(D48&lt;&gt;"","&lt;vk kbd="""&amp;D$1&amp;""" vk="""&amp;D48&amp;""""&amp;IF(Scan2VKFlags!B48&lt;&gt;""," flags="""&amp;Scan2VKFlags!B48&amp;"""","")&amp;"/&gt;","")</f>
        <v>&lt;vk kbd="1" vk="'C'"/&gt;</v>
      </c>
      <c r="AG48" s="15" t="str">
        <f>IF(E48&lt;&gt;"","&lt;vk kbd="""&amp;E$1&amp;""" vk="""&amp;E48&amp;""""&amp;IF(Scan2VKFlags!C48&lt;&gt;""," flags="""&amp;Scan2VKFlags!C48&amp;"""","")&amp;"/&gt;","")</f>
        <v>&lt;vk kbd="2" vk="'C'"/&gt;</v>
      </c>
      <c r="AH48" s="15" t="str">
        <f>IF(F48&lt;&gt;"","&lt;vk kbd="""&amp;F$1&amp;""" vk="""&amp;F48&amp;""""&amp;IF(Scan2VKFlags!D48&lt;&gt;""," flags="""&amp;Scan2VKFlags!D48&amp;"""","")&amp;"/&gt;","")</f>
        <v>&lt;vk kbd="3" vk="'C'"/&gt;</v>
      </c>
      <c r="AI48" s="15" t="str">
        <f>IF(G48&lt;&gt;"","&lt;vk kbd="""&amp;G$1&amp;""" vk="""&amp;G48&amp;""""&amp;IF(Scan2VKFlags!E48&lt;&gt;""," flags="""&amp;Scan2VKFlags!E48&amp;"""","")&amp;"/&gt;","")</f>
        <v>&lt;vk kbd="4" vk="'C'"/&gt;</v>
      </c>
      <c r="AJ48" s="15" t="str">
        <f>IF(H48&lt;&gt;"","&lt;vk kbd="""&amp;H$1&amp;""" vk="""&amp;H48&amp;""""&amp;IF(Scan2VKFlags!F48&lt;&gt;""," flags="""&amp;Scan2VKFlags!F48&amp;"""","")&amp;"/&gt;","")</f>
        <v>&lt;vk kbd="5" vk="'C'"/&gt;</v>
      </c>
      <c r="AK48" s="16" t="str">
        <f>IF(I48&lt;&gt;"","&lt;vk kbd="""&amp;I$1&amp;""" vk="""&amp;I48&amp;""""&amp;IF(Scan2VKFlags!G48&lt;&gt;""," flags="""&amp;Scan2VKFlags!G48&amp;"""","")&amp;"/&gt;","")</f>
        <v>&lt;vk kbd="6" vk="'C'"/&gt;</v>
      </c>
      <c r="AL48" s="3" t="str">
        <f>IF(K48&lt;&gt;"","&lt;vk kbd="""&amp;K$1&amp;""" vk="""&amp;K48&amp;""""&amp;IF(Scan2VKFlags!H48&lt;&gt;""," flags="""&amp;Scan2VKFlags!H48&amp;"""","")&amp;"/&gt;","")</f>
        <v>&lt;vk kbd="7" vk="'C'"/&gt;</v>
      </c>
      <c r="AM48" t="str">
        <f>IF(L48&lt;&gt;"","&lt;vk kbd="""&amp;L$1&amp;""" vk="""&amp;L48&amp;""""&amp;IF(Scan2VKFlags!I48&lt;&gt;""," flags="""&amp;Scan2VKFlags!I48&amp;"""","")&amp;"/&gt;","")</f>
        <v>&lt;vk kbd="8" vk="'C'"/&gt;</v>
      </c>
      <c r="AN48" t="str">
        <f>IF(M48&lt;&gt;"","&lt;vk kbd="""&amp;M$1&amp;""" vk="""&amp;M48&amp;""""&amp;IF(Scan2VKFlags!J48&lt;&gt;""," flags="""&amp;Scan2VKFlags!J48&amp;"""","")&amp;"/&gt;","")</f>
        <v>&lt;vk kbd="16" vk="'C'"/&gt;</v>
      </c>
      <c r="AO48" t="str">
        <f>IF(N48&lt;&gt;"","&lt;vk kbd="""&amp;N$1&amp;""" vk="""&amp;N48&amp;""""&amp;IF(Scan2VKFlags!K48&lt;&gt;""," flags="""&amp;Scan2VKFlags!K48&amp;"""","")&amp;"/&gt;","")</f>
        <v>&lt;vk kbd="10" vk="'C'"/&gt;</v>
      </c>
      <c r="AP48" t="str">
        <f>IF(O48&lt;&gt;"","&lt;vk kbd="""&amp;O$1&amp;""" vk="""&amp;O48&amp;""""&amp;IF(Scan2VKFlags!L48&lt;&gt;""," flags="""&amp;Scan2VKFlags!L48&amp;"""","")&amp;"/&gt;","")</f>
        <v>&lt;vk kbd="11" vk="'C'"/&gt;</v>
      </c>
      <c r="AQ48" t="str">
        <f>IF(P48&lt;&gt;"","&lt;vk kbd="""&amp;P$1&amp;""" vk="""&amp;P48&amp;""""&amp;IF(Scan2VKFlags!M48&lt;&gt;""," flags="""&amp;Scan2VKFlags!M48&amp;"""","")&amp;"/&gt;","")</f>
        <v>&lt;vk kbd="12" vk="'C'"/&gt;</v>
      </c>
      <c r="AR48" s="16" t="str">
        <f>IF(Q48&lt;&gt;"","&lt;vk kbd="""&amp;Q$1&amp;""" vk="""&amp;Q48&amp;""""&amp;IF(Scan2VKFlags!N48&lt;&gt;""," flags="""&amp;Scan2VKFlags!N48&amp;"""","")&amp;"/&gt;","")</f>
        <v>&lt;vk kbd="13" vk="'C'"/&gt;</v>
      </c>
      <c r="AS48" s="3" t="str">
        <f>IF(S48&lt;&gt;"","&lt;vk kbd="""&amp;S$1&amp;""" vk="""&amp;S48&amp;""""&amp;IF(Scan2VKFlags!O48&lt;&gt;""," flags="""&amp;Scan2VKFlags!O48&amp;"""","")&amp;"/&gt;","")</f>
        <v>&lt;vk kbd="20" vk="'B'"/&gt;</v>
      </c>
      <c r="AT48" t="str">
        <f>IF(T48&lt;&gt;"","&lt;vk kbd="""&amp;T$1&amp;""" vk="""&amp;T48&amp;""""&amp;IF(Scan2VKFlags!P48&lt;&gt;""," flags="""&amp;Scan2VKFlags!P48&amp;"""","")&amp;"/&gt;","")</f>
        <v>&lt;vk kbd="21" vk="'B'"/&gt;</v>
      </c>
      <c r="AU48" s="16" t="str">
        <f>IF(U48&lt;&gt;"","&lt;vk kbd="""&amp;U$1&amp;""" vk="""&amp;U48&amp;""""&amp;IF(Scan2VKFlags!Q48&lt;&gt;""," flags="""&amp;Scan2VKFlags!Q48&amp;"""","")&amp;"/&gt;","")</f>
        <v>&lt;vk kbd="22" vk="'C'"/&gt;</v>
      </c>
      <c r="AV48" s="3" t="str">
        <f>IF(W48&lt;&gt;"","&lt;vk kbd="""&amp;W$1&amp;""" vk="""&amp;W48&amp;""""&amp;IF(Scan2VKFlags!R48&lt;&gt;""," flags="""&amp;Scan2VKFlags!R48&amp;"""","")&amp;"/&gt;","")</f>
        <v>&lt;vk kbd="30" vk="'C'"/&gt;</v>
      </c>
      <c r="AW48" s="15" t="str">
        <f>IF(X48&lt;&gt;"","&lt;vk kbd="""&amp;X$1&amp;""" vk="""&amp;X48&amp;""""&amp;IF(Scan2VKFlags!S48&lt;&gt;""," flags="""&amp;Scan2VKFlags!S48&amp;"""","")&amp;"/&gt;","")</f>
        <v>&lt;vk kbd="33" vk="'C'"/&gt;</v>
      </c>
      <c r="AX48" s="15" t="str">
        <f>IF(Y48&lt;&gt;"","&lt;vk kbd="""&amp;Y$1&amp;""" vk="""&amp;Y48&amp;""""&amp;IF(Scan2VKFlags!T48&lt;&gt;""," flags="""&amp;Scan2VKFlags!T48&amp;"""","")&amp;"/&gt;","")</f>
        <v>&lt;vk kbd="34" vk="'C'"/&gt;</v>
      </c>
      <c r="AY48" s="18" t="str">
        <f>IF(AA48&lt;&gt;"","&lt;vk kbd="""&amp;AA$1&amp;""" vk="""&amp;AA48&amp;""""&amp;IF(Scan2VKFlags!U48&lt;&gt;""," flags="""&amp;Scan2VKFlags!U48&amp;"""","")&amp;"/&gt;","")</f>
        <v>&lt;vk kbd="37" vk="'N'"/&gt;</v>
      </c>
      <c r="AZ48" s="3" t="str">
        <f>IF(AC48&lt;&gt;"","&lt;vk kbd="""&amp;AC$1&amp;""" vk="""&amp;AC48&amp;""""&amp;IF(Scan2VKFlags!V48&lt;&gt;""," flags="""&amp;Scan2VKFlags!V48&amp;"""","")&amp;"/&gt;","")</f>
        <v>&lt;vk kbd="40" vk="'C'"/&gt;</v>
      </c>
      <c r="BA48" s="16" t="str">
        <f>IF(AD48&lt;&gt;"","&lt;vk kbd="""&amp;AD$1&amp;""" vk="""&amp;AD48&amp;""""&amp;IF(Scan2VKFlags!W48&lt;&gt;""," flags="""&amp;Scan2VKFlags!W48&amp;"""","")&amp;"/&gt;","")</f>
        <v>&lt;vk kbd="41" vk="'C'"/&gt;</v>
      </c>
      <c r="BB48" t="s">
        <v>854</v>
      </c>
    </row>
    <row r="49" spans="1:54" x14ac:dyDescent="0.25">
      <c r="A49">
        <f t="shared" si="7"/>
        <v>47</v>
      </c>
      <c r="B49" t="str">
        <f t="shared" si="4"/>
        <v>T2F</v>
      </c>
      <c r="C49" s="7" t="s">
        <v>47</v>
      </c>
      <c r="D49" s="12" t="str">
        <f>trimtext(SplitText($C49,",",0))</f>
        <v>'V'</v>
      </c>
      <c r="E49" s="12" t="str">
        <f>IF(SplitText($C49,",",COLUMN(E:E)-COLUMN($D:$D))="",$D49,trimtext(SplitText($C49,",",COLUMN(E:E)-COLUMN($D:$D))))</f>
        <v>'V'</v>
      </c>
      <c r="F49" s="12" t="str">
        <f>IF(SplitText($C49,",",COLUMN(F:F)-COLUMN($D:$D))="",$D49,trimtext(SplitText($C49,",",COLUMN(F:F)-COLUMN($D:$D))))</f>
        <v>'V'</v>
      </c>
      <c r="G49" s="12" t="str">
        <f>IF(SplitText($C49,",",COLUMN(G:G)-COLUMN($D:$D))="",$D49,trimtext(SplitText($C49,",",COLUMN(G:G)-COLUMN($D:$D))))</f>
        <v>'V'</v>
      </c>
      <c r="H49" s="12" t="str">
        <f>IF(SplitText($C49,",",COLUMN(H:H)-COLUMN($D:$D))="",$D49,trimtext(SplitText($C49,",",COLUMN(H:H)-COLUMN($D:$D))))</f>
        <v>'V'</v>
      </c>
      <c r="I49" s="12" t="str">
        <f>IF(SplitText($C49,",",COLUMN(I:I)-COLUMN($D:$D))="",$D49,trimtext(SplitText($C49,",",COLUMN(I:I)-COLUMN($D:$D))))</f>
        <v>'V'</v>
      </c>
      <c r="J49" s="9" t="s">
        <v>232</v>
      </c>
      <c r="K49" s="12" t="str">
        <f>trimtext(SplitText($J49,",",0))</f>
        <v>'V'</v>
      </c>
      <c r="L49" s="12" t="str">
        <f>IF(SplitText($J49,",",COLUMN(L:L)-COLUMN($K:$K))="",$K49,trimtext(SplitText($J49,",",COLUMN(L:L)-COLUMN($K:$K))))</f>
        <v>'V'</v>
      </c>
      <c r="M49" s="12" t="str">
        <f>IF(SplitText($J49,",",COLUMN(M:M)-COLUMN($K:$K))="",$K49,trimtext(SplitText($J49,",",COLUMN(M:M)-COLUMN($K:$K))))</f>
        <v>'V'</v>
      </c>
      <c r="N49" s="12" t="str">
        <f>IF(SplitText($J49,",",COLUMN(N:N)-COLUMN($K:$K))="",$K49,trimtext(SplitText($J49,",",COLUMN(N:N)-COLUMN($K:$K))))</f>
        <v>'V'</v>
      </c>
      <c r="O49" s="12" t="str">
        <f>IF(SplitText($J49,",",COLUMN(O:O)-COLUMN($K:$K))="",$K49,trimtext(SplitText($J49,",",COLUMN(O:O)-COLUMN($K:$K))))</f>
        <v>'V'</v>
      </c>
      <c r="P49" s="12" t="str">
        <f>IF(SplitText($J49,",",COLUMN(P:P)-COLUMN($K:$K))="",$K49,trimtext(SplitText($J49,",",COLUMN(P:P)-COLUMN($K:$K))))</f>
        <v>'V'</v>
      </c>
      <c r="Q49" s="12" t="str">
        <f>IF(SplitText($J49,",",COLUMN(Q:Q)-COLUMN($K:$K))="",$K49,trimtext(SplitText($J49,",",COLUMN(Q:Q)-COLUMN($K:$K))))</f>
        <v>'V'</v>
      </c>
      <c r="R49" s="23" t="s">
        <v>389</v>
      </c>
      <c r="S49" s="12" t="str">
        <f>trimtext(SplitText($R49,",",0))</f>
        <v>'N'</v>
      </c>
      <c r="T49" s="12" t="str">
        <f>IF(SplitText($R49,",",COLUMN(T:T)-COLUMN($S:$S))="",$S49,trimtext(SplitText($R49,",",COLUMN(T:T)-COLUMN($S:$S))))</f>
        <v>'N'</v>
      </c>
      <c r="U49" s="12" t="str">
        <f>IF(SplitText($R49,",",COLUMN(U:U)-COLUMN($S:$S))="",$S49,trimtext(SplitText($R49,",",COLUMN(U:U)-COLUMN($S:$S))))</f>
        <v>'V'</v>
      </c>
      <c r="V49" s="23" t="s">
        <v>553</v>
      </c>
      <c r="W49" s="12" t="str">
        <f>trimtext(SplitText($V49,",",0))</f>
        <v>'V'</v>
      </c>
      <c r="X49" s="12" t="str">
        <f>IF(SplitText($V49,",",COLUMN(X:X)-COLUMN($W:$W))="",$W49,trimtext(SplitText($V49,",",COLUMN(X:X)-COLUMN($W:$W))))</f>
        <v>'V'</v>
      </c>
      <c r="Y49" s="12" t="str">
        <f>IF(SplitText($V49,",",COLUMN(Y:Y)-COLUMN($W:$W))="",$W49,trimtext(SplitText($V49,",",COLUMN(Y:Y)-COLUMN($W:$W))))</f>
        <v>'V'</v>
      </c>
      <c r="Z49" s="23" t="s">
        <v>679</v>
      </c>
      <c r="AA49" s="12" t="str">
        <f t="shared" si="5"/>
        <v>'M'</v>
      </c>
      <c r="AB49" s="2" t="s">
        <v>790</v>
      </c>
      <c r="AC49" s="12" t="str">
        <f>trimtext(SplitText($AB49,",",0))</f>
        <v>'V'</v>
      </c>
      <c r="AD49" s="12" t="str">
        <f>IF(SplitText($AB49,",",COLUMN(AD:AD)-COLUMN($AC:$AC))="",$AC49,trimtext(SplitText($AB49,",",COLUMN(AD:AD)-COLUMN($AC:$AC))))</f>
        <v>'V'</v>
      </c>
      <c r="AE49" s="18" t="str">
        <f t="shared" si="6"/>
        <v>&lt;xs:enumeration value="T2F"&gt;&lt;xs:annotation&gt;&lt;xs:documentation&gt;Typically 'V' for keyboard type 4, different values for different keyboard types&lt;/xs:documentation&gt;&lt;xs:appinfo&gt;&lt;default-vk&gt;</v>
      </c>
      <c r="AF49" s="15" t="str">
        <f>IF(D49&lt;&gt;"","&lt;vk kbd="""&amp;D$1&amp;""" vk="""&amp;D49&amp;""""&amp;IF(Scan2VKFlags!B49&lt;&gt;""," flags="""&amp;Scan2VKFlags!B49&amp;"""","")&amp;"/&gt;","")</f>
        <v>&lt;vk kbd="1" vk="'V'"/&gt;</v>
      </c>
      <c r="AG49" s="15" t="str">
        <f>IF(E49&lt;&gt;"","&lt;vk kbd="""&amp;E$1&amp;""" vk="""&amp;E49&amp;""""&amp;IF(Scan2VKFlags!C49&lt;&gt;""," flags="""&amp;Scan2VKFlags!C49&amp;"""","")&amp;"/&gt;","")</f>
        <v>&lt;vk kbd="2" vk="'V'"/&gt;</v>
      </c>
      <c r="AH49" s="15" t="str">
        <f>IF(F49&lt;&gt;"","&lt;vk kbd="""&amp;F$1&amp;""" vk="""&amp;F49&amp;""""&amp;IF(Scan2VKFlags!D49&lt;&gt;""," flags="""&amp;Scan2VKFlags!D49&amp;"""","")&amp;"/&gt;","")</f>
        <v>&lt;vk kbd="3" vk="'V'"/&gt;</v>
      </c>
      <c r="AI49" s="15" t="str">
        <f>IF(G49&lt;&gt;"","&lt;vk kbd="""&amp;G$1&amp;""" vk="""&amp;G49&amp;""""&amp;IF(Scan2VKFlags!E49&lt;&gt;""," flags="""&amp;Scan2VKFlags!E49&amp;"""","")&amp;"/&gt;","")</f>
        <v>&lt;vk kbd="4" vk="'V'"/&gt;</v>
      </c>
      <c r="AJ49" s="15" t="str">
        <f>IF(H49&lt;&gt;"","&lt;vk kbd="""&amp;H$1&amp;""" vk="""&amp;H49&amp;""""&amp;IF(Scan2VKFlags!F49&lt;&gt;""," flags="""&amp;Scan2VKFlags!F49&amp;"""","")&amp;"/&gt;","")</f>
        <v>&lt;vk kbd="5" vk="'V'"/&gt;</v>
      </c>
      <c r="AK49" s="16" t="str">
        <f>IF(I49&lt;&gt;"","&lt;vk kbd="""&amp;I$1&amp;""" vk="""&amp;I49&amp;""""&amp;IF(Scan2VKFlags!G49&lt;&gt;""," flags="""&amp;Scan2VKFlags!G49&amp;"""","")&amp;"/&gt;","")</f>
        <v>&lt;vk kbd="6" vk="'V'"/&gt;</v>
      </c>
      <c r="AL49" s="3" t="str">
        <f>IF(K49&lt;&gt;"","&lt;vk kbd="""&amp;K$1&amp;""" vk="""&amp;K49&amp;""""&amp;IF(Scan2VKFlags!H49&lt;&gt;""," flags="""&amp;Scan2VKFlags!H49&amp;"""","")&amp;"/&gt;","")</f>
        <v>&lt;vk kbd="7" vk="'V'"/&gt;</v>
      </c>
      <c r="AM49" t="str">
        <f>IF(L49&lt;&gt;"","&lt;vk kbd="""&amp;L$1&amp;""" vk="""&amp;L49&amp;""""&amp;IF(Scan2VKFlags!I49&lt;&gt;""," flags="""&amp;Scan2VKFlags!I49&amp;"""","")&amp;"/&gt;","")</f>
        <v>&lt;vk kbd="8" vk="'V'"/&gt;</v>
      </c>
      <c r="AN49" t="str">
        <f>IF(M49&lt;&gt;"","&lt;vk kbd="""&amp;M$1&amp;""" vk="""&amp;M49&amp;""""&amp;IF(Scan2VKFlags!J49&lt;&gt;""," flags="""&amp;Scan2VKFlags!J49&amp;"""","")&amp;"/&gt;","")</f>
        <v>&lt;vk kbd="16" vk="'V'"/&gt;</v>
      </c>
      <c r="AO49" t="str">
        <f>IF(N49&lt;&gt;"","&lt;vk kbd="""&amp;N$1&amp;""" vk="""&amp;N49&amp;""""&amp;IF(Scan2VKFlags!K49&lt;&gt;""," flags="""&amp;Scan2VKFlags!K49&amp;"""","")&amp;"/&gt;","")</f>
        <v>&lt;vk kbd="10" vk="'V'"/&gt;</v>
      </c>
      <c r="AP49" t="str">
        <f>IF(O49&lt;&gt;"","&lt;vk kbd="""&amp;O$1&amp;""" vk="""&amp;O49&amp;""""&amp;IF(Scan2VKFlags!L49&lt;&gt;""," flags="""&amp;Scan2VKFlags!L49&amp;"""","")&amp;"/&gt;","")</f>
        <v>&lt;vk kbd="11" vk="'V'"/&gt;</v>
      </c>
      <c r="AQ49" t="str">
        <f>IF(P49&lt;&gt;"","&lt;vk kbd="""&amp;P$1&amp;""" vk="""&amp;P49&amp;""""&amp;IF(Scan2VKFlags!M49&lt;&gt;""," flags="""&amp;Scan2VKFlags!M49&amp;"""","")&amp;"/&gt;","")</f>
        <v>&lt;vk kbd="12" vk="'V'"/&gt;</v>
      </c>
      <c r="AR49" s="16" t="str">
        <f>IF(Q49&lt;&gt;"","&lt;vk kbd="""&amp;Q$1&amp;""" vk="""&amp;Q49&amp;""""&amp;IF(Scan2VKFlags!N49&lt;&gt;""," flags="""&amp;Scan2VKFlags!N49&amp;"""","")&amp;"/&gt;","")</f>
        <v>&lt;vk kbd="13" vk="'V'"/&gt;</v>
      </c>
      <c r="AS49" s="3" t="str">
        <f>IF(S49&lt;&gt;"","&lt;vk kbd="""&amp;S$1&amp;""" vk="""&amp;S49&amp;""""&amp;IF(Scan2VKFlags!O49&lt;&gt;""," flags="""&amp;Scan2VKFlags!O49&amp;"""","")&amp;"/&gt;","")</f>
        <v>&lt;vk kbd="20" vk="'N'"/&gt;</v>
      </c>
      <c r="AT49" t="str">
        <f>IF(T49&lt;&gt;"","&lt;vk kbd="""&amp;T$1&amp;""" vk="""&amp;T49&amp;""""&amp;IF(Scan2VKFlags!P49&lt;&gt;""," flags="""&amp;Scan2VKFlags!P49&amp;"""","")&amp;"/&gt;","")</f>
        <v>&lt;vk kbd="21" vk="'N'"/&gt;</v>
      </c>
      <c r="AU49" s="16" t="str">
        <f>IF(U49&lt;&gt;"","&lt;vk kbd="""&amp;U$1&amp;""" vk="""&amp;U49&amp;""""&amp;IF(Scan2VKFlags!Q49&lt;&gt;""," flags="""&amp;Scan2VKFlags!Q49&amp;"""","")&amp;"/&gt;","")</f>
        <v>&lt;vk kbd="22" vk="'V'"/&gt;</v>
      </c>
      <c r="AV49" s="3" t="str">
        <f>IF(W49&lt;&gt;"","&lt;vk kbd="""&amp;W$1&amp;""" vk="""&amp;W49&amp;""""&amp;IF(Scan2VKFlags!R49&lt;&gt;""," flags="""&amp;Scan2VKFlags!R49&amp;"""","")&amp;"/&gt;","")</f>
        <v>&lt;vk kbd="30" vk="'V'"/&gt;</v>
      </c>
      <c r="AW49" s="15" t="str">
        <f>IF(X49&lt;&gt;"","&lt;vk kbd="""&amp;X$1&amp;""" vk="""&amp;X49&amp;""""&amp;IF(Scan2VKFlags!S49&lt;&gt;""," flags="""&amp;Scan2VKFlags!S49&amp;"""","")&amp;"/&gt;","")</f>
        <v>&lt;vk kbd="33" vk="'V'"/&gt;</v>
      </c>
      <c r="AX49" s="15" t="str">
        <f>IF(Y49&lt;&gt;"","&lt;vk kbd="""&amp;Y$1&amp;""" vk="""&amp;Y49&amp;""""&amp;IF(Scan2VKFlags!T49&lt;&gt;""," flags="""&amp;Scan2VKFlags!T49&amp;"""","")&amp;"/&gt;","")</f>
        <v>&lt;vk kbd="34" vk="'V'"/&gt;</v>
      </c>
      <c r="AY49" s="18" t="str">
        <f>IF(AA49&lt;&gt;"","&lt;vk kbd="""&amp;AA$1&amp;""" vk="""&amp;AA49&amp;""""&amp;IF(Scan2VKFlags!U49&lt;&gt;""," flags="""&amp;Scan2VKFlags!U49&amp;"""","")&amp;"/&gt;","")</f>
        <v>&lt;vk kbd="37" vk="'M'"/&gt;</v>
      </c>
      <c r="AZ49" s="3" t="str">
        <f>IF(AC49&lt;&gt;"","&lt;vk kbd="""&amp;AC$1&amp;""" vk="""&amp;AC49&amp;""""&amp;IF(Scan2VKFlags!V49&lt;&gt;""," flags="""&amp;Scan2VKFlags!V49&amp;"""","")&amp;"/&gt;","")</f>
        <v>&lt;vk kbd="40" vk="'V'"/&gt;</v>
      </c>
      <c r="BA49" s="16" t="str">
        <f>IF(AD49&lt;&gt;"","&lt;vk kbd="""&amp;AD$1&amp;""" vk="""&amp;AD49&amp;""""&amp;IF(Scan2VKFlags!W49&lt;&gt;""," flags="""&amp;Scan2VKFlags!W49&amp;"""","")&amp;"/&gt;","")</f>
        <v>&lt;vk kbd="41" vk="'V'"/&gt;</v>
      </c>
      <c r="BB49" t="s">
        <v>854</v>
      </c>
    </row>
    <row r="50" spans="1:54" x14ac:dyDescent="0.25">
      <c r="A50">
        <f t="shared" si="7"/>
        <v>48</v>
      </c>
      <c r="B50" t="str">
        <f t="shared" si="4"/>
        <v>T30</v>
      </c>
      <c r="C50" s="7" t="s">
        <v>48</v>
      </c>
      <c r="D50" s="12" t="str">
        <f>trimtext(SplitText($C50,",",0))</f>
        <v>'B'</v>
      </c>
      <c r="E50" s="12" t="str">
        <f>IF(SplitText($C50,",",COLUMN(E:E)-COLUMN($D:$D))="",$D50,trimtext(SplitText($C50,",",COLUMN(E:E)-COLUMN($D:$D))))</f>
        <v>'B'</v>
      </c>
      <c r="F50" s="12" t="str">
        <f>IF(SplitText($C50,",",COLUMN(F:F)-COLUMN($D:$D))="",$D50,trimtext(SplitText($C50,",",COLUMN(F:F)-COLUMN($D:$D))))</f>
        <v>'B'</v>
      </c>
      <c r="G50" s="12" t="str">
        <f>IF(SplitText($C50,",",COLUMN(G:G)-COLUMN($D:$D))="",$D50,trimtext(SplitText($C50,",",COLUMN(G:G)-COLUMN($D:$D))))</f>
        <v>'B'</v>
      </c>
      <c r="H50" s="12" t="str">
        <f>IF(SplitText($C50,",",COLUMN(H:H)-COLUMN($D:$D))="",$D50,trimtext(SplitText($C50,",",COLUMN(H:H)-COLUMN($D:$D))))</f>
        <v>'B'</v>
      </c>
      <c r="I50" s="12" t="str">
        <f>IF(SplitText($C50,",",COLUMN(I:I)-COLUMN($D:$D))="",$D50,trimtext(SplitText($C50,",",COLUMN(I:I)-COLUMN($D:$D))))</f>
        <v>'B'</v>
      </c>
      <c r="J50" s="9" t="s">
        <v>233</v>
      </c>
      <c r="K50" s="12" t="str">
        <f>trimtext(SplitText($J50,",",0))</f>
        <v>'B'</v>
      </c>
      <c r="L50" s="12" t="str">
        <f>IF(SplitText($J50,",",COLUMN(L:L)-COLUMN($K:$K))="",$K50,trimtext(SplitText($J50,",",COLUMN(L:L)-COLUMN($K:$K))))</f>
        <v>'B'</v>
      </c>
      <c r="M50" s="12" t="str">
        <f>IF(SplitText($J50,",",COLUMN(M:M)-COLUMN($K:$K))="",$K50,trimtext(SplitText($J50,",",COLUMN(M:M)-COLUMN($K:$K))))</f>
        <v>'B'</v>
      </c>
      <c r="N50" s="12" t="str">
        <f>IF(SplitText($J50,",",COLUMN(N:N)-COLUMN($K:$K))="",$K50,trimtext(SplitText($J50,",",COLUMN(N:N)-COLUMN($K:$K))))</f>
        <v>'B'</v>
      </c>
      <c r="O50" s="12" t="str">
        <f>IF(SplitText($J50,",",COLUMN(O:O)-COLUMN($K:$K))="",$K50,trimtext(SplitText($J50,",",COLUMN(O:O)-COLUMN($K:$K))))</f>
        <v>'B'</v>
      </c>
      <c r="P50" s="12" t="str">
        <f>IF(SplitText($J50,",",COLUMN(P:P)-COLUMN($K:$K))="",$K50,trimtext(SplitText($J50,",",COLUMN(P:P)-COLUMN($K:$K))))</f>
        <v>'B'</v>
      </c>
      <c r="Q50" s="12" t="str">
        <f>IF(SplitText($J50,",",COLUMN(Q:Q)-COLUMN($K:$K))="",$K50,trimtext(SplitText($J50,",",COLUMN(Q:Q)-COLUMN($K:$K))))</f>
        <v>'B'</v>
      </c>
      <c r="R50" s="23" t="s">
        <v>390</v>
      </c>
      <c r="S50" s="12" t="str">
        <f>trimtext(SplitText($R50,",",0))</f>
        <v>'M'</v>
      </c>
      <c r="T50" s="12" t="str">
        <f>IF(SplitText($R50,",",COLUMN(T:T)-COLUMN($S:$S))="",$S50,trimtext(SplitText($R50,",",COLUMN(T:T)-COLUMN($S:$S))))</f>
        <v>'M'</v>
      </c>
      <c r="U50" s="12" t="str">
        <f>IF(SplitText($R50,",",COLUMN(U:U)-COLUMN($S:$S))="",$S50,trimtext(SplitText($R50,",",COLUMN(U:U)-COLUMN($S:$S))))</f>
        <v>'B'</v>
      </c>
      <c r="V50" s="23" t="s">
        <v>554</v>
      </c>
      <c r="W50" s="12" t="str">
        <f>trimtext(SplitText($V50,",",0))</f>
        <v>'B'</v>
      </c>
      <c r="X50" s="12" t="str">
        <f>IF(SplitText($V50,",",COLUMN(X:X)-COLUMN($W:$W))="",$W50,trimtext(SplitText($V50,",",COLUMN(X:X)-COLUMN($W:$W))))</f>
        <v>'B'</v>
      </c>
      <c r="Y50" s="12" t="str">
        <f>IF(SplitText($V50,",",COLUMN(Y:Y)-COLUMN($W:$W))="",$W50,trimtext(SplitText($V50,",",COLUMN(Y:Y)-COLUMN($W:$W))))</f>
        <v>'B'</v>
      </c>
      <c r="Z50" s="2" t="s">
        <v>680</v>
      </c>
      <c r="AA50" s="12" t="str">
        <f t="shared" si="5"/>
        <v>OEM_COMMA</v>
      </c>
      <c r="AB50" s="2" t="s">
        <v>791</v>
      </c>
      <c r="AC50" s="12" t="str">
        <f>trimtext(SplitText($AB50,",",0))</f>
        <v>'B'</v>
      </c>
      <c r="AD50" s="12" t="str">
        <f>IF(SplitText($AB50,",",COLUMN(AD:AD)-COLUMN($AC:$AC))="",$AC50,trimtext(SplitText($AB50,",",COLUMN(AD:AD)-COLUMN($AC:$AC))))</f>
        <v>'B'</v>
      </c>
      <c r="AE50" s="18" t="str">
        <f t="shared" si="6"/>
        <v>&lt;xs:enumeration value="T30"&gt;&lt;xs:annotation&gt;&lt;xs:documentation&gt;Typically 'B' for keyboard type 4, different values for different keyboard types&lt;/xs:documentation&gt;&lt;xs:appinfo&gt;&lt;default-vk&gt;</v>
      </c>
      <c r="AF50" s="15" t="str">
        <f>IF(D50&lt;&gt;"","&lt;vk kbd="""&amp;D$1&amp;""" vk="""&amp;D50&amp;""""&amp;IF(Scan2VKFlags!B50&lt;&gt;""," flags="""&amp;Scan2VKFlags!B50&amp;"""","")&amp;"/&gt;","")</f>
        <v>&lt;vk kbd="1" vk="'B'"/&gt;</v>
      </c>
      <c r="AG50" s="15" t="str">
        <f>IF(E50&lt;&gt;"","&lt;vk kbd="""&amp;E$1&amp;""" vk="""&amp;E50&amp;""""&amp;IF(Scan2VKFlags!C50&lt;&gt;""," flags="""&amp;Scan2VKFlags!C50&amp;"""","")&amp;"/&gt;","")</f>
        <v>&lt;vk kbd="2" vk="'B'"/&gt;</v>
      </c>
      <c r="AH50" s="15" t="str">
        <f>IF(F50&lt;&gt;"","&lt;vk kbd="""&amp;F$1&amp;""" vk="""&amp;F50&amp;""""&amp;IF(Scan2VKFlags!D50&lt;&gt;""," flags="""&amp;Scan2VKFlags!D50&amp;"""","")&amp;"/&gt;","")</f>
        <v>&lt;vk kbd="3" vk="'B'"/&gt;</v>
      </c>
      <c r="AI50" s="15" t="str">
        <f>IF(G50&lt;&gt;"","&lt;vk kbd="""&amp;G$1&amp;""" vk="""&amp;G50&amp;""""&amp;IF(Scan2VKFlags!E50&lt;&gt;""," flags="""&amp;Scan2VKFlags!E50&amp;"""","")&amp;"/&gt;","")</f>
        <v>&lt;vk kbd="4" vk="'B'"/&gt;</v>
      </c>
      <c r="AJ50" s="15" t="str">
        <f>IF(H50&lt;&gt;"","&lt;vk kbd="""&amp;H$1&amp;""" vk="""&amp;H50&amp;""""&amp;IF(Scan2VKFlags!F50&lt;&gt;""," flags="""&amp;Scan2VKFlags!F50&amp;"""","")&amp;"/&gt;","")</f>
        <v>&lt;vk kbd="5" vk="'B'"/&gt;</v>
      </c>
      <c r="AK50" s="16" t="str">
        <f>IF(I50&lt;&gt;"","&lt;vk kbd="""&amp;I$1&amp;""" vk="""&amp;I50&amp;""""&amp;IF(Scan2VKFlags!G50&lt;&gt;""," flags="""&amp;Scan2VKFlags!G50&amp;"""","")&amp;"/&gt;","")</f>
        <v>&lt;vk kbd="6" vk="'B'"/&gt;</v>
      </c>
      <c r="AL50" s="3" t="str">
        <f>IF(K50&lt;&gt;"","&lt;vk kbd="""&amp;K$1&amp;""" vk="""&amp;K50&amp;""""&amp;IF(Scan2VKFlags!H50&lt;&gt;""," flags="""&amp;Scan2VKFlags!H50&amp;"""","")&amp;"/&gt;","")</f>
        <v>&lt;vk kbd="7" vk="'B'"/&gt;</v>
      </c>
      <c r="AM50" t="str">
        <f>IF(L50&lt;&gt;"","&lt;vk kbd="""&amp;L$1&amp;""" vk="""&amp;L50&amp;""""&amp;IF(Scan2VKFlags!I50&lt;&gt;""," flags="""&amp;Scan2VKFlags!I50&amp;"""","")&amp;"/&gt;","")</f>
        <v>&lt;vk kbd="8" vk="'B'"/&gt;</v>
      </c>
      <c r="AN50" t="str">
        <f>IF(M50&lt;&gt;"","&lt;vk kbd="""&amp;M$1&amp;""" vk="""&amp;M50&amp;""""&amp;IF(Scan2VKFlags!J50&lt;&gt;""," flags="""&amp;Scan2VKFlags!J50&amp;"""","")&amp;"/&gt;","")</f>
        <v>&lt;vk kbd="16" vk="'B'"/&gt;</v>
      </c>
      <c r="AO50" t="str">
        <f>IF(N50&lt;&gt;"","&lt;vk kbd="""&amp;N$1&amp;""" vk="""&amp;N50&amp;""""&amp;IF(Scan2VKFlags!K50&lt;&gt;""," flags="""&amp;Scan2VKFlags!K50&amp;"""","")&amp;"/&gt;","")</f>
        <v>&lt;vk kbd="10" vk="'B'"/&gt;</v>
      </c>
      <c r="AP50" t="str">
        <f>IF(O50&lt;&gt;"","&lt;vk kbd="""&amp;O$1&amp;""" vk="""&amp;O50&amp;""""&amp;IF(Scan2VKFlags!L50&lt;&gt;""," flags="""&amp;Scan2VKFlags!L50&amp;"""","")&amp;"/&gt;","")</f>
        <v>&lt;vk kbd="11" vk="'B'"/&gt;</v>
      </c>
      <c r="AQ50" t="str">
        <f>IF(P50&lt;&gt;"","&lt;vk kbd="""&amp;P$1&amp;""" vk="""&amp;P50&amp;""""&amp;IF(Scan2VKFlags!M50&lt;&gt;""," flags="""&amp;Scan2VKFlags!M50&amp;"""","")&amp;"/&gt;","")</f>
        <v>&lt;vk kbd="12" vk="'B'"/&gt;</v>
      </c>
      <c r="AR50" s="16" t="str">
        <f>IF(Q50&lt;&gt;"","&lt;vk kbd="""&amp;Q$1&amp;""" vk="""&amp;Q50&amp;""""&amp;IF(Scan2VKFlags!N50&lt;&gt;""," flags="""&amp;Scan2VKFlags!N50&amp;"""","")&amp;"/&gt;","")</f>
        <v>&lt;vk kbd="13" vk="'B'"/&gt;</v>
      </c>
      <c r="AS50" s="3" t="str">
        <f>IF(S50&lt;&gt;"","&lt;vk kbd="""&amp;S$1&amp;""" vk="""&amp;S50&amp;""""&amp;IF(Scan2VKFlags!O50&lt;&gt;""," flags="""&amp;Scan2VKFlags!O50&amp;"""","")&amp;"/&gt;","")</f>
        <v>&lt;vk kbd="20" vk="'M'"/&gt;</v>
      </c>
      <c r="AT50" t="str">
        <f>IF(T50&lt;&gt;"","&lt;vk kbd="""&amp;T$1&amp;""" vk="""&amp;T50&amp;""""&amp;IF(Scan2VKFlags!P50&lt;&gt;""," flags="""&amp;Scan2VKFlags!P50&amp;"""","")&amp;"/&gt;","")</f>
        <v>&lt;vk kbd="21" vk="'M'"/&gt;</v>
      </c>
      <c r="AU50" s="16" t="str">
        <f>IF(U50&lt;&gt;"","&lt;vk kbd="""&amp;U$1&amp;""" vk="""&amp;U50&amp;""""&amp;IF(Scan2VKFlags!Q50&lt;&gt;""," flags="""&amp;Scan2VKFlags!Q50&amp;"""","")&amp;"/&gt;","")</f>
        <v>&lt;vk kbd="22" vk="'B'"/&gt;</v>
      </c>
      <c r="AV50" s="3" t="str">
        <f>IF(W50&lt;&gt;"","&lt;vk kbd="""&amp;W$1&amp;""" vk="""&amp;W50&amp;""""&amp;IF(Scan2VKFlags!R50&lt;&gt;""," flags="""&amp;Scan2VKFlags!R50&amp;"""","")&amp;"/&gt;","")</f>
        <v>&lt;vk kbd="30" vk="'B'"/&gt;</v>
      </c>
      <c r="AW50" s="15" t="str">
        <f>IF(X50&lt;&gt;"","&lt;vk kbd="""&amp;X$1&amp;""" vk="""&amp;X50&amp;""""&amp;IF(Scan2VKFlags!S50&lt;&gt;""," flags="""&amp;Scan2VKFlags!S50&amp;"""","")&amp;"/&gt;","")</f>
        <v>&lt;vk kbd="33" vk="'B'"/&gt;</v>
      </c>
      <c r="AX50" s="15" t="str">
        <f>IF(Y50&lt;&gt;"","&lt;vk kbd="""&amp;Y$1&amp;""" vk="""&amp;Y50&amp;""""&amp;IF(Scan2VKFlags!T50&lt;&gt;""," flags="""&amp;Scan2VKFlags!T50&amp;"""","")&amp;"/&gt;","")</f>
        <v>&lt;vk kbd="34" vk="'B'"/&gt;</v>
      </c>
      <c r="AY50" s="18" t="str">
        <f>IF(AA50&lt;&gt;"","&lt;vk kbd="""&amp;AA$1&amp;""" vk="""&amp;AA50&amp;""""&amp;IF(Scan2VKFlags!U50&lt;&gt;""," flags="""&amp;Scan2VKFlags!U50&amp;"""","")&amp;"/&gt;","")</f>
        <v>&lt;vk kbd="37" vk="OEM_COMMA"/&gt;</v>
      </c>
      <c r="AZ50" s="3" t="str">
        <f>IF(AC50&lt;&gt;"","&lt;vk kbd="""&amp;AC$1&amp;""" vk="""&amp;AC50&amp;""""&amp;IF(Scan2VKFlags!V50&lt;&gt;""," flags="""&amp;Scan2VKFlags!V50&amp;"""","")&amp;"/&gt;","")</f>
        <v>&lt;vk kbd="40" vk="'B'"/&gt;</v>
      </c>
      <c r="BA50" s="16" t="str">
        <f>IF(AD50&lt;&gt;"","&lt;vk kbd="""&amp;AD$1&amp;""" vk="""&amp;AD50&amp;""""&amp;IF(Scan2VKFlags!W50&lt;&gt;""," flags="""&amp;Scan2VKFlags!W50&amp;"""","")&amp;"/&gt;","")</f>
        <v>&lt;vk kbd="41" vk="'B'"/&gt;</v>
      </c>
      <c r="BB50" t="s">
        <v>854</v>
      </c>
    </row>
    <row r="51" spans="1:54" x14ac:dyDescent="0.25">
      <c r="A51">
        <f t="shared" si="7"/>
        <v>49</v>
      </c>
      <c r="B51" t="str">
        <f t="shared" si="4"/>
        <v>T31</v>
      </c>
      <c r="C51" s="7" t="s">
        <v>49</v>
      </c>
      <c r="D51" s="12" t="str">
        <f>trimtext(SplitText($C51,",",0))</f>
        <v>'N'</v>
      </c>
      <c r="E51" s="12" t="str">
        <f>IF(SplitText($C51,",",COLUMN(E:E)-COLUMN($D:$D))="",$D51,trimtext(SplitText($C51,",",COLUMN(E:E)-COLUMN($D:$D))))</f>
        <v>'N'</v>
      </c>
      <c r="F51" s="12" t="str">
        <f>IF(SplitText($C51,",",COLUMN(F:F)-COLUMN($D:$D))="",$D51,trimtext(SplitText($C51,",",COLUMN(F:F)-COLUMN($D:$D))))</f>
        <v>'N'</v>
      </c>
      <c r="G51" s="12" t="str">
        <f>IF(SplitText($C51,",",COLUMN(G:G)-COLUMN($D:$D))="",$D51,trimtext(SplitText($C51,",",COLUMN(G:G)-COLUMN($D:$D))))</f>
        <v>'N'</v>
      </c>
      <c r="H51" s="12" t="str">
        <f>IF(SplitText($C51,",",COLUMN(H:H)-COLUMN($D:$D))="",$D51,trimtext(SplitText($C51,",",COLUMN(H:H)-COLUMN($D:$D))))</f>
        <v>'N'</v>
      </c>
      <c r="I51" s="12" t="str">
        <f>IF(SplitText($C51,",",COLUMN(I:I)-COLUMN($D:$D))="",$D51,trimtext(SplitText($C51,",",COLUMN(I:I)-COLUMN($D:$D))))</f>
        <v>'N'</v>
      </c>
      <c r="J51" s="9" t="s">
        <v>234</v>
      </c>
      <c r="K51" s="12" t="str">
        <f>trimtext(SplitText($J51,",",0))</f>
        <v>'N'</v>
      </c>
      <c r="L51" s="12" t="str">
        <f>IF(SplitText($J51,",",COLUMN(L:L)-COLUMN($K:$K))="",$K51,trimtext(SplitText($J51,",",COLUMN(L:L)-COLUMN($K:$K))))</f>
        <v>'N'</v>
      </c>
      <c r="M51" s="12" t="str">
        <f>IF(SplitText($J51,",",COLUMN(M:M)-COLUMN($K:$K))="",$K51,trimtext(SplitText($J51,",",COLUMN(M:M)-COLUMN($K:$K))))</f>
        <v>'N'</v>
      </c>
      <c r="N51" s="12" t="str">
        <f>IF(SplitText($J51,",",COLUMN(N:N)-COLUMN($K:$K))="",$K51,trimtext(SplitText($J51,",",COLUMN(N:N)-COLUMN($K:$K))))</f>
        <v>'N'</v>
      </c>
      <c r="O51" s="12" t="str">
        <f>IF(SplitText($J51,",",COLUMN(O:O)-COLUMN($K:$K))="",$K51,trimtext(SplitText($J51,",",COLUMN(O:O)-COLUMN($K:$K))))</f>
        <v>'N'</v>
      </c>
      <c r="P51" s="12" t="str">
        <f>IF(SplitText($J51,",",COLUMN(P:P)-COLUMN($K:$K))="",$K51,trimtext(SplitText($J51,",",COLUMN(P:P)-COLUMN($K:$K))))</f>
        <v>'N'</v>
      </c>
      <c r="Q51" s="12" t="str">
        <f>IF(SplitText($J51,",",COLUMN(Q:Q)-COLUMN($K:$K))="",$K51,trimtext(SplitText($J51,",",COLUMN(Q:Q)-COLUMN($K:$K))))</f>
        <v>'N'</v>
      </c>
      <c r="R51" s="2" t="s">
        <v>391</v>
      </c>
      <c r="S51" s="12" t="str">
        <f>trimtext(SplitText($R51,",",0))</f>
        <v>OEM_COMMA</v>
      </c>
      <c r="T51" s="12" t="str">
        <f>IF(SplitText($R51,",",COLUMN(T:T)-COLUMN($S:$S))="",$S51,trimtext(SplitText($R51,",",COLUMN(T:T)-COLUMN($S:$S))))</f>
        <v>OEM_COMMA</v>
      </c>
      <c r="U51" s="12" t="str">
        <f>IF(SplitText($R51,",",COLUMN(U:U)-COLUMN($S:$S))="",$S51,trimtext(SplitText($R51,",",COLUMN(U:U)-COLUMN($S:$S))))</f>
        <v>'N'</v>
      </c>
      <c r="V51" s="23" t="s">
        <v>555</v>
      </c>
      <c r="W51" s="12" t="str">
        <f>trimtext(SplitText($V51,",",0))</f>
        <v>'N'</v>
      </c>
      <c r="X51" s="12" t="str">
        <f>IF(SplitText($V51,",",COLUMN(X:X)-COLUMN($W:$W))="",$W51,trimtext(SplitText($V51,",",COLUMN(X:X)-COLUMN($W:$W))))</f>
        <v>'N'</v>
      </c>
      <c r="Y51" s="12" t="str">
        <f>IF(SplitText($V51,",",COLUMN(Y:Y)-COLUMN($W:$W))="",$W51,trimtext(SplitText($V51,",",COLUMN(Y:Y)-COLUMN($W:$W))))</f>
        <v>'N'</v>
      </c>
      <c r="Z51" s="2" t="s">
        <v>681</v>
      </c>
      <c r="AA51" s="12" t="str">
        <f t="shared" si="5"/>
        <v>OEM_PERIOD</v>
      </c>
      <c r="AB51" s="2" t="s">
        <v>792</v>
      </c>
      <c r="AC51" s="12" t="str">
        <f>trimtext(SplitText($AB51,",",0))</f>
        <v>'N'</v>
      </c>
      <c r="AD51" s="12" t="str">
        <f>IF(SplitText($AB51,",",COLUMN(AD:AD)-COLUMN($AC:$AC))="",$AC51,trimtext(SplitText($AB51,",",COLUMN(AD:AD)-COLUMN($AC:$AC))))</f>
        <v>'N'</v>
      </c>
      <c r="AE51" s="18" t="str">
        <f t="shared" si="6"/>
        <v>&lt;xs:enumeration value="T31"&gt;&lt;xs:annotation&gt;&lt;xs:documentation&gt;Typically 'N' for keyboard type 4, different values for different keyboard types&lt;/xs:documentation&gt;&lt;xs:appinfo&gt;&lt;default-vk&gt;</v>
      </c>
      <c r="AF51" s="15" t="str">
        <f>IF(D51&lt;&gt;"","&lt;vk kbd="""&amp;D$1&amp;""" vk="""&amp;D51&amp;""""&amp;IF(Scan2VKFlags!B51&lt;&gt;""," flags="""&amp;Scan2VKFlags!B51&amp;"""","")&amp;"/&gt;","")</f>
        <v>&lt;vk kbd="1" vk="'N'"/&gt;</v>
      </c>
      <c r="AG51" s="15" t="str">
        <f>IF(E51&lt;&gt;"","&lt;vk kbd="""&amp;E$1&amp;""" vk="""&amp;E51&amp;""""&amp;IF(Scan2VKFlags!C51&lt;&gt;""," flags="""&amp;Scan2VKFlags!C51&amp;"""","")&amp;"/&gt;","")</f>
        <v>&lt;vk kbd="2" vk="'N'"/&gt;</v>
      </c>
      <c r="AH51" s="15" t="str">
        <f>IF(F51&lt;&gt;"","&lt;vk kbd="""&amp;F$1&amp;""" vk="""&amp;F51&amp;""""&amp;IF(Scan2VKFlags!D51&lt;&gt;""," flags="""&amp;Scan2VKFlags!D51&amp;"""","")&amp;"/&gt;","")</f>
        <v>&lt;vk kbd="3" vk="'N'"/&gt;</v>
      </c>
      <c r="AI51" s="15" t="str">
        <f>IF(G51&lt;&gt;"","&lt;vk kbd="""&amp;G$1&amp;""" vk="""&amp;G51&amp;""""&amp;IF(Scan2VKFlags!E51&lt;&gt;""," flags="""&amp;Scan2VKFlags!E51&amp;"""","")&amp;"/&gt;","")</f>
        <v>&lt;vk kbd="4" vk="'N'"/&gt;</v>
      </c>
      <c r="AJ51" s="15" t="str">
        <f>IF(H51&lt;&gt;"","&lt;vk kbd="""&amp;H$1&amp;""" vk="""&amp;H51&amp;""""&amp;IF(Scan2VKFlags!F51&lt;&gt;""," flags="""&amp;Scan2VKFlags!F51&amp;"""","")&amp;"/&gt;","")</f>
        <v>&lt;vk kbd="5" vk="'N'"/&gt;</v>
      </c>
      <c r="AK51" s="16" t="str">
        <f>IF(I51&lt;&gt;"","&lt;vk kbd="""&amp;I$1&amp;""" vk="""&amp;I51&amp;""""&amp;IF(Scan2VKFlags!G51&lt;&gt;""," flags="""&amp;Scan2VKFlags!G51&amp;"""","")&amp;"/&gt;","")</f>
        <v>&lt;vk kbd="6" vk="'N'"/&gt;</v>
      </c>
      <c r="AL51" s="3" t="str">
        <f>IF(K51&lt;&gt;"","&lt;vk kbd="""&amp;K$1&amp;""" vk="""&amp;K51&amp;""""&amp;IF(Scan2VKFlags!H51&lt;&gt;""," flags="""&amp;Scan2VKFlags!H51&amp;"""","")&amp;"/&gt;","")</f>
        <v>&lt;vk kbd="7" vk="'N'"/&gt;</v>
      </c>
      <c r="AM51" t="str">
        <f>IF(L51&lt;&gt;"","&lt;vk kbd="""&amp;L$1&amp;""" vk="""&amp;L51&amp;""""&amp;IF(Scan2VKFlags!I51&lt;&gt;""," flags="""&amp;Scan2VKFlags!I51&amp;"""","")&amp;"/&gt;","")</f>
        <v>&lt;vk kbd="8" vk="'N'"/&gt;</v>
      </c>
      <c r="AN51" t="str">
        <f>IF(M51&lt;&gt;"","&lt;vk kbd="""&amp;M$1&amp;""" vk="""&amp;M51&amp;""""&amp;IF(Scan2VKFlags!J51&lt;&gt;""," flags="""&amp;Scan2VKFlags!J51&amp;"""","")&amp;"/&gt;","")</f>
        <v>&lt;vk kbd="16" vk="'N'"/&gt;</v>
      </c>
      <c r="AO51" t="str">
        <f>IF(N51&lt;&gt;"","&lt;vk kbd="""&amp;N$1&amp;""" vk="""&amp;N51&amp;""""&amp;IF(Scan2VKFlags!K51&lt;&gt;""," flags="""&amp;Scan2VKFlags!K51&amp;"""","")&amp;"/&gt;","")</f>
        <v>&lt;vk kbd="10" vk="'N'"/&gt;</v>
      </c>
      <c r="AP51" t="str">
        <f>IF(O51&lt;&gt;"","&lt;vk kbd="""&amp;O$1&amp;""" vk="""&amp;O51&amp;""""&amp;IF(Scan2VKFlags!L51&lt;&gt;""," flags="""&amp;Scan2VKFlags!L51&amp;"""","")&amp;"/&gt;","")</f>
        <v>&lt;vk kbd="11" vk="'N'"/&gt;</v>
      </c>
      <c r="AQ51" t="str">
        <f>IF(P51&lt;&gt;"","&lt;vk kbd="""&amp;P$1&amp;""" vk="""&amp;P51&amp;""""&amp;IF(Scan2VKFlags!M51&lt;&gt;""," flags="""&amp;Scan2VKFlags!M51&amp;"""","")&amp;"/&gt;","")</f>
        <v>&lt;vk kbd="12" vk="'N'"/&gt;</v>
      </c>
      <c r="AR51" s="16" t="str">
        <f>IF(Q51&lt;&gt;"","&lt;vk kbd="""&amp;Q$1&amp;""" vk="""&amp;Q51&amp;""""&amp;IF(Scan2VKFlags!N51&lt;&gt;""," flags="""&amp;Scan2VKFlags!N51&amp;"""","")&amp;"/&gt;","")</f>
        <v>&lt;vk kbd="13" vk="'N'"/&gt;</v>
      </c>
      <c r="AS51" s="3" t="str">
        <f>IF(S51&lt;&gt;"","&lt;vk kbd="""&amp;S$1&amp;""" vk="""&amp;S51&amp;""""&amp;IF(Scan2VKFlags!O51&lt;&gt;""," flags="""&amp;Scan2VKFlags!O51&amp;"""","")&amp;"/&gt;","")</f>
        <v>&lt;vk kbd="20" vk="OEM_COMMA"/&gt;</v>
      </c>
      <c r="AT51" t="str">
        <f>IF(T51&lt;&gt;"","&lt;vk kbd="""&amp;T$1&amp;""" vk="""&amp;T51&amp;""""&amp;IF(Scan2VKFlags!P51&lt;&gt;""," flags="""&amp;Scan2VKFlags!P51&amp;"""","")&amp;"/&gt;","")</f>
        <v>&lt;vk kbd="21" vk="OEM_COMMA"/&gt;</v>
      </c>
      <c r="AU51" s="16" t="str">
        <f>IF(U51&lt;&gt;"","&lt;vk kbd="""&amp;U$1&amp;""" vk="""&amp;U51&amp;""""&amp;IF(Scan2VKFlags!Q51&lt;&gt;""," flags="""&amp;Scan2VKFlags!Q51&amp;"""","")&amp;"/&gt;","")</f>
        <v>&lt;vk kbd="22" vk="'N'"/&gt;</v>
      </c>
      <c r="AV51" s="3" t="str">
        <f>IF(W51&lt;&gt;"","&lt;vk kbd="""&amp;W$1&amp;""" vk="""&amp;W51&amp;""""&amp;IF(Scan2VKFlags!R51&lt;&gt;""," flags="""&amp;Scan2VKFlags!R51&amp;"""","")&amp;"/&gt;","")</f>
        <v>&lt;vk kbd="30" vk="'N'"/&gt;</v>
      </c>
      <c r="AW51" s="15" t="str">
        <f>IF(X51&lt;&gt;"","&lt;vk kbd="""&amp;X$1&amp;""" vk="""&amp;X51&amp;""""&amp;IF(Scan2VKFlags!S51&lt;&gt;""," flags="""&amp;Scan2VKFlags!S51&amp;"""","")&amp;"/&gt;","")</f>
        <v>&lt;vk kbd="33" vk="'N'"/&gt;</v>
      </c>
      <c r="AX51" s="15" t="str">
        <f>IF(Y51&lt;&gt;"","&lt;vk kbd="""&amp;Y$1&amp;""" vk="""&amp;Y51&amp;""""&amp;IF(Scan2VKFlags!T51&lt;&gt;""," flags="""&amp;Scan2VKFlags!T51&amp;"""","")&amp;"/&gt;","")</f>
        <v>&lt;vk kbd="34" vk="'N'"/&gt;</v>
      </c>
      <c r="AY51" s="18" t="str">
        <f>IF(AA51&lt;&gt;"","&lt;vk kbd="""&amp;AA$1&amp;""" vk="""&amp;AA51&amp;""""&amp;IF(Scan2VKFlags!U51&lt;&gt;""," flags="""&amp;Scan2VKFlags!U51&amp;"""","")&amp;"/&gt;","")</f>
        <v>&lt;vk kbd="37" vk="OEM_PERIOD"/&gt;</v>
      </c>
      <c r="AZ51" s="3" t="str">
        <f>IF(AC51&lt;&gt;"","&lt;vk kbd="""&amp;AC$1&amp;""" vk="""&amp;AC51&amp;""""&amp;IF(Scan2VKFlags!V51&lt;&gt;""," flags="""&amp;Scan2VKFlags!V51&amp;"""","")&amp;"/&gt;","")</f>
        <v>&lt;vk kbd="40" vk="'N'"/&gt;</v>
      </c>
      <c r="BA51" s="16" t="str">
        <f>IF(AD51&lt;&gt;"","&lt;vk kbd="""&amp;AD$1&amp;""" vk="""&amp;AD51&amp;""""&amp;IF(Scan2VKFlags!W51&lt;&gt;""," flags="""&amp;Scan2VKFlags!W51&amp;"""","")&amp;"/&gt;","")</f>
        <v>&lt;vk kbd="41" vk="'N'"/&gt;</v>
      </c>
      <c r="BB51" t="s">
        <v>854</v>
      </c>
    </row>
    <row r="52" spans="1:54" x14ac:dyDescent="0.25">
      <c r="A52">
        <f t="shared" si="7"/>
        <v>50</v>
      </c>
      <c r="B52" t="str">
        <f t="shared" si="4"/>
        <v>T32</v>
      </c>
      <c r="C52" s="7" t="s">
        <v>50</v>
      </c>
      <c r="D52" s="12" t="str">
        <f>trimtext(SplitText($C52,",",0))</f>
        <v>'M'</v>
      </c>
      <c r="E52" s="12" t="str">
        <f>IF(SplitText($C52,",",COLUMN(E:E)-COLUMN($D:$D))="",$D52,trimtext(SplitText($C52,",",COLUMN(E:E)-COLUMN($D:$D))))</f>
        <v>'M'</v>
      </c>
      <c r="F52" s="12" t="str">
        <f>IF(SplitText($C52,",",COLUMN(F:F)-COLUMN($D:$D))="",$D52,trimtext(SplitText($C52,",",COLUMN(F:F)-COLUMN($D:$D))))</f>
        <v>'M'</v>
      </c>
      <c r="G52" s="12" t="str">
        <f>IF(SplitText($C52,",",COLUMN(G:G)-COLUMN($D:$D))="",$D52,trimtext(SplitText($C52,",",COLUMN(G:G)-COLUMN($D:$D))))</f>
        <v>'M'</v>
      </c>
      <c r="H52" s="12" t="str">
        <f>IF(SplitText($C52,",",COLUMN(H:H)-COLUMN($D:$D))="",$D52,trimtext(SplitText($C52,",",COLUMN(H:H)-COLUMN($D:$D))))</f>
        <v>'M'</v>
      </c>
      <c r="I52" s="12" t="str">
        <f>IF(SplitText($C52,",",COLUMN(I:I)-COLUMN($D:$D))="",$D52,trimtext(SplitText($C52,",",COLUMN(I:I)-COLUMN($D:$D))))</f>
        <v>'M'</v>
      </c>
      <c r="J52" s="9" t="s">
        <v>235</v>
      </c>
      <c r="K52" s="12" t="str">
        <f>trimtext(SplitText($J52,",",0))</f>
        <v>'M'</v>
      </c>
      <c r="L52" s="12" t="str">
        <f>IF(SplitText($J52,",",COLUMN(L:L)-COLUMN($K:$K))="",$K52,trimtext(SplitText($J52,",",COLUMN(L:L)-COLUMN($K:$K))))</f>
        <v>'M'</v>
      </c>
      <c r="M52" s="12" t="str">
        <f>IF(SplitText($J52,",",COLUMN(M:M)-COLUMN($K:$K))="",$K52,trimtext(SplitText($J52,",",COLUMN(M:M)-COLUMN($K:$K))))</f>
        <v>'M'</v>
      </c>
      <c r="N52" s="12" t="str">
        <f>IF(SplitText($J52,",",COLUMN(N:N)-COLUMN($K:$K))="",$K52,trimtext(SplitText($J52,",",COLUMN(N:N)-COLUMN($K:$K))))</f>
        <v>'M'</v>
      </c>
      <c r="O52" s="12" t="str">
        <f>IF(SplitText($J52,",",COLUMN(O:O)-COLUMN($K:$K))="",$K52,trimtext(SplitText($J52,",",COLUMN(O:O)-COLUMN($K:$K))))</f>
        <v>'M'</v>
      </c>
      <c r="P52" s="12" t="str">
        <f>IF(SplitText($J52,",",COLUMN(P:P)-COLUMN($K:$K))="",$K52,trimtext(SplitText($J52,",",COLUMN(P:P)-COLUMN($K:$K))))</f>
        <v>'M'</v>
      </c>
      <c r="Q52" s="12" t="str">
        <f>IF(SplitText($J52,",",COLUMN(Q:Q)-COLUMN($K:$K))="",$K52,trimtext(SplitText($J52,",",COLUMN(Q:Q)-COLUMN($K:$K))))</f>
        <v>'M'</v>
      </c>
      <c r="R52" s="2" t="s">
        <v>392</v>
      </c>
      <c r="S52" s="12" t="str">
        <f>trimtext(SplitText($R52,",",0))</f>
        <v>OEM_PERIOD</v>
      </c>
      <c r="T52" s="12" t="str">
        <f>IF(SplitText($R52,",",COLUMN(T:T)-COLUMN($S:$S))="",$S52,trimtext(SplitText($R52,",",COLUMN(T:T)-COLUMN($S:$S))))</f>
        <v>OEM_PERIOD</v>
      </c>
      <c r="U52" s="12" t="str">
        <f>IF(SplitText($R52,",",COLUMN(U:U)-COLUMN($S:$S))="",$S52,trimtext(SplitText($R52,",",COLUMN(U:U)-COLUMN($S:$S))))</f>
        <v>'M'</v>
      </c>
      <c r="V52" s="23" t="s">
        <v>556</v>
      </c>
      <c r="W52" s="12" t="str">
        <f>trimtext(SplitText($V52,",",0))</f>
        <v>'M'</v>
      </c>
      <c r="X52" s="12" t="str">
        <f>IF(SplitText($V52,",",COLUMN(X:X)-COLUMN($W:$W))="",$W52,trimtext(SplitText($V52,",",COLUMN(X:X)-COLUMN($W:$W))))</f>
        <v>'M'</v>
      </c>
      <c r="Y52" s="12" t="str">
        <f>IF(SplitText($V52,",",COLUMN(Y:Y)-COLUMN($W:$W))="",$W52,trimtext(SplitText($V52,",",COLUMN(Y:Y)-COLUMN($W:$W))))</f>
        <v>'M'</v>
      </c>
      <c r="Z52" s="2" t="s">
        <v>682</v>
      </c>
      <c r="AA52" s="12" t="str">
        <f t="shared" si="5"/>
        <v>OEM_2</v>
      </c>
      <c r="AB52" s="2" t="s">
        <v>793</v>
      </c>
      <c r="AC52" s="12" t="str">
        <f>trimtext(SplitText($AB52,",",0))</f>
        <v>'M'</v>
      </c>
      <c r="AD52" s="12" t="str">
        <f>IF(SplitText($AB52,",",COLUMN(AD:AD)-COLUMN($AC:$AC))="",$AC52,trimtext(SplitText($AB52,",",COLUMN(AD:AD)-COLUMN($AC:$AC))))</f>
        <v>'M'</v>
      </c>
      <c r="AE52" s="18" t="str">
        <f t="shared" si="6"/>
        <v>&lt;xs:enumeration value="T32"&gt;&lt;xs:annotation&gt;&lt;xs:documentation&gt;Typically 'M' for keyboard type 4, different values for different keyboard types&lt;/xs:documentation&gt;&lt;xs:appinfo&gt;&lt;default-vk&gt;</v>
      </c>
      <c r="AF52" s="15" t="str">
        <f>IF(D52&lt;&gt;"","&lt;vk kbd="""&amp;D$1&amp;""" vk="""&amp;D52&amp;""""&amp;IF(Scan2VKFlags!B52&lt;&gt;""," flags="""&amp;Scan2VKFlags!B52&amp;"""","")&amp;"/&gt;","")</f>
        <v>&lt;vk kbd="1" vk="'M'"/&gt;</v>
      </c>
      <c r="AG52" s="15" t="str">
        <f>IF(E52&lt;&gt;"","&lt;vk kbd="""&amp;E$1&amp;""" vk="""&amp;E52&amp;""""&amp;IF(Scan2VKFlags!C52&lt;&gt;""," flags="""&amp;Scan2VKFlags!C52&amp;"""","")&amp;"/&gt;","")</f>
        <v>&lt;vk kbd="2" vk="'M'"/&gt;</v>
      </c>
      <c r="AH52" s="15" t="str">
        <f>IF(F52&lt;&gt;"","&lt;vk kbd="""&amp;F$1&amp;""" vk="""&amp;F52&amp;""""&amp;IF(Scan2VKFlags!D52&lt;&gt;""," flags="""&amp;Scan2VKFlags!D52&amp;"""","")&amp;"/&gt;","")</f>
        <v>&lt;vk kbd="3" vk="'M'"/&gt;</v>
      </c>
      <c r="AI52" s="15" t="str">
        <f>IF(G52&lt;&gt;"","&lt;vk kbd="""&amp;G$1&amp;""" vk="""&amp;G52&amp;""""&amp;IF(Scan2VKFlags!E52&lt;&gt;""," flags="""&amp;Scan2VKFlags!E52&amp;"""","")&amp;"/&gt;","")</f>
        <v>&lt;vk kbd="4" vk="'M'"/&gt;</v>
      </c>
      <c r="AJ52" s="15" t="str">
        <f>IF(H52&lt;&gt;"","&lt;vk kbd="""&amp;H$1&amp;""" vk="""&amp;H52&amp;""""&amp;IF(Scan2VKFlags!F52&lt;&gt;""," flags="""&amp;Scan2VKFlags!F52&amp;"""","")&amp;"/&gt;","")</f>
        <v>&lt;vk kbd="5" vk="'M'"/&gt;</v>
      </c>
      <c r="AK52" s="16" t="str">
        <f>IF(I52&lt;&gt;"","&lt;vk kbd="""&amp;I$1&amp;""" vk="""&amp;I52&amp;""""&amp;IF(Scan2VKFlags!G52&lt;&gt;""," flags="""&amp;Scan2VKFlags!G52&amp;"""","")&amp;"/&gt;","")</f>
        <v>&lt;vk kbd="6" vk="'M'"/&gt;</v>
      </c>
      <c r="AL52" s="3" t="str">
        <f>IF(K52&lt;&gt;"","&lt;vk kbd="""&amp;K$1&amp;""" vk="""&amp;K52&amp;""""&amp;IF(Scan2VKFlags!H52&lt;&gt;""," flags="""&amp;Scan2VKFlags!H52&amp;"""","")&amp;"/&gt;","")</f>
        <v>&lt;vk kbd="7" vk="'M'"/&gt;</v>
      </c>
      <c r="AM52" t="str">
        <f>IF(L52&lt;&gt;"","&lt;vk kbd="""&amp;L$1&amp;""" vk="""&amp;L52&amp;""""&amp;IF(Scan2VKFlags!I52&lt;&gt;""," flags="""&amp;Scan2VKFlags!I52&amp;"""","")&amp;"/&gt;","")</f>
        <v>&lt;vk kbd="8" vk="'M'"/&gt;</v>
      </c>
      <c r="AN52" t="str">
        <f>IF(M52&lt;&gt;"","&lt;vk kbd="""&amp;M$1&amp;""" vk="""&amp;M52&amp;""""&amp;IF(Scan2VKFlags!J52&lt;&gt;""," flags="""&amp;Scan2VKFlags!J52&amp;"""","")&amp;"/&gt;","")</f>
        <v>&lt;vk kbd="16" vk="'M'"/&gt;</v>
      </c>
      <c r="AO52" t="str">
        <f>IF(N52&lt;&gt;"","&lt;vk kbd="""&amp;N$1&amp;""" vk="""&amp;N52&amp;""""&amp;IF(Scan2VKFlags!K52&lt;&gt;""," flags="""&amp;Scan2VKFlags!K52&amp;"""","")&amp;"/&gt;","")</f>
        <v>&lt;vk kbd="10" vk="'M'"/&gt;</v>
      </c>
      <c r="AP52" t="str">
        <f>IF(O52&lt;&gt;"","&lt;vk kbd="""&amp;O$1&amp;""" vk="""&amp;O52&amp;""""&amp;IF(Scan2VKFlags!L52&lt;&gt;""," flags="""&amp;Scan2VKFlags!L52&amp;"""","")&amp;"/&gt;","")</f>
        <v>&lt;vk kbd="11" vk="'M'"/&gt;</v>
      </c>
      <c r="AQ52" t="str">
        <f>IF(P52&lt;&gt;"","&lt;vk kbd="""&amp;P$1&amp;""" vk="""&amp;P52&amp;""""&amp;IF(Scan2VKFlags!M52&lt;&gt;""," flags="""&amp;Scan2VKFlags!M52&amp;"""","")&amp;"/&gt;","")</f>
        <v>&lt;vk kbd="12" vk="'M'"/&gt;</v>
      </c>
      <c r="AR52" s="16" t="str">
        <f>IF(Q52&lt;&gt;"","&lt;vk kbd="""&amp;Q$1&amp;""" vk="""&amp;Q52&amp;""""&amp;IF(Scan2VKFlags!N52&lt;&gt;""," flags="""&amp;Scan2VKFlags!N52&amp;"""","")&amp;"/&gt;","")</f>
        <v>&lt;vk kbd="13" vk="'M'"/&gt;</v>
      </c>
      <c r="AS52" s="3" t="str">
        <f>IF(S52&lt;&gt;"","&lt;vk kbd="""&amp;S$1&amp;""" vk="""&amp;S52&amp;""""&amp;IF(Scan2VKFlags!O52&lt;&gt;""," flags="""&amp;Scan2VKFlags!O52&amp;"""","")&amp;"/&gt;","")</f>
        <v>&lt;vk kbd="20" vk="OEM_PERIOD"/&gt;</v>
      </c>
      <c r="AT52" t="str">
        <f>IF(T52&lt;&gt;"","&lt;vk kbd="""&amp;T$1&amp;""" vk="""&amp;T52&amp;""""&amp;IF(Scan2VKFlags!P52&lt;&gt;""," flags="""&amp;Scan2VKFlags!P52&amp;"""","")&amp;"/&gt;","")</f>
        <v>&lt;vk kbd="21" vk="OEM_PERIOD"/&gt;</v>
      </c>
      <c r="AU52" s="16" t="str">
        <f>IF(U52&lt;&gt;"","&lt;vk kbd="""&amp;U$1&amp;""" vk="""&amp;U52&amp;""""&amp;IF(Scan2VKFlags!Q52&lt;&gt;""," flags="""&amp;Scan2VKFlags!Q52&amp;"""","")&amp;"/&gt;","")</f>
        <v>&lt;vk kbd="22" vk="'M'"/&gt;</v>
      </c>
      <c r="AV52" s="3" t="str">
        <f>IF(W52&lt;&gt;"","&lt;vk kbd="""&amp;W$1&amp;""" vk="""&amp;W52&amp;""""&amp;IF(Scan2VKFlags!R52&lt;&gt;""," flags="""&amp;Scan2VKFlags!R52&amp;"""","")&amp;"/&gt;","")</f>
        <v>&lt;vk kbd="30" vk="'M'"/&gt;</v>
      </c>
      <c r="AW52" s="15" t="str">
        <f>IF(X52&lt;&gt;"","&lt;vk kbd="""&amp;X$1&amp;""" vk="""&amp;X52&amp;""""&amp;IF(Scan2VKFlags!S52&lt;&gt;""," flags="""&amp;Scan2VKFlags!S52&amp;"""","")&amp;"/&gt;","")</f>
        <v>&lt;vk kbd="33" vk="'M'"/&gt;</v>
      </c>
      <c r="AX52" s="15" t="str">
        <f>IF(Y52&lt;&gt;"","&lt;vk kbd="""&amp;Y$1&amp;""" vk="""&amp;Y52&amp;""""&amp;IF(Scan2VKFlags!T52&lt;&gt;""," flags="""&amp;Scan2VKFlags!T52&amp;"""","")&amp;"/&gt;","")</f>
        <v>&lt;vk kbd="34" vk="'M'"/&gt;</v>
      </c>
      <c r="AY52" s="18" t="str">
        <f>IF(AA52&lt;&gt;"","&lt;vk kbd="""&amp;AA$1&amp;""" vk="""&amp;AA52&amp;""""&amp;IF(Scan2VKFlags!U52&lt;&gt;""," flags="""&amp;Scan2VKFlags!U52&amp;"""","")&amp;"/&gt;","")</f>
        <v>&lt;vk kbd="37" vk="OEM_2"/&gt;</v>
      </c>
      <c r="AZ52" s="3" t="str">
        <f>IF(AC52&lt;&gt;"","&lt;vk kbd="""&amp;AC$1&amp;""" vk="""&amp;AC52&amp;""""&amp;IF(Scan2VKFlags!V52&lt;&gt;""," flags="""&amp;Scan2VKFlags!V52&amp;"""","")&amp;"/&gt;","")</f>
        <v>&lt;vk kbd="40" vk="'M'"/&gt;</v>
      </c>
      <c r="BA52" s="16" t="str">
        <f>IF(AD52&lt;&gt;"","&lt;vk kbd="""&amp;AD$1&amp;""" vk="""&amp;AD52&amp;""""&amp;IF(Scan2VKFlags!W52&lt;&gt;""," flags="""&amp;Scan2VKFlags!W52&amp;"""","")&amp;"/&gt;","")</f>
        <v>&lt;vk kbd="41" vk="'M'"/&gt;</v>
      </c>
      <c r="BB52" t="s">
        <v>854</v>
      </c>
    </row>
    <row r="53" spans="1:54" x14ac:dyDescent="0.25">
      <c r="A53">
        <f t="shared" si="7"/>
        <v>51</v>
      </c>
      <c r="B53" t="str">
        <f t="shared" si="4"/>
        <v>T33</v>
      </c>
      <c r="C53" s="7" t="s">
        <v>51</v>
      </c>
      <c r="D53" s="12" t="str">
        <f>trimtext(SplitText($C53,",",0))</f>
        <v>OEM_COMMA</v>
      </c>
      <c r="E53" s="12" t="str">
        <f>IF(SplitText($C53,",",COLUMN(E:E)-COLUMN($D:$D))="",$D53,trimtext(SplitText($C53,",",COLUMN(E:E)-COLUMN($D:$D))))</f>
        <v>OEM_COMMA</v>
      </c>
      <c r="F53" s="12" t="str">
        <f>IF(SplitText($C53,",",COLUMN(F:F)-COLUMN($D:$D))="",$D53,trimtext(SplitText($C53,",",COLUMN(F:F)-COLUMN($D:$D))))</f>
        <v>OEM_COMMA</v>
      </c>
      <c r="G53" s="12" t="str">
        <f>IF(SplitText($C53,",",COLUMN(G:G)-COLUMN($D:$D))="",$D53,trimtext(SplitText($C53,",",COLUMN(G:G)-COLUMN($D:$D))))</f>
        <v>OEM_COMMA</v>
      </c>
      <c r="H53" s="12" t="str">
        <f>IF(SplitText($C53,",",COLUMN(H:H)-COLUMN($D:$D))="",$D53,trimtext(SplitText($C53,",",COLUMN(H:H)-COLUMN($D:$D))))</f>
        <v>OEM_COMMA</v>
      </c>
      <c r="I53" s="12" t="str">
        <f>IF(SplitText($C53,",",COLUMN(I:I)-COLUMN($D:$D))="",$D53,trimtext(SplitText($C53,",",COLUMN(I:I)-COLUMN($D:$D))))</f>
        <v>OEM_COMMA</v>
      </c>
      <c r="J53" s="9" t="s">
        <v>236</v>
      </c>
      <c r="K53" s="12" t="str">
        <f>trimtext(SplitText($J53,",",0))</f>
        <v>OEM_COMMA</v>
      </c>
      <c r="L53" s="12" t="str">
        <f>IF(SplitText($J53,",",COLUMN(L:L)-COLUMN($K:$K))="",$K53,trimtext(SplitText($J53,",",COLUMN(L:L)-COLUMN($K:$K))))</f>
        <v>OEM_COMMA</v>
      </c>
      <c r="M53" s="12" t="str">
        <f>IF(SplitText($J53,",",COLUMN(M:M)-COLUMN($K:$K))="",$K53,trimtext(SplitText($J53,",",COLUMN(M:M)-COLUMN($K:$K))))</f>
        <v>OEM_COMMA</v>
      </c>
      <c r="N53" s="12" t="str">
        <f>IF(SplitText($J53,",",COLUMN(N:N)-COLUMN($K:$K))="",$K53,trimtext(SplitText($J53,",",COLUMN(N:N)-COLUMN($K:$K))))</f>
        <v>OEM_COMMA</v>
      </c>
      <c r="O53" s="12" t="str">
        <f>IF(SplitText($J53,",",COLUMN(O:O)-COLUMN($K:$K))="",$K53,trimtext(SplitText($J53,",",COLUMN(O:O)-COLUMN($K:$K))))</f>
        <v>OEM_COMMA</v>
      </c>
      <c r="P53" s="12" t="str">
        <f>IF(SplitText($J53,",",COLUMN(P:P)-COLUMN($K:$K))="",$K53,trimtext(SplitText($J53,",",COLUMN(P:P)-COLUMN($K:$K))))</f>
        <v>OEM_COMMA</v>
      </c>
      <c r="Q53" s="12" t="str">
        <f>IF(SplitText($J53,",",COLUMN(Q:Q)-COLUMN($K:$K))="",$K53,trimtext(SplitText($J53,",",COLUMN(Q:Q)-COLUMN($K:$K))))</f>
        <v>OEM_COMMA</v>
      </c>
      <c r="R53" s="2" t="s">
        <v>393</v>
      </c>
      <c r="S53" s="12" t="str">
        <f>trimtext(SplitText($R53,",",0))</f>
        <v>OEM_2</v>
      </c>
      <c r="T53" s="12" t="str">
        <f>IF(SplitText($R53,",",COLUMN(T:T)-COLUMN($S:$S))="",$S53,trimtext(SplitText($R53,",",COLUMN(T:T)-COLUMN($S:$S))))</f>
        <v>OEM_2</v>
      </c>
      <c r="U53" s="12" t="str">
        <f>IF(SplitText($R53,",",COLUMN(U:U)-COLUMN($S:$S))="",$S53,trimtext(SplitText($R53,",",COLUMN(U:U)-COLUMN($S:$S))))</f>
        <v>OEM_COMMA</v>
      </c>
      <c r="V53" s="2" t="s">
        <v>557</v>
      </c>
      <c r="W53" s="12" t="str">
        <f>trimtext(SplitText($V53,",",0))</f>
        <v>OEM_COMMA</v>
      </c>
      <c r="X53" s="12" t="str">
        <f>IF(SplitText($V53,",",COLUMN(X:X)-COLUMN($W:$W))="",$W53,trimtext(SplitText($V53,",",COLUMN(X:X)-COLUMN($W:$W))))</f>
        <v>OEM_COMMA</v>
      </c>
      <c r="Y53" s="12" t="str">
        <f>IF(SplitText($V53,",",COLUMN(Y:Y)-COLUMN($W:$W))="",$W53,trimtext(SplitText($V53,",",COLUMN(Y:Y)-COLUMN($W:$W))))</f>
        <v>OEM_COMMA</v>
      </c>
      <c r="Z53" s="2" t="s">
        <v>683</v>
      </c>
      <c r="AA53" s="12" t="str">
        <f t="shared" si="5"/>
        <v>OEM_8</v>
      </c>
      <c r="AB53" s="2" t="s">
        <v>794</v>
      </c>
      <c r="AC53" s="12" t="str">
        <f>trimtext(SplitText($AB53,",",0))</f>
        <v>OEM_COMMA</v>
      </c>
      <c r="AD53" s="12" t="str">
        <f>IF(SplitText($AB53,",",COLUMN(AD:AD)-COLUMN($AC:$AC))="",$AC53,trimtext(SplitText($AB53,",",COLUMN(AD:AD)-COLUMN($AC:$AC))))</f>
        <v>OEM_COMMA</v>
      </c>
      <c r="AE53" s="18" t="str">
        <f t="shared" si="6"/>
        <v>&lt;xs:enumeration value="T33"&gt;&lt;xs:annotation&gt;&lt;xs:documentation&gt;Typically OEM_COMMA for keyboard type 4, different values for different keyboard types&lt;/xs:documentation&gt;&lt;xs:appinfo&gt;&lt;default-vk&gt;</v>
      </c>
      <c r="AF53" s="15" t="str">
        <f>IF(D53&lt;&gt;"","&lt;vk kbd="""&amp;D$1&amp;""" vk="""&amp;D53&amp;""""&amp;IF(Scan2VKFlags!B53&lt;&gt;""," flags="""&amp;Scan2VKFlags!B53&amp;"""","")&amp;"/&gt;","")</f>
        <v>&lt;vk kbd="1" vk="OEM_COMMA"/&gt;</v>
      </c>
      <c r="AG53" s="15" t="str">
        <f>IF(E53&lt;&gt;"","&lt;vk kbd="""&amp;E$1&amp;""" vk="""&amp;E53&amp;""""&amp;IF(Scan2VKFlags!C53&lt;&gt;""," flags="""&amp;Scan2VKFlags!C53&amp;"""","")&amp;"/&gt;","")</f>
        <v>&lt;vk kbd="2" vk="OEM_COMMA"/&gt;</v>
      </c>
      <c r="AH53" s="15" t="str">
        <f>IF(F53&lt;&gt;"","&lt;vk kbd="""&amp;F$1&amp;""" vk="""&amp;F53&amp;""""&amp;IF(Scan2VKFlags!D53&lt;&gt;""," flags="""&amp;Scan2VKFlags!D53&amp;"""","")&amp;"/&gt;","")</f>
        <v>&lt;vk kbd="3" vk="OEM_COMMA"/&gt;</v>
      </c>
      <c r="AI53" s="15" t="str">
        <f>IF(G53&lt;&gt;"","&lt;vk kbd="""&amp;G$1&amp;""" vk="""&amp;G53&amp;""""&amp;IF(Scan2VKFlags!E53&lt;&gt;""," flags="""&amp;Scan2VKFlags!E53&amp;"""","")&amp;"/&gt;","")</f>
        <v>&lt;vk kbd="4" vk="OEM_COMMA"/&gt;</v>
      </c>
      <c r="AJ53" s="15" t="str">
        <f>IF(H53&lt;&gt;"","&lt;vk kbd="""&amp;H$1&amp;""" vk="""&amp;H53&amp;""""&amp;IF(Scan2VKFlags!F53&lt;&gt;""," flags="""&amp;Scan2VKFlags!F53&amp;"""","")&amp;"/&gt;","")</f>
        <v>&lt;vk kbd="5" vk="OEM_COMMA"/&gt;</v>
      </c>
      <c r="AK53" s="16" t="str">
        <f>IF(I53&lt;&gt;"","&lt;vk kbd="""&amp;I$1&amp;""" vk="""&amp;I53&amp;""""&amp;IF(Scan2VKFlags!G53&lt;&gt;""," flags="""&amp;Scan2VKFlags!G53&amp;"""","")&amp;"/&gt;","")</f>
        <v>&lt;vk kbd="6" vk="OEM_COMMA"/&gt;</v>
      </c>
      <c r="AL53" s="3" t="str">
        <f>IF(K53&lt;&gt;"","&lt;vk kbd="""&amp;K$1&amp;""" vk="""&amp;K53&amp;""""&amp;IF(Scan2VKFlags!H53&lt;&gt;""," flags="""&amp;Scan2VKFlags!H53&amp;"""","")&amp;"/&gt;","")</f>
        <v>&lt;vk kbd="7" vk="OEM_COMMA"/&gt;</v>
      </c>
      <c r="AM53" t="str">
        <f>IF(L53&lt;&gt;"","&lt;vk kbd="""&amp;L$1&amp;""" vk="""&amp;L53&amp;""""&amp;IF(Scan2VKFlags!I53&lt;&gt;""," flags="""&amp;Scan2VKFlags!I53&amp;"""","")&amp;"/&gt;","")</f>
        <v>&lt;vk kbd="8" vk="OEM_COMMA"/&gt;</v>
      </c>
      <c r="AN53" t="str">
        <f>IF(M53&lt;&gt;"","&lt;vk kbd="""&amp;M$1&amp;""" vk="""&amp;M53&amp;""""&amp;IF(Scan2VKFlags!J53&lt;&gt;""," flags="""&amp;Scan2VKFlags!J53&amp;"""","")&amp;"/&gt;","")</f>
        <v>&lt;vk kbd="16" vk="OEM_COMMA"/&gt;</v>
      </c>
      <c r="AO53" t="str">
        <f>IF(N53&lt;&gt;"","&lt;vk kbd="""&amp;N$1&amp;""" vk="""&amp;N53&amp;""""&amp;IF(Scan2VKFlags!K53&lt;&gt;""," flags="""&amp;Scan2VKFlags!K53&amp;"""","")&amp;"/&gt;","")</f>
        <v>&lt;vk kbd="10" vk="OEM_COMMA"/&gt;</v>
      </c>
      <c r="AP53" t="str">
        <f>IF(O53&lt;&gt;"","&lt;vk kbd="""&amp;O$1&amp;""" vk="""&amp;O53&amp;""""&amp;IF(Scan2VKFlags!L53&lt;&gt;""," flags="""&amp;Scan2VKFlags!L53&amp;"""","")&amp;"/&gt;","")</f>
        <v>&lt;vk kbd="11" vk="OEM_COMMA"/&gt;</v>
      </c>
      <c r="AQ53" t="str">
        <f>IF(P53&lt;&gt;"","&lt;vk kbd="""&amp;P$1&amp;""" vk="""&amp;P53&amp;""""&amp;IF(Scan2VKFlags!M53&lt;&gt;""," flags="""&amp;Scan2VKFlags!M53&amp;"""","")&amp;"/&gt;","")</f>
        <v>&lt;vk kbd="12" vk="OEM_COMMA"/&gt;</v>
      </c>
      <c r="AR53" s="16" t="str">
        <f>IF(Q53&lt;&gt;"","&lt;vk kbd="""&amp;Q$1&amp;""" vk="""&amp;Q53&amp;""""&amp;IF(Scan2VKFlags!N53&lt;&gt;""," flags="""&amp;Scan2VKFlags!N53&amp;"""","")&amp;"/&gt;","")</f>
        <v>&lt;vk kbd="13" vk="OEM_COMMA"/&gt;</v>
      </c>
      <c r="AS53" s="3" t="str">
        <f>IF(S53&lt;&gt;"","&lt;vk kbd="""&amp;S$1&amp;""" vk="""&amp;S53&amp;""""&amp;IF(Scan2VKFlags!O53&lt;&gt;""," flags="""&amp;Scan2VKFlags!O53&amp;"""","")&amp;"/&gt;","")</f>
        <v>&lt;vk kbd="20" vk="OEM_2"/&gt;</v>
      </c>
      <c r="AT53" t="str">
        <f>IF(T53&lt;&gt;"","&lt;vk kbd="""&amp;T$1&amp;""" vk="""&amp;T53&amp;""""&amp;IF(Scan2VKFlags!P53&lt;&gt;""," flags="""&amp;Scan2VKFlags!P53&amp;"""","")&amp;"/&gt;","")</f>
        <v>&lt;vk kbd="21" vk="OEM_2"/&gt;</v>
      </c>
      <c r="AU53" s="16" t="str">
        <f>IF(U53&lt;&gt;"","&lt;vk kbd="""&amp;U$1&amp;""" vk="""&amp;U53&amp;""""&amp;IF(Scan2VKFlags!Q53&lt;&gt;""," flags="""&amp;Scan2VKFlags!Q53&amp;"""","")&amp;"/&gt;","")</f>
        <v>&lt;vk kbd="22" vk="OEM_COMMA"/&gt;</v>
      </c>
      <c r="AV53" s="3" t="str">
        <f>IF(W53&lt;&gt;"","&lt;vk kbd="""&amp;W$1&amp;""" vk="""&amp;W53&amp;""""&amp;IF(Scan2VKFlags!R53&lt;&gt;""," flags="""&amp;Scan2VKFlags!R53&amp;"""","")&amp;"/&gt;","")</f>
        <v>&lt;vk kbd="30" vk="OEM_COMMA"/&gt;</v>
      </c>
      <c r="AW53" s="15" t="str">
        <f>IF(X53&lt;&gt;"","&lt;vk kbd="""&amp;X$1&amp;""" vk="""&amp;X53&amp;""""&amp;IF(Scan2VKFlags!S53&lt;&gt;""," flags="""&amp;Scan2VKFlags!S53&amp;"""","")&amp;"/&gt;","")</f>
        <v>&lt;vk kbd="33" vk="OEM_COMMA"/&gt;</v>
      </c>
      <c r="AX53" s="15" t="str">
        <f>IF(Y53&lt;&gt;"","&lt;vk kbd="""&amp;Y$1&amp;""" vk="""&amp;Y53&amp;""""&amp;IF(Scan2VKFlags!T53&lt;&gt;""," flags="""&amp;Scan2VKFlags!T53&amp;"""","")&amp;"/&gt;","")</f>
        <v>&lt;vk kbd="34" vk="OEM_COMMA"/&gt;</v>
      </c>
      <c r="AY53" s="18" t="str">
        <f>IF(AA53&lt;&gt;"","&lt;vk kbd="""&amp;AA$1&amp;""" vk="""&amp;AA53&amp;""""&amp;IF(Scan2VKFlags!U53&lt;&gt;""," flags="""&amp;Scan2VKFlags!U53&amp;"""","")&amp;"/&gt;","")</f>
        <v>&lt;vk kbd="37" vk="OEM_8"/&gt;</v>
      </c>
      <c r="AZ53" s="3" t="str">
        <f>IF(AC53&lt;&gt;"","&lt;vk kbd="""&amp;AC$1&amp;""" vk="""&amp;AC53&amp;""""&amp;IF(Scan2VKFlags!V53&lt;&gt;""," flags="""&amp;Scan2VKFlags!V53&amp;"""","")&amp;"/&gt;","")</f>
        <v>&lt;vk kbd="40" vk="OEM_COMMA"/&gt;</v>
      </c>
      <c r="BA53" s="16" t="str">
        <f>IF(AD53&lt;&gt;"","&lt;vk kbd="""&amp;AD$1&amp;""" vk="""&amp;AD53&amp;""""&amp;IF(Scan2VKFlags!W53&lt;&gt;""," flags="""&amp;Scan2VKFlags!W53&amp;"""","")&amp;"/&gt;","")</f>
        <v>&lt;vk kbd="41" vk="OEM_COMMA"/&gt;</v>
      </c>
      <c r="BB53" t="s">
        <v>854</v>
      </c>
    </row>
    <row r="54" spans="1:54" x14ac:dyDescent="0.25">
      <c r="A54">
        <f t="shared" si="7"/>
        <v>52</v>
      </c>
      <c r="B54" t="str">
        <f t="shared" si="4"/>
        <v>T34</v>
      </c>
      <c r="C54" s="7" t="s">
        <v>52</v>
      </c>
      <c r="D54" s="12" t="str">
        <f>trimtext(SplitText($C54,",",0))</f>
        <v>OEM_PERIOD</v>
      </c>
      <c r="E54" s="12" t="str">
        <f>IF(SplitText($C54,",",COLUMN(E:E)-COLUMN($D:$D))="",$D54,trimtext(SplitText($C54,",",COLUMN(E:E)-COLUMN($D:$D))))</f>
        <v>OEM_PERIOD</v>
      </c>
      <c r="F54" s="12" t="str">
        <f>IF(SplitText($C54,",",COLUMN(F:F)-COLUMN($D:$D))="",$D54,trimtext(SplitText($C54,",",COLUMN(F:F)-COLUMN($D:$D))))</f>
        <v>OEM_PERIOD</v>
      </c>
      <c r="G54" s="12" t="str">
        <f>IF(SplitText($C54,",",COLUMN(G:G)-COLUMN($D:$D))="",$D54,trimtext(SplitText($C54,",",COLUMN(G:G)-COLUMN($D:$D))))</f>
        <v>OEM_PERIOD</v>
      </c>
      <c r="H54" s="12" t="str">
        <f>IF(SplitText($C54,",",COLUMN(H:H)-COLUMN($D:$D))="",$D54,trimtext(SplitText($C54,",",COLUMN(H:H)-COLUMN($D:$D))))</f>
        <v>OEM_PERIOD</v>
      </c>
      <c r="I54" s="12" t="str">
        <f>IF(SplitText($C54,",",COLUMN(I:I)-COLUMN($D:$D))="",$D54,trimtext(SplitText($C54,",",COLUMN(I:I)-COLUMN($D:$D))))</f>
        <v>OEM_PERIOD</v>
      </c>
      <c r="J54" s="9" t="s">
        <v>237</v>
      </c>
      <c r="K54" s="12" t="str">
        <f>trimtext(SplitText($J54,",",0))</f>
        <v>OEM_PERIOD</v>
      </c>
      <c r="L54" s="12" t="str">
        <f>IF(SplitText($J54,",",COLUMN(L:L)-COLUMN($K:$K))="",$K54,trimtext(SplitText($J54,",",COLUMN(L:L)-COLUMN($K:$K))))</f>
        <v>OEM_PERIOD</v>
      </c>
      <c r="M54" s="12" t="str">
        <f>IF(SplitText($J54,",",COLUMN(M:M)-COLUMN($K:$K))="",$K54,trimtext(SplitText($J54,",",COLUMN(M:M)-COLUMN($K:$K))))</f>
        <v>OEM_PERIOD</v>
      </c>
      <c r="N54" s="12" t="str">
        <f>IF(SplitText($J54,",",COLUMN(N:N)-COLUMN($K:$K))="",$K54,trimtext(SplitText($J54,",",COLUMN(N:N)-COLUMN($K:$K))))</f>
        <v>OEM_PERIOD</v>
      </c>
      <c r="O54" s="12" t="str">
        <f>IF(SplitText($J54,",",COLUMN(O:O)-COLUMN($K:$K))="",$K54,trimtext(SplitText($J54,",",COLUMN(O:O)-COLUMN($K:$K))))</f>
        <v>OEM_PERIOD</v>
      </c>
      <c r="P54" s="12" t="str">
        <f>IF(SplitText($J54,",",COLUMN(P:P)-COLUMN($K:$K))="",$K54,trimtext(SplitText($J54,",",COLUMN(P:P)-COLUMN($K:$K))))</f>
        <v>OEM_PERIOD</v>
      </c>
      <c r="Q54" s="12" t="str">
        <f>IF(SplitText($J54,",",COLUMN(Q:Q)-COLUMN($K:$K))="",$K54,trimtext(SplitText($J54,",",COLUMN(Q:Q)-COLUMN($K:$K))))</f>
        <v>OEM_PERIOD</v>
      </c>
      <c r="R54" s="2" t="s">
        <v>394</v>
      </c>
      <c r="S54" s="12" t="str">
        <f>trimtext(SplitText($R54,",",0))</f>
        <v>OEM_8</v>
      </c>
      <c r="T54" s="12" t="str">
        <f>IF(SplitText($R54,",",COLUMN(T:T)-COLUMN($S:$S))="",$S54,trimtext(SplitText($R54,",",COLUMN(T:T)-COLUMN($S:$S))))</f>
        <v>OEM_8</v>
      </c>
      <c r="U54" s="12" t="str">
        <f>IF(SplitText($R54,",",COLUMN(U:U)-COLUMN($S:$S))="",$S54,trimtext(SplitText($R54,",",COLUMN(U:U)-COLUMN($S:$S))))</f>
        <v>OEM_PERIOD</v>
      </c>
      <c r="V54" s="2" t="s">
        <v>558</v>
      </c>
      <c r="W54" s="12" t="str">
        <f>trimtext(SplitText($V54,",",0))</f>
        <v>OEM_PERIOD</v>
      </c>
      <c r="X54" s="12" t="str">
        <f>IF(SplitText($V54,",",COLUMN(X:X)-COLUMN($W:$W))="",$W54,trimtext(SplitText($V54,",",COLUMN(X:X)-COLUMN($W:$W))))</f>
        <v>OEM_PERIOD</v>
      </c>
      <c r="Y54" s="12" t="str">
        <f>IF(SplitText($V54,",",COLUMN(Y:Y)-COLUMN($W:$W))="",$W54,trimtext(SplitText($V54,",",COLUMN(Y:Y)-COLUMN($W:$W))))</f>
        <v>OEM_PERIOD</v>
      </c>
      <c r="Z54" s="23" t="s">
        <v>684</v>
      </c>
      <c r="AA54" s="12" t="str">
        <f t="shared" si="5"/>
        <v>''</v>
      </c>
      <c r="AB54" s="2" t="s">
        <v>795</v>
      </c>
      <c r="AC54" s="12" t="str">
        <f>trimtext(SplitText($AB54,",",0))</f>
        <v>OEM_PERIOD</v>
      </c>
      <c r="AD54" s="12" t="str">
        <f>IF(SplitText($AB54,",",COLUMN(AD:AD)-COLUMN($AC:$AC))="",$AC54,trimtext(SplitText($AB54,",",COLUMN(AD:AD)-COLUMN($AC:$AC))))</f>
        <v>OEM_PERIOD</v>
      </c>
      <c r="AE54" s="18" t="str">
        <f t="shared" si="6"/>
        <v>&lt;xs:enumeration value="T34"&gt;&lt;xs:annotation&gt;&lt;xs:documentation&gt;Typically OEM_PERIOD for keyboard type 4, different values for different keyboard types&lt;/xs:documentation&gt;&lt;xs:appinfo&gt;&lt;default-vk&gt;</v>
      </c>
      <c r="AF54" s="15" t="str">
        <f>IF(D54&lt;&gt;"","&lt;vk kbd="""&amp;D$1&amp;""" vk="""&amp;D54&amp;""""&amp;IF(Scan2VKFlags!B54&lt;&gt;""," flags="""&amp;Scan2VKFlags!B54&amp;"""","")&amp;"/&gt;","")</f>
        <v>&lt;vk kbd="1" vk="OEM_PERIOD"/&gt;</v>
      </c>
      <c r="AG54" s="15" t="str">
        <f>IF(E54&lt;&gt;"","&lt;vk kbd="""&amp;E$1&amp;""" vk="""&amp;E54&amp;""""&amp;IF(Scan2VKFlags!C54&lt;&gt;""," flags="""&amp;Scan2VKFlags!C54&amp;"""","")&amp;"/&gt;","")</f>
        <v>&lt;vk kbd="2" vk="OEM_PERIOD"/&gt;</v>
      </c>
      <c r="AH54" s="15" t="str">
        <f>IF(F54&lt;&gt;"","&lt;vk kbd="""&amp;F$1&amp;""" vk="""&amp;F54&amp;""""&amp;IF(Scan2VKFlags!D54&lt;&gt;""," flags="""&amp;Scan2VKFlags!D54&amp;"""","")&amp;"/&gt;","")</f>
        <v>&lt;vk kbd="3" vk="OEM_PERIOD"/&gt;</v>
      </c>
      <c r="AI54" s="15" t="str">
        <f>IF(G54&lt;&gt;"","&lt;vk kbd="""&amp;G$1&amp;""" vk="""&amp;G54&amp;""""&amp;IF(Scan2VKFlags!E54&lt;&gt;""," flags="""&amp;Scan2VKFlags!E54&amp;"""","")&amp;"/&gt;","")</f>
        <v>&lt;vk kbd="4" vk="OEM_PERIOD"/&gt;</v>
      </c>
      <c r="AJ54" s="15" t="str">
        <f>IF(H54&lt;&gt;"","&lt;vk kbd="""&amp;H$1&amp;""" vk="""&amp;H54&amp;""""&amp;IF(Scan2VKFlags!F54&lt;&gt;""," flags="""&amp;Scan2VKFlags!F54&amp;"""","")&amp;"/&gt;","")</f>
        <v>&lt;vk kbd="5" vk="OEM_PERIOD"/&gt;</v>
      </c>
      <c r="AK54" s="16" t="str">
        <f>IF(I54&lt;&gt;"","&lt;vk kbd="""&amp;I$1&amp;""" vk="""&amp;I54&amp;""""&amp;IF(Scan2VKFlags!G54&lt;&gt;""," flags="""&amp;Scan2VKFlags!G54&amp;"""","")&amp;"/&gt;","")</f>
        <v>&lt;vk kbd="6" vk="OEM_PERIOD"/&gt;</v>
      </c>
      <c r="AL54" s="3" t="str">
        <f>IF(K54&lt;&gt;"","&lt;vk kbd="""&amp;K$1&amp;""" vk="""&amp;K54&amp;""""&amp;IF(Scan2VKFlags!H54&lt;&gt;""," flags="""&amp;Scan2VKFlags!H54&amp;"""","")&amp;"/&gt;","")</f>
        <v>&lt;vk kbd="7" vk="OEM_PERIOD"/&gt;</v>
      </c>
      <c r="AM54" t="str">
        <f>IF(L54&lt;&gt;"","&lt;vk kbd="""&amp;L$1&amp;""" vk="""&amp;L54&amp;""""&amp;IF(Scan2VKFlags!I54&lt;&gt;""," flags="""&amp;Scan2VKFlags!I54&amp;"""","")&amp;"/&gt;","")</f>
        <v>&lt;vk kbd="8" vk="OEM_PERIOD"/&gt;</v>
      </c>
      <c r="AN54" t="str">
        <f>IF(M54&lt;&gt;"","&lt;vk kbd="""&amp;M$1&amp;""" vk="""&amp;M54&amp;""""&amp;IF(Scan2VKFlags!J54&lt;&gt;""," flags="""&amp;Scan2VKFlags!J54&amp;"""","")&amp;"/&gt;","")</f>
        <v>&lt;vk kbd="16" vk="OEM_PERIOD"/&gt;</v>
      </c>
      <c r="AO54" t="str">
        <f>IF(N54&lt;&gt;"","&lt;vk kbd="""&amp;N$1&amp;""" vk="""&amp;N54&amp;""""&amp;IF(Scan2VKFlags!K54&lt;&gt;""," flags="""&amp;Scan2VKFlags!K54&amp;"""","")&amp;"/&gt;","")</f>
        <v>&lt;vk kbd="10" vk="OEM_PERIOD"/&gt;</v>
      </c>
      <c r="AP54" t="str">
        <f>IF(O54&lt;&gt;"","&lt;vk kbd="""&amp;O$1&amp;""" vk="""&amp;O54&amp;""""&amp;IF(Scan2VKFlags!L54&lt;&gt;""," flags="""&amp;Scan2VKFlags!L54&amp;"""","")&amp;"/&gt;","")</f>
        <v>&lt;vk kbd="11" vk="OEM_PERIOD"/&gt;</v>
      </c>
      <c r="AQ54" t="str">
        <f>IF(P54&lt;&gt;"","&lt;vk kbd="""&amp;P$1&amp;""" vk="""&amp;P54&amp;""""&amp;IF(Scan2VKFlags!M54&lt;&gt;""," flags="""&amp;Scan2VKFlags!M54&amp;"""","")&amp;"/&gt;","")</f>
        <v>&lt;vk kbd="12" vk="OEM_PERIOD"/&gt;</v>
      </c>
      <c r="AR54" s="16" t="str">
        <f>IF(Q54&lt;&gt;"","&lt;vk kbd="""&amp;Q$1&amp;""" vk="""&amp;Q54&amp;""""&amp;IF(Scan2VKFlags!N54&lt;&gt;""," flags="""&amp;Scan2VKFlags!N54&amp;"""","")&amp;"/&gt;","")</f>
        <v>&lt;vk kbd="13" vk="OEM_PERIOD"/&gt;</v>
      </c>
      <c r="AS54" s="3" t="str">
        <f>IF(S54&lt;&gt;"","&lt;vk kbd="""&amp;S$1&amp;""" vk="""&amp;S54&amp;""""&amp;IF(Scan2VKFlags!O54&lt;&gt;""," flags="""&amp;Scan2VKFlags!O54&amp;"""","")&amp;"/&gt;","")</f>
        <v>&lt;vk kbd="20" vk="OEM_8"/&gt;</v>
      </c>
      <c r="AT54" t="str">
        <f>IF(T54&lt;&gt;"","&lt;vk kbd="""&amp;T$1&amp;""" vk="""&amp;T54&amp;""""&amp;IF(Scan2VKFlags!P54&lt;&gt;""," flags="""&amp;Scan2VKFlags!P54&amp;"""","")&amp;"/&gt;","")</f>
        <v>&lt;vk kbd="21" vk="OEM_8"/&gt;</v>
      </c>
      <c r="AU54" s="16" t="str">
        <f>IF(U54&lt;&gt;"","&lt;vk kbd="""&amp;U$1&amp;""" vk="""&amp;U54&amp;""""&amp;IF(Scan2VKFlags!Q54&lt;&gt;""," flags="""&amp;Scan2VKFlags!Q54&amp;"""","")&amp;"/&gt;","")</f>
        <v>&lt;vk kbd="22" vk="OEM_PERIOD"/&gt;</v>
      </c>
      <c r="AV54" s="3" t="str">
        <f>IF(W54&lt;&gt;"","&lt;vk kbd="""&amp;W$1&amp;""" vk="""&amp;W54&amp;""""&amp;IF(Scan2VKFlags!R54&lt;&gt;""," flags="""&amp;Scan2VKFlags!R54&amp;"""","")&amp;"/&gt;","")</f>
        <v>&lt;vk kbd="30" vk="OEM_PERIOD"/&gt;</v>
      </c>
      <c r="AW54" s="15" t="str">
        <f>IF(X54&lt;&gt;"","&lt;vk kbd="""&amp;X$1&amp;""" vk="""&amp;X54&amp;""""&amp;IF(Scan2VKFlags!S54&lt;&gt;""," flags="""&amp;Scan2VKFlags!S54&amp;"""","")&amp;"/&gt;","")</f>
        <v>&lt;vk kbd="33" vk="OEM_PERIOD"/&gt;</v>
      </c>
      <c r="AX54" s="15" t="str">
        <f>IF(Y54&lt;&gt;"","&lt;vk kbd="""&amp;Y$1&amp;""" vk="""&amp;Y54&amp;""""&amp;IF(Scan2VKFlags!T54&lt;&gt;""," flags="""&amp;Scan2VKFlags!T54&amp;"""","")&amp;"/&gt;","")</f>
        <v>&lt;vk kbd="34" vk="OEM_PERIOD"/&gt;</v>
      </c>
      <c r="AY54" s="18" t="str">
        <f>IF(AA54&lt;&gt;"","&lt;vk kbd="""&amp;AA$1&amp;""" vk="""&amp;AA54&amp;""""&amp;IF(Scan2VKFlags!U54&lt;&gt;""," flags="""&amp;Scan2VKFlags!U54&amp;"""","")&amp;"/&gt;","")</f>
        <v>&lt;vk kbd="37" vk="''"/&gt;</v>
      </c>
      <c r="AZ54" s="3" t="str">
        <f>IF(AC54&lt;&gt;"","&lt;vk kbd="""&amp;AC$1&amp;""" vk="""&amp;AC54&amp;""""&amp;IF(Scan2VKFlags!V54&lt;&gt;""," flags="""&amp;Scan2VKFlags!V54&amp;"""","")&amp;"/&gt;","")</f>
        <v>&lt;vk kbd="40" vk="OEM_PERIOD"/&gt;</v>
      </c>
      <c r="BA54" s="16" t="str">
        <f>IF(AD54&lt;&gt;"","&lt;vk kbd="""&amp;AD$1&amp;""" vk="""&amp;AD54&amp;""""&amp;IF(Scan2VKFlags!W54&lt;&gt;""," flags="""&amp;Scan2VKFlags!W54&amp;"""","")&amp;"/&gt;","")</f>
        <v>&lt;vk kbd="41" vk="OEM_PERIOD"/&gt;</v>
      </c>
      <c r="BB54" t="s">
        <v>854</v>
      </c>
    </row>
    <row r="55" spans="1:54" x14ac:dyDescent="0.25">
      <c r="A55">
        <f t="shared" si="7"/>
        <v>53</v>
      </c>
      <c r="B55" t="str">
        <f t="shared" si="4"/>
        <v>T35</v>
      </c>
      <c r="C55" s="7" t="s">
        <v>53</v>
      </c>
      <c r="D55" s="12" t="str">
        <f>trimtext(SplitText($C55,",",0))</f>
        <v>OEM_2</v>
      </c>
      <c r="E55" s="12" t="str">
        <f>IF(SplitText($C55,",",COLUMN(E:E)-COLUMN($D:$D))="",$D55,trimtext(SplitText($C55,",",COLUMN(E:E)-COLUMN($D:$D))))</f>
        <v>OEM_2</v>
      </c>
      <c r="F55" s="12" t="str">
        <f>IF(SplitText($C55,",",COLUMN(F:F)-COLUMN($D:$D))="",$D55,trimtext(SplitText($C55,",",COLUMN(F:F)-COLUMN($D:$D))))</f>
        <v>OEM_2</v>
      </c>
      <c r="G55" s="12" t="str">
        <f>IF(SplitText($C55,",",COLUMN(G:G)-COLUMN($D:$D))="",$D55,trimtext(SplitText($C55,",",COLUMN(G:G)-COLUMN($D:$D))))</f>
        <v>OEM_2</v>
      </c>
      <c r="H55" s="12" t="str">
        <f>IF(SplitText($C55,",",COLUMN(H:H)-COLUMN($D:$D))="",$D55,trimtext(SplitText($C55,",",COLUMN(H:H)-COLUMN($D:$D))))</f>
        <v>OEM_2</v>
      </c>
      <c r="I55" s="12" t="str">
        <f>IF(SplitText($C55,",",COLUMN(I:I)-COLUMN($D:$D))="",$D55,trimtext(SplitText($C55,",",COLUMN(I:I)-COLUMN($D:$D))))</f>
        <v>OEM_2</v>
      </c>
      <c r="J55" s="9" t="s">
        <v>238</v>
      </c>
      <c r="K55" s="12" t="str">
        <f>trimtext(SplitText($J55,",",0))</f>
        <v>OEM_2</v>
      </c>
      <c r="L55" s="12" t="str">
        <f>IF(SplitText($J55,",",COLUMN(L:L)-COLUMN($K:$K))="",$K55,trimtext(SplitText($J55,",",COLUMN(L:L)-COLUMN($K:$K))))</f>
        <v>OEM_2</v>
      </c>
      <c r="M55" s="12" t="str">
        <f>IF(SplitText($J55,",",COLUMN(M:M)-COLUMN($K:$K))="",$K55,trimtext(SplitText($J55,",",COLUMN(M:M)-COLUMN($K:$K))))</f>
        <v>OEM_2</v>
      </c>
      <c r="N55" s="12" t="str">
        <f>IF(SplitText($J55,",",COLUMN(N:N)-COLUMN($K:$K))="",$K55,trimtext(SplitText($J55,",",COLUMN(N:N)-COLUMN($K:$K))))</f>
        <v>OEM_2</v>
      </c>
      <c r="O55" s="12" t="str">
        <f>IF(SplitText($J55,",",COLUMN(O:O)-COLUMN($K:$K))="",$K55,trimtext(SplitText($J55,",",COLUMN(O:O)-COLUMN($K:$K))))</f>
        <v>OEM_2</v>
      </c>
      <c r="P55" s="12" t="str">
        <f>IF(SplitText($J55,",",COLUMN(P:P)-COLUMN($K:$K))="",$K55,trimtext(SplitText($J55,",",COLUMN(P:P)-COLUMN($K:$K))))</f>
        <v>OEM_2</v>
      </c>
      <c r="Q55" s="12" t="str">
        <f>IF(SplitText($J55,",",COLUMN(Q:Q)-COLUMN($K:$K))="",$K55,trimtext(SplitText($J55,",",COLUMN(Q:Q)-COLUMN($K:$K))))</f>
        <v>OEM_2</v>
      </c>
      <c r="R55" s="23" t="s">
        <v>395</v>
      </c>
      <c r="S55" s="12" t="str">
        <f>trimtext(SplitText($R55,",",0))</f>
        <v>''</v>
      </c>
      <c r="T55" s="12" t="str">
        <f>IF(SplitText($R55,",",COLUMN(T:T)-COLUMN($S:$S))="",$S55,trimtext(SplitText($R55,",",COLUMN(T:T)-COLUMN($S:$S))))</f>
        <v>''</v>
      </c>
      <c r="U55" s="12" t="str">
        <f>IF(SplitText($R55,",",COLUMN(U:U)-COLUMN($S:$S))="",$S55,trimtext(SplitText($R55,",",COLUMN(U:U)-COLUMN($S:$S))))</f>
        <v>OEM_2</v>
      </c>
      <c r="V55" s="2" t="s">
        <v>559</v>
      </c>
      <c r="W55" s="12" t="str">
        <f>trimtext(SplitText($V55,",",0))</f>
        <v>OEM_2</v>
      </c>
      <c r="X55" s="12" t="str">
        <f>IF(SplitText($V55,",",COLUMN(X:X)-COLUMN($W:$W))="",$W55,trimtext(SplitText($V55,",",COLUMN(X:X)-COLUMN($W:$W))))</f>
        <v>OEM_2</v>
      </c>
      <c r="Y55" s="12" t="str">
        <f>IF(SplitText($V55,",",COLUMN(Y:Y)-COLUMN($W:$W))="",$W55,trimtext(SplitText($V55,",",COLUMN(Y:Y)-COLUMN($W:$W))))</f>
        <v>OEM_2</v>
      </c>
      <c r="Z55" s="2" t="s">
        <v>685</v>
      </c>
      <c r="AA55" s="12" t="str">
        <f t="shared" si="5"/>
        <v>CONVERT</v>
      </c>
      <c r="AB55" s="2" t="s">
        <v>796</v>
      </c>
      <c r="AC55" s="12" t="str">
        <f>trimtext(SplitText($AB55,",",0))</f>
        <v>OEM_2</v>
      </c>
      <c r="AD55" s="12" t="str">
        <f>IF(SplitText($AB55,",",COLUMN(AD:AD)-COLUMN($AC:$AC))="",$AC55,trimtext(SplitText($AB55,",",COLUMN(AD:AD)-COLUMN($AC:$AC))))</f>
        <v>OEM_2</v>
      </c>
      <c r="AE55" s="18" t="str">
        <f t="shared" si="6"/>
        <v>&lt;xs:enumeration value="T35"&gt;&lt;xs:annotation&gt;&lt;xs:documentation&gt;Typically OEM_2 for keyboard type 4, different values for different keyboard types&lt;/xs:documentation&gt;&lt;xs:appinfo&gt;&lt;default-vk&gt;</v>
      </c>
      <c r="AF55" s="15" t="str">
        <f>IF(D55&lt;&gt;"","&lt;vk kbd="""&amp;D$1&amp;""" vk="""&amp;D55&amp;""""&amp;IF(Scan2VKFlags!B55&lt;&gt;""," flags="""&amp;Scan2VKFlags!B55&amp;"""","")&amp;"/&gt;","")</f>
        <v>&lt;vk kbd="1" vk="OEM_2"/&gt;</v>
      </c>
      <c r="AG55" s="15" t="str">
        <f>IF(E55&lt;&gt;"","&lt;vk kbd="""&amp;E$1&amp;""" vk="""&amp;E55&amp;""""&amp;IF(Scan2VKFlags!C55&lt;&gt;""," flags="""&amp;Scan2VKFlags!C55&amp;"""","")&amp;"/&gt;","")</f>
        <v>&lt;vk kbd="2" vk="OEM_2"/&gt;</v>
      </c>
      <c r="AH55" s="15" t="str">
        <f>IF(F55&lt;&gt;"","&lt;vk kbd="""&amp;F$1&amp;""" vk="""&amp;F55&amp;""""&amp;IF(Scan2VKFlags!D55&lt;&gt;""," flags="""&amp;Scan2VKFlags!D55&amp;"""","")&amp;"/&gt;","")</f>
        <v>&lt;vk kbd="3" vk="OEM_2"/&gt;</v>
      </c>
      <c r="AI55" s="15" t="str">
        <f>IF(G55&lt;&gt;"","&lt;vk kbd="""&amp;G$1&amp;""" vk="""&amp;G55&amp;""""&amp;IF(Scan2VKFlags!E55&lt;&gt;""," flags="""&amp;Scan2VKFlags!E55&amp;"""","")&amp;"/&gt;","")</f>
        <v>&lt;vk kbd="4" vk="OEM_2"/&gt;</v>
      </c>
      <c r="AJ55" s="15" t="str">
        <f>IF(H55&lt;&gt;"","&lt;vk kbd="""&amp;H$1&amp;""" vk="""&amp;H55&amp;""""&amp;IF(Scan2VKFlags!F55&lt;&gt;""," flags="""&amp;Scan2VKFlags!F55&amp;"""","")&amp;"/&gt;","")</f>
        <v>&lt;vk kbd="5" vk="OEM_2"/&gt;</v>
      </c>
      <c r="AK55" s="16" t="str">
        <f>IF(I55&lt;&gt;"","&lt;vk kbd="""&amp;I$1&amp;""" vk="""&amp;I55&amp;""""&amp;IF(Scan2VKFlags!G55&lt;&gt;""," flags="""&amp;Scan2VKFlags!G55&amp;"""","")&amp;"/&gt;","")</f>
        <v>&lt;vk kbd="6" vk="OEM_2"/&gt;</v>
      </c>
      <c r="AL55" s="3" t="str">
        <f>IF(K55&lt;&gt;"","&lt;vk kbd="""&amp;K$1&amp;""" vk="""&amp;K55&amp;""""&amp;IF(Scan2VKFlags!H55&lt;&gt;""," flags="""&amp;Scan2VKFlags!H55&amp;"""","")&amp;"/&gt;","")</f>
        <v>&lt;vk kbd="7" vk="OEM_2"/&gt;</v>
      </c>
      <c r="AM55" t="str">
        <f>IF(L55&lt;&gt;"","&lt;vk kbd="""&amp;L$1&amp;""" vk="""&amp;L55&amp;""""&amp;IF(Scan2VKFlags!I55&lt;&gt;""," flags="""&amp;Scan2VKFlags!I55&amp;"""","")&amp;"/&gt;","")</f>
        <v>&lt;vk kbd="8" vk="OEM_2"/&gt;</v>
      </c>
      <c r="AN55" t="str">
        <f>IF(M55&lt;&gt;"","&lt;vk kbd="""&amp;M$1&amp;""" vk="""&amp;M55&amp;""""&amp;IF(Scan2VKFlags!J55&lt;&gt;""," flags="""&amp;Scan2VKFlags!J55&amp;"""","")&amp;"/&gt;","")</f>
        <v>&lt;vk kbd="16" vk="OEM_2"/&gt;</v>
      </c>
      <c r="AO55" t="str">
        <f>IF(N55&lt;&gt;"","&lt;vk kbd="""&amp;N$1&amp;""" vk="""&amp;N55&amp;""""&amp;IF(Scan2VKFlags!K55&lt;&gt;""," flags="""&amp;Scan2VKFlags!K55&amp;"""","")&amp;"/&gt;","")</f>
        <v>&lt;vk kbd="10" vk="OEM_2"/&gt;</v>
      </c>
      <c r="AP55" t="str">
        <f>IF(O55&lt;&gt;"","&lt;vk kbd="""&amp;O$1&amp;""" vk="""&amp;O55&amp;""""&amp;IF(Scan2VKFlags!L55&lt;&gt;""," flags="""&amp;Scan2VKFlags!L55&amp;"""","")&amp;"/&gt;","")</f>
        <v>&lt;vk kbd="11" vk="OEM_2"/&gt;</v>
      </c>
      <c r="AQ55" t="str">
        <f>IF(P55&lt;&gt;"","&lt;vk kbd="""&amp;P$1&amp;""" vk="""&amp;P55&amp;""""&amp;IF(Scan2VKFlags!M55&lt;&gt;""," flags="""&amp;Scan2VKFlags!M55&amp;"""","")&amp;"/&gt;","")</f>
        <v>&lt;vk kbd="12" vk="OEM_2"/&gt;</v>
      </c>
      <c r="AR55" s="16" t="str">
        <f>IF(Q55&lt;&gt;"","&lt;vk kbd="""&amp;Q$1&amp;""" vk="""&amp;Q55&amp;""""&amp;IF(Scan2VKFlags!N55&lt;&gt;""," flags="""&amp;Scan2VKFlags!N55&amp;"""","")&amp;"/&gt;","")</f>
        <v>&lt;vk kbd="13" vk="OEM_2"/&gt;</v>
      </c>
      <c r="AS55" s="3" t="str">
        <f>IF(S55&lt;&gt;"","&lt;vk kbd="""&amp;S$1&amp;""" vk="""&amp;S55&amp;""""&amp;IF(Scan2VKFlags!O55&lt;&gt;""," flags="""&amp;Scan2VKFlags!O55&amp;"""","")&amp;"/&gt;","")</f>
        <v>&lt;vk kbd="20" vk="''"/&gt;</v>
      </c>
      <c r="AT55" t="str">
        <f>IF(T55&lt;&gt;"","&lt;vk kbd="""&amp;T$1&amp;""" vk="""&amp;T55&amp;""""&amp;IF(Scan2VKFlags!P55&lt;&gt;""," flags="""&amp;Scan2VKFlags!P55&amp;"""","")&amp;"/&gt;","")</f>
        <v>&lt;vk kbd="21" vk="''"/&gt;</v>
      </c>
      <c r="AU55" s="16" t="str">
        <f>IF(U55&lt;&gt;"","&lt;vk kbd="""&amp;U$1&amp;""" vk="""&amp;U55&amp;""""&amp;IF(Scan2VKFlags!Q55&lt;&gt;""," flags="""&amp;Scan2VKFlags!Q55&amp;"""","")&amp;"/&gt;","")</f>
        <v>&lt;vk kbd="22" vk="OEM_2"/&gt;</v>
      </c>
      <c r="AV55" s="3" t="str">
        <f>IF(W55&lt;&gt;"","&lt;vk kbd="""&amp;W$1&amp;""" vk="""&amp;W55&amp;""""&amp;IF(Scan2VKFlags!R55&lt;&gt;""," flags="""&amp;Scan2VKFlags!R55&amp;"""","")&amp;"/&gt;","")</f>
        <v>&lt;vk kbd="30" vk="OEM_2"/&gt;</v>
      </c>
      <c r="AW55" s="15" t="str">
        <f>IF(X55&lt;&gt;"","&lt;vk kbd="""&amp;X$1&amp;""" vk="""&amp;X55&amp;""""&amp;IF(Scan2VKFlags!S55&lt;&gt;""," flags="""&amp;Scan2VKFlags!S55&amp;"""","")&amp;"/&gt;","")</f>
        <v>&lt;vk kbd="33" vk="OEM_2"/&gt;</v>
      </c>
      <c r="AX55" s="15" t="str">
        <f>IF(Y55&lt;&gt;"","&lt;vk kbd="""&amp;Y$1&amp;""" vk="""&amp;Y55&amp;""""&amp;IF(Scan2VKFlags!T55&lt;&gt;""," flags="""&amp;Scan2VKFlags!T55&amp;"""","")&amp;"/&gt;","")</f>
        <v>&lt;vk kbd="34" vk="OEM_2"/&gt;</v>
      </c>
      <c r="AY55" s="18" t="str">
        <f>IF(AA55&lt;&gt;"","&lt;vk kbd="""&amp;AA$1&amp;""" vk="""&amp;AA55&amp;""""&amp;IF(Scan2VKFlags!U55&lt;&gt;""," flags="""&amp;Scan2VKFlags!U55&amp;"""","")&amp;"/&gt;","")</f>
        <v>&lt;vk kbd="37" vk="CONVERT"/&gt;</v>
      </c>
      <c r="AZ55" s="3" t="str">
        <f>IF(AC55&lt;&gt;"","&lt;vk kbd="""&amp;AC$1&amp;""" vk="""&amp;AC55&amp;""""&amp;IF(Scan2VKFlags!V55&lt;&gt;""," flags="""&amp;Scan2VKFlags!V55&amp;"""","")&amp;"/&gt;","")</f>
        <v>&lt;vk kbd="40" vk="OEM_2"/&gt;</v>
      </c>
      <c r="BA55" s="16" t="str">
        <f>IF(AD55&lt;&gt;"","&lt;vk kbd="""&amp;AD$1&amp;""" vk="""&amp;AD55&amp;""""&amp;IF(Scan2VKFlags!W55&lt;&gt;""," flags="""&amp;Scan2VKFlags!W55&amp;"""","")&amp;"/&gt;","")</f>
        <v>&lt;vk kbd="41" vk="OEM_2"/&gt;</v>
      </c>
      <c r="BB55" t="s">
        <v>854</v>
      </c>
    </row>
    <row r="56" spans="1:54" x14ac:dyDescent="0.25">
      <c r="A56">
        <f t="shared" si="7"/>
        <v>54</v>
      </c>
      <c r="B56" t="str">
        <f t="shared" si="4"/>
        <v>T36</v>
      </c>
      <c r="C56" s="7" t="s">
        <v>54</v>
      </c>
      <c r="D56" s="12" t="str">
        <f>trimtext(SplitText($C56,",",0))</f>
        <v>RSHIFT</v>
      </c>
      <c r="E56" s="12" t="str">
        <f>IF(SplitText($C56,",",COLUMN(E:E)-COLUMN($D:$D))="",$D56,trimtext(SplitText($C56,",",COLUMN(E:E)-COLUMN($D:$D))))</f>
        <v>RSHIFT</v>
      </c>
      <c r="F56" s="12" t="str">
        <f>IF(SplitText($C56,",",COLUMN(F:F)-COLUMN($D:$D))="",$D56,trimtext(SplitText($C56,",",COLUMN(F:F)-COLUMN($D:$D))))</f>
        <v>RSHIFT</v>
      </c>
      <c r="G56" s="12" t="str">
        <f>IF(SplitText($C56,",",COLUMN(G:G)-COLUMN($D:$D))="",$D56,trimtext(SplitText($C56,",",COLUMN(G:G)-COLUMN($D:$D))))</f>
        <v>RSHIFT</v>
      </c>
      <c r="H56" s="12" t="str">
        <f>IF(SplitText($C56,",",COLUMN(H:H)-COLUMN($D:$D))="",$D56,trimtext(SplitText($C56,",",COLUMN(H:H)-COLUMN($D:$D))))</f>
        <v>RSHIFT</v>
      </c>
      <c r="I56" s="12" t="str">
        <f>IF(SplitText($C56,",",COLUMN(I:I)-COLUMN($D:$D))="",$D56,trimtext(SplitText($C56,",",COLUMN(I:I)-COLUMN($D:$D))))</f>
        <v>RSHIFT</v>
      </c>
      <c r="J56" s="9" t="s">
        <v>239</v>
      </c>
      <c r="K56" s="12" t="str">
        <f>trimtext(SplitText($J56,",",0))</f>
        <v>RSHIFT</v>
      </c>
      <c r="L56" s="12" t="str">
        <f>IF(SplitText($J56,",",COLUMN(L:L)-COLUMN($K:$K))="",$K56,trimtext(SplitText($J56,",",COLUMN(L:L)-COLUMN($K:$K))))</f>
        <v>RSHIFT</v>
      </c>
      <c r="M56" s="12" t="str">
        <f>IF(SplitText($J56,",",COLUMN(M:M)-COLUMN($K:$K))="",$K56,trimtext(SplitText($J56,",",COLUMN(M:M)-COLUMN($K:$K))))</f>
        <v>RSHIFT</v>
      </c>
      <c r="N56" s="12" t="str">
        <f>IF(SplitText($J56,",",COLUMN(N:N)-COLUMN($K:$K))="",$K56,trimtext(SplitText($J56,",",COLUMN(N:N)-COLUMN($K:$K))))</f>
        <v>RSHIFT</v>
      </c>
      <c r="O56" s="12" t="str">
        <f>IF(SplitText($J56,",",COLUMN(O:O)-COLUMN($K:$K))="",$K56,trimtext(SplitText($J56,",",COLUMN(O:O)-COLUMN($K:$K))))</f>
        <v>RSHIFT</v>
      </c>
      <c r="P56" s="12" t="str">
        <f>IF(SplitText($J56,",",COLUMN(P:P)-COLUMN($K:$K))="",$K56,trimtext(SplitText($J56,",",COLUMN(P:P)-COLUMN($K:$K))))</f>
        <v>RSHIFT</v>
      </c>
      <c r="Q56" s="12" t="str">
        <f>IF(SplitText($J56,",",COLUMN(Q:Q)-COLUMN($K:$K))="",$K56,trimtext(SplitText($J56,",",COLUMN(Q:Q)-COLUMN($K:$K))))</f>
        <v>RSHIFT</v>
      </c>
      <c r="R56" s="2" t="s">
        <v>396</v>
      </c>
      <c r="S56" s="12" t="str">
        <f>trimtext(SplitText($R56,",",0))</f>
        <v>MULTIPLY</v>
      </c>
      <c r="T56" s="12" t="str">
        <f>IF(SplitText($R56,",",COLUMN(T:T)-COLUMN($S:$S))="",$S56,trimtext(SplitText($R56,",",COLUMN(T:T)-COLUMN($S:$S))))</f>
        <v>MULTIPLY</v>
      </c>
      <c r="U56" s="12" t="str">
        <f>IF(SplitText($R56,",",COLUMN(U:U)-COLUMN($S:$S))="",$S56,trimtext(SplitText($R56,",",COLUMN(U:U)-COLUMN($S:$S))))</f>
        <v>RSHIFT</v>
      </c>
      <c r="V56" s="2" t="s">
        <v>560</v>
      </c>
      <c r="W56" s="12" t="str">
        <f>trimtext(SplitText($V56,",",0))</f>
        <v>RSHIFT</v>
      </c>
      <c r="X56" s="12" t="str">
        <f>IF(SplitText($V56,",",COLUMN(X:X)-COLUMN($W:$W))="",$W56,trimtext(SplitText($V56,",",COLUMN(X:X)-COLUMN($W:$W))))</f>
        <v>RSHIFT</v>
      </c>
      <c r="Y56" s="12" t="str">
        <f>IF(SplitText($V56,",",COLUMN(Y:Y)-COLUMN($W:$W))="",$W56,trimtext(SplitText($V56,",",COLUMN(Y:Y)-COLUMN($W:$W))))</f>
        <v>RSHIFT</v>
      </c>
      <c r="Z56" s="2" t="s">
        <v>686</v>
      </c>
      <c r="AA56" s="12" t="str">
        <f t="shared" si="5"/>
        <v>NEXT</v>
      </c>
      <c r="AB56" s="2" t="s">
        <v>797</v>
      </c>
      <c r="AC56" s="12" t="str">
        <f>trimtext(SplitText($AB56,",",0))</f>
        <v>RSHIFT</v>
      </c>
      <c r="AD56" s="12" t="str">
        <f>IF(SplitText($AB56,",",COLUMN(AD:AD)-COLUMN($AC:$AC))="",$AC56,trimtext(SplitText($AB56,",",COLUMN(AD:AD)-COLUMN($AC:$AC))))</f>
        <v>RSHIFT</v>
      </c>
      <c r="AE56" s="18" t="str">
        <f t="shared" si="6"/>
        <v>&lt;xs:enumeration value="T36"&gt;&lt;xs:annotation&gt;&lt;xs:documentation&gt;Typically RSHIFT for keyboard type 4, different values for different keyboard types&lt;/xs:documentation&gt;&lt;xs:appinfo&gt;&lt;default-vk&gt;</v>
      </c>
      <c r="AF56" s="15" t="str">
        <f>IF(D56&lt;&gt;"","&lt;vk kbd="""&amp;D$1&amp;""" vk="""&amp;D56&amp;""""&amp;IF(Scan2VKFlags!B56&lt;&gt;""," flags="""&amp;Scan2VKFlags!B56&amp;"""","")&amp;"/&gt;","")</f>
        <v>&lt;vk kbd="1" vk="RSHIFT"/&gt;</v>
      </c>
      <c r="AG56" s="15" t="str">
        <f>IF(E56&lt;&gt;"","&lt;vk kbd="""&amp;E$1&amp;""" vk="""&amp;E56&amp;""""&amp;IF(Scan2VKFlags!C56&lt;&gt;""," flags="""&amp;Scan2VKFlags!C56&amp;"""","")&amp;"/&gt;","")</f>
        <v>&lt;vk kbd="2" vk="RSHIFT"/&gt;</v>
      </c>
      <c r="AH56" s="15" t="str">
        <f>IF(F56&lt;&gt;"","&lt;vk kbd="""&amp;F$1&amp;""" vk="""&amp;F56&amp;""""&amp;IF(Scan2VKFlags!D56&lt;&gt;""," flags="""&amp;Scan2VKFlags!D56&amp;"""","")&amp;"/&gt;","")</f>
        <v>&lt;vk kbd="3" vk="RSHIFT"/&gt;</v>
      </c>
      <c r="AI56" s="15" t="str">
        <f>IF(G56&lt;&gt;"","&lt;vk kbd="""&amp;G$1&amp;""" vk="""&amp;G56&amp;""""&amp;IF(Scan2VKFlags!E56&lt;&gt;""," flags="""&amp;Scan2VKFlags!E56&amp;"""","")&amp;"/&gt;","")</f>
        <v>&lt;vk kbd="4" vk="RSHIFT" flags="KBDEXT"/&gt;</v>
      </c>
      <c r="AJ56" s="15" t="str">
        <f>IF(H56&lt;&gt;"","&lt;vk kbd="""&amp;H$1&amp;""" vk="""&amp;H56&amp;""""&amp;IF(Scan2VKFlags!F56&lt;&gt;""," flags="""&amp;Scan2VKFlags!F56&amp;"""","")&amp;"/&gt;","")</f>
        <v>&lt;vk kbd="5" vk="RSHIFT"/&gt;</v>
      </c>
      <c r="AK56" s="16" t="str">
        <f>IF(I56&lt;&gt;"","&lt;vk kbd="""&amp;I$1&amp;""" vk="""&amp;I56&amp;""""&amp;IF(Scan2VKFlags!G56&lt;&gt;""," flags="""&amp;Scan2VKFlags!G56&amp;"""","")&amp;"/&gt;","")</f>
        <v>&lt;vk kbd="6" vk="RSHIFT"/&gt;</v>
      </c>
      <c r="AL56" s="3" t="str">
        <f>IF(K56&lt;&gt;"","&lt;vk kbd="""&amp;K$1&amp;""" vk="""&amp;K56&amp;""""&amp;IF(Scan2VKFlags!H56&lt;&gt;""," flags="""&amp;Scan2VKFlags!H56&amp;"""","")&amp;"/&gt;","")</f>
        <v>&lt;vk kbd="7" vk="RSHIFT"/&gt;</v>
      </c>
      <c r="AM56" t="str">
        <f>IF(L56&lt;&gt;"","&lt;vk kbd="""&amp;L$1&amp;""" vk="""&amp;L56&amp;""""&amp;IF(Scan2VKFlags!I56&lt;&gt;""," flags="""&amp;Scan2VKFlags!I56&amp;"""","")&amp;"/&gt;","")</f>
        <v>&lt;vk kbd="8" vk="RSHIFT"/&gt;</v>
      </c>
      <c r="AN56" t="str">
        <f>IF(M56&lt;&gt;"","&lt;vk kbd="""&amp;M$1&amp;""" vk="""&amp;M56&amp;""""&amp;IF(Scan2VKFlags!J56&lt;&gt;""," flags="""&amp;Scan2VKFlags!J56&amp;"""","")&amp;"/&gt;","")</f>
        <v>&lt;vk kbd="16" vk="RSHIFT"/&gt;</v>
      </c>
      <c r="AO56" t="str">
        <f>IF(N56&lt;&gt;"","&lt;vk kbd="""&amp;N$1&amp;""" vk="""&amp;N56&amp;""""&amp;IF(Scan2VKFlags!K56&lt;&gt;""," flags="""&amp;Scan2VKFlags!K56&amp;"""","")&amp;"/&gt;","")</f>
        <v>&lt;vk kbd="10" vk="RSHIFT"/&gt;</v>
      </c>
      <c r="AP56" t="str">
        <f>IF(O56&lt;&gt;"","&lt;vk kbd="""&amp;O$1&amp;""" vk="""&amp;O56&amp;""""&amp;IF(Scan2VKFlags!L56&lt;&gt;""," flags="""&amp;Scan2VKFlags!L56&amp;"""","")&amp;"/&gt;","")</f>
        <v>&lt;vk kbd="11" vk="RSHIFT"/&gt;</v>
      </c>
      <c r="AQ56" t="str">
        <f>IF(P56&lt;&gt;"","&lt;vk kbd="""&amp;P$1&amp;""" vk="""&amp;P56&amp;""""&amp;IF(Scan2VKFlags!M56&lt;&gt;""," flags="""&amp;Scan2VKFlags!M56&amp;"""","")&amp;"/&gt;","")</f>
        <v>&lt;vk kbd="12" vk="RSHIFT"/&gt;</v>
      </c>
      <c r="AR56" s="16" t="str">
        <f>IF(Q56&lt;&gt;"","&lt;vk kbd="""&amp;Q$1&amp;""" vk="""&amp;Q56&amp;""""&amp;IF(Scan2VKFlags!N56&lt;&gt;""," flags="""&amp;Scan2VKFlags!N56&amp;"""","")&amp;"/&gt;","")</f>
        <v>&lt;vk kbd="13" vk="RSHIFT"/&gt;</v>
      </c>
      <c r="AS56" s="3" t="str">
        <f>IF(S56&lt;&gt;"","&lt;vk kbd="""&amp;S$1&amp;""" vk="""&amp;S56&amp;""""&amp;IF(Scan2VKFlags!O56&lt;&gt;""," flags="""&amp;Scan2VKFlags!O56&amp;"""","")&amp;"/&gt;","")</f>
        <v>&lt;vk kbd="20" vk="MULTIPLY"/&gt;</v>
      </c>
      <c r="AT56" t="str">
        <f>IF(T56&lt;&gt;"","&lt;vk kbd="""&amp;T$1&amp;""" vk="""&amp;T56&amp;""""&amp;IF(Scan2VKFlags!P56&lt;&gt;""," flags="""&amp;Scan2VKFlags!P56&amp;"""","")&amp;"/&gt;","")</f>
        <v>&lt;vk kbd="21" vk="MULTIPLY"/&gt;</v>
      </c>
      <c r="AU56" s="16" t="str">
        <f>IF(U56&lt;&gt;"","&lt;vk kbd="""&amp;U$1&amp;""" vk="""&amp;U56&amp;""""&amp;IF(Scan2VKFlags!Q56&lt;&gt;""," flags="""&amp;Scan2VKFlags!Q56&amp;"""","")&amp;"/&gt;","")</f>
        <v>&lt;vk kbd="22" vk="RSHIFT"/&gt;</v>
      </c>
      <c r="AV56" s="3" t="str">
        <f>IF(W56&lt;&gt;"","&lt;vk kbd="""&amp;W$1&amp;""" vk="""&amp;W56&amp;""""&amp;IF(Scan2VKFlags!R56&lt;&gt;""," flags="""&amp;Scan2VKFlags!R56&amp;"""","")&amp;"/&gt;","")</f>
        <v>&lt;vk kbd="30" vk="RSHIFT"/&gt;</v>
      </c>
      <c r="AW56" s="15" t="str">
        <f>IF(X56&lt;&gt;"","&lt;vk kbd="""&amp;X$1&amp;""" vk="""&amp;X56&amp;""""&amp;IF(Scan2VKFlags!S56&lt;&gt;""," flags="""&amp;Scan2VKFlags!S56&amp;"""","")&amp;"/&gt;","")</f>
        <v>&lt;vk kbd="33" vk="RSHIFT"/&gt;</v>
      </c>
      <c r="AX56" s="15" t="str">
        <f>IF(Y56&lt;&gt;"","&lt;vk kbd="""&amp;Y$1&amp;""" vk="""&amp;Y56&amp;""""&amp;IF(Scan2VKFlags!T56&lt;&gt;""," flags="""&amp;Scan2VKFlags!T56&amp;"""","")&amp;"/&gt;","")</f>
        <v>&lt;vk kbd="34" vk="RSHIFT"/&gt;</v>
      </c>
      <c r="AY56" s="18" t="str">
        <f>IF(AA56&lt;&gt;"","&lt;vk kbd="""&amp;AA$1&amp;""" vk="""&amp;AA56&amp;""""&amp;IF(Scan2VKFlags!U56&lt;&gt;""," flags="""&amp;Scan2VKFlags!U56&amp;"""","")&amp;"/&gt;","")</f>
        <v>&lt;vk kbd="37" vk="NEXT"/&gt;</v>
      </c>
      <c r="AZ56" s="3" t="str">
        <f>IF(AC56&lt;&gt;"","&lt;vk kbd="""&amp;AC$1&amp;""" vk="""&amp;AC56&amp;""""&amp;IF(Scan2VKFlags!V56&lt;&gt;""," flags="""&amp;Scan2VKFlags!V56&amp;"""","")&amp;"/&gt;","")</f>
        <v>&lt;vk kbd="40" vk="RSHIFT"/&gt;</v>
      </c>
      <c r="BA56" s="16" t="str">
        <f>IF(AD56&lt;&gt;"","&lt;vk kbd="""&amp;AD$1&amp;""" vk="""&amp;AD56&amp;""""&amp;IF(Scan2VKFlags!W56&lt;&gt;""," flags="""&amp;Scan2VKFlags!W56&amp;"""","")&amp;"/&gt;","")</f>
        <v>&lt;vk kbd="41" vk="RSHIFT"/&gt;</v>
      </c>
      <c r="BB56" t="s">
        <v>854</v>
      </c>
    </row>
    <row r="57" spans="1:54" x14ac:dyDescent="0.25">
      <c r="A57">
        <f t="shared" si="7"/>
        <v>55</v>
      </c>
      <c r="B57" t="str">
        <f t="shared" si="4"/>
        <v>T37</v>
      </c>
      <c r="C57" s="7" t="s">
        <v>55</v>
      </c>
      <c r="D57" s="12" t="str">
        <f>trimtext(SplitText($C57,",",0))</f>
        <v>MULTIPLY</v>
      </c>
      <c r="E57" s="12" t="str">
        <f>IF(SplitText($C57,",",COLUMN(E:E)-COLUMN($D:$D))="",$D57,trimtext(SplitText($C57,",",COLUMN(E:E)-COLUMN($D:$D))))</f>
        <v>MULTIPLY</v>
      </c>
      <c r="F57" s="12" t="str">
        <f>IF(SplitText($C57,",",COLUMN(F:F)-COLUMN($D:$D))="",$D57,trimtext(SplitText($C57,",",COLUMN(F:F)-COLUMN($D:$D))))</f>
        <v>MULTIPLY</v>
      </c>
      <c r="G57" s="12" t="str">
        <f>IF(SplitText($C57,",",COLUMN(G:G)-COLUMN($D:$D))="",$D57,trimtext(SplitText($C57,",",COLUMN(G:G)-COLUMN($D:$D))))</f>
        <v>MULTIPLY</v>
      </c>
      <c r="H57" s="12" t="str">
        <f>IF(SplitText($C57,",",COLUMN(H:H)-COLUMN($D:$D))="",$D57,trimtext(SplitText($C57,",",COLUMN(H:H)-COLUMN($D:$D))))</f>
        <v>MULTIPLY</v>
      </c>
      <c r="I57" s="12" t="str">
        <f>IF(SplitText($C57,",",COLUMN(I:I)-COLUMN($D:$D))="",$D57,trimtext(SplitText($C57,",",COLUMN(I:I)-COLUMN($D:$D))))</f>
        <v>MULTIPLY</v>
      </c>
      <c r="J57" s="9" t="s">
        <v>240</v>
      </c>
      <c r="K57" s="12" t="str">
        <f>trimtext(SplitText($J57,",",0))</f>
        <v>MULTIPLY</v>
      </c>
      <c r="L57" s="12" t="str">
        <f>IF(SplitText($J57,",",COLUMN(L:L)-COLUMN($K:$K))="",$K57,trimtext(SplitText($J57,",",COLUMN(L:L)-COLUMN($K:$K))))</f>
        <v>MULTIPLY</v>
      </c>
      <c r="M57" s="12" t="str">
        <f>IF(SplitText($J57,",",COLUMN(M:M)-COLUMN($K:$K))="",$K57,trimtext(SplitText($J57,",",COLUMN(M:M)-COLUMN($K:$K))))</f>
        <v>MULTIPLY</v>
      </c>
      <c r="N57" s="12" t="str">
        <f>IF(SplitText($J57,",",COLUMN(N:N)-COLUMN($K:$K))="",$K57,trimtext(SplitText($J57,",",COLUMN(N:N)-COLUMN($K:$K))))</f>
        <v>MULTIPLY</v>
      </c>
      <c r="O57" s="12" t="str">
        <f>IF(SplitText($J57,",",COLUMN(O:O)-COLUMN($K:$K))="",$K57,trimtext(SplitText($J57,",",COLUMN(O:O)-COLUMN($K:$K))))</f>
        <v>MULTIPLY</v>
      </c>
      <c r="P57" s="12" t="str">
        <f>IF(SplitText($J57,",",COLUMN(P:P)-COLUMN($K:$K))="",$K57,trimtext(SplitText($J57,",",COLUMN(P:P)-COLUMN($K:$K))))</f>
        <v>MULTIPLY</v>
      </c>
      <c r="Q57" s="12" t="str">
        <f>IF(SplitText($J57,",",COLUMN(Q:Q)-COLUMN($K:$K))="",$K57,trimtext(SplitText($J57,",",COLUMN(Q:Q)-COLUMN($K:$K))))</f>
        <v>MULTIPLY</v>
      </c>
      <c r="R57" s="2" t="s">
        <v>397</v>
      </c>
      <c r="S57" s="12" t="str">
        <f>trimtext(SplitText($R57,",",0))</f>
        <v>DIVIDE</v>
      </c>
      <c r="T57" s="12" t="str">
        <f>IF(SplitText($R57,",",COLUMN(T:T)-COLUMN($S:$S))="",$S57,trimtext(SplitText($R57,",",COLUMN(T:T)-COLUMN($S:$S))))</f>
        <v>DIVIDE</v>
      </c>
      <c r="U57" s="12" t="str">
        <f>IF(SplitText($R57,",",COLUMN(U:U)-COLUMN($S:$S))="",$S57,trimtext(SplitText($R57,",",COLUMN(U:U)-COLUMN($S:$S))))</f>
        <v>MULTIPLY</v>
      </c>
      <c r="V57" s="2" t="s">
        <v>561</v>
      </c>
      <c r="W57" s="12" t="str">
        <f>trimtext(SplitText($V57,",",0))</f>
        <v>MULTIPLY</v>
      </c>
      <c r="X57" s="12" t="str">
        <f>IF(SplitText($V57,",",COLUMN(X:X)-COLUMN($W:$W))="",$W57,trimtext(SplitText($V57,",",COLUMN(X:X)-COLUMN($W:$W))))</f>
        <v>MULTIPLY</v>
      </c>
      <c r="Y57" s="12" t="str">
        <f>IF(SplitText($V57,",",COLUMN(Y:Y)-COLUMN($W:$W))="",$W57,trimtext(SplitText($V57,",",COLUMN(Y:Y)-COLUMN($W:$W))))</f>
        <v>MULTIPLY</v>
      </c>
      <c r="Z57" s="2" t="s">
        <v>687</v>
      </c>
      <c r="AA57" s="12" t="str">
        <f t="shared" si="5"/>
        <v>PRIOR</v>
      </c>
      <c r="AB57" s="2" t="s">
        <v>798</v>
      </c>
      <c r="AC57" s="12" t="str">
        <f>trimtext(SplitText($AB57,",",0))</f>
        <v>MULTIPLY</v>
      </c>
      <c r="AD57" s="12" t="str">
        <f>IF(SplitText($AB57,",",COLUMN(AD:AD)-COLUMN($AC:$AC))="",$AC57,trimtext(SplitText($AB57,",",COLUMN(AD:AD)-COLUMN($AC:$AC))))</f>
        <v>MULTIPLY</v>
      </c>
      <c r="AE57" s="18" t="str">
        <f t="shared" si="6"/>
        <v>&lt;xs:enumeration value="T37"&gt;&lt;xs:annotation&gt;&lt;xs:documentation&gt;Typically MULTIPLY for keyboard type 4, different values for different keyboard types&lt;/xs:documentation&gt;&lt;xs:appinfo&gt;&lt;default-vk&gt;</v>
      </c>
      <c r="AF57" s="15" t="str">
        <f>IF(D57&lt;&gt;"","&lt;vk kbd="""&amp;D$1&amp;""" vk="""&amp;D57&amp;""""&amp;IF(Scan2VKFlags!B57&lt;&gt;""," flags="""&amp;Scan2VKFlags!B57&amp;"""","")&amp;"/&gt;","")</f>
        <v>&lt;vk kbd="1" vk="MULTIPLY"/&gt;</v>
      </c>
      <c r="AG57" s="15" t="str">
        <f>IF(E57&lt;&gt;"","&lt;vk kbd="""&amp;E$1&amp;""" vk="""&amp;E57&amp;""""&amp;IF(Scan2VKFlags!C57&lt;&gt;""," flags="""&amp;Scan2VKFlags!C57&amp;"""","")&amp;"/&gt;","")</f>
        <v>&lt;vk kbd="2" vk="MULTIPLY"/&gt;</v>
      </c>
      <c r="AH57" s="15" t="str">
        <f>IF(F57&lt;&gt;"","&lt;vk kbd="""&amp;F$1&amp;""" vk="""&amp;F57&amp;""""&amp;IF(Scan2VKFlags!D57&lt;&gt;""," flags="""&amp;Scan2VKFlags!D57&amp;"""","")&amp;"/&gt;","")</f>
        <v>&lt;vk kbd="3" vk="MULTIPLY"/&gt;</v>
      </c>
      <c r="AI57" s="15" t="str">
        <f>IF(G57&lt;&gt;"","&lt;vk kbd="""&amp;G$1&amp;""" vk="""&amp;G57&amp;""""&amp;IF(Scan2VKFlags!E57&lt;&gt;""," flags="""&amp;Scan2VKFlags!E57&amp;"""","")&amp;"/&gt;","")</f>
        <v>&lt;vk kbd="4" vk="MULTIPLY" flags="KBDMULTIVK"/&gt;</v>
      </c>
      <c r="AJ57" s="15" t="str">
        <f>IF(H57&lt;&gt;"","&lt;vk kbd="""&amp;H$1&amp;""" vk="""&amp;H57&amp;""""&amp;IF(Scan2VKFlags!F57&lt;&gt;""," flags="""&amp;Scan2VKFlags!F57&amp;"""","")&amp;"/&gt;","")</f>
        <v>&lt;vk kbd="5" vk="MULTIPLY"/&gt;</v>
      </c>
      <c r="AK57" s="16" t="str">
        <f>IF(I57&lt;&gt;"","&lt;vk kbd="""&amp;I$1&amp;""" vk="""&amp;I57&amp;""""&amp;IF(Scan2VKFlags!G57&lt;&gt;""," flags="""&amp;Scan2VKFlags!G57&amp;"""","")&amp;"/&gt;","")</f>
        <v>&lt;vk kbd="6" vk="MULTIPLY"/&gt;</v>
      </c>
      <c r="AL57" s="3" t="str">
        <f>IF(K57&lt;&gt;"","&lt;vk kbd="""&amp;K$1&amp;""" vk="""&amp;K57&amp;""""&amp;IF(Scan2VKFlags!H57&lt;&gt;""," flags="""&amp;Scan2VKFlags!H57&amp;"""","")&amp;"/&gt;","")</f>
        <v>&lt;vk kbd="7" vk="MULTIPLY"/&gt;</v>
      </c>
      <c r="AM57" t="str">
        <f>IF(L57&lt;&gt;"","&lt;vk kbd="""&amp;L$1&amp;""" vk="""&amp;L57&amp;""""&amp;IF(Scan2VKFlags!I57&lt;&gt;""," flags="""&amp;Scan2VKFlags!I57&amp;"""","")&amp;"/&gt;","")</f>
        <v>&lt;vk kbd="8" vk="MULTIPLY"/&gt;</v>
      </c>
      <c r="AN57" t="str">
        <f>IF(M57&lt;&gt;"","&lt;vk kbd="""&amp;M$1&amp;""" vk="""&amp;M57&amp;""""&amp;IF(Scan2VKFlags!J57&lt;&gt;""," flags="""&amp;Scan2VKFlags!J57&amp;"""","")&amp;"/&gt;","")</f>
        <v>&lt;vk kbd="16" vk="MULTIPLY"/&gt;</v>
      </c>
      <c r="AO57" t="str">
        <f>IF(N57&lt;&gt;"","&lt;vk kbd="""&amp;N$1&amp;""" vk="""&amp;N57&amp;""""&amp;IF(Scan2VKFlags!K57&lt;&gt;""," flags="""&amp;Scan2VKFlags!K57&amp;"""","")&amp;"/&gt;","")</f>
        <v>&lt;vk kbd="10" vk="MULTIPLY"/&gt;</v>
      </c>
      <c r="AP57" t="str">
        <f>IF(O57&lt;&gt;"","&lt;vk kbd="""&amp;O$1&amp;""" vk="""&amp;O57&amp;""""&amp;IF(Scan2VKFlags!L57&lt;&gt;""," flags="""&amp;Scan2VKFlags!L57&amp;"""","")&amp;"/&gt;","")</f>
        <v>&lt;vk kbd="11" vk="MULTIPLY"/&gt;</v>
      </c>
      <c r="AQ57" t="str">
        <f>IF(P57&lt;&gt;"","&lt;vk kbd="""&amp;P$1&amp;""" vk="""&amp;P57&amp;""""&amp;IF(Scan2VKFlags!M57&lt;&gt;""," flags="""&amp;Scan2VKFlags!M57&amp;"""","")&amp;"/&gt;","")</f>
        <v>&lt;vk kbd="12" vk="MULTIPLY"/&gt;</v>
      </c>
      <c r="AR57" s="16" t="str">
        <f>IF(Q57&lt;&gt;"","&lt;vk kbd="""&amp;Q$1&amp;""" vk="""&amp;Q57&amp;""""&amp;IF(Scan2VKFlags!N57&lt;&gt;""," flags="""&amp;Scan2VKFlags!N57&amp;"""","")&amp;"/&gt;","")</f>
        <v>&lt;vk kbd="13" vk="MULTIPLY"/&gt;</v>
      </c>
      <c r="AS57" s="3" t="str">
        <f>IF(S57&lt;&gt;"","&lt;vk kbd="""&amp;S$1&amp;""" vk="""&amp;S57&amp;""""&amp;IF(Scan2VKFlags!O57&lt;&gt;""," flags="""&amp;Scan2VKFlags!O57&amp;"""","")&amp;"/&gt;","")</f>
        <v>&lt;vk kbd="20" vk="DIVIDE"/&gt;</v>
      </c>
      <c r="AT57" t="str">
        <f>IF(T57&lt;&gt;"","&lt;vk kbd="""&amp;T$1&amp;""" vk="""&amp;T57&amp;""""&amp;IF(Scan2VKFlags!P57&lt;&gt;""," flags="""&amp;Scan2VKFlags!P57&amp;"""","")&amp;"/&gt;","")</f>
        <v>&lt;vk kbd="21" vk="DIVIDE"/&gt;</v>
      </c>
      <c r="AU57" s="16" t="str">
        <f>IF(U57&lt;&gt;"","&lt;vk kbd="""&amp;U$1&amp;""" vk="""&amp;U57&amp;""""&amp;IF(Scan2VKFlags!Q57&lt;&gt;""," flags="""&amp;Scan2VKFlags!Q57&amp;"""","")&amp;"/&gt;","")</f>
        <v>&lt;vk kbd="22" vk="MULTIPLY"/&gt;</v>
      </c>
      <c r="AV57" s="3" t="str">
        <f>IF(W57&lt;&gt;"","&lt;vk kbd="""&amp;W$1&amp;""" vk="""&amp;W57&amp;""""&amp;IF(Scan2VKFlags!R57&lt;&gt;""," flags="""&amp;Scan2VKFlags!R57&amp;"""","")&amp;"/&gt;","")</f>
        <v>&lt;vk kbd="30" vk="MULTIPLY"/&gt;</v>
      </c>
      <c r="AW57" s="15" t="str">
        <f>IF(X57&lt;&gt;"","&lt;vk kbd="""&amp;X$1&amp;""" vk="""&amp;X57&amp;""""&amp;IF(Scan2VKFlags!S57&lt;&gt;""," flags="""&amp;Scan2VKFlags!S57&amp;"""","")&amp;"/&gt;","")</f>
        <v>&lt;vk kbd="33" vk="MULTIPLY"/&gt;</v>
      </c>
      <c r="AX57" s="15" t="str">
        <f>IF(Y57&lt;&gt;"","&lt;vk kbd="""&amp;Y$1&amp;""" vk="""&amp;Y57&amp;""""&amp;IF(Scan2VKFlags!T57&lt;&gt;""," flags="""&amp;Scan2VKFlags!T57&amp;"""","")&amp;"/&gt;","")</f>
        <v>&lt;vk kbd="34" vk="MULTIPLY"/&gt;</v>
      </c>
      <c r="AY57" s="18" t="str">
        <f>IF(AA57&lt;&gt;"","&lt;vk kbd="""&amp;AA$1&amp;""" vk="""&amp;AA57&amp;""""&amp;IF(Scan2VKFlags!U57&lt;&gt;""," flags="""&amp;Scan2VKFlags!U57&amp;"""","")&amp;"/&gt;","")</f>
        <v>&lt;vk kbd="37" vk="PRIOR"/&gt;</v>
      </c>
      <c r="AZ57" s="3" t="str">
        <f>IF(AC57&lt;&gt;"","&lt;vk kbd="""&amp;AC$1&amp;""" vk="""&amp;AC57&amp;""""&amp;IF(Scan2VKFlags!V57&lt;&gt;""," flags="""&amp;Scan2VKFlags!V57&amp;"""","")&amp;"/&gt;","")</f>
        <v>&lt;vk kbd="40" vk="MULTIPLY"/&gt;</v>
      </c>
      <c r="BA57" s="16" t="str">
        <f>IF(AD57&lt;&gt;"","&lt;vk kbd="""&amp;AD$1&amp;""" vk="""&amp;AD57&amp;""""&amp;IF(Scan2VKFlags!W57&lt;&gt;""," flags="""&amp;Scan2VKFlags!W57&amp;"""","")&amp;"/&gt;","")</f>
        <v>&lt;vk kbd="41" vk="MULTIPLY"/&gt;</v>
      </c>
      <c r="BB57" t="s">
        <v>854</v>
      </c>
    </row>
    <row r="58" spans="1:54" x14ac:dyDescent="0.25">
      <c r="A58">
        <f t="shared" si="7"/>
        <v>56</v>
      </c>
      <c r="B58" t="str">
        <f t="shared" si="4"/>
        <v>T38</v>
      </c>
      <c r="C58" s="7" t="s">
        <v>56</v>
      </c>
      <c r="D58" s="12" t="str">
        <f>trimtext(SplitText($C58,",",0))</f>
        <v>LMENU</v>
      </c>
      <c r="E58" s="12" t="str">
        <f>IF(SplitText($C58,",",COLUMN(E:E)-COLUMN($D:$D))="",$D58,trimtext(SplitText($C58,",",COLUMN(E:E)-COLUMN($D:$D))))</f>
        <v>LMENU</v>
      </c>
      <c r="F58" s="12" t="str">
        <f>IF(SplitText($C58,",",COLUMN(F:F)-COLUMN($D:$D))="",$D58,trimtext(SplitText($C58,",",COLUMN(F:F)-COLUMN($D:$D))))</f>
        <v>LMENU</v>
      </c>
      <c r="G58" s="12" t="str">
        <f>IF(SplitText($C58,",",COLUMN(G:G)-COLUMN($D:$D))="",$D58,trimtext(SplitText($C58,",",COLUMN(G:G)-COLUMN($D:$D))))</f>
        <v>LMENU</v>
      </c>
      <c r="H58" s="12" t="str">
        <f>IF(SplitText($C58,",",COLUMN(H:H)-COLUMN($D:$D))="",$D58,trimtext(SplitText($C58,",",COLUMN(H:H)-COLUMN($D:$D))))</f>
        <v>LMENU</v>
      </c>
      <c r="I58" s="12" t="str">
        <f>IF(SplitText($C58,",",COLUMN(I:I)-COLUMN($D:$D))="",$D58,trimtext(SplitText($C58,",",COLUMN(I:I)-COLUMN($D:$D))))</f>
        <v>LMENU</v>
      </c>
      <c r="J58" s="9" t="s">
        <v>241</v>
      </c>
      <c r="K58" s="12" t="str">
        <f>trimtext(SplitText($J58,",",0))</f>
        <v>LMENU</v>
      </c>
      <c r="L58" s="12" t="str">
        <f>IF(SplitText($J58,",",COLUMN(L:L)-COLUMN($K:$K))="",$K58,trimtext(SplitText($J58,",",COLUMN(L:L)-COLUMN($K:$K))))</f>
        <v>LMENU</v>
      </c>
      <c r="M58" s="12" t="str">
        <f>IF(SplitText($J58,",",COLUMN(M:M)-COLUMN($K:$K))="",$K58,trimtext(SplitText($J58,",",COLUMN(M:M)-COLUMN($K:$K))))</f>
        <v>LMENU</v>
      </c>
      <c r="N58" s="12" t="str">
        <f>IF(SplitText($J58,",",COLUMN(N:N)-COLUMN($K:$K))="",$K58,trimtext(SplitText($J58,",",COLUMN(N:N)-COLUMN($K:$K))))</f>
        <v>LMENU</v>
      </c>
      <c r="O58" s="12" t="str">
        <f>IF(SplitText($J58,",",COLUMN(O:O)-COLUMN($K:$K))="",$K58,trimtext(SplitText($J58,",",COLUMN(O:O)-COLUMN($K:$K))))</f>
        <v>LMENU</v>
      </c>
      <c r="P58" s="12" t="str">
        <f>IF(SplitText($J58,",",COLUMN(P:P)-COLUMN($K:$K))="",$K58,trimtext(SplitText($J58,",",COLUMN(P:P)-COLUMN($K:$K))))</f>
        <v>LMENU</v>
      </c>
      <c r="Q58" s="12" t="str">
        <f>IF(SplitText($J58,",",COLUMN(Q:Q)-COLUMN($K:$K))="",$K58,trimtext(SplitText($J58,",",COLUMN(Q:Q)-COLUMN($K:$K))))</f>
        <v>LMENU</v>
      </c>
      <c r="R58" s="2" t="s">
        <v>398</v>
      </c>
      <c r="S58" s="12" t="str">
        <f>trimtext(SplitText($R58,",",0))</f>
        <v>ADD</v>
      </c>
      <c r="T58" s="12" t="str">
        <f>IF(SplitText($R58,",",COLUMN(T:T)-COLUMN($S:$S))="",$S58,trimtext(SplitText($R58,",",COLUMN(T:T)-COLUMN($S:$S))))</f>
        <v>ADD</v>
      </c>
      <c r="U58" s="12" t="str">
        <f>IF(SplitText($R58,",",COLUMN(U:U)-COLUMN($S:$S))="",$S58,trimtext(SplitText($R58,",",COLUMN(U:U)-COLUMN($S:$S))))</f>
        <v>LMENU</v>
      </c>
      <c r="V58" s="2" t="s">
        <v>562</v>
      </c>
      <c r="W58" s="12" t="str">
        <f>trimtext(SplitText($V58,",",0))</f>
        <v>LMENU</v>
      </c>
      <c r="X58" s="12" t="str">
        <f>IF(SplitText($V58,",",COLUMN(X:X)-COLUMN($W:$W))="",$W58,trimtext(SplitText($V58,",",COLUMN(X:X)-COLUMN($W:$W))))</f>
        <v>LMENU</v>
      </c>
      <c r="Y58" s="12" t="str">
        <f>IF(SplitText($V58,",",COLUMN(Y:Y)-COLUMN($W:$W))="",$W58,trimtext(SplitText($V58,",",COLUMN(Y:Y)-COLUMN($W:$W))))</f>
        <v>LMENU</v>
      </c>
      <c r="Z58" s="2" t="s">
        <v>688</v>
      </c>
      <c r="AA58" s="12" t="str">
        <f t="shared" si="5"/>
        <v>INSERT</v>
      </c>
      <c r="AB58" s="2" t="s">
        <v>799</v>
      </c>
      <c r="AC58" s="12" t="str">
        <f>trimtext(SplitText($AB58,",",0))</f>
        <v>LMENU</v>
      </c>
      <c r="AD58" s="12" t="str">
        <f>IF(SplitText($AB58,",",COLUMN(AD:AD)-COLUMN($AC:$AC))="",$AC58,trimtext(SplitText($AB58,",",COLUMN(AD:AD)-COLUMN($AC:$AC))))</f>
        <v>LMENU</v>
      </c>
      <c r="AE58" s="18" t="str">
        <f t="shared" si="6"/>
        <v>&lt;xs:enumeration value="T38"&gt;&lt;xs:annotation&gt;&lt;xs:documentation&gt;Typically LMENU for keyboard type 4, different values for different keyboard types&lt;/xs:documentation&gt;&lt;xs:appinfo&gt;&lt;default-vk&gt;</v>
      </c>
      <c r="AF58" s="15" t="str">
        <f>IF(D58&lt;&gt;"","&lt;vk kbd="""&amp;D$1&amp;""" vk="""&amp;D58&amp;""""&amp;IF(Scan2VKFlags!B58&lt;&gt;""," flags="""&amp;Scan2VKFlags!B58&amp;"""","")&amp;"/&gt;","")</f>
        <v>&lt;vk kbd="1" vk="LMENU"/&gt;</v>
      </c>
      <c r="AG58" s="15" t="str">
        <f>IF(E58&lt;&gt;"","&lt;vk kbd="""&amp;E$1&amp;""" vk="""&amp;E58&amp;""""&amp;IF(Scan2VKFlags!C58&lt;&gt;""," flags="""&amp;Scan2VKFlags!C58&amp;"""","")&amp;"/&gt;","")</f>
        <v>&lt;vk kbd="2" vk="LMENU"/&gt;</v>
      </c>
      <c r="AH58" s="15" t="str">
        <f>IF(F58&lt;&gt;"","&lt;vk kbd="""&amp;F$1&amp;""" vk="""&amp;F58&amp;""""&amp;IF(Scan2VKFlags!D58&lt;&gt;""," flags="""&amp;Scan2VKFlags!D58&amp;"""","")&amp;"/&gt;","")</f>
        <v>&lt;vk kbd="3" vk="LMENU"/&gt;</v>
      </c>
      <c r="AI58" s="15" t="str">
        <f>IF(G58&lt;&gt;"","&lt;vk kbd="""&amp;G$1&amp;""" vk="""&amp;G58&amp;""""&amp;IF(Scan2VKFlags!E58&lt;&gt;""," flags="""&amp;Scan2VKFlags!E58&amp;"""","")&amp;"/&gt;","")</f>
        <v>&lt;vk kbd="4" vk="LMENU"/&gt;</v>
      </c>
      <c r="AJ58" s="15" t="str">
        <f>IF(H58&lt;&gt;"","&lt;vk kbd="""&amp;H$1&amp;""" vk="""&amp;H58&amp;""""&amp;IF(Scan2VKFlags!F58&lt;&gt;""," flags="""&amp;Scan2VKFlags!F58&amp;"""","")&amp;"/&gt;","")</f>
        <v>&lt;vk kbd="5" vk="LMENU"/&gt;</v>
      </c>
      <c r="AK58" s="16" t="str">
        <f>IF(I58&lt;&gt;"","&lt;vk kbd="""&amp;I$1&amp;""" vk="""&amp;I58&amp;""""&amp;IF(Scan2VKFlags!G58&lt;&gt;""," flags="""&amp;Scan2VKFlags!G58&amp;"""","")&amp;"/&gt;","")</f>
        <v>&lt;vk kbd="6" vk="LMENU"/&gt;</v>
      </c>
      <c r="AL58" s="3" t="str">
        <f>IF(K58&lt;&gt;"","&lt;vk kbd="""&amp;K$1&amp;""" vk="""&amp;K58&amp;""""&amp;IF(Scan2VKFlags!H58&lt;&gt;""," flags="""&amp;Scan2VKFlags!H58&amp;"""","")&amp;"/&gt;","")</f>
        <v>&lt;vk kbd="7" vk="LMENU"/&gt;</v>
      </c>
      <c r="AM58" t="str">
        <f>IF(L58&lt;&gt;"","&lt;vk kbd="""&amp;L$1&amp;""" vk="""&amp;L58&amp;""""&amp;IF(Scan2VKFlags!I58&lt;&gt;""," flags="""&amp;Scan2VKFlags!I58&amp;"""","")&amp;"/&gt;","")</f>
        <v>&lt;vk kbd="8" vk="LMENU"/&gt;</v>
      </c>
      <c r="AN58" t="str">
        <f>IF(M58&lt;&gt;"","&lt;vk kbd="""&amp;M$1&amp;""" vk="""&amp;M58&amp;""""&amp;IF(Scan2VKFlags!J58&lt;&gt;""," flags="""&amp;Scan2VKFlags!J58&amp;"""","")&amp;"/&gt;","")</f>
        <v>&lt;vk kbd="16" vk="LMENU"/&gt;</v>
      </c>
      <c r="AO58" t="str">
        <f>IF(N58&lt;&gt;"","&lt;vk kbd="""&amp;N$1&amp;""" vk="""&amp;N58&amp;""""&amp;IF(Scan2VKFlags!K58&lt;&gt;""," flags="""&amp;Scan2VKFlags!K58&amp;"""","")&amp;"/&gt;","")</f>
        <v>&lt;vk kbd="10" vk="LMENU"/&gt;</v>
      </c>
      <c r="AP58" t="str">
        <f>IF(O58&lt;&gt;"","&lt;vk kbd="""&amp;O$1&amp;""" vk="""&amp;O58&amp;""""&amp;IF(Scan2VKFlags!L58&lt;&gt;""," flags="""&amp;Scan2VKFlags!L58&amp;"""","")&amp;"/&gt;","")</f>
        <v>&lt;vk kbd="11" vk="LMENU"/&gt;</v>
      </c>
      <c r="AQ58" t="str">
        <f>IF(P58&lt;&gt;"","&lt;vk kbd="""&amp;P$1&amp;""" vk="""&amp;P58&amp;""""&amp;IF(Scan2VKFlags!M58&lt;&gt;""," flags="""&amp;Scan2VKFlags!M58&amp;"""","")&amp;"/&gt;","")</f>
        <v>&lt;vk kbd="12" vk="LMENU"/&gt;</v>
      </c>
      <c r="AR58" s="16" t="str">
        <f>IF(Q58&lt;&gt;"","&lt;vk kbd="""&amp;Q$1&amp;""" vk="""&amp;Q58&amp;""""&amp;IF(Scan2VKFlags!N58&lt;&gt;""," flags="""&amp;Scan2VKFlags!N58&amp;"""","")&amp;"/&gt;","")</f>
        <v>&lt;vk kbd="13" vk="LMENU"/&gt;</v>
      </c>
      <c r="AS58" s="3" t="str">
        <f>IF(S58&lt;&gt;"","&lt;vk kbd="""&amp;S$1&amp;""" vk="""&amp;S58&amp;""""&amp;IF(Scan2VKFlags!O58&lt;&gt;""," flags="""&amp;Scan2VKFlags!O58&amp;"""","")&amp;"/&gt;","")</f>
        <v>&lt;vk kbd="20" vk="ADD"/&gt;</v>
      </c>
      <c r="AT58" t="str">
        <f>IF(T58&lt;&gt;"","&lt;vk kbd="""&amp;T$1&amp;""" vk="""&amp;T58&amp;""""&amp;IF(Scan2VKFlags!P58&lt;&gt;""," flags="""&amp;Scan2VKFlags!P58&amp;"""","")&amp;"/&gt;","")</f>
        <v>&lt;vk kbd="21" vk="ADD"/&gt;</v>
      </c>
      <c r="AU58" s="16" t="str">
        <f>IF(U58&lt;&gt;"","&lt;vk kbd="""&amp;U$1&amp;""" vk="""&amp;U58&amp;""""&amp;IF(Scan2VKFlags!Q58&lt;&gt;""," flags="""&amp;Scan2VKFlags!Q58&amp;"""","")&amp;"/&gt;","")</f>
        <v>&lt;vk kbd="22" vk="LMENU"/&gt;</v>
      </c>
      <c r="AV58" s="3" t="str">
        <f>IF(W58&lt;&gt;"","&lt;vk kbd="""&amp;W$1&amp;""" vk="""&amp;W58&amp;""""&amp;IF(Scan2VKFlags!R58&lt;&gt;""," flags="""&amp;Scan2VKFlags!R58&amp;"""","")&amp;"/&gt;","")</f>
        <v>&lt;vk kbd="30" vk="LMENU"/&gt;</v>
      </c>
      <c r="AW58" s="15" t="str">
        <f>IF(X58&lt;&gt;"","&lt;vk kbd="""&amp;X$1&amp;""" vk="""&amp;X58&amp;""""&amp;IF(Scan2VKFlags!S58&lt;&gt;""," flags="""&amp;Scan2VKFlags!S58&amp;"""","")&amp;"/&gt;","")</f>
        <v>&lt;vk kbd="33" vk="LMENU"/&gt;</v>
      </c>
      <c r="AX58" s="15" t="str">
        <f>IF(Y58&lt;&gt;"","&lt;vk kbd="""&amp;Y$1&amp;""" vk="""&amp;Y58&amp;""""&amp;IF(Scan2VKFlags!T58&lt;&gt;""," flags="""&amp;Scan2VKFlags!T58&amp;"""","")&amp;"/&gt;","")</f>
        <v>&lt;vk kbd="34" vk="LMENU"/&gt;</v>
      </c>
      <c r="AY58" s="18" t="str">
        <f>IF(AA58&lt;&gt;"","&lt;vk kbd="""&amp;AA$1&amp;""" vk="""&amp;AA58&amp;""""&amp;IF(Scan2VKFlags!U58&lt;&gt;""," flags="""&amp;Scan2VKFlags!U58&amp;"""","")&amp;"/&gt;","")</f>
        <v>&lt;vk kbd="37" vk="INSERT"/&gt;</v>
      </c>
      <c r="AZ58" s="3" t="str">
        <f>IF(AC58&lt;&gt;"","&lt;vk kbd="""&amp;AC$1&amp;""" vk="""&amp;AC58&amp;""""&amp;IF(Scan2VKFlags!V58&lt;&gt;""," flags="""&amp;Scan2VKFlags!V58&amp;"""","")&amp;"/&gt;","")</f>
        <v>&lt;vk kbd="40" vk="LMENU"/&gt;</v>
      </c>
      <c r="BA58" s="16" t="str">
        <f>IF(AD58&lt;&gt;"","&lt;vk kbd="""&amp;AD$1&amp;""" vk="""&amp;AD58&amp;""""&amp;IF(Scan2VKFlags!W58&lt;&gt;""," flags="""&amp;Scan2VKFlags!W58&amp;"""","")&amp;"/&gt;","")</f>
        <v>&lt;vk kbd="41" vk="LMENU"/&gt;</v>
      </c>
      <c r="BB58" t="s">
        <v>854</v>
      </c>
    </row>
    <row r="59" spans="1:54" x14ac:dyDescent="0.25">
      <c r="A59">
        <f t="shared" si="7"/>
        <v>57</v>
      </c>
      <c r="B59" t="str">
        <f t="shared" si="4"/>
        <v>T39</v>
      </c>
      <c r="C59" s="7" t="s">
        <v>57</v>
      </c>
      <c r="D59" s="12" t="str">
        <f>trimtext(SplitText($C59,",",0))</f>
        <v>''</v>
      </c>
      <c r="E59" s="12" t="str">
        <f>IF(SplitText($C59,",",COLUMN(E:E)-COLUMN($D:$D))="",$D59,trimtext(SplitText($C59,",",COLUMN(E:E)-COLUMN($D:$D))))</f>
        <v>''</v>
      </c>
      <c r="F59" s="12" t="str">
        <f>IF(SplitText($C59,",",COLUMN(F:F)-COLUMN($D:$D))="",$D59,trimtext(SplitText($C59,",",COLUMN(F:F)-COLUMN($D:$D))))</f>
        <v>''</v>
      </c>
      <c r="G59" s="12" t="str">
        <f>IF(SplitText($C59,",",COLUMN(G:G)-COLUMN($D:$D))="",$D59,trimtext(SplitText($C59,",",COLUMN(G:G)-COLUMN($D:$D))))</f>
        <v>''</v>
      </c>
      <c r="H59" s="12" t="str">
        <f>IF(SplitText($C59,",",COLUMN(H:H)-COLUMN($D:$D))="",$D59,trimtext(SplitText($C59,",",COLUMN(H:H)-COLUMN($D:$D))))</f>
        <v>''</v>
      </c>
      <c r="I59" s="12" t="str">
        <f>IF(SplitText($C59,",",COLUMN(I:I)-COLUMN($D:$D))="",$D59,trimtext(SplitText($C59,",",COLUMN(I:I)-COLUMN($D:$D))))</f>
        <v>''</v>
      </c>
      <c r="J59" s="9" t="s">
        <v>242</v>
      </c>
      <c r="K59" s="12" t="str">
        <f>trimtext(SplitText($J59,",",0))</f>
        <v>''</v>
      </c>
      <c r="L59" s="12" t="str">
        <f>IF(SplitText($J59,",",COLUMN(L:L)-COLUMN($K:$K))="",$K59,trimtext(SplitText($J59,",",COLUMN(L:L)-COLUMN($K:$K))))</f>
        <v>''</v>
      </c>
      <c r="M59" s="12" t="str">
        <f>IF(SplitText($J59,",",COLUMN(M:M)-COLUMN($K:$K))="",$K59,trimtext(SplitText($J59,",",COLUMN(M:M)-COLUMN($K:$K))))</f>
        <v>''</v>
      </c>
      <c r="N59" s="12" t="str">
        <f>IF(SplitText($J59,",",COLUMN(N:N)-COLUMN($K:$K))="",$K59,trimtext(SplitText($J59,",",COLUMN(N:N)-COLUMN($K:$K))))</f>
        <v>''</v>
      </c>
      <c r="O59" s="12" t="str">
        <f>IF(SplitText($J59,",",COLUMN(O:O)-COLUMN($K:$K))="",$K59,trimtext(SplitText($J59,",",COLUMN(O:O)-COLUMN($K:$K))))</f>
        <v>''</v>
      </c>
      <c r="P59" s="12" t="str">
        <f>IF(SplitText($J59,",",COLUMN(P:P)-COLUMN($K:$K))="",$K59,trimtext(SplitText($J59,",",COLUMN(P:P)-COLUMN($K:$K))))</f>
        <v>''</v>
      </c>
      <c r="Q59" s="12" t="str">
        <f>IF(SplitText($J59,",",COLUMN(Q:Q)-COLUMN($K:$K))="",$K59,trimtext(SplitText($J59,",",COLUMN(Q:Q)-COLUMN($K:$K))))</f>
        <v>''</v>
      </c>
      <c r="R59" s="2" t="s">
        <v>399</v>
      </c>
      <c r="S59" s="12" t="str">
        <f>trimtext(SplitText($R59,",",0))</f>
        <v>SUBTRACT</v>
      </c>
      <c r="T59" s="12" t="str">
        <f>IF(SplitText($R59,",",COLUMN(T:T)-COLUMN($S:$S))="",$S59,trimtext(SplitText($R59,",",COLUMN(T:T)-COLUMN($S:$S))))</f>
        <v>SUBTRACT</v>
      </c>
      <c r="U59" s="12" t="str">
        <f>IF(SplitText($R59,",",COLUMN(U:U)-COLUMN($S:$S))="",$S59,trimtext(SplitText($R59,",",COLUMN(U:U)-COLUMN($S:$S))))</f>
        <v>''</v>
      </c>
      <c r="V59" s="23" t="s">
        <v>563</v>
      </c>
      <c r="W59" s="12" t="str">
        <f>trimtext(SplitText($V59,",",0))</f>
        <v>''</v>
      </c>
      <c r="X59" s="12" t="str">
        <f>IF(SplitText($V59,",",COLUMN(X:X)-COLUMN($W:$W))="",$W59,trimtext(SplitText($V59,",",COLUMN(X:X)-COLUMN($W:$W))))</f>
        <v>''</v>
      </c>
      <c r="Y59" s="12" t="str">
        <f>IF(SplitText($V59,",",COLUMN(Y:Y)-COLUMN($W:$W))="",$W59,trimtext(SplitText($V59,",",COLUMN(Y:Y)-COLUMN($W:$W))))</f>
        <v>''</v>
      </c>
      <c r="Z59" s="2" t="s">
        <v>689</v>
      </c>
      <c r="AA59" s="12" t="str">
        <f t="shared" si="5"/>
        <v>DELETE</v>
      </c>
      <c r="AB59" s="2" t="s">
        <v>800</v>
      </c>
      <c r="AC59" s="12" t="str">
        <f>trimtext(SplitText($AB59,",",0))</f>
        <v>''</v>
      </c>
      <c r="AD59" s="12" t="str">
        <f>IF(SplitText($AB59,",",COLUMN(AD:AD)-COLUMN($AC:$AC))="",$AC59,trimtext(SplitText($AB59,",",COLUMN(AD:AD)-COLUMN($AC:$AC))))</f>
        <v>''</v>
      </c>
      <c r="AE59" s="18" t="str">
        <f t="shared" si="6"/>
        <v>&lt;xs:enumeration value="T39"&gt;&lt;xs:annotation&gt;&lt;xs:documentation&gt;Typically '' for keyboard type 4, different values for different keyboard types&lt;/xs:documentation&gt;&lt;xs:appinfo&gt;&lt;default-vk&gt;</v>
      </c>
      <c r="AF59" s="15" t="str">
        <f>IF(D59&lt;&gt;"","&lt;vk kbd="""&amp;D$1&amp;""" vk="""&amp;D59&amp;""""&amp;IF(Scan2VKFlags!B59&lt;&gt;""," flags="""&amp;Scan2VKFlags!B59&amp;"""","")&amp;"/&gt;","")</f>
        <v>&lt;vk kbd="1" vk="''"/&gt;</v>
      </c>
      <c r="AG59" s="15" t="str">
        <f>IF(E59&lt;&gt;"","&lt;vk kbd="""&amp;E$1&amp;""" vk="""&amp;E59&amp;""""&amp;IF(Scan2VKFlags!C59&lt;&gt;""," flags="""&amp;Scan2VKFlags!C59&amp;"""","")&amp;"/&gt;","")</f>
        <v>&lt;vk kbd="2" vk="''"/&gt;</v>
      </c>
      <c r="AH59" s="15" t="str">
        <f>IF(F59&lt;&gt;"","&lt;vk kbd="""&amp;F$1&amp;""" vk="""&amp;F59&amp;""""&amp;IF(Scan2VKFlags!D59&lt;&gt;""," flags="""&amp;Scan2VKFlags!D59&amp;"""","")&amp;"/&gt;","")</f>
        <v>&lt;vk kbd="3" vk="''"/&gt;</v>
      </c>
      <c r="AI59" s="15" t="str">
        <f>IF(G59&lt;&gt;"","&lt;vk kbd="""&amp;G$1&amp;""" vk="""&amp;G59&amp;""""&amp;IF(Scan2VKFlags!E59&lt;&gt;""," flags="""&amp;Scan2VKFlags!E59&amp;"""","")&amp;"/&gt;","")</f>
        <v>&lt;vk kbd="4" vk="''"/&gt;</v>
      </c>
      <c r="AJ59" s="15" t="str">
        <f>IF(H59&lt;&gt;"","&lt;vk kbd="""&amp;H$1&amp;""" vk="""&amp;H59&amp;""""&amp;IF(Scan2VKFlags!F59&lt;&gt;""," flags="""&amp;Scan2VKFlags!F59&amp;"""","")&amp;"/&gt;","")</f>
        <v>&lt;vk kbd="5" vk="''"/&gt;</v>
      </c>
      <c r="AK59" s="16" t="str">
        <f>IF(I59&lt;&gt;"","&lt;vk kbd="""&amp;I$1&amp;""" vk="""&amp;I59&amp;""""&amp;IF(Scan2VKFlags!G59&lt;&gt;""," flags="""&amp;Scan2VKFlags!G59&amp;"""","")&amp;"/&gt;","")</f>
        <v>&lt;vk kbd="6" vk="''"/&gt;</v>
      </c>
      <c r="AL59" s="3" t="str">
        <f>IF(K59&lt;&gt;"","&lt;vk kbd="""&amp;K$1&amp;""" vk="""&amp;K59&amp;""""&amp;IF(Scan2VKFlags!H59&lt;&gt;""," flags="""&amp;Scan2VKFlags!H59&amp;"""","")&amp;"/&gt;","")</f>
        <v>&lt;vk kbd="7" vk="''"/&gt;</v>
      </c>
      <c r="AM59" t="str">
        <f>IF(L59&lt;&gt;"","&lt;vk kbd="""&amp;L$1&amp;""" vk="""&amp;L59&amp;""""&amp;IF(Scan2VKFlags!I59&lt;&gt;""," flags="""&amp;Scan2VKFlags!I59&amp;"""","")&amp;"/&gt;","")</f>
        <v>&lt;vk kbd="8" vk="''"/&gt;</v>
      </c>
      <c r="AN59" t="str">
        <f>IF(M59&lt;&gt;"","&lt;vk kbd="""&amp;M$1&amp;""" vk="""&amp;M59&amp;""""&amp;IF(Scan2VKFlags!J59&lt;&gt;""," flags="""&amp;Scan2VKFlags!J59&amp;"""","")&amp;"/&gt;","")</f>
        <v>&lt;vk kbd="16" vk="''"/&gt;</v>
      </c>
      <c r="AO59" t="str">
        <f>IF(N59&lt;&gt;"","&lt;vk kbd="""&amp;N$1&amp;""" vk="""&amp;N59&amp;""""&amp;IF(Scan2VKFlags!K59&lt;&gt;""," flags="""&amp;Scan2VKFlags!K59&amp;"""","")&amp;"/&gt;","")</f>
        <v>&lt;vk kbd="10" vk="''"/&gt;</v>
      </c>
      <c r="AP59" t="str">
        <f>IF(O59&lt;&gt;"","&lt;vk kbd="""&amp;O$1&amp;""" vk="""&amp;O59&amp;""""&amp;IF(Scan2VKFlags!L59&lt;&gt;""," flags="""&amp;Scan2VKFlags!L59&amp;"""","")&amp;"/&gt;","")</f>
        <v>&lt;vk kbd="11" vk="''"/&gt;</v>
      </c>
      <c r="AQ59" t="str">
        <f>IF(P59&lt;&gt;"","&lt;vk kbd="""&amp;P$1&amp;""" vk="""&amp;P59&amp;""""&amp;IF(Scan2VKFlags!M59&lt;&gt;""," flags="""&amp;Scan2VKFlags!M59&amp;"""","")&amp;"/&gt;","")</f>
        <v>&lt;vk kbd="12" vk="''"/&gt;</v>
      </c>
      <c r="AR59" s="16" t="str">
        <f>IF(Q59&lt;&gt;"","&lt;vk kbd="""&amp;Q$1&amp;""" vk="""&amp;Q59&amp;""""&amp;IF(Scan2VKFlags!N59&lt;&gt;""," flags="""&amp;Scan2VKFlags!N59&amp;"""","")&amp;"/&gt;","")</f>
        <v>&lt;vk kbd="13" vk="''"/&gt;</v>
      </c>
      <c r="AS59" s="3" t="str">
        <f>IF(S59&lt;&gt;"","&lt;vk kbd="""&amp;S$1&amp;""" vk="""&amp;S59&amp;""""&amp;IF(Scan2VKFlags!O59&lt;&gt;""," flags="""&amp;Scan2VKFlags!O59&amp;"""","")&amp;"/&gt;","")</f>
        <v>&lt;vk kbd="20" vk="SUBTRACT"/&gt;</v>
      </c>
      <c r="AT59" t="str">
        <f>IF(T59&lt;&gt;"","&lt;vk kbd="""&amp;T$1&amp;""" vk="""&amp;T59&amp;""""&amp;IF(Scan2VKFlags!P59&lt;&gt;""," flags="""&amp;Scan2VKFlags!P59&amp;"""","")&amp;"/&gt;","")</f>
        <v>&lt;vk kbd="21" vk="SUBTRACT"/&gt;</v>
      </c>
      <c r="AU59" s="16" t="str">
        <f>IF(U59&lt;&gt;"","&lt;vk kbd="""&amp;U$1&amp;""" vk="""&amp;U59&amp;""""&amp;IF(Scan2VKFlags!Q59&lt;&gt;""," flags="""&amp;Scan2VKFlags!Q59&amp;"""","")&amp;"/&gt;","")</f>
        <v>&lt;vk kbd="22" vk="''"/&gt;</v>
      </c>
      <c r="AV59" s="3" t="str">
        <f>IF(W59&lt;&gt;"","&lt;vk kbd="""&amp;W$1&amp;""" vk="""&amp;W59&amp;""""&amp;IF(Scan2VKFlags!R59&lt;&gt;""," flags="""&amp;Scan2VKFlags!R59&amp;"""","")&amp;"/&gt;","")</f>
        <v>&lt;vk kbd="30" vk="''"/&gt;</v>
      </c>
      <c r="AW59" s="15" t="str">
        <f>IF(X59&lt;&gt;"","&lt;vk kbd="""&amp;X$1&amp;""" vk="""&amp;X59&amp;""""&amp;IF(Scan2VKFlags!S59&lt;&gt;""," flags="""&amp;Scan2VKFlags!S59&amp;"""","")&amp;"/&gt;","")</f>
        <v>&lt;vk kbd="33" vk="''"/&gt;</v>
      </c>
      <c r="AX59" s="15" t="str">
        <f>IF(Y59&lt;&gt;"","&lt;vk kbd="""&amp;Y$1&amp;""" vk="""&amp;Y59&amp;""""&amp;IF(Scan2VKFlags!T59&lt;&gt;""," flags="""&amp;Scan2VKFlags!T59&amp;"""","")&amp;"/&gt;","")</f>
        <v>&lt;vk kbd="34" vk="''"/&gt;</v>
      </c>
      <c r="AY59" s="18" t="str">
        <f>IF(AA59&lt;&gt;"","&lt;vk kbd="""&amp;AA$1&amp;""" vk="""&amp;AA59&amp;""""&amp;IF(Scan2VKFlags!U59&lt;&gt;""," flags="""&amp;Scan2VKFlags!U59&amp;"""","")&amp;"/&gt;","")</f>
        <v>&lt;vk kbd="37" vk="DELETE"/&gt;</v>
      </c>
      <c r="AZ59" s="3" t="str">
        <f>IF(AC59&lt;&gt;"","&lt;vk kbd="""&amp;AC$1&amp;""" vk="""&amp;AC59&amp;""""&amp;IF(Scan2VKFlags!V59&lt;&gt;""," flags="""&amp;Scan2VKFlags!V59&amp;"""","")&amp;"/&gt;","")</f>
        <v>&lt;vk kbd="40" vk="''"/&gt;</v>
      </c>
      <c r="BA59" s="16" t="str">
        <f>IF(AD59&lt;&gt;"","&lt;vk kbd="""&amp;AD$1&amp;""" vk="""&amp;AD59&amp;""""&amp;IF(Scan2VKFlags!W59&lt;&gt;""," flags="""&amp;Scan2VKFlags!W59&amp;"""","")&amp;"/&gt;","")</f>
        <v>&lt;vk kbd="41" vk="''"/&gt;</v>
      </c>
      <c r="BB59" t="s">
        <v>854</v>
      </c>
    </row>
    <row r="60" spans="1:54" x14ac:dyDescent="0.25">
      <c r="A60">
        <f t="shared" si="7"/>
        <v>58</v>
      </c>
      <c r="B60" t="str">
        <f t="shared" si="4"/>
        <v>T3A</v>
      </c>
      <c r="C60" s="7" t="s">
        <v>58</v>
      </c>
      <c r="D60" s="12" t="str">
        <f>trimtext(SplitText($C60,",",0))</f>
        <v>CAPITAL</v>
      </c>
      <c r="E60" s="12" t="str">
        <f>IF(SplitText($C60,",",COLUMN(E:E)-COLUMN($D:$D))="",$D60,trimtext(SplitText($C60,",",COLUMN(E:E)-COLUMN($D:$D))))</f>
        <v>CAPITAL</v>
      </c>
      <c r="F60" s="12" t="str">
        <f>IF(SplitText($C60,",",COLUMN(F:F)-COLUMN($D:$D))="",$D60,trimtext(SplitText($C60,",",COLUMN(F:F)-COLUMN($D:$D))))</f>
        <v>CAPITAL</v>
      </c>
      <c r="G60" s="12" t="str">
        <f>IF(SplitText($C60,",",COLUMN(G:G)-COLUMN($D:$D))="",$D60,trimtext(SplitText($C60,",",COLUMN(G:G)-COLUMN($D:$D))))</f>
        <v>CAPITAL</v>
      </c>
      <c r="H60" s="12" t="str">
        <f>IF(SplitText($C60,",",COLUMN(H:H)-COLUMN($D:$D))="",$D60,trimtext(SplitText($C60,",",COLUMN(H:H)-COLUMN($D:$D))))</f>
        <v>CAPITAL</v>
      </c>
      <c r="I60" s="12" t="str">
        <f>IF(SplitText($C60,",",COLUMN(I:I)-COLUMN($D:$D))="",$D60,trimtext(SplitText($C60,",",COLUMN(I:I)-COLUMN($D:$D))))</f>
        <v>CAPITAL</v>
      </c>
      <c r="J60" s="9" t="s">
        <v>243</v>
      </c>
      <c r="K60" s="12" t="str">
        <f>trimtext(SplitText($J60,",",0))</f>
        <v>DBE_ALPHANUMERIC</v>
      </c>
      <c r="L60" s="12" t="str">
        <f>IF(SplitText($J60,",",COLUMN(L:L)-COLUMN($K:$K))="",$K60,trimtext(SplitText($J60,",",COLUMN(L:L)-COLUMN($K:$K))))</f>
        <v>DBE_ALPHANUMERIC</v>
      </c>
      <c r="M60" s="12" t="str">
        <f>IF(SplitText($J60,",",COLUMN(M:M)-COLUMN($K:$K))="",$K60,trimtext(SplitText($J60,",",COLUMN(M:M)-COLUMN($K:$K))))</f>
        <v>CAPITAL</v>
      </c>
      <c r="N60" s="12" t="str">
        <f>IF(SplitText($J60,",",COLUMN(N:N)-COLUMN($K:$K))="",$K60,trimtext(SplitText($J60,",",COLUMN(N:N)-COLUMN($K:$K))))</f>
        <v>CAPITAL</v>
      </c>
      <c r="O60" s="12" t="str">
        <f>IF(SplitText($J60,",",COLUMN(O:O)-COLUMN($K:$K))="",$K60,trimtext(SplitText($J60,",",COLUMN(O:O)-COLUMN($K:$K))))</f>
        <v>CAPITAL</v>
      </c>
      <c r="P60" s="12" t="str">
        <f>IF(SplitText($J60,",",COLUMN(P:P)-COLUMN($K:$K))="",$K60,trimtext(SplitText($J60,",",COLUMN(P:P)-COLUMN($K:$K))))</f>
        <v>CAPITAL</v>
      </c>
      <c r="Q60" s="12" t="str">
        <f>IF(SplitText($J60,",",COLUMN(Q:Q)-COLUMN($K:$K))="",$K60,trimtext(SplitText($J60,",",COLUMN(Q:Q)-COLUMN($K:$K))))</f>
        <v>CAPITAL</v>
      </c>
      <c r="R60" s="2" t="s">
        <v>400</v>
      </c>
      <c r="S60" s="12" t="str">
        <f>trimtext(SplitText($R60,",",0))</f>
        <v>NUMPAD7</v>
      </c>
      <c r="T60" s="12" t="str">
        <f>IF(SplitText($R60,",",COLUMN(T:T)-COLUMN($S:$S))="",$S60,trimtext(SplitText($R60,",",COLUMN(T:T)-COLUMN($S:$S))))</f>
        <v>NUMPAD7</v>
      </c>
      <c r="U60" s="12" t="str">
        <f>IF(SplitText($R60,",",COLUMN(U:U)-COLUMN($S:$S))="",$S60,trimtext(SplitText($R60,",",COLUMN(U:U)-COLUMN($S:$S))))</f>
        <v>DBE_ALPHAN</v>
      </c>
      <c r="V60" s="2" t="s">
        <v>564</v>
      </c>
      <c r="W60" s="12" t="str">
        <f>trimtext(SplitText($V60,",",0))</f>
        <v>CAPITAL</v>
      </c>
      <c r="X60" s="12" t="str">
        <f>IF(SplitText($V60,",",COLUMN(X:X)-COLUMN($W:$W))="",$W60,trimtext(SplitText($V60,",",COLUMN(X:X)-COLUMN($W:$W))))</f>
        <v>CAPITAL</v>
      </c>
      <c r="Y60" s="12" t="str">
        <f>IF(SplitText($V60,",",COLUMN(Y:Y)-COLUMN($W:$W))="",$W60,trimtext(SplitText($V60,",",COLUMN(Y:Y)-COLUMN($W:$W))))</f>
        <v>CAPITAL</v>
      </c>
      <c r="Z60" s="2" t="s">
        <v>690</v>
      </c>
      <c r="AA60" s="12" t="str">
        <f t="shared" si="5"/>
        <v>UP</v>
      </c>
      <c r="AB60" s="2" t="s">
        <v>801</v>
      </c>
      <c r="AC60" s="12" t="str">
        <f>trimtext(SplitText($AB60,",",0))</f>
        <v>CAPITAL</v>
      </c>
      <c r="AD60" s="12" t="str">
        <f>IF(SplitText($AB60,",",COLUMN(AD:AD)-COLUMN($AC:$AC))="",$AC60,trimtext(SplitText($AB60,",",COLUMN(AD:AD)-COLUMN($AC:$AC))))</f>
        <v>CAPITAL</v>
      </c>
      <c r="AE60" s="18" t="str">
        <f t="shared" si="6"/>
        <v>&lt;xs:enumeration value="T3A"&gt;&lt;xs:annotation&gt;&lt;xs:documentation&gt;Typically CAPITAL for keyboard type 4, different values for different keyboard types&lt;/xs:documentation&gt;&lt;xs:appinfo&gt;&lt;default-vk&gt;</v>
      </c>
      <c r="AF60" s="15" t="str">
        <f>IF(D60&lt;&gt;"","&lt;vk kbd="""&amp;D$1&amp;""" vk="""&amp;D60&amp;""""&amp;IF(Scan2VKFlags!B60&lt;&gt;""," flags="""&amp;Scan2VKFlags!B60&amp;"""","")&amp;"/&gt;","")</f>
        <v>&lt;vk kbd="1" vk="CAPITAL"/&gt;</v>
      </c>
      <c r="AG60" s="15" t="str">
        <f>IF(E60&lt;&gt;"","&lt;vk kbd="""&amp;E$1&amp;""" vk="""&amp;E60&amp;""""&amp;IF(Scan2VKFlags!C60&lt;&gt;""," flags="""&amp;Scan2VKFlags!C60&amp;"""","")&amp;"/&gt;","")</f>
        <v>&lt;vk kbd="2" vk="CAPITAL"/&gt;</v>
      </c>
      <c r="AH60" s="15" t="str">
        <f>IF(F60&lt;&gt;"","&lt;vk kbd="""&amp;F$1&amp;""" vk="""&amp;F60&amp;""""&amp;IF(Scan2VKFlags!D60&lt;&gt;""," flags="""&amp;Scan2VKFlags!D60&amp;"""","")&amp;"/&gt;","")</f>
        <v>&lt;vk kbd="3" vk="CAPITAL"/&gt;</v>
      </c>
      <c r="AI60" s="15" t="str">
        <f>IF(G60&lt;&gt;"","&lt;vk kbd="""&amp;G$1&amp;""" vk="""&amp;G60&amp;""""&amp;IF(Scan2VKFlags!E60&lt;&gt;""," flags="""&amp;Scan2VKFlags!E60&amp;"""","")&amp;"/&gt;","")</f>
        <v>&lt;vk kbd="4" vk="CAPITAL"/&gt;</v>
      </c>
      <c r="AJ60" s="15" t="str">
        <f>IF(H60&lt;&gt;"","&lt;vk kbd="""&amp;H$1&amp;""" vk="""&amp;H60&amp;""""&amp;IF(Scan2VKFlags!F60&lt;&gt;""," flags="""&amp;Scan2VKFlags!F60&amp;"""","")&amp;"/&gt;","")</f>
        <v>&lt;vk kbd="5" vk="CAPITAL"/&gt;</v>
      </c>
      <c r="AK60" s="16" t="str">
        <f>IF(I60&lt;&gt;"","&lt;vk kbd="""&amp;I$1&amp;""" vk="""&amp;I60&amp;""""&amp;IF(Scan2VKFlags!G60&lt;&gt;""," flags="""&amp;Scan2VKFlags!G60&amp;"""","")&amp;"/&gt;","")</f>
        <v>&lt;vk kbd="6" vk="CAPITAL"/&gt;</v>
      </c>
      <c r="AL60" s="3" t="str">
        <f>IF(K60&lt;&gt;"","&lt;vk kbd="""&amp;K$1&amp;""" vk="""&amp;K60&amp;""""&amp;IF(Scan2VKFlags!H60&lt;&gt;""," flags="""&amp;Scan2VKFlags!H60&amp;"""","")&amp;"/&gt;","")</f>
        <v>&lt;vk kbd="7" vk="DBE_ALPHANUMERIC"/&gt;</v>
      </c>
      <c r="AM60" t="str">
        <f>IF(L60&lt;&gt;"","&lt;vk kbd="""&amp;L$1&amp;""" vk="""&amp;L60&amp;""""&amp;IF(Scan2VKFlags!I60&lt;&gt;""," flags="""&amp;Scan2VKFlags!I60&amp;"""","")&amp;"/&gt;","")</f>
        <v>&lt;vk kbd="8" vk="DBE_ALPHANUMERIC"/&gt;</v>
      </c>
      <c r="AN60" t="str">
        <f>IF(M60&lt;&gt;"","&lt;vk kbd="""&amp;M$1&amp;""" vk="""&amp;M60&amp;""""&amp;IF(Scan2VKFlags!J60&lt;&gt;""," flags="""&amp;Scan2VKFlags!J60&amp;"""","")&amp;"/&gt;","")</f>
        <v>&lt;vk kbd="16" vk="CAPITAL"/&gt;</v>
      </c>
      <c r="AO60" t="str">
        <f>IF(N60&lt;&gt;"","&lt;vk kbd="""&amp;N$1&amp;""" vk="""&amp;N60&amp;""""&amp;IF(Scan2VKFlags!K60&lt;&gt;""," flags="""&amp;Scan2VKFlags!K60&amp;"""","")&amp;"/&gt;","")</f>
        <v>&lt;vk kbd="10" vk="CAPITAL"/&gt;</v>
      </c>
      <c r="AP60" t="str">
        <f>IF(O60&lt;&gt;"","&lt;vk kbd="""&amp;O$1&amp;""" vk="""&amp;O60&amp;""""&amp;IF(Scan2VKFlags!L60&lt;&gt;""," flags="""&amp;Scan2VKFlags!L60&amp;"""","")&amp;"/&gt;","")</f>
        <v>&lt;vk kbd="11" vk="CAPITAL"/&gt;</v>
      </c>
      <c r="AQ60" t="str">
        <f>IF(P60&lt;&gt;"","&lt;vk kbd="""&amp;P$1&amp;""" vk="""&amp;P60&amp;""""&amp;IF(Scan2VKFlags!M60&lt;&gt;""," flags="""&amp;Scan2VKFlags!M60&amp;"""","")&amp;"/&gt;","")</f>
        <v>&lt;vk kbd="12" vk="CAPITAL"/&gt;</v>
      </c>
      <c r="AR60" s="16" t="str">
        <f>IF(Q60&lt;&gt;"","&lt;vk kbd="""&amp;Q$1&amp;""" vk="""&amp;Q60&amp;""""&amp;IF(Scan2VKFlags!N60&lt;&gt;""," flags="""&amp;Scan2VKFlags!N60&amp;"""","")&amp;"/&gt;","")</f>
        <v>&lt;vk kbd="13" vk="CAPITAL"/&gt;</v>
      </c>
      <c r="AS60" s="3" t="str">
        <f>IF(S60&lt;&gt;"","&lt;vk kbd="""&amp;S$1&amp;""" vk="""&amp;S60&amp;""""&amp;IF(Scan2VKFlags!O60&lt;&gt;""," flags="""&amp;Scan2VKFlags!O60&amp;"""","")&amp;"/&gt;","")</f>
        <v>&lt;vk kbd="20" vk="NUMPAD7"/&gt;</v>
      </c>
      <c r="AT60" t="str">
        <f>IF(T60&lt;&gt;"","&lt;vk kbd="""&amp;T$1&amp;""" vk="""&amp;T60&amp;""""&amp;IF(Scan2VKFlags!P60&lt;&gt;""," flags="""&amp;Scan2VKFlags!P60&amp;"""","")&amp;"/&gt;","")</f>
        <v>&lt;vk kbd="21" vk="NUMPAD7"/&gt;</v>
      </c>
      <c r="AU60" s="16" t="str">
        <f>IF(U60&lt;&gt;"","&lt;vk kbd="""&amp;U$1&amp;""" vk="""&amp;U60&amp;""""&amp;IF(Scan2VKFlags!Q60&lt;&gt;""," flags="""&amp;Scan2VKFlags!Q60&amp;"""","")&amp;"/&gt;","")</f>
        <v>&lt;vk kbd="22" vk="DBE_ALPHAN"/&gt;</v>
      </c>
      <c r="AV60" s="3" t="str">
        <f>IF(W60&lt;&gt;"","&lt;vk kbd="""&amp;W$1&amp;""" vk="""&amp;W60&amp;""""&amp;IF(Scan2VKFlags!R60&lt;&gt;""," flags="""&amp;Scan2VKFlags!R60&amp;"""","")&amp;"/&gt;","")</f>
        <v>&lt;vk kbd="30" vk="CAPITAL"/&gt;</v>
      </c>
      <c r="AW60" s="15" t="str">
        <f>IF(X60&lt;&gt;"","&lt;vk kbd="""&amp;X$1&amp;""" vk="""&amp;X60&amp;""""&amp;IF(Scan2VKFlags!S60&lt;&gt;""," flags="""&amp;Scan2VKFlags!S60&amp;"""","")&amp;"/&gt;","")</f>
        <v>&lt;vk kbd="33" vk="CAPITAL"/&gt;</v>
      </c>
      <c r="AX60" s="15" t="str">
        <f>IF(Y60&lt;&gt;"","&lt;vk kbd="""&amp;Y$1&amp;""" vk="""&amp;Y60&amp;""""&amp;IF(Scan2VKFlags!T60&lt;&gt;""," flags="""&amp;Scan2VKFlags!T60&amp;"""","")&amp;"/&gt;","")</f>
        <v>&lt;vk kbd="34" vk="CAPITAL"/&gt;</v>
      </c>
      <c r="AY60" s="18" t="str">
        <f>IF(AA60&lt;&gt;"","&lt;vk kbd="""&amp;AA$1&amp;""" vk="""&amp;AA60&amp;""""&amp;IF(Scan2VKFlags!U60&lt;&gt;""," flags="""&amp;Scan2VKFlags!U60&amp;"""","")&amp;"/&gt;","")</f>
        <v>&lt;vk kbd="37" vk="UP"/&gt;</v>
      </c>
      <c r="AZ60" s="3" t="str">
        <f>IF(AC60&lt;&gt;"","&lt;vk kbd="""&amp;AC$1&amp;""" vk="""&amp;AC60&amp;""""&amp;IF(Scan2VKFlags!V60&lt;&gt;""," flags="""&amp;Scan2VKFlags!V60&amp;"""","")&amp;"/&gt;","")</f>
        <v>&lt;vk kbd="40" vk="CAPITAL"/&gt;</v>
      </c>
      <c r="BA60" s="16" t="str">
        <f>IF(AD60&lt;&gt;"","&lt;vk kbd="""&amp;AD$1&amp;""" vk="""&amp;AD60&amp;""""&amp;IF(Scan2VKFlags!W60&lt;&gt;""," flags="""&amp;Scan2VKFlags!W60&amp;"""","")&amp;"/&gt;","")</f>
        <v>&lt;vk kbd="41" vk="CAPITAL"/&gt;</v>
      </c>
      <c r="BB60" t="s">
        <v>854</v>
      </c>
    </row>
    <row r="61" spans="1:54" x14ac:dyDescent="0.25">
      <c r="A61">
        <f t="shared" si="7"/>
        <v>59</v>
      </c>
      <c r="B61" t="str">
        <f t="shared" si="4"/>
        <v>T3B</v>
      </c>
      <c r="C61" s="7" t="s">
        <v>59</v>
      </c>
      <c r="D61" s="12" t="str">
        <f>trimtext(SplitText($C61,",",0))</f>
        <v>F1</v>
      </c>
      <c r="E61" s="12" t="str">
        <f>IF(SplitText($C61,",",COLUMN(E:E)-COLUMN($D:$D))="",$D61,trimtext(SplitText($C61,",",COLUMN(E:E)-COLUMN($D:$D))))</f>
        <v>F1</v>
      </c>
      <c r="F61" s="12" t="str">
        <f>IF(SplitText($C61,",",COLUMN(F:F)-COLUMN($D:$D))="",$D61,trimtext(SplitText($C61,",",COLUMN(F:F)-COLUMN($D:$D))))</f>
        <v>F1</v>
      </c>
      <c r="G61" s="12" t="str">
        <f>IF(SplitText($C61,",",COLUMN(G:G)-COLUMN($D:$D))="",$D61,trimtext(SplitText($C61,",",COLUMN(G:G)-COLUMN($D:$D))))</f>
        <v>F1</v>
      </c>
      <c r="H61" s="12" t="str">
        <f>IF(SplitText($C61,",",COLUMN(H:H)-COLUMN($D:$D))="",$D61,trimtext(SplitText($C61,",",COLUMN(H:H)-COLUMN($D:$D))))</f>
        <v>F1</v>
      </c>
      <c r="I61" s="12" t="str">
        <f>IF(SplitText($C61,",",COLUMN(I:I)-COLUMN($D:$D))="",$D61,trimtext(SplitText($C61,",",COLUMN(I:I)-COLUMN($D:$D))))</f>
        <v>F1</v>
      </c>
      <c r="J61" s="9" t="s">
        <v>244</v>
      </c>
      <c r="K61" s="12" t="str">
        <f>trimtext(SplitText($J61,",",0))</f>
        <v>F1</v>
      </c>
      <c r="L61" s="12" t="str">
        <f>IF(SplitText($J61,",",COLUMN(L:L)-COLUMN($K:$K))="",$K61,trimtext(SplitText($J61,",",COLUMN(L:L)-COLUMN($K:$K))))</f>
        <v>F1</v>
      </c>
      <c r="M61" s="12" t="str">
        <f>IF(SplitText($J61,",",COLUMN(M:M)-COLUMN($K:$K))="",$K61,trimtext(SplitText($J61,",",COLUMN(M:M)-COLUMN($K:$K))))</f>
        <v>F1</v>
      </c>
      <c r="N61" s="12" t="str">
        <f>IF(SplitText($J61,",",COLUMN(N:N)-COLUMN($K:$K))="",$K61,trimtext(SplitText($J61,",",COLUMN(N:N)-COLUMN($K:$K))))</f>
        <v>F1</v>
      </c>
      <c r="O61" s="12" t="str">
        <f>IF(SplitText($J61,",",COLUMN(O:O)-COLUMN($K:$K))="",$K61,trimtext(SplitText($J61,",",COLUMN(O:O)-COLUMN($K:$K))))</f>
        <v>F1</v>
      </c>
      <c r="P61" s="12" t="str">
        <f>IF(SplitText($J61,",",COLUMN(P:P)-COLUMN($K:$K))="",$K61,trimtext(SplitText($J61,",",COLUMN(P:P)-COLUMN($K:$K))))</f>
        <v>F1</v>
      </c>
      <c r="Q61" s="12" t="str">
        <f>IF(SplitText($J61,",",COLUMN(Q:Q)-COLUMN($K:$K))="",$K61,trimtext(SplitText($J61,",",COLUMN(Q:Q)-COLUMN($K:$K))))</f>
        <v>F1</v>
      </c>
      <c r="R61" s="2" t="s">
        <v>401</v>
      </c>
      <c r="S61" s="12" t="str">
        <f>trimtext(SplitText($R61,",",0))</f>
        <v>NUMPAD8</v>
      </c>
      <c r="T61" s="12" t="str">
        <f>IF(SplitText($R61,",",COLUMN(T:T)-COLUMN($S:$S))="",$S61,trimtext(SplitText($R61,",",COLUMN(T:T)-COLUMN($S:$S))))</f>
        <v>NUMPAD8</v>
      </c>
      <c r="U61" s="12" t="str">
        <f>IF(SplitText($R61,",",COLUMN(U:U)-COLUMN($S:$S))="",$S61,trimtext(SplitText($R61,",",COLUMN(U:U)-COLUMN($S:$S))))</f>
        <v>F1</v>
      </c>
      <c r="V61" s="2" t="s">
        <v>565</v>
      </c>
      <c r="W61" s="12" t="str">
        <f>trimtext(SplitText($V61,",",0))</f>
        <v>F1</v>
      </c>
      <c r="X61" s="12" t="str">
        <f>IF(SplitText($V61,",",COLUMN(X:X)-COLUMN($W:$W))="",$W61,trimtext(SplitText($V61,",",COLUMN(X:X)-COLUMN($W:$W))))</f>
        <v>F1</v>
      </c>
      <c r="Y61" s="12" t="str">
        <f>IF(SplitText($V61,",",COLUMN(Y:Y)-COLUMN($W:$W))="",$W61,trimtext(SplitText($V61,",",COLUMN(Y:Y)-COLUMN($W:$W))))</f>
        <v>F1</v>
      </c>
      <c r="Z61" s="2" t="s">
        <v>691</v>
      </c>
      <c r="AA61" s="12" t="str">
        <f t="shared" si="5"/>
        <v>LEFT</v>
      </c>
      <c r="AB61" s="2" t="s">
        <v>802</v>
      </c>
      <c r="AC61" s="12" t="str">
        <f>trimtext(SplitText($AB61,",",0))</f>
        <v>F1</v>
      </c>
      <c r="AD61" s="12" t="str">
        <f>IF(SplitText($AB61,",",COLUMN(AD:AD)-COLUMN($AC:$AC))="",$AC61,trimtext(SplitText($AB61,",",COLUMN(AD:AD)-COLUMN($AC:$AC))))</f>
        <v>F1</v>
      </c>
      <c r="AE61" s="18" t="str">
        <f t="shared" si="6"/>
        <v>&lt;xs:enumeration value="T3B"&gt;&lt;xs:annotation&gt;&lt;xs:documentation&gt;Typically F1 for keyboard type 4, different values for different keyboard types&lt;/xs:documentation&gt;&lt;xs:appinfo&gt;&lt;default-vk&gt;</v>
      </c>
      <c r="AF61" s="15" t="str">
        <f>IF(D61&lt;&gt;"","&lt;vk kbd="""&amp;D$1&amp;""" vk="""&amp;D61&amp;""""&amp;IF(Scan2VKFlags!B61&lt;&gt;""," flags="""&amp;Scan2VKFlags!B61&amp;"""","")&amp;"/&gt;","")</f>
        <v>&lt;vk kbd="1" vk="F1"/&gt;</v>
      </c>
      <c r="AG61" s="15" t="str">
        <f>IF(E61&lt;&gt;"","&lt;vk kbd="""&amp;E$1&amp;""" vk="""&amp;E61&amp;""""&amp;IF(Scan2VKFlags!C61&lt;&gt;""," flags="""&amp;Scan2VKFlags!C61&amp;"""","")&amp;"/&gt;","")</f>
        <v>&lt;vk kbd="2" vk="F1"/&gt;</v>
      </c>
      <c r="AH61" s="15" t="str">
        <f>IF(F61&lt;&gt;"","&lt;vk kbd="""&amp;F$1&amp;""" vk="""&amp;F61&amp;""""&amp;IF(Scan2VKFlags!D61&lt;&gt;""," flags="""&amp;Scan2VKFlags!D61&amp;"""","")&amp;"/&gt;","")</f>
        <v>&lt;vk kbd="3" vk="F1"/&gt;</v>
      </c>
      <c r="AI61" s="15" t="str">
        <f>IF(G61&lt;&gt;"","&lt;vk kbd="""&amp;G$1&amp;""" vk="""&amp;G61&amp;""""&amp;IF(Scan2VKFlags!E61&lt;&gt;""," flags="""&amp;Scan2VKFlags!E61&amp;"""","")&amp;"/&gt;","")</f>
        <v>&lt;vk kbd="4" vk="F1"/&gt;</v>
      </c>
      <c r="AJ61" s="15" t="str">
        <f>IF(H61&lt;&gt;"","&lt;vk kbd="""&amp;H$1&amp;""" vk="""&amp;H61&amp;""""&amp;IF(Scan2VKFlags!F61&lt;&gt;""," flags="""&amp;Scan2VKFlags!F61&amp;"""","")&amp;"/&gt;","")</f>
        <v>&lt;vk kbd="5" vk="F1"/&gt;</v>
      </c>
      <c r="AK61" s="16" t="str">
        <f>IF(I61&lt;&gt;"","&lt;vk kbd="""&amp;I$1&amp;""" vk="""&amp;I61&amp;""""&amp;IF(Scan2VKFlags!G61&lt;&gt;""," flags="""&amp;Scan2VKFlags!G61&amp;"""","")&amp;"/&gt;","")</f>
        <v>&lt;vk kbd="6" vk="F1"/&gt;</v>
      </c>
      <c r="AL61" s="3" t="str">
        <f>IF(K61&lt;&gt;"","&lt;vk kbd="""&amp;K$1&amp;""" vk="""&amp;K61&amp;""""&amp;IF(Scan2VKFlags!H61&lt;&gt;""," flags="""&amp;Scan2VKFlags!H61&amp;"""","")&amp;"/&gt;","")</f>
        <v>&lt;vk kbd="7" vk="F1"/&gt;</v>
      </c>
      <c r="AM61" t="str">
        <f>IF(L61&lt;&gt;"","&lt;vk kbd="""&amp;L$1&amp;""" vk="""&amp;L61&amp;""""&amp;IF(Scan2VKFlags!I61&lt;&gt;""," flags="""&amp;Scan2VKFlags!I61&amp;"""","")&amp;"/&gt;","")</f>
        <v>&lt;vk kbd="8" vk="F1"/&gt;</v>
      </c>
      <c r="AN61" t="str">
        <f>IF(M61&lt;&gt;"","&lt;vk kbd="""&amp;M$1&amp;""" vk="""&amp;M61&amp;""""&amp;IF(Scan2VKFlags!J61&lt;&gt;""," flags="""&amp;Scan2VKFlags!J61&amp;"""","")&amp;"/&gt;","")</f>
        <v>&lt;vk kbd="16" vk="F1"/&gt;</v>
      </c>
      <c r="AO61" t="str">
        <f>IF(N61&lt;&gt;"","&lt;vk kbd="""&amp;N$1&amp;""" vk="""&amp;N61&amp;""""&amp;IF(Scan2VKFlags!K61&lt;&gt;""," flags="""&amp;Scan2VKFlags!K61&amp;"""","")&amp;"/&gt;","")</f>
        <v>&lt;vk kbd="10" vk="F1"/&gt;</v>
      </c>
      <c r="AP61" t="str">
        <f>IF(O61&lt;&gt;"","&lt;vk kbd="""&amp;O$1&amp;""" vk="""&amp;O61&amp;""""&amp;IF(Scan2VKFlags!L61&lt;&gt;""," flags="""&amp;Scan2VKFlags!L61&amp;"""","")&amp;"/&gt;","")</f>
        <v>&lt;vk kbd="11" vk="F1"/&gt;</v>
      </c>
      <c r="AQ61" t="str">
        <f>IF(P61&lt;&gt;"","&lt;vk kbd="""&amp;P$1&amp;""" vk="""&amp;P61&amp;""""&amp;IF(Scan2VKFlags!M61&lt;&gt;""," flags="""&amp;Scan2VKFlags!M61&amp;"""","")&amp;"/&gt;","")</f>
        <v>&lt;vk kbd="12" vk="F1"/&gt;</v>
      </c>
      <c r="AR61" s="16" t="str">
        <f>IF(Q61&lt;&gt;"","&lt;vk kbd="""&amp;Q$1&amp;""" vk="""&amp;Q61&amp;""""&amp;IF(Scan2VKFlags!N61&lt;&gt;""," flags="""&amp;Scan2VKFlags!N61&amp;"""","")&amp;"/&gt;","")</f>
        <v>&lt;vk kbd="13" vk="F1"/&gt;</v>
      </c>
      <c r="AS61" s="3" t="str">
        <f>IF(S61&lt;&gt;"","&lt;vk kbd="""&amp;S$1&amp;""" vk="""&amp;S61&amp;""""&amp;IF(Scan2VKFlags!O61&lt;&gt;""," flags="""&amp;Scan2VKFlags!O61&amp;"""","")&amp;"/&gt;","")</f>
        <v>&lt;vk kbd="20" vk="NUMPAD8"/&gt;</v>
      </c>
      <c r="AT61" t="str">
        <f>IF(T61&lt;&gt;"","&lt;vk kbd="""&amp;T$1&amp;""" vk="""&amp;T61&amp;""""&amp;IF(Scan2VKFlags!P61&lt;&gt;""," flags="""&amp;Scan2VKFlags!P61&amp;"""","")&amp;"/&gt;","")</f>
        <v>&lt;vk kbd="21" vk="NUMPAD8"/&gt;</v>
      </c>
      <c r="AU61" s="16" t="str">
        <f>IF(U61&lt;&gt;"","&lt;vk kbd="""&amp;U$1&amp;""" vk="""&amp;U61&amp;""""&amp;IF(Scan2VKFlags!Q61&lt;&gt;""," flags="""&amp;Scan2VKFlags!Q61&amp;"""","")&amp;"/&gt;","")</f>
        <v>&lt;vk kbd="22" vk="F1"/&gt;</v>
      </c>
      <c r="AV61" s="3" t="str">
        <f>IF(W61&lt;&gt;"","&lt;vk kbd="""&amp;W$1&amp;""" vk="""&amp;W61&amp;""""&amp;IF(Scan2VKFlags!R61&lt;&gt;""," flags="""&amp;Scan2VKFlags!R61&amp;"""","")&amp;"/&gt;","")</f>
        <v>&lt;vk kbd="30" vk="F1"/&gt;</v>
      </c>
      <c r="AW61" s="15" t="str">
        <f>IF(X61&lt;&gt;"","&lt;vk kbd="""&amp;X$1&amp;""" vk="""&amp;X61&amp;""""&amp;IF(Scan2VKFlags!S61&lt;&gt;""," flags="""&amp;Scan2VKFlags!S61&amp;"""","")&amp;"/&gt;","")</f>
        <v>&lt;vk kbd="33" vk="F1"/&gt;</v>
      </c>
      <c r="AX61" s="15" t="str">
        <f>IF(Y61&lt;&gt;"","&lt;vk kbd="""&amp;Y$1&amp;""" vk="""&amp;Y61&amp;""""&amp;IF(Scan2VKFlags!T61&lt;&gt;""," flags="""&amp;Scan2VKFlags!T61&amp;"""","")&amp;"/&gt;","")</f>
        <v>&lt;vk kbd="34" vk="F1"/&gt;</v>
      </c>
      <c r="AY61" s="18" t="str">
        <f>IF(AA61&lt;&gt;"","&lt;vk kbd="""&amp;AA$1&amp;""" vk="""&amp;AA61&amp;""""&amp;IF(Scan2VKFlags!U61&lt;&gt;""," flags="""&amp;Scan2VKFlags!U61&amp;"""","")&amp;"/&gt;","")</f>
        <v>&lt;vk kbd="37" vk="LEFT"/&gt;</v>
      </c>
      <c r="AZ61" s="3" t="str">
        <f>IF(AC61&lt;&gt;"","&lt;vk kbd="""&amp;AC$1&amp;""" vk="""&amp;AC61&amp;""""&amp;IF(Scan2VKFlags!V61&lt;&gt;""," flags="""&amp;Scan2VKFlags!V61&amp;"""","")&amp;"/&gt;","")</f>
        <v>&lt;vk kbd="40" vk="F1"/&gt;</v>
      </c>
      <c r="BA61" s="16" t="str">
        <f>IF(AD61&lt;&gt;"","&lt;vk kbd="""&amp;AD$1&amp;""" vk="""&amp;AD61&amp;""""&amp;IF(Scan2VKFlags!W61&lt;&gt;""," flags="""&amp;Scan2VKFlags!W61&amp;"""","")&amp;"/&gt;","")</f>
        <v>&lt;vk kbd="41" vk="F1"/&gt;</v>
      </c>
      <c r="BB61" t="s">
        <v>854</v>
      </c>
    </row>
    <row r="62" spans="1:54" x14ac:dyDescent="0.25">
      <c r="A62">
        <f t="shared" si="7"/>
        <v>60</v>
      </c>
      <c r="B62" t="str">
        <f t="shared" si="4"/>
        <v>T3C</v>
      </c>
      <c r="C62" s="7" t="s">
        <v>60</v>
      </c>
      <c r="D62" s="12" t="str">
        <f>trimtext(SplitText($C62,",",0))</f>
        <v>F2</v>
      </c>
      <c r="E62" s="12" t="str">
        <f>IF(SplitText($C62,",",COLUMN(E:E)-COLUMN($D:$D))="",$D62,trimtext(SplitText($C62,",",COLUMN(E:E)-COLUMN($D:$D))))</f>
        <v>F2</v>
      </c>
      <c r="F62" s="12" t="str">
        <f>IF(SplitText($C62,",",COLUMN(F:F)-COLUMN($D:$D))="",$D62,trimtext(SplitText($C62,",",COLUMN(F:F)-COLUMN($D:$D))))</f>
        <v>F2</v>
      </c>
      <c r="G62" s="12" t="str">
        <f>IF(SplitText($C62,",",COLUMN(G:G)-COLUMN($D:$D))="",$D62,trimtext(SplitText($C62,",",COLUMN(G:G)-COLUMN($D:$D))))</f>
        <v>F2</v>
      </c>
      <c r="H62" s="12" t="str">
        <f>IF(SplitText($C62,",",COLUMN(H:H)-COLUMN($D:$D))="",$D62,trimtext(SplitText($C62,",",COLUMN(H:H)-COLUMN($D:$D))))</f>
        <v>F2</v>
      </c>
      <c r="I62" s="12" t="str">
        <f>IF(SplitText($C62,",",COLUMN(I:I)-COLUMN($D:$D))="",$D62,trimtext(SplitText($C62,",",COLUMN(I:I)-COLUMN($D:$D))))</f>
        <v>F2</v>
      </c>
      <c r="J62" s="9" t="s">
        <v>245</v>
      </c>
      <c r="K62" s="12" t="str">
        <f>trimtext(SplitText($J62,",",0))</f>
        <v>F2</v>
      </c>
      <c r="L62" s="12" t="str">
        <f>IF(SplitText($J62,",",COLUMN(L:L)-COLUMN($K:$K))="",$K62,trimtext(SplitText($J62,",",COLUMN(L:L)-COLUMN($K:$K))))</f>
        <v>F2</v>
      </c>
      <c r="M62" s="12" t="str">
        <f>IF(SplitText($J62,",",COLUMN(M:M)-COLUMN($K:$K))="",$K62,trimtext(SplitText($J62,",",COLUMN(M:M)-COLUMN($K:$K))))</f>
        <v>F2</v>
      </c>
      <c r="N62" s="12" t="str">
        <f>IF(SplitText($J62,",",COLUMN(N:N)-COLUMN($K:$K))="",$K62,trimtext(SplitText($J62,",",COLUMN(N:N)-COLUMN($K:$K))))</f>
        <v>F2</v>
      </c>
      <c r="O62" s="12" t="str">
        <f>IF(SplitText($J62,",",COLUMN(O:O)-COLUMN($K:$K))="",$K62,trimtext(SplitText($J62,",",COLUMN(O:O)-COLUMN($K:$K))))</f>
        <v>F2</v>
      </c>
      <c r="P62" s="12" t="str">
        <f>IF(SplitText($J62,",",COLUMN(P:P)-COLUMN($K:$K))="",$K62,trimtext(SplitText($J62,",",COLUMN(P:P)-COLUMN($K:$K))))</f>
        <v>F2</v>
      </c>
      <c r="Q62" s="12" t="str">
        <f>IF(SplitText($J62,",",COLUMN(Q:Q)-COLUMN($K:$K))="",$K62,trimtext(SplitText($J62,",",COLUMN(Q:Q)-COLUMN($K:$K))))</f>
        <v>F2</v>
      </c>
      <c r="R62" s="2" t="s">
        <v>402</v>
      </c>
      <c r="S62" s="12" t="str">
        <f>trimtext(SplitText($R62,",",0))</f>
        <v>NUMPAD9</v>
      </c>
      <c r="T62" s="12" t="str">
        <f>IF(SplitText($R62,",",COLUMN(T:T)-COLUMN($S:$S))="",$S62,trimtext(SplitText($R62,",",COLUMN(T:T)-COLUMN($S:$S))))</f>
        <v>NUMPAD9</v>
      </c>
      <c r="U62" s="12" t="str">
        <f>IF(SplitText($R62,",",COLUMN(U:U)-COLUMN($S:$S))="",$S62,trimtext(SplitText($R62,",",COLUMN(U:U)-COLUMN($S:$S))))</f>
        <v>F2</v>
      </c>
      <c r="V62" s="2" t="s">
        <v>566</v>
      </c>
      <c r="W62" s="12" t="str">
        <f>trimtext(SplitText($V62,",",0))</f>
        <v>F2</v>
      </c>
      <c r="X62" s="12" t="str">
        <f>IF(SplitText($V62,",",COLUMN(X:X)-COLUMN($W:$W))="",$W62,trimtext(SplitText($V62,",",COLUMN(X:X)-COLUMN($W:$W))))</f>
        <v>F2</v>
      </c>
      <c r="Y62" s="12" t="str">
        <f>IF(SplitText($V62,",",COLUMN(Y:Y)-COLUMN($W:$W))="",$W62,trimtext(SplitText($V62,",",COLUMN(Y:Y)-COLUMN($W:$W))))</f>
        <v>F2</v>
      </c>
      <c r="Z62" s="2" t="s">
        <v>692</v>
      </c>
      <c r="AA62" s="12" t="str">
        <f t="shared" si="5"/>
        <v>RIGHT</v>
      </c>
      <c r="AB62" s="2" t="s">
        <v>803</v>
      </c>
      <c r="AC62" s="12" t="str">
        <f>trimtext(SplitText($AB62,",",0))</f>
        <v>F2</v>
      </c>
      <c r="AD62" s="12" t="str">
        <f>IF(SplitText($AB62,",",COLUMN(AD:AD)-COLUMN($AC:$AC))="",$AC62,trimtext(SplitText($AB62,",",COLUMN(AD:AD)-COLUMN($AC:$AC))))</f>
        <v>F2</v>
      </c>
      <c r="AE62" s="18" t="str">
        <f t="shared" si="6"/>
        <v>&lt;xs:enumeration value="T3C"&gt;&lt;xs:annotation&gt;&lt;xs:documentation&gt;Typically F2 for keyboard type 4, different values for different keyboard types&lt;/xs:documentation&gt;&lt;xs:appinfo&gt;&lt;default-vk&gt;</v>
      </c>
      <c r="AF62" s="15" t="str">
        <f>IF(D62&lt;&gt;"","&lt;vk kbd="""&amp;D$1&amp;""" vk="""&amp;D62&amp;""""&amp;IF(Scan2VKFlags!B62&lt;&gt;""," flags="""&amp;Scan2VKFlags!B62&amp;"""","")&amp;"/&gt;","")</f>
        <v>&lt;vk kbd="1" vk="F2"/&gt;</v>
      </c>
      <c r="AG62" s="15" t="str">
        <f>IF(E62&lt;&gt;"","&lt;vk kbd="""&amp;E$1&amp;""" vk="""&amp;E62&amp;""""&amp;IF(Scan2VKFlags!C62&lt;&gt;""," flags="""&amp;Scan2VKFlags!C62&amp;"""","")&amp;"/&gt;","")</f>
        <v>&lt;vk kbd="2" vk="F2"/&gt;</v>
      </c>
      <c r="AH62" s="15" t="str">
        <f>IF(F62&lt;&gt;"","&lt;vk kbd="""&amp;F$1&amp;""" vk="""&amp;F62&amp;""""&amp;IF(Scan2VKFlags!D62&lt;&gt;""," flags="""&amp;Scan2VKFlags!D62&amp;"""","")&amp;"/&gt;","")</f>
        <v>&lt;vk kbd="3" vk="F2"/&gt;</v>
      </c>
      <c r="AI62" s="15" t="str">
        <f>IF(G62&lt;&gt;"","&lt;vk kbd="""&amp;G$1&amp;""" vk="""&amp;G62&amp;""""&amp;IF(Scan2VKFlags!E62&lt;&gt;""," flags="""&amp;Scan2VKFlags!E62&amp;"""","")&amp;"/&gt;","")</f>
        <v>&lt;vk kbd="4" vk="F2"/&gt;</v>
      </c>
      <c r="AJ62" s="15" t="str">
        <f>IF(H62&lt;&gt;"","&lt;vk kbd="""&amp;H$1&amp;""" vk="""&amp;H62&amp;""""&amp;IF(Scan2VKFlags!F62&lt;&gt;""," flags="""&amp;Scan2VKFlags!F62&amp;"""","")&amp;"/&gt;","")</f>
        <v>&lt;vk kbd="5" vk="F2"/&gt;</v>
      </c>
      <c r="AK62" s="16" t="str">
        <f>IF(I62&lt;&gt;"","&lt;vk kbd="""&amp;I$1&amp;""" vk="""&amp;I62&amp;""""&amp;IF(Scan2VKFlags!G62&lt;&gt;""," flags="""&amp;Scan2VKFlags!G62&amp;"""","")&amp;"/&gt;","")</f>
        <v>&lt;vk kbd="6" vk="F2"/&gt;</v>
      </c>
      <c r="AL62" s="3" t="str">
        <f>IF(K62&lt;&gt;"","&lt;vk kbd="""&amp;K$1&amp;""" vk="""&amp;K62&amp;""""&amp;IF(Scan2VKFlags!H62&lt;&gt;""," flags="""&amp;Scan2VKFlags!H62&amp;"""","")&amp;"/&gt;","")</f>
        <v>&lt;vk kbd="7" vk="F2"/&gt;</v>
      </c>
      <c r="AM62" t="str">
        <f>IF(L62&lt;&gt;"","&lt;vk kbd="""&amp;L$1&amp;""" vk="""&amp;L62&amp;""""&amp;IF(Scan2VKFlags!I62&lt;&gt;""," flags="""&amp;Scan2VKFlags!I62&amp;"""","")&amp;"/&gt;","")</f>
        <v>&lt;vk kbd="8" vk="F2"/&gt;</v>
      </c>
      <c r="AN62" t="str">
        <f>IF(M62&lt;&gt;"","&lt;vk kbd="""&amp;M$1&amp;""" vk="""&amp;M62&amp;""""&amp;IF(Scan2VKFlags!J62&lt;&gt;""," flags="""&amp;Scan2VKFlags!J62&amp;"""","")&amp;"/&gt;","")</f>
        <v>&lt;vk kbd="16" vk="F2"/&gt;</v>
      </c>
      <c r="AO62" t="str">
        <f>IF(N62&lt;&gt;"","&lt;vk kbd="""&amp;N$1&amp;""" vk="""&amp;N62&amp;""""&amp;IF(Scan2VKFlags!K62&lt;&gt;""," flags="""&amp;Scan2VKFlags!K62&amp;"""","")&amp;"/&gt;","")</f>
        <v>&lt;vk kbd="10" vk="F2"/&gt;</v>
      </c>
      <c r="AP62" t="str">
        <f>IF(O62&lt;&gt;"","&lt;vk kbd="""&amp;O$1&amp;""" vk="""&amp;O62&amp;""""&amp;IF(Scan2VKFlags!L62&lt;&gt;""," flags="""&amp;Scan2VKFlags!L62&amp;"""","")&amp;"/&gt;","")</f>
        <v>&lt;vk kbd="11" vk="F2"/&gt;</v>
      </c>
      <c r="AQ62" t="str">
        <f>IF(P62&lt;&gt;"","&lt;vk kbd="""&amp;P$1&amp;""" vk="""&amp;P62&amp;""""&amp;IF(Scan2VKFlags!M62&lt;&gt;""," flags="""&amp;Scan2VKFlags!M62&amp;"""","")&amp;"/&gt;","")</f>
        <v>&lt;vk kbd="12" vk="F2"/&gt;</v>
      </c>
      <c r="AR62" s="16" t="str">
        <f>IF(Q62&lt;&gt;"","&lt;vk kbd="""&amp;Q$1&amp;""" vk="""&amp;Q62&amp;""""&amp;IF(Scan2VKFlags!N62&lt;&gt;""," flags="""&amp;Scan2VKFlags!N62&amp;"""","")&amp;"/&gt;","")</f>
        <v>&lt;vk kbd="13" vk="F2"/&gt;</v>
      </c>
      <c r="AS62" s="3" t="str">
        <f>IF(S62&lt;&gt;"","&lt;vk kbd="""&amp;S$1&amp;""" vk="""&amp;S62&amp;""""&amp;IF(Scan2VKFlags!O62&lt;&gt;""," flags="""&amp;Scan2VKFlags!O62&amp;"""","")&amp;"/&gt;","")</f>
        <v>&lt;vk kbd="20" vk="NUMPAD9"/&gt;</v>
      </c>
      <c r="AT62" t="str">
        <f>IF(T62&lt;&gt;"","&lt;vk kbd="""&amp;T$1&amp;""" vk="""&amp;T62&amp;""""&amp;IF(Scan2VKFlags!P62&lt;&gt;""," flags="""&amp;Scan2VKFlags!P62&amp;"""","")&amp;"/&gt;","")</f>
        <v>&lt;vk kbd="21" vk="NUMPAD9"/&gt;</v>
      </c>
      <c r="AU62" s="16" t="str">
        <f>IF(U62&lt;&gt;"","&lt;vk kbd="""&amp;U$1&amp;""" vk="""&amp;U62&amp;""""&amp;IF(Scan2VKFlags!Q62&lt;&gt;""," flags="""&amp;Scan2VKFlags!Q62&amp;"""","")&amp;"/&gt;","")</f>
        <v>&lt;vk kbd="22" vk="F2"/&gt;</v>
      </c>
      <c r="AV62" s="3" t="str">
        <f>IF(W62&lt;&gt;"","&lt;vk kbd="""&amp;W$1&amp;""" vk="""&amp;W62&amp;""""&amp;IF(Scan2VKFlags!R62&lt;&gt;""," flags="""&amp;Scan2VKFlags!R62&amp;"""","")&amp;"/&gt;","")</f>
        <v>&lt;vk kbd="30" vk="F2"/&gt;</v>
      </c>
      <c r="AW62" s="15" t="str">
        <f>IF(X62&lt;&gt;"","&lt;vk kbd="""&amp;X$1&amp;""" vk="""&amp;X62&amp;""""&amp;IF(Scan2VKFlags!S62&lt;&gt;""," flags="""&amp;Scan2VKFlags!S62&amp;"""","")&amp;"/&gt;","")</f>
        <v>&lt;vk kbd="33" vk="F2"/&gt;</v>
      </c>
      <c r="AX62" s="15" t="str">
        <f>IF(Y62&lt;&gt;"","&lt;vk kbd="""&amp;Y$1&amp;""" vk="""&amp;Y62&amp;""""&amp;IF(Scan2VKFlags!T62&lt;&gt;""," flags="""&amp;Scan2VKFlags!T62&amp;"""","")&amp;"/&gt;","")</f>
        <v>&lt;vk kbd="34" vk="F2"/&gt;</v>
      </c>
      <c r="AY62" s="18" t="str">
        <f>IF(AA62&lt;&gt;"","&lt;vk kbd="""&amp;AA$1&amp;""" vk="""&amp;AA62&amp;""""&amp;IF(Scan2VKFlags!U62&lt;&gt;""," flags="""&amp;Scan2VKFlags!U62&amp;"""","")&amp;"/&gt;","")</f>
        <v>&lt;vk kbd="37" vk="RIGHT"/&gt;</v>
      </c>
      <c r="AZ62" s="3" t="str">
        <f>IF(AC62&lt;&gt;"","&lt;vk kbd="""&amp;AC$1&amp;""" vk="""&amp;AC62&amp;""""&amp;IF(Scan2VKFlags!V62&lt;&gt;""," flags="""&amp;Scan2VKFlags!V62&amp;"""","")&amp;"/&gt;","")</f>
        <v>&lt;vk kbd="40" vk="F2"/&gt;</v>
      </c>
      <c r="BA62" s="16" t="str">
        <f>IF(AD62&lt;&gt;"","&lt;vk kbd="""&amp;AD$1&amp;""" vk="""&amp;AD62&amp;""""&amp;IF(Scan2VKFlags!W62&lt;&gt;""," flags="""&amp;Scan2VKFlags!W62&amp;"""","")&amp;"/&gt;","")</f>
        <v>&lt;vk kbd="41" vk="F2"/&gt;</v>
      </c>
      <c r="BB62" t="s">
        <v>854</v>
      </c>
    </row>
    <row r="63" spans="1:54" x14ac:dyDescent="0.25">
      <c r="A63">
        <f t="shared" si="7"/>
        <v>61</v>
      </c>
      <c r="B63" t="str">
        <f t="shared" si="4"/>
        <v>T3D</v>
      </c>
      <c r="C63" s="7" t="s">
        <v>61</v>
      </c>
      <c r="D63" s="12" t="str">
        <f>trimtext(SplitText($C63,",",0))</f>
        <v>F3</v>
      </c>
      <c r="E63" s="12" t="str">
        <f>IF(SplitText($C63,",",COLUMN(E:E)-COLUMN($D:$D))="",$D63,trimtext(SplitText($C63,",",COLUMN(E:E)-COLUMN($D:$D))))</f>
        <v>F3</v>
      </c>
      <c r="F63" s="12" t="str">
        <f>IF(SplitText($C63,",",COLUMN(F:F)-COLUMN($D:$D))="",$D63,trimtext(SplitText($C63,",",COLUMN(F:F)-COLUMN($D:$D))))</f>
        <v>F3</v>
      </c>
      <c r="G63" s="12" t="str">
        <f>IF(SplitText($C63,",",COLUMN(G:G)-COLUMN($D:$D))="",$D63,trimtext(SplitText($C63,",",COLUMN(G:G)-COLUMN($D:$D))))</f>
        <v>F3</v>
      </c>
      <c r="H63" s="12" t="str">
        <f>IF(SplitText($C63,",",COLUMN(H:H)-COLUMN($D:$D))="",$D63,trimtext(SplitText($C63,",",COLUMN(H:H)-COLUMN($D:$D))))</f>
        <v>F3</v>
      </c>
      <c r="I63" s="12" t="str">
        <f>IF(SplitText($C63,",",COLUMN(I:I)-COLUMN($D:$D))="",$D63,trimtext(SplitText($C63,",",COLUMN(I:I)-COLUMN($D:$D))))</f>
        <v>F3</v>
      </c>
      <c r="J63" s="9" t="s">
        <v>246</v>
      </c>
      <c r="K63" s="12" t="str">
        <f>trimtext(SplitText($J63,",",0))</f>
        <v>F3</v>
      </c>
      <c r="L63" s="12" t="str">
        <f>IF(SplitText($J63,",",COLUMN(L:L)-COLUMN($K:$K))="",$K63,trimtext(SplitText($J63,",",COLUMN(L:L)-COLUMN($K:$K))))</f>
        <v>F3</v>
      </c>
      <c r="M63" s="12" t="str">
        <f>IF(SplitText($J63,",",COLUMN(M:M)-COLUMN($K:$K))="",$K63,trimtext(SplitText($J63,",",COLUMN(M:M)-COLUMN($K:$K))))</f>
        <v>F3</v>
      </c>
      <c r="N63" s="12" t="str">
        <f>IF(SplitText($J63,",",COLUMN(N:N)-COLUMN($K:$K))="",$K63,trimtext(SplitText($J63,",",COLUMN(N:N)-COLUMN($K:$K))))</f>
        <v>F3</v>
      </c>
      <c r="O63" s="12" t="str">
        <f>IF(SplitText($J63,",",COLUMN(O:O)-COLUMN($K:$K))="",$K63,trimtext(SplitText($J63,",",COLUMN(O:O)-COLUMN($K:$K))))</f>
        <v>F3</v>
      </c>
      <c r="P63" s="12" t="str">
        <f>IF(SplitText($J63,",",COLUMN(P:P)-COLUMN($K:$K))="",$K63,trimtext(SplitText($J63,",",COLUMN(P:P)-COLUMN($K:$K))))</f>
        <v>F3</v>
      </c>
      <c r="Q63" s="12" t="str">
        <f>IF(SplitText($J63,",",COLUMN(Q:Q)-COLUMN($K:$K))="",$K63,trimtext(SplitText($J63,",",COLUMN(Q:Q)-COLUMN($K:$K))))</f>
        <v>F3</v>
      </c>
      <c r="R63" s="2" t="s">
        <v>403</v>
      </c>
      <c r="S63" s="12" t="str">
        <f>trimtext(SplitText($R63,",",0))</f>
        <v>EQUAL</v>
      </c>
      <c r="T63" s="12" t="str">
        <f>IF(SplitText($R63,",",COLUMN(T:T)-COLUMN($S:$S))="",$S63,trimtext(SplitText($R63,",",COLUMN(T:T)-COLUMN($S:$S))))</f>
        <v>EQUAL</v>
      </c>
      <c r="U63" s="12" t="str">
        <f>IF(SplitText($R63,",",COLUMN(U:U)-COLUMN($S:$S))="",$S63,trimtext(SplitText($R63,",",COLUMN(U:U)-COLUMN($S:$S))))</f>
        <v>F3</v>
      </c>
      <c r="V63" s="2" t="s">
        <v>567</v>
      </c>
      <c r="W63" s="12" t="str">
        <f>trimtext(SplitText($V63,",",0))</f>
        <v>F3</v>
      </c>
      <c r="X63" s="12" t="str">
        <f>IF(SplitText($V63,",",COLUMN(X:X)-COLUMN($W:$W))="",$W63,trimtext(SplitText($V63,",",COLUMN(X:X)-COLUMN($W:$W))))</f>
        <v>F3</v>
      </c>
      <c r="Y63" s="12" t="str">
        <f>IF(SplitText($V63,",",COLUMN(Y:Y)-COLUMN($W:$W))="",$W63,trimtext(SplitText($V63,",",COLUMN(Y:Y)-COLUMN($W:$W))))</f>
        <v>F3</v>
      </c>
      <c r="Z63" s="2" t="s">
        <v>693</v>
      </c>
      <c r="AA63" s="12" t="str">
        <f t="shared" si="5"/>
        <v>DOWN</v>
      </c>
      <c r="AB63" s="2" t="s">
        <v>804</v>
      </c>
      <c r="AC63" s="12" t="str">
        <f>trimtext(SplitText($AB63,",",0))</f>
        <v>F3</v>
      </c>
      <c r="AD63" s="12" t="str">
        <f>IF(SplitText($AB63,",",COLUMN(AD:AD)-COLUMN($AC:$AC))="",$AC63,trimtext(SplitText($AB63,",",COLUMN(AD:AD)-COLUMN($AC:$AC))))</f>
        <v>F3</v>
      </c>
      <c r="AE63" s="18" t="str">
        <f t="shared" si="6"/>
        <v>&lt;xs:enumeration value="T3D"&gt;&lt;xs:annotation&gt;&lt;xs:documentation&gt;Typically F3 for keyboard type 4, different values for different keyboard types&lt;/xs:documentation&gt;&lt;xs:appinfo&gt;&lt;default-vk&gt;</v>
      </c>
      <c r="AF63" s="15" t="str">
        <f>IF(D63&lt;&gt;"","&lt;vk kbd="""&amp;D$1&amp;""" vk="""&amp;D63&amp;""""&amp;IF(Scan2VKFlags!B63&lt;&gt;""," flags="""&amp;Scan2VKFlags!B63&amp;"""","")&amp;"/&gt;","")</f>
        <v>&lt;vk kbd="1" vk="F3"/&gt;</v>
      </c>
      <c r="AG63" s="15" t="str">
        <f>IF(E63&lt;&gt;"","&lt;vk kbd="""&amp;E$1&amp;""" vk="""&amp;E63&amp;""""&amp;IF(Scan2VKFlags!C63&lt;&gt;""," flags="""&amp;Scan2VKFlags!C63&amp;"""","")&amp;"/&gt;","")</f>
        <v>&lt;vk kbd="2" vk="F3"/&gt;</v>
      </c>
      <c r="AH63" s="15" t="str">
        <f>IF(F63&lt;&gt;"","&lt;vk kbd="""&amp;F$1&amp;""" vk="""&amp;F63&amp;""""&amp;IF(Scan2VKFlags!D63&lt;&gt;""," flags="""&amp;Scan2VKFlags!D63&amp;"""","")&amp;"/&gt;","")</f>
        <v>&lt;vk kbd="3" vk="F3"/&gt;</v>
      </c>
      <c r="AI63" s="15" t="str">
        <f>IF(G63&lt;&gt;"","&lt;vk kbd="""&amp;G$1&amp;""" vk="""&amp;G63&amp;""""&amp;IF(Scan2VKFlags!E63&lt;&gt;""," flags="""&amp;Scan2VKFlags!E63&amp;"""","")&amp;"/&gt;","")</f>
        <v>&lt;vk kbd="4" vk="F3"/&gt;</v>
      </c>
      <c r="AJ63" s="15" t="str">
        <f>IF(H63&lt;&gt;"","&lt;vk kbd="""&amp;H$1&amp;""" vk="""&amp;H63&amp;""""&amp;IF(Scan2VKFlags!F63&lt;&gt;""," flags="""&amp;Scan2VKFlags!F63&amp;"""","")&amp;"/&gt;","")</f>
        <v>&lt;vk kbd="5" vk="F3"/&gt;</v>
      </c>
      <c r="AK63" s="16" t="str">
        <f>IF(I63&lt;&gt;"","&lt;vk kbd="""&amp;I$1&amp;""" vk="""&amp;I63&amp;""""&amp;IF(Scan2VKFlags!G63&lt;&gt;""," flags="""&amp;Scan2VKFlags!G63&amp;"""","")&amp;"/&gt;","")</f>
        <v>&lt;vk kbd="6" vk="F3"/&gt;</v>
      </c>
      <c r="AL63" s="3" t="str">
        <f>IF(K63&lt;&gt;"","&lt;vk kbd="""&amp;K$1&amp;""" vk="""&amp;K63&amp;""""&amp;IF(Scan2VKFlags!H63&lt;&gt;""," flags="""&amp;Scan2VKFlags!H63&amp;"""","")&amp;"/&gt;","")</f>
        <v>&lt;vk kbd="7" vk="F3"/&gt;</v>
      </c>
      <c r="AM63" t="str">
        <f>IF(L63&lt;&gt;"","&lt;vk kbd="""&amp;L$1&amp;""" vk="""&amp;L63&amp;""""&amp;IF(Scan2VKFlags!I63&lt;&gt;""," flags="""&amp;Scan2VKFlags!I63&amp;"""","")&amp;"/&gt;","")</f>
        <v>&lt;vk kbd="8" vk="F3"/&gt;</v>
      </c>
      <c r="AN63" t="str">
        <f>IF(M63&lt;&gt;"","&lt;vk kbd="""&amp;M$1&amp;""" vk="""&amp;M63&amp;""""&amp;IF(Scan2VKFlags!J63&lt;&gt;""," flags="""&amp;Scan2VKFlags!J63&amp;"""","")&amp;"/&gt;","")</f>
        <v>&lt;vk kbd="16" vk="F3"/&gt;</v>
      </c>
      <c r="AO63" t="str">
        <f>IF(N63&lt;&gt;"","&lt;vk kbd="""&amp;N$1&amp;""" vk="""&amp;N63&amp;""""&amp;IF(Scan2VKFlags!K63&lt;&gt;""," flags="""&amp;Scan2VKFlags!K63&amp;"""","")&amp;"/&gt;","")</f>
        <v>&lt;vk kbd="10" vk="F3"/&gt;</v>
      </c>
      <c r="AP63" t="str">
        <f>IF(O63&lt;&gt;"","&lt;vk kbd="""&amp;O$1&amp;""" vk="""&amp;O63&amp;""""&amp;IF(Scan2VKFlags!L63&lt;&gt;""," flags="""&amp;Scan2VKFlags!L63&amp;"""","")&amp;"/&gt;","")</f>
        <v>&lt;vk kbd="11" vk="F3"/&gt;</v>
      </c>
      <c r="AQ63" t="str">
        <f>IF(P63&lt;&gt;"","&lt;vk kbd="""&amp;P$1&amp;""" vk="""&amp;P63&amp;""""&amp;IF(Scan2VKFlags!M63&lt;&gt;""," flags="""&amp;Scan2VKFlags!M63&amp;"""","")&amp;"/&gt;","")</f>
        <v>&lt;vk kbd="12" vk="F3"/&gt;</v>
      </c>
      <c r="AR63" s="16" t="str">
        <f>IF(Q63&lt;&gt;"","&lt;vk kbd="""&amp;Q$1&amp;""" vk="""&amp;Q63&amp;""""&amp;IF(Scan2VKFlags!N63&lt;&gt;""," flags="""&amp;Scan2VKFlags!N63&amp;"""","")&amp;"/&gt;","")</f>
        <v>&lt;vk kbd="13" vk="F3"/&gt;</v>
      </c>
      <c r="AS63" s="3" t="str">
        <f>IF(S63&lt;&gt;"","&lt;vk kbd="""&amp;S$1&amp;""" vk="""&amp;S63&amp;""""&amp;IF(Scan2VKFlags!O63&lt;&gt;""," flags="""&amp;Scan2VKFlags!O63&amp;"""","")&amp;"/&gt;","")</f>
        <v>&lt;vk kbd="20" vk="EQUAL"/&gt;</v>
      </c>
      <c r="AT63" t="str">
        <f>IF(T63&lt;&gt;"","&lt;vk kbd="""&amp;T$1&amp;""" vk="""&amp;T63&amp;""""&amp;IF(Scan2VKFlags!P63&lt;&gt;""," flags="""&amp;Scan2VKFlags!P63&amp;"""","")&amp;"/&gt;","")</f>
        <v>&lt;vk kbd="21" vk="EQUAL"/&gt;</v>
      </c>
      <c r="AU63" s="16" t="str">
        <f>IF(U63&lt;&gt;"","&lt;vk kbd="""&amp;U$1&amp;""" vk="""&amp;U63&amp;""""&amp;IF(Scan2VKFlags!Q63&lt;&gt;""," flags="""&amp;Scan2VKFlags!Q63&amp;"""","")&amp;"/&gt;","")</f>
        <v>&lt;vk kbd="22" vk="F3"/&gt;</v>
      </c>
      <c r="AV63" s="3" t="str">
        <f>IF(W63&lt;&gt;"","&lt;vk kbd="""&amp;W$1&amp;""" vk="""&amp;W63&amp;""""&amp;IF(Scan2VKFlags!R63&lt;&gt;""," flags="""&amp;Scan2VKFlags!R63&amp;"""","")&amp;"/&gt;","")</f>
        <v>&lt;vk kbd="30" vk="F3"/&gt;</v>
      </c>
      <c r="AW63" s="15" t="str">
        <f>IF(X63&lt;&gt;"","&lt;vk kbd="""&amp;X$1&amp;""" vk="""&amp;X63&amp;""""&amp;IF(Scan2VKFlags!S63&lt;&gt;""," flags="""&amp;Scan2VKFlags!S63&amp;"""","")&amp;"/&gt;","")</f>
        <v>&lt;vk kbd="33" vk="F3"/&gt;</v>
      </c>
      <c r="AX63" s="15" t="str">
        <f>IF(Y63&lt;&gt;"","&lt;vk kbd="""&amp;Y$1&amp;""" vk="""&amp;Y63&amp;""""&amp;IF(Scan2VKFlags!T63&lt;&gt;""," flags="""&amp;Scan2VKFlags!T63&amp;"""","")&amp;"/&gt;","")</f>
        <v>&lt;vk kbd="34" vk="F3"/&gt;</v>
      </c>
      <c r="AY63" s="18" t="str">
        <f>IF(AA63&lt;&gt;"","&lt;vk kbd="""&amp;AA$1&amp;""" vk="""&amp;AA63&amp;""""&amp;IF(Scan2VKFlags!U63&lt;&gt;""," flags="""&amp;Scan2VKFlags!U63&amp;"""","")&amp;"/&gt;","")</f>
        <v>&lt;vk kbd="37" vk="DOWN"/&gt;</v>
      </c>
      <c r="AZ63" s="3" t="str">
        <f>IF(AC63&lt;&gt;"","&lt;vk kbd="""&amp;AC$1&amp;""" vk="""&amp;AC63&amp;""""&amp;IF(Scan2VKFlags!V63&lt;&gt;""," flags="""&amp;Scan2VKFlags!V63&amp;"""","")&amp;"/&gt;","")</f>
        <v>&lt;vk kbd="40" vk="F3"/&gt;</v>
      </c>
      <c r="BA63" s="16" t="str">
        <f>IF(AD63&lt;&gt;"","&lt;vk kbd="""&amp;AD$1&amp;""" vk="""&amp;AD63&amp;""""&amp;IF(Scan2VKFlags!W63&lt;&gt;""," flags="""&amp;Scan2VKFlags!W63&amp;"""","")&amp;"/&gt;","")</f>
        <v>&lt;vk kbd="41" vk="F3"/&gt;</v>
      </c>
      <c r="BB63" t="s">
        <v>854</v>
      </c>
    </row>
    <row r="64" spans="1:54" x14ac:dyDescent="0.25">
      <c r="A64">
        <f t="shared" si="7"/>
        <v>62</v>
      </c>
      <c r="B64" t="str">
        <f t="shared" si="4"/>
        <v>T3E</v>
      </c>
      <c r="C64" s="7" t="s">
        <v>62</v>
      </c>
      <c r="D64" s="12" t="str">
        <f>trimtext(SplitText($C64,",",0))</f>
        <v>F4</v>
      </c>
      <c r="E64" s="12" t="str">
        <f>IF(SplitText($C64,",",COLUMN(E:E)-COLUMN($D:$D))="",$D64,trimtext(SplitText($C64,",",COLUMN(E:E)-COLUMN($D:$D))))</f>
        <v>F4</v>
      </c>
      <c r="F64" s="12" t="str">
        <f>IF(SplitText($C64,",",COLUMN(F:F)-COLUMN($D:$D))="",$D64,trimtext(SplitText($C64,",",COLUMN(F:F)-COLUMN($D:$D))))</f>
        <v>F4</v>
      </c>
      <c r="G64" s="12" t="str">
        <f>IF(SplitText($C64,",",COLUMN(G:G)-COLUMN($D:$D))="",$D64,trimtext(SplitText($C64,",",COLUMN(G:G)-COLUMN($D:$D))))</f>
        <v>F4</v>
      </c>
      <c r="H64" s="12" t="str">
        <f>IF(SplitText($C64,",",COLUMN(H:H)-COLUMN($D:$D))="",$D64,trimtext(SplitText($C64,",",COLUMN(H:H)-COLUMN($D:$D))))</f>
        <v>F4</v>
      </c>
      <c r="I64" s="12" t="str">
        <f>IF(SplitText($C64,",",COLUMN(I:I)-COLUMN($D:$D))="",$D64,trimtext(SplitText($C64,",",COLUMN(I:I)-COLUMN($D:$D))))</f>
        <v>F4</v>
      </c>
      <c r="J64" s="9" t="s">
        <v>247</v>
      </c>
      <c r="K64" s="12" t="str">
        <f>trimtext(SplitText($J64,",",0))</f>
        <v>F4</v>
      </c>
      <c r="L64" s="12" t="str">
        <f>IF(SplitText($J64,",",COLUMN(L:L)-COLUMN($K:$K))="",$K64,trimtext(SplitText($J64,",",COLUMN(L:L)-COLUMN($K:$K))))</f>
        <v>F4</v>
      </c>
      <c r="M64" s="12" t="str">
        <f>IF(SplitText($J64,",",COLUMN(M:M)-COLUMN($K:$K))="",$K64,trimtext(SplitText($J64,",",COLUMN(M:M)-COLUMN($K:$K))))</f>
        <v>F4</v>
      </c>
      <c r="N64" s="12" t="str">
        <f>IF(SplitText($J64,",",COLUMN(N:N)-COLUMN($K:$K))="",$K64,trimtext(SplitText($J64,",",COLUMN(N:N)-COLUMN($K:$K))))</f>
        <v>F4</v>
      </c>
      <c r="O64" s="12" t="str">
        <f>IF(SplitText($J64,",",COLUMN(O:O)-COLUMN($K:$K))="",$K64,trimtext(SplitText($J64,",",COLUMN(O:O)-COLUMN($K:$K))))</f>
        <v>F4</v>
      </c>
      <c r="P64" s="12" t="str">
        <f>IF(SplitText($J64,",",COLUMN(P:P)-COLUMN($K:$K))="",$K64,trimtext(SplitText($J64,",",COLUMN(P:P)-COLUMN($K:$K))))</f>
        <v>F4</v>
      </c>
      <c r="Q64" s="12" t="str">
        <f>IF(SplitText($J64,",",COLUMN(Q:Q)-COLUMN($K:$K))="",$K64,trimtext(SplitText($J64,",",COLUMN(Q:Q)-COLUMN($K:$K))))</f>
        <v>F4</v>
      </c>
      <c r="R64" s="2" t="s">
        <v>404</v>
      </c>
      <c r="S64" s="12" t="str">
        <f>trimtext(SplitText($R64,",",0))</f>
        <v>NUMPAD4</v>
      </c>
      <c r="T64" s="12" t="str">
        <f>IF(SplitText($R64,",",COLUMN(T:T)-COLUMN($S:$S))="",$S64,trimtext(SplitText($R64,",",COLUMN(T:T)-COLUMN($S:$S))))</f>
        <v>NUMPAD4</v>
      </c>
      <c r="U64" s="12" t="str">
        <f>IF(SplitText($R64,",",COLUMN(U:U)-COLUMN($S:$S))="",$S64,trimtext(SplitText($R64,",",COLUMN(U:U)-COLUMN($S:$S))))</f>
        <v>F4</v>
      </c>
      <c r="V64" s="2" t="s">
        <v>568</v>
      </c>
      <c r="W64" s="12" t="str">
        <f>trimtext(SplitText($V64,",",0))</f>
        <v>F4</v>
      </c>
      <c r="X64" s="12" t="str">
        <f>IF(SplitText($V64,",",COLUMN(X:X)-COLUMN($W:$W))="",$W64,trimtext(SplitText($V64,",",COLUMN(X:X)-COLUMN($W:$W))))</f>
        <v>F4</v>
      </c>
      <c r="Y64" s="12" t="str">
        <f>IF(SplitText($V64,",",COLUMN(Y:Y)-COLUMN($W:$W))="",$W64,trimtext(SplitText($V64,",",COLUMN(Y:Y)-COLUMN($W:$W))))</f>
        <v>F4</v>
      </c>
      <c r="Z64" s="2" t="s">
        <v>694</v>
      </c>
      <c r="AA64" s="12" t="str">
        <f t="shared" si="5"/>
        <v>HOME</v>
      </c>
      <c r="AB64" s="2" t="s">
        <v>805</v>
      </c>
      <c r="AC64" s="12" t="str">
        <f>trimtext(SplitText($AB64,",",0))</f>
        <v>F4</v>
      </c>
      <c r="AD64" s="12" t="str">
        <f>IF(SplitText($AB64,",",COLUMN(AD:AD)-COLUMN($AC:$AC))="",$AC64,trimtext(SplitText($AB64,",",COLUMN(AD:AD)-COLUMN($AC:$AC))))</f>
        <v>F4</v>
      </c>
      <c r="AE64" s="18" t="str">
        <f t="shared" si="6"/>
        <v>&lt;xs:enumeration value="T3E"&gt;&lt;xs:annotation&gt;&lt;xs:documentation&gt;Typically F4 for keyboard type 4, different values for different keyboard types&lt;/xs:documentation&gt;&lt;xs:appinfo&gt;&lt;default-vk&gt;</v>
      </c>
      <c r="AF64" s="15" t="str">
        <f>IF(D64&lt;&gt;"","&lt;vk kbd="""&amp;D$1&amp;""" vk="""&amp;D64&amp;""""&amp;IF(Scan2VKFlags!B64&lt;&gt;""," flags="""&amp;Scan2VKFlags!B64&amp;"""","")&amp;"/&gt;","")</f>
        <v>&lt;vk kbd="1" vk="F4"/&gt;</v>
      </c>
      <c r="AG64" s="15" t="str">
        <f>IF(E64&lt;&gt;"","&lt;vk kbd="""&amp;E$1&amp;""" vk="""&amp;E64&amp;""""&amp;IF(Scan2VKFlags!C64&lt;&gt;""," flags="""&amp;Scan2VKFlags!C64&amp;"""","")&amp;"/&gt;","")</f>
        <v>&lt;vk kbd="2" vk="F4"/&gt;</v>
      </c>
      <c r="AH64" s="15" t="str">
        <f>IF(F64&lt;&gt;"","&lt;vk kbd="""&amp;F$1&amp;""" vk="""&amp;F64&amp;""""&amp;IF(Scan2VKFlags!D64&lt;&gt;""," flags="""&amp;Scan2VKFlags!D64&amp;"""","")&amp;"/&gt;","")</f>
        <v>&lt;vk kbd="3" vk="F4"/&gt;</v>
      </c>
      <c r="AI64" s="15" t="str">
        <f>IF(G64&lt;&gt;"","&lt;vk kbd="""&amp;G$1&amp;""" vk="""&amp;G64&amp;""""&amp;IF(Scan2VKFlags!E64&lt;&gt;""," flags="""&amp;Scan2VKFlags!E64&amp;"""","")&amp;"/&gt;","")</f>
        <v>&lt;vk kbd="4" vk="F4"/&gt;</v>
      </c>
      <c r="AJ64" s="15" t="str">
        <f>IF(H64&lt;&gt;"","&lt;vk kbd="""&amp;H$1&amp;""" vk="""&amp;H64&amp;""""&amp;IF(Scan2VKFlags!F64&lt;&gt;""," flags="""&amp;Scan2VKFlags!F64&amp;"""","")&amp;"/&gt;","")</f>
        <v>&lt;vk kbd="5" vk="F4"/&gt;</v>
      </c>
      <c r="AK64" s="16" t="str">
        <f>IF(I64&lt;&gt;"","&lt;vk kbd="""&amp;I$1&amp;""" vk="""&amp;I64&amp;""""&amp;IF(Scan2VKFlags!G64&lt;&gt;""," flags="""&amp;Scan2VKFlags!G64&amp;"""","")&amp;"/&gt;","")</f>
        <v>&lt;vk kbd="6" vk="F4"/&gt;</v>
      </c>
      <c r="AL64" s="3" t="str">
        <f>IF(K64&lt;&gt;"","&lt;vk kbd="""&amp;K$1&amp;""" vk="""&amp;K64&amp;""""&amp;IF(Scan2VKFlags!H64&lt;&gt;""," flags="""&amp;Scan2VKFlags!H64&amp;"""","")&amp;"/&gt;","")</f>
        <v>&lt;vk kbd="7" vk="F4"/&gt;</v>
      </c>
      <c r="AM64" t="str">
        <f>IF(L64&lt;&gt;"","&lt;vk kbd="""&amp;L$1&amp;""" vk="""&amp;L64&amp;""""&amp;IF(Scan2VKFlags!I64&lt;&gt;""," flags="""&amp;Scan2VKFlags!I64&amp;"""","")&amp;"/&gt;","")</f>
        <v>&lt;vk kbd="8" vk="F4"/&gt;</v>
      </c>
      <c r="AN64" t="str">
        <f>IF(M64&lt;&gt;"","&lt;vk kbd="""&amp;M$1&amp;""" vk="""&amp;M64&amp;""""&amp;IF(Scan2VKFlags!J64&lt;&gt;""," flags="""&amp;Scan2VKFlags!J64&amp;"""","")&amp;"/&gt;","")</f>
        <v>&lt;vk kbd="16" vk="F4"/&gt;</v>
      </c>
      <c r="AO64" t="str">
        <f>IF(N64&lt;&gt;"","&lt;vk kbd="""&amp;N$1&amp;""" vk="""&amp;N64&amp;""""&amp;IF(Scan2VKFlags!K64&lt;&gt;""," flags="""&amp;Scan2VKFlags!K64&amp;"""","")&amp;"/&gt;","")</f>
        <v>&lt;vk kbd="10" vk="F4"/&gt;</v>
      </c>
      <c r="AP64" t="str">
        <f>IF(O64&lt;&gt;"","&lt;vk kbd="""&amp;O$1&amp;""" vk="""&amp;O64&amp;""""&amp;IF(Scan2VKFlags!L64&lt;&gt;""," flags="""&amp;Scan2VKFlags!L64&amp;"""","")&amp;"/&gt;","")</f>
        <v>&lt;vk kbd="11" vk="F4"/&gt;</v>
      </c>
      <c r="AQ64" t="str">
        <f>IF(P64&lt;&gt;"","&lt;vk kbd="""&amp;P$1&amp;""" vk="""&amp;P64&amp;""""&amp;IF(Scan2VKFlags!M64&lt;&gt;""," flags="""&amp;Scan2VKFlags!M64&amp;"""","")&amp;"/&gt;","")</f>
        <v>&lt;vk kbd="12" vk="F4"/&gt;</v>
      </c>
      <c r="AR64" s="16" t="str">
        <f>IF(Q64&lt;&gt;"","&lt;vk kbd="""&amp;Q$1&amp;""" vk="""&amp;Q64&amp;""""&amp;IF(Scan2VKFlags!N64&lt;&gt;""," flags="""&amp;Scan2VKFlags!N64&amp;"""","")&amp;"/&gt;","")</f>
        <v>&lt;vk kbd="13" vk="F4"/&gt;</v>
      </c>
      <c r="AS64" s="3" t="str">
        <f>IF(S64&lt;&gt;"","&lt;vk kbd="""&amp;S$1&amp;""" vk="""&amp;S64&amp;""""&amp;IF(Scan2VKFlags!O64&lt;&gt;""," flags="""&amp;Scan2VKFlags!O64&amp;"""","")&amp;"/&gt;","")</f>
        <v>&lt;vk kbd="20" vk="NUMPAD4"/&gt;</v>
      </c>
      <c r="AT64" t="str">
        <f>IF(T64&lt;&gt;"","&lt;vk kbd="""&amp;T$1&amp;""" vk="""&amp;T64&amp;""""&amp;IF(Scan2VKFlags!P64&lt;&gt;""," flags="""&amp;Scan2VKFlags!P64&amp;"""","")&amp;"/&gt;","")</f>
        <v>&lt;vk kbd="21" vk="NUMPAD4"/&gt;</v>
      </c>
      <c r="AU64" s="16" t="str">
        <f>IF(U64&lt;&gt;"","&lt;vk kbd="""&amp;U$1&amp;""" vk="""&amp;U64&amp;""""&amp;IF(Scan2VKFlags!Q64&lt;&gt;""," flags="""&amp;Scan2VKFlags!Q64&amp;"""","")&amp;"/&gt;","")</f>
        <v>&lt;vk kbd="22" vk="F4"/&gt;</v>
      </c>
      <c r="AV64" s="3" t="str">
        <f>IF(W64&lt;&gt;"","&lt;vk kbd="""&amp;W$1&amp;""" vk="""&amp;W64&amp;""""&amp;IF(Scan2VKFlags!R64&lt;&gt;""," flags="""&amp;Scan2VKFlags!R64&amp;"""","")&amp;"/&gt;","")</f>
        <v>&lt;vk kbd="30" vk="F4"/&gt;</v>
      </c>
      <c r="AW64" s="15" t="str">
        <f>IF(X64&lt;&gt;"","&lt;vk kbd="""&amp;X$1&amp;""" vk="""&amp;X64&amp;""""&amp;IF(Scan2VKFlags!S64&lt;&gt;""," flags="""&amp;Scan2VKFlags!S64&amp;"""","")&amp;"/&gt;","")</f>
        <v>&lt;vk kbd="33" vk="F4"/&gt;</v>
      </c>
      <c r="AX64" s="15" t="str">
        <f>IF(Y64&lt;&gt;"","&lt;vk kbd="""&amp;Y$1&amp;""" vk="""&amp;Y64&amp;""""&amp;IF(Scan2VKFlags!T64&lt;&gt;""," flags="""&amp;Scan2VKFlags!T64&amp;"""","")&amp;"/&gt;","")</f>
        <v>&lt;vk kbd="34" vk="F4"/&gt;</v>
      </c>
      <c r="AY64" s="18" t="str">
        <f>IF(AA64&lt;&gt;"","&lt;vk kbd="""&amp;AA$1&amp;""" vk="""&amp;AA64&amp;""""&amp;IF(Scan2VKFlags!U64&lt;&gt;""," flags="""&amp;Scan2VKFlags!U64&amp;"""","")&amp;"/&gt;","")</f>
        <v>&lt;vk kbd="37" vk="HOME"/&gt;</v>
      </c>
      <c r="AZ64" s="3" t="str">
        <f>IF(AC64&lt;&gt;"","&lt;vk kbd="""&amp;AC$1&amp;""" vk="""&amp;AC64&amp;""""&amp;IF(Scan2VKFlags!V64&lt;&gt;""," flags="""&amp;Scan2VKFlags!V64&amp;"""","")&amp;"/&gt;","")</f>
        <v>&lt;vk kbd="40" vk="F4"/&gt;</v>
      </c>
      <c r="BA64" s="16" t="str">
        <f>IF(AD64&lt;&gt;"","&lt;vk kbd="""&amp;AD$1&amp;""" vk="""&amp;AD64&amp;""""&amp;IF(Scan2VKFlags!W64&lt;&gt;""," flags="""&amp;Scan2VKFlags!W64&amp;"""","")&amp;"/&gt;","")</f>
        <v>&lt;vk kbd="41" vk="F4"/&gt;</v>
      </c>
      <c r="BB64" t="s">
        <v>854</v>
      </c>
    </row>
    <row r="65" spans="1:54" x14ac:dyDescent="0.25">
      <c r="A65">
        <f t="shared" si="7"/>
        <v>63</v>
      </c>
      <c r="B65" t="str">
        <f t="shared" si="4"/>
        <v>T3F</v>
      </c>
      <c r="C65" s="7" t="s">
        <v>63</v>
      </c>
      <c r="D65" s="12" t="str">
        <f>trimtext(SplitText($C65,",",0))</f>
        <v>F5</v>
      </c>
      <c r="E65" s="12" t="str">
        <f>IF(SplitText($C65,",",COLUMN(E:E)-COLUMN($D:$D))="",$D65,trimtext(SplitText($C65,",",COLUMN(E:E)-COLUMN($D:$D))))</f>
        <v>F5</v>
      </c>
      <c r="F65" s="12" t="str">
        <f>IF(SplitText($C65,",",COLUMN(F:F)-COLUMN($D:$D))="",$D65,trimtext(SplitText($C65,",",COLUMN(F:F)-COLUMN($D:$D))))</f>
        <v>F5</v>
      </c>
      <c r="G65" s="12" t="str">
        <f>IF(SplitText($C65,",",COLUMN(G:G)-COLUMN($D:$D))="",$D65,trimtext(SplitText($C65,",",COLUMN(G:G)-COLUMN($D:$D))))</f>
        <v>F5</v>
      </c>
      <c r="H65" s="12" t="str">
        <f>IF(SplitText($C65,",",COLUMN(H:H)-COLUMN($D:$D))="",$D65,trimtext(SplitText($C65,",",COLUMN(H:H)-COLUMN($D:$D))))</f>
        <v>F5</v>
      </c>
      <c r="I65" s="12" t="str">
        <f>IF(SplitText($C65,",",COLUMN(I:I)-COLUMN($D:$D))="",$D65,trimtext(SplitText($C65,",",COLUMN(I:I)-COLUMN($D:$D))))</f>
        <v>F5</v>
      </c>
      <c r="J65" s="9" t="s">
        <v>248</v>
      </c>
      <c r="K65" s="12" t="str">
        <f>trimtext(SplitText($J65,",",0))</f>
        <v>F5</v>
      </c>
      <c r="L65" s="12" t="str">
        <f>IF(SplitText($J65,",",COLUMN(L:L)-COLUMN($K:$K))="",$K65,trimtext(SplitText($J65,",",COLUMN(L:L)-COLUMN($K:$K))))</f>
        <v>F5</v>
      </c>
      <c r="M65" s="12" t="str">
        <f>IF(SplitText($J65,",",COLUMN(M:M)-COLUMN($K:$K))="",$K65,trimtext(SplitText($J65,",",COLUMN(M:M)-COLUMN($K:$K))))</f>
        <v>F5</v>
      </c>
      <c r="N65" s="12" t="str">
        <f>IF(SplitText($J65,",",COLUMN(N:N)-COLUMN($K:$K))="",$K65,trimtext(SplitText($J65,",",COLUMN(N:N)-COLUMN($K:$K))))</f>
        <v>F5</v>
      </c>
      <c r="O65" s="12" t="str">
        <f>IF(SplitText($J65,",",COLUMN(O:O)-COLUMN($K:$K))="",$K65,trimtext(SplitText($J65,",",COLUMN(O:O)-COLUMN($K:$K))))</f>
        <v>F5</v>
      </c>
      <c r="P65" s="12" t="str">
        <f>IF(SplitText($J65,",",COLUMN(P:P)-COLUMN($K:$K))="",$K65,trimtext(SplitText($J65,",",COLUMN(P:P)-COLUMN($K:$K))))</f>
        <v>F5</v>
      </c>
      <c r="Q65" s="12" t="str">
        <f>IF(SplitText($J65,",",COLUMN(Q:Q)-COLUMN($K:$K))="",$K65,trimtext(SplitText($J65,",",COLUMN(Q:Q)-COLUMN($K:$K))))</f>
        <v>F5</v>
      </c>
      <c r="R65" s="2" t="s">
        <v>405</v>
      </c>
      <c r="S65" s="12" t="str">
        <f>trimtext(SplitText($R65,",",0))</f>
        <v>NUMPAD5</v>
      </c>
      <c r="T65" s="12" t="str">
        <f>IF(SplitText($R65,",",COLUMN(T:T)-COLUMN($S:$S))="",$S65,trimtext(SplitText($R65,",",COLUMN(T:T)-COLUMN($S:$S))))</f>
        <v>NUMPAD5</v>
      </c>
      <c r="U65" s="12" t="str">
        <f>IF(SplitText($R65,",",COLUMN(U:U)-COLUMN($S:$S))="",$S65,trimtext(SplitText($R65,",",COLUMN(U:U)-COLUMN($S:$S))))</f>
        <v>F5</v>
      </c>
      <c r="V65" s="2" t="s">
        <v>569</v>
      </c>
      <c r="W65" s="12" t="str">
        <f>trimtext(SplitText($V65,",",0))</f>
        <v>F5</v>
      </c>
      <c r="X65" s="12" t="str">
        <f>IF(SplitText($V65,",",COLUMN(X:X)-COLUMN($W:$W))="",$W65,trimtext(SplitText($V65,",",COLUMN(X:X)-COLUMN($W:$W))))</f>
        <v>F5</v>
      </c>
      <c r="Y65" s="12" t="str">
        <f>IF(SplitText($V65,",",COLUMN(Y:Y)-COLUMN($W:$W))="",$W65,trimtext(SplitText($V65,",",COLUMN(Y:Y)-COLUMN($W:$W))))</f>
        <v>F5</v>
      </c>
      <c r="Z65" s="2" t="s">
        <v>695</v>
      </c>
      <c r="AA65" s="12" t="str">
        <f t="shared" si="5"/>
        <v>END</v>
      </c>
      <c r="AB65" s="2" t="s">
        <v>806</v>
      </c>
      <c r="AC65" s="12" t="str">
        <f>trimtext(SplitText($AB65,",",0))</f>
        <v>F5</v>
      </c>
      <c r="AD65" s="12" t="str">
        <f>IF(SplitText($AB65,",",COLUMN(AD:AD)-COLUMN($AC:$AC))="",$AC65,trimtext(SplitText($AB65,",",COLUMN(AD:AD)-COLUMN($AC:$AC))))</f>
        <v>F5</v>
      </c>
      <c r="AE65" s="18" t="str">
        <f t="shared" si="6"/>
        <v>&lt;xs:enumeration value="T3F"&gt;&lt;xs:annotation&gt;&lt;xs:documentation&gt;Typically F5 for keyboard type 4, different values for different keyboard types&lt;/xs:documentation&gt;&lt;xs:appinfo&gt;&lt;default-vk&gt;</v>
      </c>
      <c r="AF65" s="15" t="str">
        <f>IF(D65&lt;&gt;"","&lt;vk kbd="""&amp;D$1&amp;""" vk="""&amp;D65&amp;""""&amp;IF(Scan2VKFlags!B65&lt;&gt;""," flags="""&amp;Scan2VKFlags!B65&amp;"""","")&amp;"/&gt;","")</f>
        <v>&lt;vk kbd="1" vk="F5"/&gt;</v>
      </c>
      <c r="AG65" s="15" t="str">
        <f>IF(E65&lt;&gt;"","&lt;vk kbd="""&amp;E$1&amp;""" vk="""&amp;E65&amp;""""&amp;IF(Scan2VKFlags!C65&lt;&gt;""," flags="""&amp;Scan2VKFlags!C65&amp;"""","")&amp;"/&gt;","")</f>
        <v>&lt;vk kbd="2" vk="F5"/&gt;</v>
      </c>
      <c r="AH65" s="15" t="str">
        <f>IF(F65&lt;&gt;"","&lt;vk kbd="""&amp;F$1&amp;""" vk="""&amp;F65&amp;""""&amp;IF(Scan2VKFlags!D65&lt;&gt;""," flags="""&amp;Scan2VKFlags!D65&amp;"""","")&amp;"/&gt;","")</f>
        <v>&lt;vk kbd="3" vk="F5"/&gt;</v>
      </c>
      <c r="AI65" s="15" t="str">
        <f>IF(G65&lt;&gt;"","&lt;vk kbd="""&amp;G$1&amp;""" vk="""&amp;G65&amp;""""&amp;IF(Scan2VKFlags!E65&lt;&gt;""," flags="""&amp;Scan2VKFlags!E65&amp;"""","")&amp;"/&gt;","")</f>
        <v>&lt;vk kbd="4" vk="F5"/&gt;</v>
      </c>
      <c r="AJ65" s="15" t="str">
        <f>IF(H65&lt;&gt;"","&lt;vk kbd="""&amp;H$1&amp;""" vk="""&amp;H65&amp;""""&amp;IF(Scan2VKFlags!F65&lt;&gt;""," flags="""&amp;Scan2VKFlags!F65&amp;"""","")&amp;"/&gt;","")</f>
        <v>&lt;vk kbd="5" vk="F5"/&gt;</v>
      </c>
      <c r="AK65" s="16" t="str">
        <f>IF(I65&lt;&gt;"","&lt;vk kbd="""&amp;I$1&amp;""" vk="""&amp;I65&amp;""""&amp;IF(Scan2VKFlags!G65&lt;&gt;""," flags="""&amp;Scan2VKFlags!G65&amp;"""","")&amp;"/&gt;","")</f>
        <v>&lt;vk kbd="6" vk="F5"/&gt;</v>
      </c>
      <c r="AL65" s="3" t="str">
        <f>IF(K65&lt;&gt;"","&lt;vk kbd="""&amp;K$1&amp;""" vk="""&amp;K65&amp;""""&amp;IF(Scan2VKFlags!H65&lt;&gt;""," flags="""&amp;Scan2VKFlags!H65&amp;"""","")&amp;"/&gt;","")</f>
        <v>&lt;vk kbd="7" vk="F5"/&gt;</v>
      </c>
      <c r="AM65" t="str">
        <f>IF(L65&lt;&gt;"","&lt;vk kbd="""&amp;L$1&amp;""" vk="""&amp;L65&amp;""""&amp;IF(Scan2VKFlags!I65&lt;&gt;""," flags="""&amp;Scan2VKFlags!I65&amp;"""","")&amp;"/&gt;","")</f>
        <v>&lt;vk kbd="8" vk="F5"/&gt;</v>
      </c>
      <c r="AN65" t="str">
        <f>IF(M65&lt;&gt;"","&lt;vk kbd="""&amp;M$1&amp;""" vk="""&amp;M65&amp;""""&amp;IF(Scan2VKFlags!J65&lt;&gt;""," flags="""&amp;Scan2VKFlags!J65&amp;"""","")&amp;"/&gt;","")</f>
        <v>&lt;vk kbd="16" vk="F5"/&gt;</v>
      </c>
      <c r="AO65" t="str">
        <f>IF(N65&lt;&gt;"","&lt;vk kbd="""&amp;N$1&amp;""" vk="""&amp;N65&amp;""""&amp;IF(Scan2VKFlags!K65&lt;&gt;""," flags="""&amp;Scan2VKFlags!K65&amp;"""","")&amp;"/&gt;","")</f>
        <v>&lt;vk kbd="10" vk="F5"/&gt;</v>
      </c>
      <c r="AP65" t="str">
        <f>IF(O65&lt;&gt;"","&lt;vk kbd="""&amp;O$1&amp;""" vk="""&amp;O65&amp;""""&amp;IF(Scan2VKFlags!L65&lt;&gt;""," flags="""&amp;Scan2VKFlags!L65&amp;"""","")&amp;"/&gt;","")</f>
        <v>&lt;vk kbd="11" vk="F5"/&gt;</v>
      </c>
      <c r="AQ65" t="str">
        <f>IF(P65&lt;&gt;"","&lt;vk kbd="""&amp;P$1&amp;""" vk="""&amp;P65&amp;""""&amp;IF(Scan2VKFlags!M65&lt;&gt;""," flags="""&amp;Scan2VKFlags!M65&amp;"""","")&amp;"/&gt;","")</f>
        <v>&lt;vk kbd="12" vk="F5"/&gt;</v>
      </c>
      <c r="AR65" s="16" t="str">
        <f>IF(Q65&lt;&gt;"","&lt;vk kbd="""&amp;Q$1&amp;""" vk="""&amp;Q65&amp;""""&amp;IF(Scan2VKFlags!N65&lt;&gt;""," flags="""&amp;Scan2VKFlags!N65&amp;"""","")&amp;"/&gt;","")</f>
        <v>&lt;vk kbd="13" vk="F5"/&gt;</v>
      </c>
      <c r="AS65" s="3" t="str">
        <f>IF(S65&lt;&gt;"","&lt;vk kbd="""&amp;S$1&amp;""" vk="""&amp;S65&amp;""""&amp;IF(Scan2VKFlags!O65&lt;&gt;""," flags="""&amp;Scan2VKFlags!O65&amp;"""","")&amp;"/&gt;","")</f>
        <v>&lt;vk kbd="20" vk="NUMPAD5"/&gt;</v>
      </c>
      <c r="AT65" t="str">
        <f>IF(T65&lt;&gt;"","&lt;vk kbd="""&amp;T$1&amp;""" vk="""&amp;T65&amp;""""&amp;IF(Scan2VKFlags!P65&lt;&gt;""," flags="""&amp;Scan2VKFlags!P65&amp;"""","")&amp;"/&gt;","")</f>
        <v>&lt;vk kbd="21" vk="NUMPAD5"/&gt;</v>
      </c>
      <c r="AU65" s="16" t="str">
        <f>IF(U65&lt;&gt;"","&lt;vk kbd="""&amp;U$1&amp;""" vk="""&amp;U65&amp;""""&amp;IF(Scan2VKFlags!Q65&lt;&gt;""," flags="""&amp;Scan2VKFlags!Q65&amp;"""","")&amp;"/&gt;","")</f>
        <v>&lt;vk kbd="22" vk="F5"/&gt;</v>
      </c>
      <c r="AV65" s="3" t="str">
        <f>IF(W65&lt;&gt;"","&lt;vk kbd="""&amp;W$1&amp;""" vk="""&amp;W65&amp;""""&amp;IF(Scan2VKFlags!R65&lt;&gt;""," flags="""&amp;Scan2VKFlags!R65&amp;"""","")&amp;"/&gt;","")</f>
        <v>&lt;vk kbd="30" vk="F5"/&gt;</v>
      </c>
      <c r="AW65" s="15" t="str">
        <f>IF(X65&lt;&gt;"","&lt;vk kbd="""&amp;X$1&amp;""" vk="""&amp;X65&amp;""""&amp;IF(Scan2VKFlags!S65&lt;&gt;""," flags="""&amp;Scan2VKFlags!S65&amp;"""","")&amp;"/&gt;","")</f>
        <v>&lt;vk kbd="33" vk="F5"/&gt;</v>
      </c>
      <c r="AX65" s="15" t="str">
        <f>IF(Y65&lt;&gt;"","&lt;vk kbd="""&amp;Y$1&amp;""" vk="""&amp;Y65&amp;""""&amp;IF(Scan2VKFlags!T65&lt;&gt;""," flags="""&amp;Scan2VKFlags!T65&amp;"""","")&amp;"/&gt;","")</f>
        <v>&lt;vk kbd="34" vk="F5"/&gt;</v>
      </c>
      <c r="AY65" s="18" t="str">
        <f>IF(AA65&lt;&gt;"","&lt;vk kbd="""&amp;AA$1&amp;""" vk="""&amp;AA65&amp;""""&amp;IF(Scan2VKFlags!U65&lt;&gt;""," flags="""&amp;Scan2VKFlags!U65&amp;"""","")&amp;"/&gt;","")</f>
        <v>&lt;vk kbd="37" vk="END"/&gt;</v>
      </c>
      <c r="AZ65" s="3" t="str">
        <f>IF(AC65&lt;&gt;"","&lt;vk kbd="""&amp;AC$1&amp;""" vk="""&amp;AC65&amp;""""&amp;IF(Scan2VKFlags!V65&lt;&gt;""," flags="""&amp;Scan2VKFlags!V65&amp;"""","")&amp;"/&gt;","")</f>
        <v>&lt;vk kbd="40" vk="F5"/&gt;</v>
      </c>
      <c r="BA65" s="16" t="str">
        <f>IF(AD65&lt;&gt;"","&lt;vk kbd="""&amp;AD$1&amp;""" vk="""&amp;AD65&amp;""""&amp;IF(Scan2VKFlags!W65&lt;&gt;""," flags="""&amp;Scan2VKFlags!W65&amp;"""","")&amp;"/&gt;","")</f>
        <v>&lt;vk kbd="41" vk="F5"/&gt;</v>
      </c>
      <c r="BB65" t="s">
        <v>854</v>
      </c>
    </row>
    <row r="66" spans="1:54" x14ac:dyDescent="0.25">
      <c r="A66">
        <f t="shared" si="7"/>
        <v>64</v>
      </c>
      <c r="B66" t="str">
        <f t="shared" si="4"/>
        <v>T40</v>
      </c>
      <c r="C66" s="7" t="s">
        <v>64</v>
      </c>
      <c r="D66" s="12" t="str">
        <f>trimtext(SplitText($C66,",",0))</f>
        <v>F6</v>
      </c>
      <c r="E66" s="12" t="str">
        <f>IF(SplitText($C66,",",COLUMN(E:E)-COLUMN($D:$D))="",$D66,trimtext(SplitText($C66,",",COLUMN(E:E)-COLUMN($D:$D))))</f>
        <v>F6</v>
      </c>
      <c r="F66" s="12" t="str">
        <f>IF(SplitText($C66,",",COLUMN(F:F)-COLUMN($D:$D))="",$D66,trimtext(SplitText($C66,",",COLUMN(F:F)-COLUMN($D:$D))))</f>
        <v>F6</v>
      </c>
      <c r="G66" s="12" t="str">
        <f>IF(SplitText($C66,",",COLUMN(G:G)-COLUMN($D:$D))="",$D66,trimtext(SplitText($C66,",",COLUMN(G:G)-COLUMN($D:$D))))</f>
        <v>F6</v>
      </c>
      <c r="H66" s="12" t="str">
        <f>IF(SplitText($C66,",",COLUMN(H:H)-COLUMN($D:$D))="",$D66,trimtext(SplitText($C66,",",COLUMN(H:H)-COLUMN($D:$D))))</f>
        <v>F6</v>
      </c>
      <c r="I66" s="12" t="str">
        <f>IF(SplitText($C66,",",COLUMN(I:I)-COLUMN($D:$D))="",$D66,trimtext(SplitText($C66,",",COLUMN(I:I)-COLUMN($D:$D))))</f>
        <v>F6</v>
      </c>
      <c r="J66" s="9" t="s">
        <v>249</v>
      </c>
      <c r="K66" s="12" t="str">
        <f>trimtext(SplitText($J66,",",0))</f>
        <v>F6</v>
      </c>
      <c r="L66" s="12" t="str">
        <f>IF(SplitText($J66,",",COLUMN(L:L)-COLUMN($K:$K))="",$K66,trimtext(SplitText($J66,",",COLUMN(L:L)-COLUMN($K:$K))))</f>
        <v>F6</v>
      </c>
      <c r="M66" s="12" t="str">
        <f>IF(SplitText($J66,",",COLUMN(M:M)-COLUMN($K:$K))="",$K66,trimtext(SplitText($J66,",",COLUMN(M:M)-COLUMN($K:$K))))</f>
        <v>F6</v>
      </c>
      <c r="N66" s="12" t="str">
        <f>IF(SplitText($J66,",",COLUMN(N:N)-COLUMN($K:$K))="",$K66,trimtext(SplitText($J66,",",COLUMN(N:N)-COLUMN($K:$K))))</f>
        <v>F6</v>
      </c>
      <c r="O66" s="12" t="str">
        <f>IF(SplitText($J66,",",COLUMN(O:O)-COLUMN($K:$K))="",$K66,trimtext(SplitText($J66,",",COLUMN(O:O)-COLUMN($K:$K))))</f>
        <v>F6</v>
      </c>
      <c r="P66" s="12" t="str">
        <f>IF(SplitText($J66,",",COLUMN(P:P)-COLUMN($K:$K))="",$K66,trimtext(SplitText($J66,",",COLUMN(P:P)-COLUMN($K:$K))))</f>
        <v>F6</v>
      </c>
      <c r="Q66" s="12" t="str">
        <f>IF(SplitText($J66,",",COLUMN(Q:Q)-COLUMN($K:$K))="",$K66,trimtext(SplitText($J66,",",COLUMN(Q:Q)-COLUMN($K:$K))))</f>
        <v>F6</v>
      </c>
      <c r="R66" s="2" t="s">
        <v>406</v>
      </c>
      <c r="S66" s="12" t="str">
        <f>trimtext(SplitText($R66,",",0))</f>
        <v>NUMPAD6</v>
      </c>
      <c r="T66" s="12" t="str">
        <f>IF(SplitText($R66,",",COLUMN(T:T)-COLUMN($S:$S))="",$S66,trimtext(SplitText($R66,",",COLUMN(T:T)-COLUMN($S:$S))))</f>
        <v>NUMPAD6</v>
      </c>
      <c r="U66" s="12" t="str">
        <f>IF(SplitText($R66,",",COLUMN(U:U)-COLUMN($S:$S))="",$S66,trimtext(SplitText($R66,",",COLUMN(U:U)-COLUMN($S:$S))))</f>
        <v>F6</v>
      </c>
      <c r="V66" s="2" t="s">
        <v>570</v>
      </c>
      <c r="W66" s="12" t="str">
        <f>trimtext(SplitText($V66,",",0))</f>
        <v>F6</v>
      </c>
      <c r="X66" s="12" t="str">
        <f>IF(SplitText($V66,",",COLUMN(X:X)-COLUMN($W:$W))="",$W66,trimtext(SplitText($V66,",",COLUMN(X:X)-COLUMN($W:$W))))</f>
        <v>F6</v>
      </c>
      <c r="Y66" s="12" t="str">
        <f>IF(SplitText($V66,",",COLUMN(Y:Y)-COLUMN($W:$W))="",$W66,trimtext(SplitText($V66,",",COLUMN(Y:Y)-COLUMN($W:$W))))</f>
        <v>F6</v>
      </c>
      <c r="Z66" s="2" t="s">
        <v>696</v>
      </c>
      <c r="AA66" s="12" t="str">
        <f t="shared" si="5"/>
        <v>SUBTRACT</v>
      </c>
      <c r="AB66" s="2" t="s">
        <v>807</v>
      </c>
      <c r="AC66" s="12" t="str">
        <f>trimtext(SplitText($AB66,",",0))</f>
        <v>F6</v>
      </c>
      <c r="AD66" s="12" t="str">
        <f>IF(SplitText($AB66,",",COLUMN(AD:AD)-COLUMN($AC:$AC))="",$AC66,trimtext(SplitText($AB66,",",COLUMN(AD:AD)-COLUMN($AC:$AC))))</f>
        <v>F6</v>
      </c>
      <c r="AE66" s="18" t="str">
        <f t="shared" si="6"/>
        <v>&lt;xs:enumeration value="T40"&gt;&lt;xs:annotation&gt;&lt;xs:documentation&gt;Typically F6 for keyboard type 4, different values for different keyboard types&lt;/xs:documentation&gt;&lt;xs:appinfo&gt;&lt;default-vk&gt;</v>
      </c>
      <c r="AF66" s="15" t="str">
        <f>IF(D66&lt;&gt;"","&lt;vk kbd="""&amp;D$1&amp;""" vk="""&amp;D66&amp;""""&amp;IF(Scan2VKFlags!B66&lt;&gt;""," flags="""&amp;Scan2VKFlags!B66&amp;"""","")&amp;"/&gt;","")</f>
        <v>&lt;vk kbd="1" vk="F6"/&gt;</v>
      </c>
      <c r="AG66" s="15" t="str">
        <f>IF(E66&lt;&gt;"","&lt;vk kbd="""&amp;E$1&amp;""" vk="""&amp;E66&amp;""""&amp;IF(Scan2VKFlags!C66&lt;&gt;""," flags="""&amp;Scan2VKFlags!C66&amp;"""","")&amp;"/&gt;","")</f>
        <v>&lt;vk kbd="2" vk="F6"/&gt;</v>
      </c>
      <c r="AH66" s="15" t="str">
        <f>IF(F66&lt;&gt;"","&lt;vk kbd="""&amp;F$1&amp;""" vk="""&amp;F66&amp;""""&amp;IF(Scan2VKFlags!D66&lt;&gt;""," flags="""&amp;Scan2VKFlags!D66&amp;"""","")&amp;"/&gt;","")</f>
        <v>&lt;vk kbd="3" vk="F6"/&gt;</v>
      </c>
      <c r="AI66" s="15" t="str">
        <f>IF(G66&lt;&gt;"","&lt;vk kbd="""&amp;G$1&amp;""" vk="""&amp;G66&amp;""""&amp;IF(Scan2VKFlags!E66&lt;&gt;""," flags="""&amp;Scan2VKFlags!E66&amp;"""","")&amp;"/&gt;","")</f>
        <v>&lt;vk kbd="4" vk="F6"/&gt;</v>
      </c>
      <c r="AJ66" s="15" t="str">
        <f>IF(H66&lt;&gt;"","&lt;vk kbd="""&amp;H$1&amp;""" vk="""&amp;H66&amp;""""&amp;IF(Scan2VKFlags!F66&lt;&gt;""," flags="""&amp;Scan2VKFlags!F66&amp;"""","")&amp;"/&gt;","")</f>
        <v>&lt;vk kbd="5" vk="F6"/&gt;</v>
      </c>
      <c r="AK66" s="16" t="str">
        <f>IF(I66&lt;&gt;"","&lt;vk kbd="""&amp;I$1&amp;""" vk="""&amp;I66&amp;""""&amp;IF(Scan2VKFlags!G66&lt;&gt;""," flags="""&amp;Scan2VKFlags!G66&amp;"""","")&amp;"/&gt;","")</f>
        <v>&lt;vk kbd="6" vk="F6"/&gt;</v>
      </c>
      <c r="AL66" s="3" t="str">
        <f>IF(K66&lt;&gt;"","&lt;vk kbd="""&amp;K$1&amp;""" vk="""&amp;K66&amp;""""&amp;IF(Scan2VKFlags!H66&lt;&gt;""," flags="""&amp;Scan2VKFlags!H66&amp;"""","")&amp;"/&gt;","")</f>
        <v>&lt;vk kbd="7" vk="F6"/&gt;</v>
      </c>
      <c r="AM66" t="str">
        <f>IF(L66&lt;&gt;"","&lt;vk kbd="""&amp;L$1&amp;""" vk="""&amp;L66&amp;""""&amp;IF(Scan2VKFlags!I66&lt;&gt;""," flags="""&amp;Scan2VKFlags!I66&amp;"""","")&amp;"/&gt;","")</f>
        <v>&lt;vk kbd="8" vk="F6"/&gt;</v>
      </c>
      <c r="AN66" t="str">
        <f>IF(M66&lt;&gt;"","&lt;vk kbd="""&amp;M$1&amp;""" vk="""&amp;M66&amp;""""&amp;IF(Scan2VKFlags!J66&lt;&gt;""," flags="""&amp;Scan2VKFlags!J66&amp;"""","")&amp;"/&gt;","")</f>
        <v>&lt;vk kbd="16" vk="F6"/&gt;</v>
      </c>
      <c r="AO66" t="str">
        <f>IF(N66&lt;&gt;"","&lt;vk kbd="""&amp;N$1&amp;""" vk="""&amp;N66&amp;""""&amp;IF(Scan2VKFlags!K66&lt;&gt;""," flags="""&amp;Scan2VKFlags!K66&amp;"""","")&amp;"/&gt;","")</f>
        <v>&lt;vk kbd="10" vk="F6"/&gt;</v>
      </c>
      <c r="AP66" t="str">
        <f>IF(O66&lt;&gt;"","&lt;vk kbd="""&amp;O$1&amp;""" vk="""&amp;O66&amp;""""&amp;IF(Scan2VKFlags!L66&lt;&gt;""," flags="""&amp;Scan2VKFlags!L66&amp;"""","")&amp;"/&gt;","")</f>
        <v>&lt;vk kbd="11" vk="F6"/&gt;</v>
      </c>
      <c r="AQ66" t="str">
        <f>IF(P66&lt;&gt;"","&lt;vk kbd="""&amp;P$1&amp;""" vk="""&amp;P66&amp;""""&amp;IF(Scan2VKFlags!M66&lt;&gt;""," flags="""&amp;Scan2VKFlags!M66&amp;"""","")&amp;"/&gt;","")</f>
        <v>&lt;vk kbd="12" vk="F6"/&gt;</v>
      </c>
      <c r="AR66" s="16" t="str">
        <f>IF(Q66&lt;&gt;"","&lt;vk kbd="""&amp;Q$1&amp;""" vk="""&amp;Q66&amp;""""&amp;IF(Scan2VKFlags!N66&lt;&gt;""," flags="""&amp;Scan2VKFlags!N66&amp;"""","")&amp;"/&gt;","")</f>
        <v>&lt;vk kbd="13" vk="F6"/&gt;</v>
      </c>
      <c r="AS66" s="3" t="str">
        <f>IF(S66&lt;&gt;"","&lt;vk kbd="""&amp;S$1&amp;""" vk="""&amp;S66&amp;""""&amp;IF(Scan2VKFlags!O66&lt;&gt;""," flags="""&amp;Scan2VKFlags!O66&amp;"""","")&amp;"/&gt;","")</f>
        <v>&lt;vk kbd="20" vk="NUMPAD6"/&gt;</v>
      </c>
      <c r="AT66" t="str">
        <f>IF(T66&lt;&gt;"","&lt;vk kbd="""&amp;T$1&amp;""" vk="""&amp;T66&amp;""""&amp;IF(Scan2VKFlags!P66&lt;&gt;""," flags="""&amp;Scan2VKFlags!P66&amp;"""","")&amp;"/&gt;","")</f>
        <v>&lt;vk kbd="21" vk="NUMPAD6"/&gt;</v>
      </c>
      <c r="AU66" s="16" t="str">
        <f>IF(U66&lt;&gt;"","&lt;vk kbd="""&amp;U$1&amp;""" vk="""&amp;U66&amp;""""&amp;IF(Scan2VKFlags!Q66&lt;&gt;""," flags="""&amp;Scan2VKFlags!Q66&amp;"""","")&amp;"/&gt;","")</f>
        <v>&lt;vk kbd="22" vk="F6"/&gt;</v>
      </c>
      <c r="AV66" s="3" t="str">
        <f>IF(W66&lt;&gt;"","&lt;vk kbd="""&amp;W$1&amp;""" vk="""&amp;W66&amp;""""&amp;IF(Scan2VKFlags!R66&lt;&gt;""," flags="""&amp;Scan2VKFlags!R66&amp;"""","")&amp;"/&gt;","")</f>
        <v>&lt;vk kbd="30" vk="F6"/&gt;</v>
      </c>
      <c r="AW66" s="15" t="str">
        <f>IF(X66&lt;&gt;"","&lt;vk kbd="""&amp;X$1&amp;""" vk="""&amp;X66&amp;""""&amp;IF(Scan2VKFlags!S66&lt;&gt;""," flags="""&amp;Scan2VKFlags!S66&amp;"""","")&amp;"/&gt;","")</f>
        <v>&lt;vk kbd="33" vk="F6"/&gt;</v>
      </c>
      <c r="AX66" s="15" t="str">
        <f>IF(Y66&lt;&gt;"","&lt;vk kbd="""&amp;Y$1&amp;""" vk="""&amp;Y66&amp;""""&amp;IF(Scan2VKFlags!T66&lt;&gt;""," flags="""&amp;Scan2VKFlags!T66&amp;"""","")&amp;"/&gt;","")</f>
        <v>&lt;vk kbd="34" vk="F6"/&gt;</v>
      </c>
      <c r="AY66" s="18" t="str">
        <f>IF(AA66&lt;&gt;"","&lt;vk kbd="""&amp;AA$1&amp;""" vk="""&amp;AA66&amp;""""&amp;IF(Scan2VKFlags!U66&lt;&gt;""," flags="""&amp;Scan2VKFlags!U66&amp;"""","")&amp;"/&gt;","")</f>
        <v>&lt;vk kbd="37" vk="SUBTRACT"/&gt;</v>
      </c>
      <c r="AZ66" s="3" t="str">
        <f>IF(AC66&lt;&gt;"","&lt;vk kbd="""&amp;AC$1&amp;""" vk="""&amp;AC66&amp;""""&amp;IF(Scan2VKFlags!V66&lt;&gt;""," flags="""&amp;Scan2VKFlags!V66&amp;"""","")&amp;"/&gt;","")</f>
        <v>&lt;vk kbd="40" vk="F6"/&gt;</v>
      </c>
      <c r="BA66" s="16" t="str">
        <f>IF(AD66&lt;&gt;"","&lt;vk kbd="""&amp;AD$1&amp;""" vk="""&amp;AD66&amp;""""&amp;IF(Scan2VKFlags!W66&lt;&gt;""," flags="""&amp;Scan2VKFlags!W66&amp;"""","")&amp;"/&gt;","")</f>
        <v>&lt;vk kbd="41" vk="F6"/&gt;</v>
      </c>
      <c r="BB66" t="s">
        <v>854</v>
      </c>
    </row>
    <row r="67" spans="1:54" x14ac:dyDescent="0.25">
      <c r="A67">
        <f t="shared" si="7"/>
        <v>65</v>
      </c>
      <c r="B67" t="str">
        <f t="shared" ref="B67:B129" si="8">"T" &amp; DEC2HEX(A67,2)</f>
        <v>T41</v>
      </c>
      <c r="C67" s="7" t="s">
        <v>65</v>
      </c>
      <c r="D67" s="12" t="str">
        <f>trimtext(SplitText($C67,",",0))</f>
        <v>F7</v>
      </c>
      <c r="E67" s="12" t="str">
        <f>IF(SplitText($C67,",",COLUMN(E:E)-COLUMN($D:$D))="",$D67,trimtext(SplitText($C67,",",COLUMN(E:E)-COLUMN($D:$D))))</f>
        <v>F7</v>
      </c>
      <c r="F67" s="12" t="str">
        <f>IF(SplitText($C67,",",COLUMN(F:F)-COLUMN($D:$D))="",$D67,trimtext(SplitText($C67,",",COLUMN(F:F)-COLUMN($D:$D))))</f>
        <v>F7</v>
      </c>
      <c r="G67" s="12" t="str">
        <f>IF(SplitText($C67,",",COLUMN(G:G)-COLUMN($D:$D))="",$D67,trimtext(SplitText($C67,",",COLUMN(G:G)-COLUMN($D:$D))))</f>
        <v>F7</v>
      </c>
      <c r="H67" s="12" t="str">
        <f>IF(SplitText($C67,",",COLUMN(H:H)-COLUMN($D:$D))="",$D67,trimtext(SplitText($C67,",",COLUMN(H:H)-COLUMN($D:$D))))</f>
        <v>F7</v>
      </c>
      <c r="I67" s="12" t="str">
        <f>IF(SplitText($C67,",",COLUMN(I:I)-COLUMN($D:$D))="",$D67,trimtext(SplitText($C67,",",COLUMN(I:I)-COLUMN($D:$D))))</f>
        <v>F7</v>
      </c>
      <c r="J67" s="9" t="s">
        <v>250</v>
      </c>
      <c r="K67" s="12" t="str">
        <f>trimtext(SplitText($J67,",",0))</f>
        <v>F7</v>
      </c>
      <c r="L67" s="12" t="str">
        <f>IF(SplitText($J67,",",COLUMN(L:L)-COLUMN($K:$K))="",$K67,trimtext(SplitText($J67,",",COLUMN(L:L)-COLUMN($K:$K))))</f>
        <v>F7</v>
      </c>
      <c r="M67" s="12" t="str">
        <f>IF(SplitText($J67,",",COLUMN(M:M)-COLUMN($K:$K))="",$K67,trimtext(SplitText($J67,",",COLUMN(M:M)-COLUMN($K:$K))))</f>
        <v>F7</v>
      </c>
      <c r="N67" s="12" t="str">
        <f>IF(SplitText($J67,",",COLUMN(N:N)-COLUMN($K:$K))="",$K67,trimtext(SplitText($J67,",",COLUMN(N:N)-COLUMN($K:$K))))</f>
        <v>F7</v>
      </c>
      <c r="O67" s="12" t="str">
        <f>IF(SplitText($J67,",",COLUMN(O:O)-COLUMN($K:$K))="",$K67,trimtext(SplitText($J67,",",COLUMN(O:O)-COLUMN($K:$K))))</f>
        <v>F7</v>
      </c>
      <c r="P67" s="12" t="str">
        <f>IF(SplitText($J67,",",COLUMN(P:P)-COLUMN($K:$K))="",$K67,trimtext(SplitText($J67,",",COLUMN(P:P)-COLUMN($K:$K))))</f>
        <v>F7</v>
      </c>
      <c r="Q67" s="12" t="str">
        <f>IF(SplitText($J67,",",COLUMN(Q:Q)-COLUMN($K:$K))="",$K67,trimtext(SplitText($J67,",",COLUMN(Q:Q)-COLUMN($K:$K))))</f>
        <v>F7</v>
      </c>
      <c r="R67" s="2" t="s">
        <v>407</v>
      </c>
      <c r="S67" s="12" t="str">
        <f>trimtext(SplitText($R67,",",0))</f>
        <v>SEPARATOR</v>
      </c>
      <c r="T67" s="12" t="str">
        <f>IF(SplitText($R67,",",COLUMN(T:T)-COLUMN($S:$S))="",$S67,trimtext(SplitText($R67,",",COLUMN(T:T)-COLUMN($S:$S))))</f>
        <v>SEPARATOR</v>
      </c>
      <c r="U67" s="12" t="str">
        <f>IF(SplitText($R67,",",COLUMN(U:U)-COLUMN($S:$S))="",$S67,trimtext(SplitText($R67,",",COLUMN(U:U)-COLUMN($S:$S))))</f>
        <v>F7</v>
      </c>
      <c r="V67" s="2" t="s">
        <v>571</v>
      </c>
      <c r="W67" s="12" t="str">
        <f>trimtext(SplitText($V67,",",0))</f>
        <v>F7</v>
      </c>
      <c r="X67" s="12" t="str">
        <f>IF(SplitText($V67,",",COLUMN(X:X)-COLUMN($W:$W))="",$W67,trimtext(SplitText($V67,",",COLUMN(X:X)-COLUMN($W:$W))))</f>
        <v>F7</v>
      </c>
      <c r="Y67" s="12" t="str">
        <f>IF(SplitText($V67,",",COLUMN(Y:Y)-COLUMN($W:$W))="",$W67,trimtext(SplitText($V67,",",COLUMN(Y:Y)-COLUMN($W:$W))))</f>
        <v>F7</v>
      </c>
      <c r="Z67" s="2" t="s">
        <v>697</v>
      </c>
      <c r="AA67" s="12" t="str">
        <f t="shared" ref="AA67:AA131" si="9">trimtext(Z67)</f>
        <v>DIVIDE</v>
      </c>
      <c r="AB67" s="2" t="s">
        <v>808</v>
      </c>
      <c r="AC67" s="12" t="str">
        <f>trimtext(SplitText($AB67,",",0))</f>
        <v>F7</v>
      </c>
      <c r="AD67" s="12" t="str">
        <f>IF(SplitText($AB67,",",COLUMN(AD:AD)-COLUMN($AC:$AC))="",$AC67,trimtext(SplitText($AB67,",",COLUMN(AD:AD)-COLUMN($AC:$AC))))</f>
        <v>F7</v>
      </c>
      <c r="AE67" s="18" t="str">
        <f t="shared" ref="AE67:AE129" si="10">"&lt;xs:enumeration value="""&amp;B67&amp;"""&gt;&lt;xs:annotation&gt;&lt;xs:documentation&gt;Typically "&amp;IF(E67="",D67,G67&amp;" for keyboard type 4, different values for different keyboard types")&amp;"&lt;/xs:documentation&gt;&lt;xs:appinfo&gt;&lt;default-vk&gt;"</f>
        <v>&lt;xs:enumeration value="T41"&gt;&lt;xs:annotation&gt;&lt;xs:documentation&gt;Typically F7 for keyboard type 4, different values for different keyboard types&lt;/xs:documentation&gt;&lt;xs:appinfo&gt;&lt;default-vk&gt;</v>
      </c>
      <c r="AF67" s="15" t="str">
        <f>IF(D67&lt;&gt;"","&lt;vk kbd="""&amp;D$1&amp;""" vk="""&amp;D67&amp;""""&amp;IF(Scan2VKFlags!B67&lt;&gt;""," flags="""&amp;Scan2VKFlags!B67&amp;"""","")&amp;"/&gt;","")</f>
        <v>&lt;vk kbd="1" vk="F7"/&gt;</v>
      </c>
      <c r="AG67" s="15" t="str">
        <f>IF(E67&lt;&gt;"","&lt;vk kbd="""&amp;E$1&amp;""" vk="""&amp;E67&amp;""""&amp;IF(Scan2VKFlags!C67&lt;&gt;""," flags="""&amp;Scan2VKFlags!C67&amp;"""","")&amp;"/&gt;","")</f>
        <v>&lt;vk kbd="2" vk="F7"/&gt;</v>
      </c>
      <c r="AH67" s="15" t="str">
        <f>IF(F67&lt;&gt;"","&lt;vk kbd="""&amp;F$1&amp;""" vk="""&amp;F67&amp;""""&amp;IF(Scan2VKFlags!D67&lt;&gt;""," flags="""&amp;Scan2VKFlags!D67&amp;"""","")&amp;"/&gt;","")</f>
        <v>&lt;vk kbd="3" vk="F7"/&gt;</v>
      </c>
      <c r="AI67" s="15" t="str">
        <f>IF(G67&lt;&gt;"","&lt;vk kbd="""&amp;G$1&amp;""" vk="""&amp;G67&amp;""""&amp;IF(Scan2VKFlags!E67&lt;&gt;""," flags="""&amp;Scan2VKFlags!E67&amp;"""","")&amp;"/&gt;","")</f>
        <v>&lt;vk kbd="4" vk="F7"/&gt;</v>
      </c>
      <c r="AJ67" s="15" t="str">
        <f>IF(H67&lt;&gt;"","&lt;vk kbd="""&amp;H$1&amp;""" vk="""&amp;H67&amp;""""&amp;IF(Scan2VKFlags!F67&lt;&gt;""," flags="""&amp;Scan2VKFlags!F67&amp;"""","")&amp;"/&gt;","")</f>
        <v>&lt;vk kbd="5" vk="F7"/&gt;</v>
      </c>
      <c r="AK67" s="16" t="str">
        <f>IF(I67&lt;&gt;"","&lt;vk kbd="""&amp;I$1&amp;""" vk="""&amp;I67&amp;""""&amp;IF(Scan2VKFlags!G67&lt;&gt;""," flags="""&amp;Scan2VKFlags!G67&amp;"""","")&amp;"/&gt;","")</f>
        <v>&lt;vk kbd="6" vk="F7"/&gt;</v>
      </c>
      <c r="AL67" s="3" t="str">
        <f>IF(K67&lt;&gt;"","&lt;vk kbd="""&amp;K$1&amp;""" vk="""&amp;K67&amp;""""&amp;IF(Scan2VKFlags!H67&lt;&gt;""," flags="""&amp;Scan2VKFlags!H67&amp;"""","")&amp;"/&gt;","")</f>
        <v>&lt;vk kbd="7" vk="F7"/&gt;</v>
      </c>
      <c r="AM67" t="str">
        <f>IF(L67&lt;&gt;"","&lt;vk kbd="""&amp;L$1&amp;""" vk="""&amp;L67&amp;""""&amp;IF(Scan2VKFlags!I67&lt;&gt;""," flags="""&amp;Scan2VKFlags!I67&amp;"""","")&amp;"/&gt;","")</f>
        <v>&lt;vk kbd="8" vk="F7"/&gt;</v>
      </c>
      <c r="AN67" t="str">
        <f>IF(M67&lt;&gt;"","&lt;vk kbd="""&amp;M$1&amp;""" vk="""&amp;M67&amp;""""&amp;IF(Scan2VKFlags!J67&lt;&gt;""," flags="""&amp;Scan2VKFlags!J67&amp;"""","")&amp;"/&gt;","")</f>
        <v>&lt;vk kbd="16" vk="F7"/&gt;</v>
      </c>
      <c r="AO67" t="str">
        <f>IF(N67&lt;&gt;"","&lt;vk kbd="""&amp;N$1&amp;""" vk="""&amp;N67&amp;""""&amp;IF(Scan2VKFlags!K67&lt;&gt;""," flags="""&amp;Scan2VKFlags!K67&amp;"""","")&amp;"/&gt;","")</f>
        <v>&lt;vk kbd="10" vk="F7"/&gt;</v>
      </c>
      <c r="AP67" t="str">
        <f>IF(O67&lt;&gt;"","&lt;vk kbd="""&amp;O$1&amp;""" vk="""&amp;O67&amp;""""&amp;IF(Scan2VKFlags!L67&lt;&gt;""," flags="""&amp;Scan2VKFlags!L67&amp;"""","")&amp;"/&gt;","")</f>
        <v>&lt;vk kbd="11" vk="F7"/&gt;</v>
      </c>
      <c r="AQ67" t="str">
        <f>IF(P67&lt;&gt;"","&lt;vk kbd="""&amp;P$1&amp;""" vk="""&amp;P67&amp;""""&amp;IF(Scan2VKFlags!M67&lt;&gt;""," flags="""&amp;Scan2VKFlags!M67&amp;"""","")&amp;"/&gt;","")</f>
        <v>&lt;vk kbd="12" vk="F7"/&gt;</v>
      </c>
      <c r="AR67" s="16" t="str">
        <f>IF(Q67&lt;&gt;"","&lt;vk kbd="""&amp;Q$1&amp;""" vk="""&amp;Q67&amp;""""&amp;IF(Scan2VKFlags!N67&lt;&gt;""," flags="""&amp;Scan2VKFlags!N67&amp;"""","")&amp;"/&gt;","")</f>
        <v>&lt;vk kbd="13" vk="F7"/&gt;</v>
      </c>
      <c r="AS67" s="3" t="str">
        <f>IF(S67&lt;&gt;"","&lt;vk kbd="""&amp;S$1&amp;""" vk="""&amp;S67&amp;""""&amp;IF(Scan2VKFlags!O67&lt;&gt;""," flags="""&amp;Scan2VKFlags!O67&amp;"""","")&amp;"/&gt;","")</f>
        <v>&lt;vk kbd="20" vk="SEPARATOR"/&gt;</v>
      </c>
      <c r="AT67" t="str">
        <f>IF(T67&lt;&gt;"","&lt;vk kbd="""&amp;T$1&amp;""" vk="""&amp;T67&amp;""""&amp;IF(Scan2VKFlags!P67&lt;&gt;""," flags="""&amp;Scan2VKFlags!P67&amp;"""","")&amp;"/&gt;","")</f>
        <v>&lt;vk kbd="21" vk="SEPARATOR"/&gt;</v>
      </c>
      <c r="AU67" s="16" t="str">
        <f>IF(U67&lt;&gt;"","&lt;vk kbd="""&amp;U$1&amp;""" vk="""&amp;U67&amp;""""&amp;IF(Scan2VKFlags!Q67&lt;&gt;""," flags="""&amp;Scan2VKFlags!Q67&amp;"""","")&amp;"/&gt;","")</f>
        <v>&lt;vk kbd="22" vk="F7"/&gt;</v>
      </c>
      <c r="AV67" s="3" t="str">
        <f>IF(W67&lt;&gt;"","&lt;vk kbd="""&amp;W$1&amp;""" vk="""&amp;W67&amp;""""&amp;IF(Scan2VKFlags!R67&lt;&gt;""," flags="""&amp;Scan2VKFlags!R67&amp;"""","")&amp;"/&gt;","")</f>
        <v>&lt;vk kbd="30" vk="F7"/&gt;</v>
      </c>
      <c r="AW67" s="15" t="str">
        <f>IF(X67&lt;&gt;"","&lt;vk kbd="""&amp;X$1&amp;""" vk="""&amp;X67&amp;""""&amp;IF(Scan2VKFlags!S67&lt;&gt;""," flags="""&amp;Scan2VKFlags!S67&amp;"""","")&amp;"/&gt;","")</f>
        <v>&lt;vk kbd="33" vk="F7"/&gt;</v>
      </c>
      <c r="AX67" s="15" t="str">
        <f>IF(Y67&lt;&gt;"","&lt;vk kbd="""&amp;Y$1&amp;""" vk="""&amp;Y67&amp;""""&amp;IF(Scan2VKFlags!T67&lt;&gt;""," flags="""&amp;Scan2VKFlags!T67&amp;"""","")&amp;"/&gt;","")</f>
        <v>&lt;vk kbd="34" vk="F7"/&gt;</v>
      </c>
      <c r="AY67" s="18" t="str">
        <f>IF(AA67&lt;&gt;"","&lt;vk kbd="""&amp;AA$1&amp;""" vk="""&amp;AA67&amp;""""&amp;IF(Scan2VKFlags!U67&lt;&gt;""," flags="""&amp;Scan2VKFlags!U67&amp;"""","")&amp;"/&gt;","")</f>
        <v>&lt;vk kbd="37" vk="DIVIDE"/&gt;</v>
      </c>
      <c r="AZ67" s="3" t="str">
        <f>IF(AC67&lt;&gt;"","&lt;vk kbd="""&amp;AC$1&amp;""" vk="""&amp;AC67&amp;""""&amp;IF(Scan2VKFlags!V67&lt;&gt;""," flags="""&amp;Scan2VKFlags!V67&amp;"""","")&amp;"/&gt;","")</f>
        <v>&lt;vk kbd="40" vk="F7"/&gt;</v>
      </c>
      <c r="BA67" s="16" t="str">
        <f>IF(AD67&lt;&gt;"","&lt;vk kbd="""&amp;AD$1&amp;""" vk="""&amp;AD67&amp;""""&amp;IF(Scan2VKFlags!W67&lt;&gt;""," flags="""&amp;Scan2VKFlags!W67&amp;"""","")&amp;"/&gt;","")</f>
        <v>&lt;vk kbd="41" vk="F7"/&gt;</v>
      </c>
      <c r="BB67" t="s">
        <v>854</v>
      </c>
    </row>
    <row r="68" spans="1:54" x14ac:dyDescent="0.25">
      <c r="A68">
        <f t="shared" ref="A68:A129" si="11">A67+1</f>
        <v>66</v>
      </c>
      <c r="B68" t="str">
        <f t="shared" si="8"/>
        <v>T42</v>
      </c>
      <c r="C68" s="7" t="s">
        <v>66</v>
      </c>
      <c r="D68" s="12" t="str">
        <f>trimtext(SplitText($C68,",",0))</f>
        <v>F8</v>
      </c>
      <c r="E68" s="12" t="str">
        <f>IF(SplitText($C68,",",COLUMN(E:E)-COLUMN($D:$D))="",$D68,trimtext(SplitText($C68,",",COLUMN(E:E)-COLUMN($D:$D))))</f>
        <v>F8</v>
      </c>
      <c r="F68" s="12" t="str">
        <f>IF(SplitText($C68,",",COLUMN(F:F)-COLUMN($D:$D))="",$D68,trimtext(SplitText($C68,",",COLUMN(F:F)-COLUMN($D:$D))))</f>
        <v>F8</v>
      </c>
      <c r="G68" s="12" t="str">
        <f>IF(SplitText($C68,",",COLUMN(G:G)-COLUMN($D:$D))="",$D68,trimtext(SplitText($C68,",",COLUMN(G:G)-COLUMN($D:$D))))</f>
        <v>F8</v>
      </c>
      <c r="H68" s="12" t="str">
        <f>IF(SplitText($C68,",",COLUMN(H:H)-COLUMN($D:$D))="",$D68,trimtext(SplitText($C68,",",COLUMN(H:H)-COLUMN($D:$D))))</f>
        <v>F8</v>
      </c>
      <c r="I68" s="12" t="str">
        <f>IF(SplitText($C68,",",COLUMN(I:I)-COLUMN($D:$D))="",$D68,trimtext(SplitText($C68,",",COLUMN(I:I)-COLUMN($D:$D))))</f>
        <v>F8</v>
      </c>
      <c r="J68" s="9" t="s">
        <v>251</v>
      </c>
      <c r="K68" s="12" t="str">
        <f>trimtext(SplitText($J68,",",0))</f>
        <v>F8</v>
      </c>
      <c r="L68" s="12" t="str">
        <f>IF(SplitText($J68,",",COLUMN(L:L)-COLUMN($K:$K))="",$K68,trimtext(SplitText($J68,",",COLUMN(L:L)-COLUMN($K:$K))))</f>
        <v>F8</v>
      </c>
      <c r="M68" s="12" t="str">
        <f>IF(SplitText($J68,",",COLUMN(M:M)-COLUMN($K:$K))="",$K68,trimtext(SplitText($J68,",",COLUMN(M:M)-COLUMN($K:$K))))</f>
        <v>F8</v>
      </c>
      <c r="N68" s="12" t="str">
        <f>IF(SplitText($J68,",",COLUMN(N:N)-COLUMN($K:$K))="",$K68,trimtext(SplitText($J68,",",COLUMN(N:N)-COLUMN($K:$K))))</f>
        <v>F8</v>
      </c>
      <c r="O68" s="12" t="str">
        <f>IF(SplitText($J68,",",COLUMN(O:O)-COLUMN($K:$K))="",$K68,trimtext(SplitText($J68,",",COLUMN(O:O)-COLUMN($K:$K))))</f>
        <v>F8</v>
      </c>
      <c r="P68" s="12" t="str">
        <f>IF(SplitText($J68,",",COLUMN(P:P)-COLUMN($K:$K))="",$K68,trimtext(SplitText($J68,",",COLUMN(P:P)-COLUMN($K:$K))))</f>
        <v>F8</v>
      </c>
      <c r="Q68" s="12" t="str">
        <f>IF(SplitText($J68,",",COLUMN(Q:Q)-COLUMN($K:$K))="",$K68,trimtext(SplitText($J68,",",COLUMN(Q:Q)-COLUMN($K:$K))))</f>
        <v>F8</v>
      </c>
      <c r="R68" s="2" t="s">
        <v>408</v>
      </c>
      <c r="S68" s="12" t="str">
        <f>trimtext(SplitText($R68,",",0))</f>
        <v>NUMPAD1</v>
      </c>
      <c r="T68" s="12" t="str">
        <f>IF(SplitText($R68,",",COLUMN(T:T)-COLUMN($S:$S))="",$S68,trimtext(SplitText($R68,",",COLUMN(T:T)-COLUMN($S:$S))))</f>
        <v>NUMPAD1</v>
      </c>
      <c r="U68" s="12" t="str">
        <f>IF(SplitText($R68,",",COLUMN(U:U)-COLUMN($S:$S))="",$S68,trimtext(SplitText($R68,",",COLUMN(U:U)-COLUMN($S:$S))))</f>
        <v>F8</v>
      </c>
      <c r="V68" s="2" t="s">
        <v>572</v>
      </c>
      <c r="W68" s="12" t="str">
        <f>trimtext(SplitText($V68,",",0))</f>
        <v>F8</v>
      </c>
      <c r="X68" s="12" t="str">
        <f>IF(SplitText($V68,",",COLUMN(X:X)-COLUMN($W:$W))="",$W68,trimtext(SplitText($V68,",",COLUMN(X:X)-COLUMN($W:$W))))</f>
        <v>F8</v>
      </c>
      <c r="Y68" s="12" t="str">
        <f>IF(SplitText($V68,",",COLUMN(Y:Y)-COLUMN($W:$W))="",$W68,trimtext(SplitText($V68,",",COLUMN(Y:Y)-COLUMN($W:$W))))</f>
        <v>F8</v>
      </c>
      <c r="Z68" s="2" t="s">
        <v>698</v>
      </c>
      <c r="AA68" s="12" t="str">
        <f t="shared" si="9"/>
        <v>NUMPAD7</v>
      </c>
      <c r="AB68" s="2" t="s">
        <v>809</v>
      </c>
      <c r="AC68" s="12" t="str">
        <f>trimtext(SplitText($AB68,",",0))</f>
        <v>F8</v>
      </c>
      <c r="AD68" s="12" t="str">
        <f>IF(SplitText($AB68,",",COLUMN(AD:AD)-COLUMN($AC:$AC))="",$AC68,trimtext(SplitText($AB68,",",COLUMN(AD:AD)-COLUMN($AC:$AC))))</f>
        <v>F8</v>
      </c>
      <c r="AE68" s="18" t="str">
        <f t="shared" si="10"/>
        <v>&lt;xs:enumeration value="T42"&gt;&lt;xs:annotation&gt;&lt;xs:documentation&gt;Typically F8 for keyboard type 4, different values for different keyboard types&lt;/xs:documentation&gt;&lt;xs:appinfo&gt;&lt;default-vk&gt;</v>
      </c>
      <c r="AF68" s="15" t="str">
        <f>IF(D68&lt;&gt;"","&lt;vk kbd="""&amp;D$1&amp;""" vk="""&amp;D68&amp;""""&amp;IF(Scan2VKFlags!B68&lt;&gt;""," flags="""&amp;Scan2VKFlags!B68&amp;"""","")&amp;"/&gt;","")</f>
        <v>&lt;vk kbd="1" vk="F8"/&gt;</v>
      </c>
      <c r="AG68" s="15" t="str">
        <f>IF(E68&lt;&gt;"","&lt;vk kbd="""&amp;E$1&amp;""" vk="""&amp;E68&amp;""""&amp;IF(Scan2VKFlags!C68&lt;&gt;""," flags="""&amp;Scan2VKFlags!C68&amp;"""","")&amp;"/&gt;","")</f>
        <v>&lt;vk kbd="2" vk="F8"/&gt;</v>
      </c>
      <c r="AH68" s="15" t="str">
        <f>IF(F68&lt;&gt;"","&lt;vk kbd="""&amp;F$1&amp;""" vk="""&amp;F68&amp;""""&amp;IF(Scan2VKFlags!D68&lt;&gt;""," flags="""&amp;Scan2VKFlags!D68&amp;"""","")&amp;"/&gt;","")</f>
        <v>&lt;vk kbd="3" vk="F8"/&gt;</v>
      </c>
      <c r="AI68" s="15" t="str">
        <f>IF(G68&lt;&gt;"","&lt;vk kbd="""&amp;G$1&amp;""" vk="""&amp;G68&amp;""""&amp;IF(Scan2VKFlags!E68&lt;&gt;""," flags="""&amp;Scan2VKFlags!E68&amp;"""","")&amp;"/&gt;","")</f>
        <v>&lt;vk kbd="4" vk="F8"/&gt;</v>
      </c>
      <c r="AJ68" s="15" t="str">
        <f>IF(H68&lt;&gt;"","&lt;vk kbd="""&amp;H$1&amp;""" vk="""&amp;H68&amp;""""&amp;IF(Scan2VKFlags!F68&lt;&gt;""," flags="""&amp;Scan2VKFlags!F68&amp;"""","")&amp;"/&gt;","")</f>
        <v>&lt;vk kbd="5" vk="F8"/&gt;</v>
      </c>
      <c r="AK68" s="16" t="str">
        <f>IF(I68&lt;&gt;"","&lt;vk kbd="""&amp;I$1&amp;""" vk="""&amp;I68&amp;""""&amp;IF(Scan2VKFlags!G68&lt;&gt;""," flags="""&amp;Scan2VKFlags!G68&amp;"""","")&amp;"/&gt;","")</f>
        <v>&lt;vk kbd="6" vk="F8"/&gt;</v>
      </c>
      <c r="AL68" s="3" t="str">
        <f>IF(K68&lt;&gt;"","&lt;vk kbd="""&amp;K$1&amp;""" vk="""&amp;K68&amp;""""&amp;IF(Scan2VKFlags!H68&lt;&gt;""," flags="""&amp;Scan2VKFlags!H68&amp;"""","")&amp;"/&gt;","")</f>
        <v>&lt;vk kbd="7" vk="F8"/&gt;</v>
      </c>
      <c r="AM68" t="str">
        <f>IF(L68&lt;&gt;"","&lt;vk kbd="""&amp;L$1&amp;""" vk="""&amp;L68&amp;""""&amp;IF(Scan2VKFlags!I68&lt;&gt;""," flags="""&amp;Scan2VKFlags!I68&amp;"""","")&amp;"/&gt;","")</f>
        <v>&lt;vk kbd="8" vk="F8"/&gt;</v>
      </c>
      <c r="AN68" t="str">
        <f>IF(M68&lt;&gt;"","&lt;vk kbd="""&amp;M$1&amp;""" vk="""&amp;M68&amp;""""&amp;IF(Scan2VKFlags!J68&lt;&gt;""," flags="""&amp;Scan2VKFlags!J68&amp;"""","")&amp;"/&gt;","")</f>
        <v>&lt;vk kbd="16" vk="F8"/&gt;</v>
      </c>
      <c r="AO68" t="str">
        <f>IF(N68&lt;&gt;"","&lt;vk kbd="""&amp;N$1&amp;""" vk="""&amp;N68&amp;""""&amp;IF(Scan2VKFlags!K68&lt;&gt;""," flags="""&amp;Scan2VKFlags!K68&amp;"""","")&amp;"/&gt;","")</f>
        <v>&lt;vk kbd="10" vk="F8"/&gt;</v>
      </c>
      <c r="AP68" t="str">
        <f>IF(O68&lt;&gt;"","&lt;vk kbd="""&amp;O$1&amp;""" vk="""&amp;O68&amp;""""&amp;IF(Scan2VKFlags!L68&lt;&gt;""," flags="""&amp;Scan2VKFlags!L68&amp;"""","")&amp;"/&gt;","")</f>
        <v>&lt;vk kbd="11" vk="F8"/&gt;</v>
      </c>
      <c r="AQ68" t="str">
        <f>IF(P68&lt;&gt;"","&lt;vk kbd="""&amp;P$1&amp;""" vk="""&amp;P68&amp;""""&amp;IF(Scan2VKFlags!M68&lt;&gt;""," flags="""&amp;Scan2VKFlags!M68&amp;"""","")&amp;"/&gt;","")</f>
        <v>&lt;vk kbd="12" vk="F8"/&gt;</v>
      </c>
      <c r="AR68" s="16" t="str">
        <f>IF(Q68&lt;&gt;"","&lt;vk kbd="""&amp;Q$1&amp;""" vk="""&amp;Q68&amp;""""&amp;IF(Scan2VKFlags!N68&lt;&gt;""," flags="""&amp;Scan2VKFlags!N68&amp;"""","")&amp;"/&gt;","")</f>
        <v>&lt;vk kbd="13" vk="F8"/&gt;</v>
      </c>
      <c r="AS68" s="3" t="str">
        <f>IF(S68&lt;&gt;"","&lt;vk kbd="""&amp;S$1&amp;""" vk="""&amp;S68&amp;""""&amp;IF(Scan2VKFlags!O68&lt;&gt;""," flags="""&amp;Scan2VKFlags!O68&amp;"""","")&amp;"/&gt;","")</f>
        <v>&lt;vk kbd="20" vk="NUMPAD1"/&gt;</v>
      </c>
      <c r="AT68" t="str">
        <f>IF(T68&lt;&gt;"","&lt;vk kbd="""&amp;T$1&amp;""" vk="""&amp;T68&amp;""""&amp;IF(Scan2VKFlags!P68&lt;&gt;""," flags="""&amp;Scan2VKFlags!P68&amp;"""","")&amp;"/&gt;","")</f>
        <v>&lt;vk kbd="21" vk="NUMPAD1"/&gt;</v>
      </c>
      <c r="AU68" s="16" t="str">
        <f>IF(U68&lt;&gt;"","&lt;vk kbd="""&amp;U$1&amp;""" vk="""&amp;U68&amp;""""&amp;IF(Scan2VKFlags!Q68&lt;&gt;""," flags="""&amp;Scan2VKFlags!Q68&amp;"""","")&amp;"/&gt;","")</f>
        <v>&lt;vk kbd="22" vk="F8"/&gt;</v>
      </c>
      <c r="AV68" s="3" t="str">
        <f>IF(W68&lt;&gt;"","&lt;vk kbd="""&amp;W$1&amp;""" vk="""&amp;W68&amp;""""&amp;IF(Scan2VKFlags!R68&lt;&gt;""," flags="""&amp;Scan2VKFlags!R68&amp;"""","")&amp;"/&gt;","")</f>
        <v>&lt;vk kbd="30" vk="F8"/&gt;</v>
      </c>
      <c r="AW68" s="15" t="str">
        <f>IF(X68&lt;&gt;"","&lt;vk kbd="""&amp;X$1&amp;""" vk="""&amp;X68&amp;""""&amp;IF(Scan2VKFlags!S68&lt;&gt;""," flags="""&amp;Scan2VKFlags!S68&amp;"""","")&amp;"/&gt;","")</f>
        <v>&lt;vk kbd="33" vk="F8"/&gt;</v>
      </c>
      <c r="AX68" s="15" t="str">
        <f>IF(Y68&lt;&gt;"","&lt;vk kbd="""&amp;Y$1&amp;""" vk="""&amp;Y68&amp;""""&amp;IF(Scan2VKFlags!T68&lt;&gt;""," flags="""&amp;Scan2VKFlags!T68&amp;"""","")&amp;"/&gt;","")</f>
        <v>&lt;vk kbd="34" vk="F8"/&gt;</v>
      </c>
      <c r="AY68" s="18" t="str">
        <f>IF(AA68&lt;&gt;"","&lt;vk kbd="""&amp;AA$1&amp;""" vk="""&amp;AA68&amp;""""&amp;IF(Scan2VKFlags!U68&lt;&gt;""," flags="""&amp;Scan2VKFlags!U68&amp;"""","")&amp;"/&gt;","")</f>
        <v>&lt;vk kbd="37" vk="NUMPAD7"/&gt;</v>
      </c>
      <c r="AZ68" s="3" t="str">
        <f>IF(AC68&lt;&gt;"","&lt;vk kbd="""&amp;AC$1&amp;""" vk="""&amp;AC68&amp;""""&amp;IF(Scan2VKFlags!V68&lt;&gt;""," flags="""&amp;Scan2VKFlags!V68&amp;"""","")&amp;"/&gt;","")</f>
        <v>&lt;vk kbd="40" vk="F8"/&gt;</v>
      </c>
      <c r="BA68" s="16" t="str">
        <f>IF(AD68&lt;&gt;"","&lt;vk kbd="""&amp;AD$1&amp;""" vk="""&amp;AD68&amp;""""&amp;IF(Scan2VKFlags!W68&lt;&gt;""," flags="""&amp;Scan2VKFlags!W68&amp;"""","")&amp;"/&gt;","")</f>
        <v>&lt;vk kbd="41" vk="F8"/&gt;</v>
      </c>
      <c r="BB68" t="s">
        <v>854</v>
      </c>
    </row>
    <row r="69" spans="1:54" x14ac:dyDescent="0.25">
      <c r="A69">
        <f t="shared" si="11"/>
        <v>67</v>
      </c>
      <c r="B69" t="str">
        <f t="shared" si="8"/>
        <v>T43</v>
      </c>
      <c r="C69" s="7" t="s">
        <v>67</v>
      </c>
      <c r="D69" s="12" t="str">
        <f>trimtext(SplitText($C69,",",0))</f>
        <v>F9</v>
      </c>
      <c r="E69" s="12" t="str">
        <f>IF(SplitText($C69,",",COLUMN(E:E)-COLUMN($D:$D))="",$D69,trimtext(SplitText($C69,",",COLUMN(E:E)-COLUMN($D:$D))))</f>
        <v>F9</v>
      </c>
      <c r="F69" s="12" t="str">
        <f>IF(SplitText($C69,",",COLUMN(F:F)-COLUMN($D:$D))="",$D69,trimtext(SplitText($C69,",",COLUMN(F:F)-COLUMN($D:$D))))</f>
        <v>F9</v>
      </c>
      <c r="G69" s="12" t="str">
        <f>IF(SplitText($C69,",",COLUMN(G:G)-COLUMN($D:$D))="",$D69,trimtext(SplitText($C69,",",COLUMN(G:G)-COLUMN($D:$D))))</f>
        <v>F9</v>
      </c>
      <c r="H69" s="12" t="str">
        <f>IF(SplitText($C69,",",COLUMN(H:H)-COLUMN($D:$D))="",$D69,trimtext(SplitText($C69,",",COLUMN(H:H)-COLUMN($D:$D))))</f>
        <v>F9</v>
      </c>
      <c r="I69" s="12" t="str">
        <f>IF(SplitText($C69,",",COLUMN(I:I)-COLUMN($D:$D))="",$D69,trimtext(SplitText($C69,",",COLUMN(I:I)-COLUMN($D:$D))))</f>
        <v>F9</v>
      </c>
      <c r="J69" s="9" t="s">
        <v>252</v>
      </c>
      <c r="K69" s="12" t="str">
        <f>trimtext(SplitText($J69,",",0))</f>
        <v>F9</v>
      </c>
      <c r="L69" s="12" t="str">
        <f>IF(SplitText($J69,",",COLUMN(L:L)-COLUMN($K:$K))="",$K69,trimtext(SplitText($J69,",",COLUMN(L:L)-COLUMN($K:$K))))</f>
        <v>F9</v>
      </c>
      <c r="M69" s="12" t="str">
        <f>IF(SplitText($J69,",",COLUMN(M:M)-COLUMN($K:$K))="",$K69,trimtext(SplitText($J69,",",COLUMN(M:M)-COLUMN($K:$K))))</f>
        <v>F9</v>
      </c>
      <c r="N69" s="12" t="str">
        <f>IF(SplitText($J69,",",COLUMN(N:N)-COLUMN($K:$K))="",$K69,trimtext(SplitText($J69,",",COLUMN(N:N)-COLUMN($K:$K))))</f>
        <v>F9</v>
      </c>
      <c r="O69" s="12" t="str">
        <f>IF(SplitText($J69,",",COLUMN(O:O)-COLUMN($K:$K))="",$K69,trimtext(SplitText($J69,",",COLUMN(O:O)-COLUMN($K:$K))))</f>
        <v>F9</v>
      </c>
      <c r="P69" s="12" t="str">
        <f>IF(SplitText($J69,",",COLUMN(P:P)-COLUMN($K:$K))="",$K69,trimtext(SplitText($J69,",",COLUMN(P:P)-COLUMN($K:$K))))</f>
        <v>F9</v>
      </c>
      <c r="Q69" s="12" t="str">
        <f>IF(SplitText($J69,",",COLUMN(Q:Q)-COLUMN($K:$K))="",$K69,trimtext(SplitText($J69,",",COLUMN(Q:Q)-COLUMN($K:$K))))</f>
        <v>F9</v>
      </c>
      <c r="R69" s="2" t="s">
        <v>409</v>
      </c>
      <c r="S69" s="12" t="str">
        <f>trimtext(SplitText($R69,",",0))</f>
        <v>NUMPAD2</v>
      </c>
      <c r="T69" s="12" t="str">
        <f>IF(SplitText($R69,",",COLUMN(T:T)-COLUMN($S:$S))="",$S69,trimtext(SplitText($R69,",",COLUMN(T:T)-COLUMN($S:$S))))</f>
        <v>NUMPAD2</v>
      </c>
      <c r="U69" s="12" t="str">
        <f>IF(SplitText($R69,",",COLUMN(U:U)-COLUMN($S:$S))="",$S69,trimtext(SplitText($R69,",",COLUMN(U:U)-COLUMN($S:$S))))</f>
        <v>F9</v>
      </c>
      <c r="V69" s="2" t="s">
        <v>573</v>
      </c>
      <c r="W69" s="12" t="str">
        <f>trimtext(SplitText($V69,",",0))</f>
        <v>F9</v>
      </c>
      <c r="X69" s="12" t="str">
        <f>IF(SplitText($V69,",",COLUMN(X:X)-COLUMN($W:$W))="",$W69,trimtext(SplitText($V69,",",COLUMN(X:X)-COLUMN($W:$W))))</f>
        <v>F9</v>
      </c>
      <c r="Y69" s="12" t="str">
        <f>IF(SplitText($V69,",",COLUMN(Y:Y)-COLUMN($W:$W))="",$W69,trimtext(SplitText($V69,",",COLUMN(Y:Y)-COLUMN($W:$W))))</f>
        <v>F9</v>
      </c>
      <c r="Z69" s="2" t="s">
        <v>699</v>
      </c>
      <c r="AA69" s="12" t="str">
        <f t="shared" si="9"/>
        <v>NUMPAD8</v>
      </c>
      <c r="AB69" s="2" t="s">
        <v>810</v>
      </c>
      <c r="AC69" s="12" t="str">
        <f>trimtext(SplitText($AB69,",",0))</f>
        <v>F9</v>
      </c>
      <c r="AD69" s="12" t="str">
        <f>IF(SplitText($AB69,",",COLUMN(AD:AD)-COLUMN($AC:$AC))="",$AC69,trimtext(SplitText($AB69,",",COLUMN(AD:AD)-COLUMN($AC:$AC))))</f>
        <v>F9</v>
      </c>
      <c r="AE69" s="18" t="str">
        <f t="shared" si="10"/>
        <v>&lt;xs:enumeration value="T43"&gt;&lt;xs:annotation&gt;&lt;xs:documentation&gt;Typically F9 for keyboard type 4, different values for different keyboard types&lt;/xs:documentation&gt;&lt;xs:appinfo&gt;&lt;default-vk&gt;</v>
      </c>
      <c r="AF69" s="15" t="str">
        <f>IF(D69&lt;&gt;"","&lt;vk kbd="""&amp;D$1&amp;""" vk="""&amp;D69&amp;""""&amp;IF(Scan2VKFlags!B69&lt;&gt;""," flags="""&amp;Scan2VKFlags!B69&amp;"""","")&amp;"/&gt;","")</f>
        <v>&lt;vk kbd="1" vk="F9"/&gt;</v>
      </c>
      <c r="AG69" s="15" t="str">
        <f>IF(E69&lt;&gt;"","&lt;vk kbd="""&amp;E$1&amp;""" vk="""&amp;E69&amp;""""&amp;IF(Scan2VKFlags!C69&lt;&gt;""," flags="""&amp;Scan2VKFlags!C69&amp;"""","")&amp;"/&gt;","")</f>
        <v>&lt;vk kbd="2" vk="F9"/&gt;</v>
      </c>
      <c r="AH69" s="15" t="str">
        <f>IF(F69&lt;&gt;"","&lt;vk kbd="""&amp;F$1&amp;""" vk="""&amp;F69&amp;""""&amp;IF(Scan2VKFlags!D69&lt;&gt;""," flags="""&amp;Scan2VKFlags!D69&amp;"""","")&amp;"/&gt;","")</f>
        <v>&lt;vk kbd="3" vk="F9"/&gt;</v>
      </c>
      <c r="AI69" s="15" t="str">
        <f>IF(G69&lt;&gt;"","&lt;vk kbd="""&amp;G$1&amp;""" vk="""&amp;G69&amp;""""&amp;IF(Scan2VKFlags!E69&lt;&gt;""," flags="""&amp;Scan2VKFlags!E69&amp;"""","")&amp;"/&gt;","")</f>
        <v>&lt;vk kbd="4" vk="F9"/&gt;</v>
      </c>
      <c r="AJ69" s="15" t="str">
        <f>IF(H69&lt;&gt;"","&lt;vk kbd="""&amp;H$1&amp;""" vk="""&amp;H69&amp;""""&amp;IF(Scan2VKFlags!F69&lt;&gt;""," flags="""&amp;Scan2VKFlags!F69&amp;"""","")&amp;"/&gt;","")</f>
        <v>&lt;vk kbd="5" vk="F9"/&gt;</v>
      </c>
      <c r="AK69" s="16" t="str">
        <f>IF(I69&lt;&gt;"","&lt;vk kbd="""&amp;I$1&amp;""" vk="""&amp;I69&amp;""""&amp;IF(Scan2VKFlags!G69&lt;&gt;""," flags="""&amp;Scan2VKFlags!G69&amp;"""","")&amp;"/&gt;","")</f>
        <v>&lt;vk kbd="6" vk="F9"/&gt;</v>
      </c>
      <c r="AL69" s="3" t="str">
        <f>IF(K69&lt;&gt;"","&lt;vk kbd="""&amp;K$1&amp;""" vk="""&amp;K69&amp;""""&amp;IF(Scan2VKFlags!H69&lt;&gt;""," flags="""&amp;Scan2VKFlags!H69&amp;"""","")&amp;"/&gt;","")</f>
        <v>&lt;vk kbd="7" vk="F9"/&gt;</v>
      </c>
      <c r="AM69" t="str">
        <f>IF(L69&lt;&gt;"","&lt;vk kbd="""&amp;L$1&amp;""" vk="""&amp;L69&amp;""""&amp;IF(Scan2VKFlags!I69&lt;&gt;""," flags="""&amp;Scan2VKFlags!I69&amp;"""","")&amp;"/&gt;","")</f>
        <v>&lt;vk kbd="8" vk="F9"/&gt;</v>
      </c>
      <c r="AN69" t="str">
        <f>IF(M69&lt;&gt;"","&lt;vk kbd="""&amp;M$1&amp;""" vk="""&amp;M69&amp;""""&amp;IF(Scan2VKFlags!J69&lt;&gt;""," flags="""&amp;Scan2VKFlags!J69&amp;"""","")&amp;"/&gt;","")</f>
        <v>&lt;vk kbd="16" vk="F9"/&gt;</v>
      </c>
      <c r="AO69" t="str">
        <f>IF(N69&lt;&gt;"","&lt;vk kbd="""&amp;N$1&amp;""" vk="""&amp;N69&amp;""""&amp;IF(Scan2VKFlags!K69&lt;&gt;""," flags="""&amp;Scan2VKFlags!K69&amp;"""","")&amp;"/&gt;","")</f>
        <v>&lt;vk kbd="10" vk="F9"/&gt;</v>
      </c>
      <c r="AP69" t="str">
        <f>IF(O69&lt;&gt;"","&lt;vk kbd="""&amp;O$1&amp;""" vk="""&amp;O69&amp;""""&amp;IF(Scan2VKFlags!L69&lt;&gt;""," flags="""&amp;Scan2VKFlags!L69&amp;"""","")&amp;"/&gt;","")</f>
        <v>&lt;vk kbd="11" vk="F9"/&gt;</v>
      </c>
      <c r="AQ69" t="str">
        <f>IF(P69&lt;&gt;"","&lt;vk kbd="""&amp;P$1&amp;""" vk="""&amp;P69&amp;""""&amp;IF(Scan2VKFlags!M69&lt;&gt;""," flags="""&amp;Scan2VKFlags!M69&amp;"""","")&amp;"/&gt;","")</f>
        <v>&lt;vk kbd="12" vk="F9"/&gt;</v>
      </c>
      <c r="AR69" s="16" t="str">
        <f>IF(Q69&lt;&gt;"","&lt;vk kbd="""&amp;Q$1&amp;""" vk="""&amp;Q69&amp;""""&amp;IF(Scan2VKFlags!N69&lt;&gt;""," flags="""&amp;Scan2VKFlags!N69&amp;"""","")&amp;"/&gt;","")</f>
        <v>&lt;vk kbd="13" vk="F9"/&gt;</v>
      </c>
      <c r="AS69" s="3" t="str">
        <f>IF(S69&lt;&gt;"","&lt;vk kbd="""&amp;S$1&amp;""" vk="""&amp;S69&amp;""""&amp;IF(Scan2VKFlags!O69&lt;&gt;""," flags="""&amp;Scan2VKFlags!O69&amp;"""","")&amp;"/&gt;","")</f>
        <v>&lt;vk kbd="20" vk="NUMPAD2"/&gt;</v>
      </c>
      <c r="AT69" t="str">
        <f>IF(T69&lt;&gt;"","&lt;vk kbd="""&amp;T$1&amp;""" vk="""&amp;T69&amp;""""&amp;IF(Scan2VKFlags!P69&lt;&gt;""," flags="""&amp;Scan2VKFlags!P69&amp;"""","")&amp;"/&gt;","")</f>
        <v>&lt;vk kbd="21" vk="NUMPAD2"/&gt;</v>
      </c>
      <c r="AU69" s="16" t="str">
        <f>IF(U69&lt;&gt;"","&lt;vk kbd="""&amp;U$1&amp;""" vk="""&amp;U69&amp;""""&amp;IF(Scan2VKFlags!Q69&lt;&gt;""," flags="""&amp;Scan2VKFlags!Q69&amp;"""","")&amp;"/&gt;","")</f>
        <v>&lt;vk kbd="22" vk="F9"/&gt;</v>
      </c>
      <c r="AV69" s="3" t="str">
        <f>IF(W69&lt;&gt;"","&lt;vk kbd="""&amp;W$1&amp;""" vk="""&amp;W69&amp;""""&amp;IF(Scan2VKFlags!R69&lt;&gt;""," flags="""&amp;Scan2VKFlags!R69&amp;"""","")&amp;"/&gt;","")</f>
        <v>&lt;vk kbd="30" vk="F9"/&gt;</v>
      </c>
      <c r="AW69" s="15" t="str">
        <f>IF(X69&lt;&gt;"","&lt;vk kbd="""&amp;X$1&amp;""" vk="""&amp;X69&amp;""""&amp;IF(Scan2VKFlags!S69&lt;&gt;""," flags="""&amp;Scan2VKFlags!S69&amp;"""","")&amp;"/&gt;","")</f>
        <v>&lt;vk kbd="33" vk="F9"/&gt;</v>
      </c>
      <c r="AX69" s="15" t="str">
        <f>IF(Y69&lt;&gt;"","&lt;vk kbd="""&amp;Y$1&amp;""" vk="""&amp;Y69&amp;""""&amp;IF(Scan2VKFlags!T69&lt;&gt;""," flags="""&amp;Scan2VKFlags!T69&amp;"""","")&amp;"/&gt;","")</f>
        <v>&lt;vk kbd="34" vk="F9"/&gt;</v>
      </c>
      <c r="AY69" s="18" t="str">
        <f>IF(AA69&lt;&gt;"","&lt;vk kbd="""&amp;AA$1&amp;""" vk="""&amp;AA69&amp;""""&amp;IF(Scan2VKFlags!U69&lt;&gt;""," flags="""&amp;Scan2VKFlags!U69&amp;"""","")&amp;"/&gt;","")</f>
        <v>&lt;vk kbd="37" vk="NUMPAD8"/&gt;</v>
      </c>
      <c r="AZ69" s="3" t="str">
        <f>IF(AC69&lt;&gt;"","&lt;vk kbd="""&amp;AC$1&amp;""" vk="""&amp;AC69&amp;""""&amp;IF(Scan2VKFlags!V69&lt;&gt;""," flags="""&amp;Scan2VKFlags!V69&amp;"""","")&amp;"/&gt;","")</f>
        <v>&lt;vk kbd="40" vk="F9"/&gt;</v>
      </c>
      <c r="BA69" s="16" t="str">
        <f>IF(AD69&lt;&gt;"","&lt;vk kbd="""&amp;AD$1&amp;""" vk="""&amp;AD69&amp;""""&amp;IF(Scan2VKFlags!W69&lt;&gt;""," flags="""&amp;Scan2VKFlags!W69&amp;"""","")&amp;"/&gt;","")</f>
        <v>&lt;vk kbd="41" vk="F9"/&gt;</v>
      </c>
      <c r="BB69" t="s">
        <v>854</v>
      </c>
    </row>
    <row r="70" spans="1:54" x14ac:dyDescent="0.25">
      <c r="A70">
        <f t="shared" si="11"/>
        <v>68</v>
      </c>
      <c r="B70" t="str">
        <f t="shared" si="8"/>
        <v>T44</v>
      </c>
      <c r="C70" s="7" t="s">
        <v>68</v>
      </c>
      <c r="D70" s="12" t="str">
        <f>trimtext(SplitText($C70,",",0))</f>
        <v>F10</v>
      </c>
      <c r="E70" s="12" t="str">
        <f>IF(SplitText($C70,",",COLUMN(E:E)-COLUMN($D:$D))="",$D70,trimtext(SplitText($C70,",",COLUMN(E:E)-COLUMN($D:$D))))</f>
        <v>F10</v>
      </c>
      <c r="F70" s="12" t="str">
        <f>IF(SplitText($C70,",",COLUMN(F:F)-COLUMN($D:$D))="",$D70,trimtext(SplitText($C70,",",COLUMN(F:F)-COLUMN($D:$D))))</f>
        <v>F10</v>
      </c>
      <c r="G70" s="12" t="str">
        <f>IF(SplitText($C70,",",COLUMN(G:G)-COLUMN($D:$D))="",$D70,trimtext(SplitText($C70,",",COLUMN(G:G)-COLUMN($D:$D))))</f>
        <v>F10</v>
      </c>
      <c r="H70" s="12" t="str">
        <f>IF(SplitText($C70,",",COLUMN(H:H)-COLUMN($D:$D))="",$D70,trimtext(SplitText($C70,",",COLUMN(H:H)-COLUMN($D:$D))))</f>
        <v>F10</v>
      </c>
      <c r="I70" s="12" t="str">
        <f>IF(SplitText($C70,",",COLUMN(I:I)-COLUMN($D:$D))="",$D70,trimtext(SplitText($C70,",",COLUMN(I:I)-COLUMN($D:$D))))</f>
        <v>F10</v>
      </c>
      <c r="J70" s="9" t="s">
        <v>253</v>
      </c>
      <c r="K70" s="12" t="str">
        <f>trimtext(SplitText($J70,",",0))</f>
        <v>F10</v>
      </c>
      <c r="L70" s="12" t="str">
        <f>IF(SplitText($J70,",",COLUMN(L:L)-COLUMN($K:$K))="",$K70,trimtext(SplitText($J70,",",COLUMN(L:L)-COLUMN($K:$K))))</f>
        <v>F10</v>
      </c>
      <c r="M70" s="12" t="str">
        <f>IF(SplitText($J70,",",COLUMN(M:M)-COLUMN($K:$K))="",$K70,trimtext(SplitText($J70,",",COLUMN(M:M)-COLUMN($K:$K))))</f>
        <v>F10</v>
      </c>
      <c r="N70" s="12" t="str">
        <f>IF(SplitText($J70,",",COLUMN(N:N)-COLUMN($K:$K))="",$K70,trimtext(SplitText($J70,",",COLUMN(N:N)-COLUMN($K:$K))))</f>
        <v>F10</v>
      </c>
      <c r="O70" s="12" t="str">
        <f>IF(SplitText($J70,",",COLUMN(O:O)-COLUMN($K:$K))="",$K70,trimtext(SplitText($J70,",",COLUMN(O:O)-COLUMN($K:$K))))</f>
        <v>F10</v>
      </c>
      <c r="P70" s="12" t="str">
        <f>IF(SplitText($J70,",",COLUMN(P:P)-COLUMN($K:$K))="",$K70,trimtext(SplitText($J70,",",COLUMN(P:P)-COLUMN($K:$K))))</f>
        <v>F10</v>
      </c>
      <c r="Q70" s="12" t="str">
        <f>IF(SplitText($J70,",",COLUMN(Q:Q)-COLUMN($K:$K))="",$K70,trimtext(SplitText($J70,",",COLUMN(Q:Q)-COLUMN($K:$K))))</f>
        <v>F10</v>
      </c>
      <c r="R70" s="2" t="s">
        <v>410</v>
      </c>
      <c r="S70" s="12" t="str">
        <f>trimtext(SplitText($R70,",",0))</f>
        <v>NUMPAD3</v>
      </c>
      <c r="T70" s="12" t="str">
        <f>IF(SplitText($R70,",",COLUMN(T:T)-COLUMN($S:$S))="",$S70,trimtext(SplitText($R70,",",COLUMN(T:T)-COLUMN($S:$S))))</f>
        <v>NUMPAD3</v>
      </c>
      <c r="U70" s="12" t="str">
        <f>IF(SplitText($R70,",",COLUMN(U:U)-COLUMN($S:$S))="",$S70,trimtext(SplitText($R70,",",COLUMN(U:U)-COLUMN($S:$S))))</f>
        <v>F10</v>
      </c>
      <c r="V70" s="2" t="s">
        <v>574</v>
      </c>
      <c r="W70" s="12" t="str">
        <f>trimtext(SplitText($V70,",",0))</f>
        <v>F10</v>
      </c>
      <c r="X70" s="12" t="str">
        <f>IF(SplitText($V70,",",COLUMN(X:X)-COLUMN($W:$W))="",$W70,trimtext(SplitText($V70,",",COLUMN(X:X)-COLUMN($W:$W))))</f>
        <v>F10</v>
      </c>
      <c r="Y70" s="12" t="str">
        <f>IF(SplitText($V70,",",COLUMN(Y:Y)-COLUMN($W:$W))="",$W70,trimtext(SplitText($V70,",",COLUMN(Y:Y)-COLUMN($W:$W))))</f>
        <v>F10</v>
      </c>
      <c r="Z70" s="2" t="s">
        <v>700</v>
      </c>
      <c r="AA70" s="12" t="str">
        <f t="shared" si="9"/>
        <v>NUMPAD9</v>
      </c>
      <c r="AB70" s="2" t="s">
        <v>811</v>
      </c>
      <c r="AC70" s="12" t="str">
        <f>trimtext(SplitText($AB70,",",0))</f>
        <v>F10</v>
      </c>
      <c r="AD70" s="12" t="str">
        <f>IF(SplitText($AB70,",",COLUMN(AD:AD)-COLUMN($AC:$AC))="",$AC70,trimtext(SplitText($AB70,",",COLUMN(AD:AD)-COLUMN($AC:$AC))))</f>
        <v>F10</v>
      </c>
      <c r="AE70" s="18" t="str">
        <f t="shared" si="10"/>
        <v>&lt;xs:enumeration value="T44"&gt;&lt;xs:annotation&gt;&lt;xs:documentation&gt;Typically F10 for keyboard type 4, different values for different keyboard types&lt;/xs:documentation&gt;&lt;xs:appinfo&gt;&lt;default-vk&gt;</v>
      </c>
      <c r="AF70" s="15" t="str">
        <f>IF(D70&lt;&gt;"","&lt;vk kbd="""&amp;D$1&amp;""" vk="""&amp;D70&amp;""""&amp;IF(Scan2VKFlags!B70&lt;&gt;""," flags="""&amp;Scan2VKFlags!B70&amp;"""","")&amp;"/&gt;","")</f>
        <v>&lt;vk kbd="1" vk="F10"/&gt;</v>
      </c>
      <c r="AG70" s="15" t="str">
        <f>IF(E70&lt;&gt;"","&lt;vk kbd="""&amp;E$1&amp;""" vk="""&amp;E70&amp;""""&amp;IF(Scan2VKFlags!C70&lt;&gt;""," flags="""&amp;Scan2VKFlags!C70&amp;"""","")&amp;"/&gt;","")</f>
        <v>&lt;vk kbd="2" vk="F10"/&gt;</v>
      </c>
      <c r="AH70" s="15" t="str">
        <f>IF(F70&lt;&gt;"","&lt;vk kbd="""&amp;F$1&amp;""" vk="""&amp;F70&amp;""""&amp;IF(Scan2VKFlags!D70&lt;&gt;""," flags="""&amp;Scan2VKFlags!D70&amp;"""","")&amp;"/&gt;","")</f>
        <v>&lt;vk kbd="3" vk="F10"/&gt;</v>
      </c>
      <c r="AI70" s="15" t="str">
        <f>IF(G70&lt;&gt;"","&lt;vk kbd="""&amp;G$1&amp;""" vk="""&amp;G70&amp;""""&amp;IF(Scan2VKFlags!E70&lt;&gt;""," flags="""&amp;Scan2VKFlags!E70&amp;"""","")&amp;"/&gt;","")</f>
        <v>&lt;vk kbd="4" vk="F10"/&gt;</v>
      </c>
      <c r="AJ70" s="15" t="str">
        <f>IF(H70&lt;&gt;"","&lt;vk kbd="""&amp;H$1&amp;""" vk="""&amp;H70&amp;""""&amp;IF(Scan2VKFlags!F70&lt;&gt;""," flags="""&amp;Scan2VKFlags!F70&amp;"""","")&amp;"/&gt;","")</f>
        <v>&lt;vk kbd="5" vk="F10"/&gt;</v>
      </c>
      <c r="AK70" s="16" t="str">
        <f>IF(I70&lt;&gt;"","&lt;vk kbd="""&amp;I$1&amp;""" vk="""&amp;I70&amp;""""&amp;IF(Scan2VKFlags!G70&lt;&gt;""," flags="""&amp;Scan2VKFlags!G70&amp;"""","")&amp;"/&gt;","")</f>
        <v>&lt;vk kbd="6" vk="F10"/&gt;</v>
      </c>
      <c r="AL70" s="3" t="str">
        <f>IF(K70&lt;&gt;"","&lt;vk kbd="""&amp;K$1&amp;""" vk="""&amp;K70&amp;""""&amp;IF(Scan2VKFlags!H70&lt;&gt;""," flags="""&amp;Scan2VKFlags!H70&amp;"""","")&amp;"/&gt;","")</f>
        <v>&lt;vk kbd="7" vk="F10"/&gt;</v>
      </c>
      <c r="AM70" t="str">
        <f>IF(L70&lt;&gt;"","&lt;vk kbd="""&amp;L$1&amp;""" vk="""&amp;L70&amp;""""&amp;IF(Scan2VKFlags!I70&lt;&gt;""," flags="""&amp;Scan2VKFlags!I70&amp;"""","")&amp;"/&gt;","")</f>
        <v>&lt;vk kbd="8" vk="F10"/&gt;</v>
      </c>
      <c r="AN70" t="str">
        <f>IF(M70&lt;&gt;"","&lt;vk kbd="""&amp;M$1&amp;""" vk="""&amp;M70&amp;""""&amp;IF(Scan2VKFlags!J70&lt;&gt;""," flags="""&amp;Scan2VKFlags!J70&amp;"""","")&amp;"/&gt;","")</f>
        <v>&lt;vk kbd="16" vk="F10"/&gt;</v>
      </c>
      <c r="AO70" t="str">
        <f>IF(N70&lt;&gt;"","&lt;vk kbd="""&amp;N$1&amp;""" vk="""&amp;N70&amp;""""&amp;IF(Scan2VKFlags!K70&lt;&gt;""," flags="""&amp;Scan2VKFlags!K70&amp;"""","")&amp;"/&gt;","")</f>
        <v>&lt;vk kbd="10" vk="F10"/&gt;</v>
      </c>
      <c r="AP70" t="str">
        <f>IF(O70&lt;&gt;"","&lt;vk kbd="""&amp;O$1&amp;""" vk="""&amp;O70&amp;""""&amp;IF(Scan2VKFlags!L70&lt;&gt;""," flags="""&amp;Scan2VKFlags!L70&amp;"""","")&amp;"/&gt;","")</f>
        <v>&lt;vk kbd="11" vk="F10"/&gt;</v>
      </c>
      <c r="AQ70" t="str">
        <f>IF(P70&lt;&gt;"","&lt;vk kbd="""&amp;P$1&amp;""" vk="""&amp;P70&amp;""""&amp;IF(Scan2VKFlags!M70&lt;&gt;""," flags="""&amp;Scan2VKFlags!M70&amp;"""","")&amp;"/&gt;","")</f>
        <v>&lt;vk kbd="12" vk="F10"/&gt;</v>
      </c>
      <c r="AR70" s="16" t="str">
        <f>IF(Q70&lt;&gt;"","&lt;vk kbd="""&amp;Q$1&amp;""" vk="""&amp;Q70&amp;""""&amp;IF(Scan2VKFlags!N70&lt;&gt;""," flags="""&amp;Scan2VKFlags!N70&amp;"""","")&amp;"/&gt;","")</f>
        <v>&lt;vk kbd="13" vk="F10"/&gt;</v>
      </c>
      <c r="AS70" s="3" t="str">
        <f>IF(S70&lt;&gt;"","&lt;vk kbd="""&amp;S$1&amp;""" vk="""&amp;S70&amp;""""&amp;IF(Scan2VKFlags!O70&lt;&gt;""," flags="""&amp;Scan2VKFlags!O70&amp;"""","")&amp;"/&gt;","")</f>
        <v>&lt;vk kbd="20" vk="NUMPAD3"/&gt;</v>
      </c>
      <c r="AT70" t="str">
        <f>IF(T70&lt;&gt;"","&lt;vk kbd="""&amp;T$1&amp;""" vk="""&amp;T70&amp;""""&amp;IF(Scan2VKFlags!P70&lt;&gt;""," flags="""&amp;Scan2VKFlags!P70&amp;"""","")&amp;"/&gt;","")</f>
        <v>&lt;vk kbd="21" vk="NUMPAD3"/&gt;</v>
      </c>
      <c r="AU70" s="16" t="str">
        <f>IF(U70&lt;&gt;"","&lt;vk kbd="""&amp;U$1&amp;""" vk="""&amp;U70&amp;""""&amp;IF(Scan2VKFlags!Q70&lt;&gt;""," flags="""&amp;Scan2VKFlags!Q70&amp;"""","")&amp;"/&gt;","")</f>
        <v>&lt;vk kbd="22" vk="F10"/&gt;</v>
      </c>
      <c r="AV70" s="3" t="str">
        <f>IF(W70&lt;&gt;"","&lt;vk kbd="""&amp;W$1&amp;""" vk="""&amp;W70&amp;""""&amp;IF(Scan2VKFlags!R70&lt;&gt;""," flags="""&amp;Scan2VKFlags!R70&amp;"""","")&amp;"/&gt;","")</f>
        <v>&lt;vk kbd="30" vk="F10"/&gt;</v>
      </c>
      <c r="AW70" s="15" t="str">
        <f>IF(X70&lt;&gt;"","&lt;vk kbd="""&amp;X$1&amp;""" vk="""&amp;X70&amp;""""&amp;IF(Scan2VKFlags!S70&lt;&gt;""," flags="""&amp;Scan2VKFlags!S70&amp;"""","")&amp;"/&gt;","")</f>
        <v>&lt;vk kbd="33" vk="F10"/&gt;</v>
      </c>
      <c r="AX70" s="15" t="str">
        <f>IF(Y70&lt;&gt;"","&lt;vk kbd="""&amp;Y$1&amp;""" vk="""&amp;Y70&amp;""""&amp;IF(Scan2VKFlags!T70&lt;&gt;""," flags="""&amp;Scan2VKFlags!T70&amp;"""","")&amp;"/&gt;","")</f>
        <v>&lt;vk kbd="34" vk="F10"/&gt;</v>
      </c>
      <c r="AY70" s="18" t="str">
        <f>IF(AA70&lt;&gt;"","&lt;vk kbd="""&amp;AA$1&amp;""" vk="""&amp;AA70&amp;""""&amp;IF(Scan2VKFlags!U70&lt;&gt;""," flags="""&amp;Scan2VKFlags!U70&amp;"""","")&amp;"/&gt;","")</f>
        <v>&lt;vk kbd="37" vk="NUMPAD9"/&gt;</v>
      </c>
      <c r="AZ70" s="3" t="str">
        <f>IF(AC70&lt;&gt;"","&lt;vk kbd="""&amp;AC$1&amp;""" vk="""&amp;AC70&amp;""""&amp;IF(Scan2VKFlags!V70&lt;&gt;""," flags="""&amp;Scan2VKFlags!V70&amp;"""","")&amp;"/&gt;","")</f>
        <v>&lt;vk kbd="40" vk="F10"/&gt;</v>
      </c>
      <c r="BA70" s="16" t="str">
        <f>IF(AD70&lt;&gt;"","&lt;vk kbd="""&amp;AD$1&amp;""" vk="""&amp;AD70&amp;""""&amp;IF(Scan2VKFlags!W70&lt;&gt;""," flags="""&amp;Scan2VKFlags!W70&amp;"""","")&amp;"/&gt;","")</f>
        <v>&lt;vk kbd="41" vk="F10"/&gt;</v>
      </c>
      <c r="BB70" t="s">
        <v>854</v>
      </c>
    </row>
    <row r="71" spans="1:54" x14ac:dyDescent="0.25">
      <c r="A71">
        <f t="shared" si="11"/>
        <v>69</v>
      </c>
      <c r="B71" t="str">
        <f t="shared" si="8"/>
        <v>T45</v>
      </c>
      <c r="C71" s="7" t="s">
        <v>69</v>
      </c>
      <c r="D71" s="12" t="str">
        <f>trimtext(SplitText($C71,",",0))</f>
        <v>NUMLOCK</v>
      </c>
      <c r="E71" s="12" t="str">
        <f>IF(SplitText($C71,",",COLUMN(E:E)-COLUMN($D:$D))="",$D71,trimtext(SplitText($C71,",",COLUMN(E:E)-COLUMN($D:$D))))</f>
        <v>NUMLOCK</v>
      </c>
      <c r="F71" s="12" t="str">
        <f>IF(SplitText($C71,",",COLUMN(F:F)-COLUMN($D:$D))="",$D71,trimtext(SplitText($C71,",",COLUMN(F:F)-COLUMN($D:$D))))</f>
        <v>NUMLOCK</v>
      </c>
      <c r="G71" s="12" t="str">
        <f>IF(SplitText($C71,",",COLUMN(G:G)-COLUMN($D:$D))="",$D71,trimtext(SplitText($C71,",",COLUMN(G:G)-COLUMN($D:$D))))</f>
        <v>NUMLOCK</v>
      </c>
      <c r="H71" s="12" t="str">
        <f>IF(SplitText($C71,",",COLUMN(H:H)-COLUMN($D:$D))="",$D71,trimtext(SplitText($C71,",",COLUMN(H:H)-COLUMN($D:$D))))</f>
        <v>NUMLOCK</v>
      </c>
      <c r="I71" s="12" t="str">
        <f>IF(SplitText($C71,",",COLUMN(I:I)-COLUMN($D:$D))="",$D71,trimtext(SplitText($C71,",",COLUMN(I:I)-COLUMN($D:$D))))</f>
        <v>NUMLOCK</v>
      </c>
      <c r="J71" s="9" t="s">
        <v>254</v>
      </c>
      <c r="K71" s="12" t="str">
        <f>trimtext(SplitText($J71,",",0))</f>
        <v>NUMLOCK</v>
      </c>
      <c r="L71" s="12" t="str">
        <f>IF(SplitText($J71,",",COLUMN(L:L)-COLUMN($K:$K))="",$K71,trimtext(SplitText($J71,",",COLUMN(L:L)-COLUMN($K:$K))))</f>
        <v>NUMLOCK</v>
      </c>
      <c r="M71" s="12" t="str">
        <f>IF(SplitText($J71,",",COLUMN(M:M)-COLUMN($K:$K))="",$K71,trimtext(SplitText($J71,",",COLUMN(M:M)-COLUMN($K:$K))))</f>
        <v>NUMLOCK</v>
      </c>
      <c r="N71" s="12" t="str">
        <f>IF(SplitText($J71,",",COLUMN(N:N)-COLUMN($K:$K))="",$K71,trimtext(SplitText($J71,",",COLUMN(N:N)-COLUMN($K:$K))))</f>
        <v>NUMLOCK</v>
      </c>
      <c r="O71" s="12" t="str">
        <f>IF(SplitText($J71,",",COLUMN(O:O)-COLUMN($K:$K))="",$K71,trimtext(SplitText($J71,",",COLUMN(O:O)-COLUMN($K:$K))))</f>
        <v>NUMLOCK</v>
      </c>
      <c r="P71" s="12" t="str">
        <f>IF(SplitText($J71,",",COLUMN(P:P)-COLUMN($K:$K))="",$K71,trimtext(SplitText($J71,",",COLUMN(P:P)-COLUMN($K:$K))))</f>
        <v>NUMLOCK</v>
      </c>
      <c r="Q71" s="12" t="str">
        <f>IF(SplitText($J71,",",COLUMN(Q:Q)-COLUMN($K:$K))="",$K71,trimtext(SplitText($J71,",",COLUMN(Q:Q)-COLUMN($K:$K))))</f>
        <v>NUMLOCK</v>
      </c>
      <c r="R71" s="2" t="s">
        <v>411</v>
      </c>
      <c r="S71" s="12" t="str">
        <f>trimtext(SplitText($R71,",",0))</f>
        <v>RETURN</v>
      </c>
      <c r="T71" s="12" t="str">
        <f>IF(SplitText($R71,",",COLUMN(T:T)-COLUMN($S:$S))="",$S71,trimtext(SplitText($R71,",",COLUMN(T:T)-COLUMN($S:$S))))</f>
        <v>RETURN</v>
      </c>
      <c r="U71" s="12" t="str">
        <f>IF(SplitText($R71,",",COLUMN(U:U)-COLUMN($S:$S))="",$S71,trimtext(SplitText($R71,",",COLUMN(U:U)-COLUMN($S:$S))))</f>
        <v>NUMLOCK</v>
      </c>
      <c r="V71" s="2" t="s">
        <v>575</v>
      </c>
      <c r="W71" s="12" t="str">
        <f>trimtext(SplitText($V71,",",0))</f>
        <v>NUMLOCK</v>
      </c>
      <c r="X71" s="12" t="str">
        <f>IF(SplitText($V71,",",COLUMN(X:X)-COLUMN($W:$W))="",$W71,trimtext(SplitText($V71,",",COLUMN(X:X)-COLUMN($W:$W))))</f>
        <v>NUMLOCK</v>
      </c>
      <c r="Y71" s="12" t="str">
        <f>IF(SplitText($V71,",",COLUMN(Y:Y)-COLUMN($W:$W))="",$W71,trimtext(SplitText($V71,",",COLUMN(Y:Y)-COLUMN($W:$W))))</f>
        <v>NUMLOCK</v>
      </c>
      <c r="Z71" s="2" t="s">
        <v>701</v>
      </c>
      <c r="AA71" s="12" t="str">
        <f t="shared" si="9"/>
        <v>MULTIPLY</v>
      </c>
      <c r="AB71" s="2" t="s">
        <v>812</v>
      </c>
      <c r="AC71" s="12" t="str">
        <f>trimtext(SplitText($AB71,",",0))</f>
        <v>NUMLOCK</v>
      </c>
      <c r="AD71" s="12" t="str">
        <f>IF(SplitText($AB71,",",COLUMN(AD:AD)-COLUMN($AC:$AC))="",$AC71,trimtext(SplitText($AB71,",",COLUMN(AD:AD)-COLUMN($AC:$AC))))</f>
        <v>NUMLOCK</v>
      </c>
      <c r="AE71" s="18" t="str">
        <f t="shared" si="10"/>
        <v>&lt;xs:enumeration value="T45"&gt;&lt;xs:annotation&gt;&lt;xs:documentation&gt;Typically NUMLOCK for keyboard type 4, different values for different keyboard types&lt;/xs:documentation&gt;&lt;xs:appinfo&gt;&lt;default-vk&gt;</v>
      </c>
      <c r="AF71" s="15" t="str">
        <f>IF(D71&lt;&gt;"","&lt;vk kbd="""&amp;D$1&amp;""" vk="""&amp;D71&amp;""""&amp;IF(Scan2VKFlags!B71&lt;&gt;""," flags="""&amp;Scan2VKFlags!B71&amp;"""","")&amp;"/&gt;","")</f>
        <v>&lt;vk kbd="1" vk="NUMLOCK"/&gt;</v>
      </c>
      <c r="AG71" s="15" t="str">
        <f>IF(E71&lt;&gt;"","&lt;vk kbd="""&amp;E$1&amp;""" vk="""&amp;E71&amp;""""&amp;IF(Scan2VKFlags!C71&lt;&gt;""," flags="""&amp;Scan2VKFlags!C71&amp;"""","")&amp;"/&gt;","")</f>
        <v>&lt;vk kbd="2" vk="NUMLOCK"/&gt;</v>
      </c>
      <c r="AH71" s="15" t="str">
        <f>IF(F71&lt;&gt;"","&lt;vk kbd="""&amp;F$1&amp;""" vk="""&amp;F71&amp;""""&amp;IF(Scan2VKFlags!D71&lt;&gt;""," flags="""&amp;Scan2VKFlags!D71&amp;"""","")&amp;"/&gt;","")</f>
        <v>&lt;vk kbd="3" vk="NUMLOCK"/&gt;</v>
      </c>
      <c r="AI71" s="15" t="str">
        <f>IF(G71&lt;&gt;"","&lt;vk kbd="""&amp;G$1&amp;""" vk="""&amp;G71&amp;""""&amp;IF(Scan2VKFlags!E71&lt;&gt;""," flags="""&amp;Scan2VKFlags!E71&amp;"""","")&amp;"/&gt;","")</f>
        <v>&lt;vk kbd="4" vk="NUMLOCK" flags="KBDEXT KBDMULTIVK"/&gt;</v>
      </c>
      <c r="AJ71" s="15" t="str">
        <f>IF(H71&lt;&gt;"","&lt;vk kbd="""&amp;H$1&amp;""" vk="""&amp;H71&amp;""""&amp;IF(Scan2VKFlags!F71&lt;&gt;""," flags="""&amp;Scan2VKFlags!F71&amp;"""","")&amp;"/&gt;","")</f>
        <v>&lt;vk kbd="5" vk="NUMLOCK"/&gt;</v>
      </c>
      <c r="AK71" s="16" t="str">
        <f>IF(I71&lt;&gt;"","&lt;vk kbd="""&amp;I$1&amp;""" vk="""&amp;I71&amp;""""&amp;IF(Scan2VKFlags!G71&lt;&gt;""," flags="""&amp;Scan2VKFlags!G71&amp;"""","")&amp;"/&gt;","")</f>
        <v>&lt;vk kbd="6" vk="NUMLOCK"/&gt;</v>
      </c>
      <c r="AL71" s="3" t="str">
        <f>IF(K71&lt;&gt;"","&lt;vk kbd="""&amp;K$1&amp;""" vk="""&amp;K71&amp;""""&amp;IF(Scan2VKFlags!H71&lt;&gt;""," flags="""&amp;Scan2VKFlags!H71&amp;"""","")&amp;"/&gt;","")</f>
        <v>&lt;vk kbd="7" vk="NUMLOCK"/&gt;</v>
      </c>
      <c r="AM71" t="str">
        <f>IF(L71&lt;&gt;"","&lt;vk kbd="""&amp;L$1&amp;""" vk="""&amp;L71&amp;""""&amp;IF(Scan2VKFlags!I71&lt;&gt;""," flags="""&amp;Scan2VKFlags!I71&amp;"""","")&amp;"/&gt;","")</f>
        <v>&lt;vk kbd="8" vk="NUMLOCK"/&gt;</v>
      </c>
      <c r="AN71" t="str">
        <f>IF(M71&lt;&gt;"","&lt;vk kbd="""&amp;M$1&amp;""" vk="""&amp;M71&amp;""""&amp;IF(Scan2VKFlags!J71&lt;&gt;""," flags="""&amp;Scan2VKFlags!J71&amp;"""","")&amp;"/&gt;","")</f>
        <v>&lt;vk kbd="16" vk="NUMLOCK"/&gt;</v>
      </c>
      <c r="AO71" t="str">
        <f>IF(N71&lt;&gt;"","&lt;vk kbd="""&amp;N$1&amp;""" vk="""&amp;N71&amp;""""&amp;IF(Scan2VKFlags!K71&lt;&gt;""," flags="""&amp;Scan2VKFlags!K71&amp;"""","")&amp;"/&gt;","")</f>
        <v>&lt;vk kbd="10" vk="NUMLOCK"/&gt;</v>
      </c>
      <c r="AP71" t="str">
        <f>IF(O71&lt;&gt;"","&lt;vk kbd="""&amp;O$1&amp;""" vk="""&amp;O71&amp;""""&amp;IF(Scan2VKFlags!L71&lt;&gt;""," flags="""&amp;Scan2VKFlags!L71&amp;"""","")&amp;"/&gt;","")</f>
        <v>&lt;vk kbd="11" vk="NUMLOCK"/&gt;</v>
      </c>
      <c r="AQ71" t="str">
        <f>IF(P71&lt;&gt;"","&lt;vk kbd="""&amp;P$1&amp;""" vk="""&amp;P71&amp;""""&amp;IF(Scan2VKFlags!M71&lt;&gt;""," flags="""&amp;Scan2VKFlags!M71&amp;"""","")&amp;"/&gt;","")</f>
        <v>&lt;vk kbd="12" vk="NUMLOCK"/&gt;</v>
      </c>
      <c r="AR71" s="16" t="str">
        <f>IF(Q71&lt;&gt;"","&lt;vk kbd="""&amp;Q$1&amp;""" vk="""&amp;Q71&amp;""""&amp;IF(Scan2VKFlags!N71&lt;&gt;""," flags="""&amp;Scan2VKFlags!N71&amp;"""","")&amp;"/&gt;","")</f>
        <v>&lt;vk kbd="13" vk="NUMLOCK"/&gt;</v>
      </c>
      <c r="AS71" s="3" t="str">
        <f>IF(S71&lt;&gt;"","&lt;vk kbd="""&amp;S$1&amp;""" vk="""&amp;S71&amp;""""&amp;IF(Scan2VKFlags!O71&lt;&gt;""," flags="""&amp;Scan2VKFlags!O71&amp;"""","")&amp;"/&gt;","")</f>
        <v>&lt;vk kbd="20" vk="RETURN"/&gt;</v>
      </c>
      <c r="AT71" t="str">
        <f>IF(T71&lt;&gt;"","&lt;vk kbd="""&amp;T$1&amp;""" vk="""&amp;T71&amp;""""&amp;IF(Scan2VKFlags!P71&lt;&gt;""," flags="""&amp;Scan2VKFlags!P71&amp;"""","")&amp;"/&gt;","")</f>
        <v>&lt;vk kbd="21" vk="RETURN"/&gt;</v>
      </c>
      <c r="AU71" s="16" t="str">
        <f>IF(U71&lt;&gt;"","&lt;vk kbd="""&amp;U$1&amp;""" vk="""&amp;U71&amp;""""&amp;IF(Scan2VKFlags!Q71&lt;&gt;""," flags="""&amp;Scan2VKFlags!Q71&amp;"""","")&amp;"/&gt;","")</f>
        <v>&lt;vk kbd="22" vk="NUMLOCK"/&gt;</v>
      </c>
      <c r="AV71" s="3" t="str">
        <f>IF(W71&lt;&gt;"","&lt;vk kbd="""&amp;W$1&amp;""" vk="""&amp;W71&amp;""""&amp;IF(Scan2VKFlags!R71&lt;&gt;""," flags="""&amp;Scan2VKFlags!R71&amp;"""","")&amp;"/&gt;","")</f>
        <v>&lt;vk kbd="30" vk="NUMLOCK"/&gt;</v>
      </c>
      <c r="AW71" s="15" t="str">
        <f>IF(X71&lt;&gt;"","&lt;vk kbd="""&amp;X$1&amp;""" vk="""&amp;X71&amp;""""&amp;IF(Scan2VKFlags!S71&lt;&gt;""," flags="""&amp;Scan2VKFlags!S71&amp;"""","")&amp;"/&gt;","")</f>
        <v>&lt;vk kbd="33" vk="NUMLOCK"/&gt;</v>
      </c>
      <c r="AX71" s="15" t="str">
        <f>IF(Y71&lt;&gt;"","&lt;vk kbd="""&amp;Y$1&amp;""" vk="""&amp;Y71&amp;""""&amp;IF(Scan2VKFlags!T71&lt;&gt;""," flags="""&amp;Scan2VKFlags!T71&amp;"""","")&amp;"/&gt;","")</f>
        <v>&lt;vk kbd="34" vk="NUMLOCK"/&gt;</v>
      </c>
      <c r="AY71" s="18" t="str">
        <f>IF(AA71&lt;&gt;"","&lt;vk kbd="""&amp;AA$1&amp;""" vk="""&amp;AA71&amp;""""&amp;IF(Scan2VKFlags!U71&lt;&gt;""," flags="""&amp;Scan2VKFlags!U71&amp;"""","")&amp;"/&gt;","")</f>
        <v>&lt;vk kbd="37" vk="MULTIPLY"/&gt;</v>
      </c>
      <c r="AZ71" s="3" t="str">
        <f>IF(AC71&lt;&gt;"","&lt;vk kbd="""&amp;AC$1&amp;""" vk="""&amp;AC71&amp;""""&amp;IF(Scan2VKFlags!V71&lt;&gt;""," flags="""&amp;Scan2VKFlags!V71&amp;"""","")&amp;"/&gt;","")</f>
        <v>&lt;vk kbd="40" vk="NUMLOCK"/&gt;</v>
      </c>
      <c r="BA71" s="16" t="str">
        <f>IF(AD71&lt;&gt;"","&lt;vk kbd="""&amp;AD$1&amp;""" vk="""&amp;AD71&amp;""""&amp;IF(Scan2VKFlags!W71&lt;&gt;""," flags="""&amp;Scan2VKFlags!W71&amp;"""","")&amp;"/&gt;","")</f>
        <v>&lt;vk kbd="41" vk="NUMLOCK"/&gt;</v>
      </c>
      <c r="BB71" t="s">
        <v>854</v>
      </c>
    </row>
    <row r="72" spans="1:54" x14ac:dyDescent="0.25">
      <c r="A72">
        <f t="shared" si="11"/>
        <v>70</v>
      </c>
      <c r="B72" t="str">
        <f t="shared" si="8"/>
        <v>T46</v>
      </c>
      <c r="C72" s="7" t="s">
        <v>70</v>
      </c>
      <c r="D72" s="12" t="str">
        <f>trimtext(SplitText($C72,",",0))</f>
        <v>SCROLL</v>
      </c>
      <c r="E72" s="12" t="str">
        <f>IF(SplitText($C72,",",COLUMN(E:E)-COLUMN($D:$D))="",$D72,trimtext(SplitText($C72,",",COLUMN(E:E)-COLUMN($D:$D))))</f>
        <v>SCROLL</v>
      </c>
      <c r="F72" s="12" t="str">
        <f>IF(SplitText($C72,",",COLUMN(F:F)-COLUMN($D:$D))="",$D72,trimtext(SplitText($C72,",",COLUMN(F:F)-COLUMN($D:$D))))</f>
        <v>SCROLL</v>
      </c>
      <c r="G72" s="12" t="str">
        <f>IF(SplitText($C72,",",COLUMN(G:G)-COLUMN($D:$D))="",$D72,trimtext(SplitText($C72,",",COLUMN(G:G)-COLUMN($D:$D))))</f>
        <v>SCROLL</v>
      </c>
      <c r="H72" s="12" t="str">
        <f>IF(SplitText($C72,",",COLUMN(H:H)-COLUMN($D:$D))="",$D72,trimtext(SplitText($C72,",",COLUMN(H:H)-COLUMN($D:$D))))</f>
        <v>SCROLL</v>
      </c>
      <c r="I72" s="12" t="str">
        <f>IF(SplitText($C72,",",COLUMN(I:I)-COLUMN($D:$D))="",$D72,trimtext(SplitText($C72,",",COLUMN(I:I)-COLUMN($D:$D))))</f>
        <v>SCROLL</v>
      </c>
      <c r="J72" s="9" t="s">
        <v>255</v>
      </c>
      <c r="K72" s="12" t="str">
        <f>trimtext(SplitText($J72,",",0))</f>
        <v>SCROLL</v>
      </c>
      <c r="L72" s="12" t="str">
        <f>IF(SplitText($J72,",",COLUMN(L:L)-COLUMN($K:$K))="",$K72,trimtext(SplitText($J72,",",COLUMN(L:L)-COLUMN($K:$K))))</f>
        <v>SCROLL</v>
      </c>
      <c r="M72" s="12" t="str">
        <f>IF(SplitText($J72,",",COLUMN(M:M)-COLUMN($K:$K))="",$K72,trimtext(SplitText($J72,",",COLUMN(M:M)-COLUMN($K:$K))))</f>
        <v>SCROLL</v>
      </c>
      <c r="N72" s="12" t="str">
        <f>IF(SplitText($J72,",",COLUMN(N:N)-COLUMN($K:$K))="",$K72,trimtext(SplitText($J72,",",COLUMN(N:N)-COLUMN($K:$K))))</f>
        <v>SCROLL</v>
      </c>
      <c r="O72" s="12" t="str">
        <f>IF(SplitText($J72,",",COLUMN(O:O)-COLUMN($K:$K))="",$K72,trimtext(SplitText($J72,",",COLUMN(O:O)-COLUMN($K:$K))))</f>
        <v>SCROLL</v>
      </c>
      <c r="P72" s="12" t="str">
        <f>IF(SplitText($J72,",",COLUMN(P:P)-COLUMN($K:$K))="",$K72,trimtext(SplitText($J72,",",COLUMN(P:P)-COLUMN($K:$K))))</f>
        <v>SCROLL</v>
      </c>
      <c r="Q72" s="12" t="str">
        <f>IF(SplitText($J72,",",COLUMN(Q:Q)-COLUMN($K:$K))="",$K72,trimtext(SplitText($J72,",",COLUMN(Q:Q)-COLUMN($K:$K))))</f>
        <v>SCROLL</v>
      </c>
      <c r="R72" s="2" t="s">
        <v>412</v>
      </c>
      <c r="S72" s="12" t="str">
        <f>trimtext(SplitText($R72,",",0))</f>
        <v>NUMPAD0</v>
      </c>
      <c r="T72" s="12" t="str">
        <f>IF(SplitText($R72,",",COLUMN(T:T)-COLUMN($S:$S))="",$S72,trimtext(SplitText($R72,",",COLUMN(T:T)-COLUMN($S:$S))))</f>
        <v>NUMPAD0</v>
      </c>
      <c r="U72" s="12" t="str">
        <f>IF(SplitText($R72,",",COLUMN(U:U)-COLUMN($S:$S))="",$S72,trimtext(SplitText($R72,",",COLUMN(U:U)-COLUMN($S:$S))))</f>
        <v>SCROLL</v>
      </c>
      <c r="V72" s="2" t="s">
        <v>576</v>
      </c>
      <c r="W72" s="12" t="str">
        <f>trimtext(SplitText($V72,",",0))</f>
        <v>SCROLL</v>
      </c>
      <c r="X72" s="12" t="str">
        <f>IF(SplitText($V72,",",COLUMN(X:X)-COLUMN($W:$W))="",$W72,trimtext(SplitText($V72,",",COLUMN(X:X)-COLUMN($W:$W))))</f>
        <v>SCROLL</v>
      </c>
      <c r="Y72" s="12" t="str">
        <f>IF(SplitText($V72,",",COLUMN(Y:Y)-COLUMN($W:$W))="",$W72,trimtext(SplitText($V72,",",COLUMN(Y:Y)-COLUMN($W:$W))))</f>
        <v>SCROLL</v>
      </c>
      <c r="Z72" s="2" t="s">
        <v>702</v>
      </c>
      <c r="AA72" s="12" t="str">
        <f t="shared" si="9"/>
        <v>NUMPAD4</v>
      </c>
      <c r="AB72" s="2" t="s">
        <v>813</v>
      </c>
      <c r="AC72" s="12" t="str">
        <f>trimtext(SplitText($AB72,",",0))</f>
        <v>SCROLL</v>
      </c>
      <c r="AD72" s="12" t="str">
        <f>IF(SplitText($AB72,",",COLUMN(AD:AD)-COLUMN($AC:$AC))="",$AC72,trimtext(SplitText($AB72,",",COLUMN(AD:AD)-COLUMN($AC:$AC))))</f>
        <v>SCROLL</v>
      </c>
      <c r="AE72" s="18" t="str">
        <f t="shared" si="10"/>
        <v>&lt;xs:enumeration value="T46"&gt;&lt;xs:annotation&gt;&lt;xs:documentation&gt;Typically SCROLL for keyboard type 4, different values for different keyboard types&lt;/xs:documentation&gt;&lt;xs:appinfo&gt;&lt;default-vk&gt;</v>
      </c>
      <c r="AF72" s="15" t="str">
        <f>IF(D72&lt;&gt;"","&lt;vk kbd="""&amp;D$1&amp;""" vk="""&amp;D72&amp;""""&amp;IF(Scan2VKFlags!B72&lt;&gt;""," flags="""&amp;Scan2VKFlags!B72&amp;"""","")&amp;"/&gt;","")</f>
        <v>&lt;vk kbd="1" vk="SCROLL"/&gt;</v>
      </c>
      <c r="AG72" s="15" t="str">
        <f>IF(E72&lt;&gt;"","&lt;vk kbd="""&amp;E$1&amp;""" vk="""&amp;E72&amp;""""&amp;IF(Scan2VKFlags!C72&lt;&gt;""," flags="""&amp;Scan2VKFlags!C72&amp;"""","")&amp;"/&gt;","")</f>
        <v>&lt;vk kbd="2" vk="SCROLL"/&gt;</v>
      </c>
      <c r="AH72" s="15" t="str">
        <f>IF(F72&lt;&gt;"","&lt;vk kbd="""&amp;F$1&amp;""" vk="""&amp;F72&amp;""""&amp;IF(Scan2VKFlags!D72&lt;&gt;""," flags="""&amp;Scan2VKFlags!D72&amp;"""","")&amp;"/&gt;","")</f>
        <v>&lt;vk kbd="3" vk="SCROLL"/&gt;</v>
      </c>
      <c r="AI72" s="15" t="str">
        <f>IF(G72&lt;&gt;"","&lt;vk kbd="""&amp;G$1&amp;""" vk="""&amp;G72&amp;""""&amp;IF(Scan2VKFlags!E72&lt;&gt;""," flags="""&amp;Scan2VKFlags!E72&amp;"""","")&amp;"/&gt;","")</f>
        <v>&lt;vk kbd="4" vk="SCROLL" flags="KBDMULTIVK"/&gt;</v>
      </c>
      <c r="AJ72" s="15" t="str">
        <f>IF(H72&lt;&gt;"","&lt;vk kbd="""&amp;H$1&amp;""" vk="""&amp;H72&amp;""""&amp;IF(Scan2VKFlags!F72&lt;&gt;""," flags="""&amp;Scan2VKFlags!F72&amp;"""","")&amp;"/&gt;","")</f>
        <v>&lt;vk kbd="5" vk="SCROLL"/&gt;</v>
      </c>
      <c r="AK72" s="16" t="str">
        <f>IF(I72&lt;&gt;"","&lt;vk kbd="""&amp;I$1&amp;""" vk="""&amp;I72&amp;""""&amp;IF(Scan2VKFlags!G72&lt;&gt;""," flags="""&amp;Scan2VKFlags!G72&amp;"""","")&amp;"/&gt;","")</f>
        <v>&lt;vk kbd="6" vk="SCROLL"/&gt;</v>
      </c>
      <c r="AL72" s="3" t="str">
        <f>IF(K72&lt;&gt;"","&lt;vk kbd="""&amp;K$1&amp;""" vk="""&amp;K72&amp;""""&amp;IF(Scan2VKFlags!H72&lt;&gt;""," flags="""&amp;Scan2VKFlags!H72&amp;"""","")&amp;"/&gt;","")</f>
        <v>&lt;vk kbd="7" vk="SCROLL"/&gt;</v>
      </c>
      <c r="AM72" t="str">
        <f>IF(L72&lt;&gt;"","&lt;vk kbd="""&amp;L$1&amp;""" vk="""&amp;L72&amp;""""&amp;IF(Scan2VKFlags!I72&lt;&gt;""," flags="""&amp;Scan2VKFlags!I72&amp;"""","")&amp;"/&gt;","")</f>
        <v>&lt;vk kbd="8" vk="SCROLL"/&gt;</v>
      </c>
      <c r="AN72" t="str">
        <f>IF(M72&lt;&gt;"","&lt;vk kbd="""&amp;M$1&amp;""" vk="""&amp;M72&amp;""""&amp;IF(Scan2VKFlags!J72&lt;&gt;""," flags="""&amp;Scan2VKFlags!J72&amp;"""","")&amp;"/&gt;","")</f>
        <v>&lt;vk kbd="16" vk="SCROLL"/&gt;</v>
      </c>
      <c r="AO72" t="str">
        <f>IF(N72&lt;&gt;"","&lt;vk kbd="""&amp;N$1&amp;""" vk="""&amp;N72&amp;""""&amp;IF(Scan2VKFlags!K72&lt;&gt;""," flags="""&amp;Scan2VKFlags!K72&amp;"""","")&amp;"/&gt;","")</f>
        <v>&lt;vk kbd="10" vk="SCROLL"/&gt;</v>
      </c>
      <c r="AP72" t="str">
        <f>IF(O72&lt;&gt;"","&lt;vk kbd="""&amp;O$1&amp;""" vk="""&amp;O72&amp;""""&amp;IF(Scan2VKFlags!L72&lt;&gt;""," flags="""&amp;Scan2VKFlags!L72&amp;"""","")&amp;"/&gt;","")</f>
        <v>&lt;vk kbd="11" vk="SCROLL"/&gt;</v>
      </c>
      <c r="AQ72" t="str">
        <f>IF(P72&lt;&gt;"","&lt;vk kbd="""&amp;P$1&amp;""" vk="""&amp;P72&amp;""""&amp;IF(Scan2VKFlags!M72&lt;&gt;""," flags="""&amp;Scan2VKFlags!M72&amp;"""","")&amp;"/&gt;","")</f>
        <v>&lt;vk kbd="12" vk="SCROLL"/&gt;</v>
      </c>
      <c r="AR72" s="16" t="str">
        <f>IF(Q72&lt;&gt;"","&lt;vk kbd="""&amp;Q$1&amp;""" vk="""&amp;Q72&amp;""""&amp;IF(Scan2VKFlags!N72&lt;&gt;""," flags="""&amp;Scan2VKFlags!N72&amp;"""","")&amp;"/&gt;","")</f>
        <v>&lt;vk kbd="13" vk="SCROLL"/&gt;</v>
      </c>
      <c r="AS72" s="3" t="str">
        <f>IF(S72&lt;&gt;"","&lt;vk kbd="""&amp;S$1&amp;""" vk="""&amp;S72&amp;""""&amp;IF(Scan2VKFlags!O72&lt;&gt;""," flags="""&amp;Scan2VKFlags!O72&amp;"""","")&amp;"/&gt;","")</f>
        <v>&lt;vk kbd="20" vk="NUMPAD0"/&gt;</v>
      </c>
      <c r="AT72" t="str">
        <f>IF(T72&lt;&gt;"","&lt;vk kbd="""&amp;T$1&amp;""" vk="""&amp;T72&amp;""""&amp;IF(Scan2VKFlags!P72&lt;&gt;""," flags="""&amp;Scan2VKFlags!P72&amp;"""","")&amp;"/&gt;","")</f>
        <v>&lt;vk kbd="21" vk="NUMPAD0"/&gt;</v>
      </c>
      <c r="AU72" s="16" t="str">
        <f>IF(U72&lt;&gt;"","&lt;vk kbd="""&amp;U$1&amp;""" vk="""&amp;U72&amp;""""&amp;IF(Scan2VKFlags!Q72&lt;&gt;""," flags="""&amp;Scan2VKFlags!Q72&amp;"""","")&amp;"/&gt;","")</f>
        <v>&lt;vk kbd="22" vk="SCROLL"/&gt;</v>
      </c>
      <c r="AV72" s="3" t="str">
        <f>IF(W72&lt;&gt;"","&lt;vk kbd="""&amp;W$1&amp;""" vk="""&amp;W72&amp;""""&amp;IF(Scan2VKFlags!R72&lt;&gt;""," flags="""&amp;Scan2VKFlags!R72&amp;"""","")&amp;"/&gt;","")</f>
        <v>&lt;vk kbd="30" vk="SCROLL"/&gt;</v>
      </c>
      <c r="AW72" s="15" t="str">
        <f>IF(X72&lt;&gt;"","&lt;vk kbd="""&amp;X$1&amp;""" vk="""&amp;X72&amp;""""&amp;IF(Scan2VKFlags!S72&lt;&gt;""," flags="""&amp;Scan2VKFlags!S72&amp;"""","")&amp;"/&gt;","")</f>
        <v>&lt;vk kbd="33" vk="SCROLL"/&gt;</v>
      </c>
      <c r="AX72" s="15" t="str">
        <f>IF(Y72&lt;&gt;"","&lt;vk kbd="""&amp;Y$1&amp;""" vk="""&amp;Y72&amp;""""&amp;IF(Scan2VKFlags!T72&lt;&gt;""," flags="""&amp;Scan2VKFlags!T72&amp;"""","")&amp;"/&gt;","")</f>
        <v>&lt;vk kbd="34" vk="SCROLL"/&gt;</v>
      </c>
      <c r="AY72" s="18" t="str">
        <f>IF(AA72&lt;&gt;"","&lt;vk kbd="""&amp;AA$1&amp;""" vk="""&amp;AA72&amp;""""&amp;IF(Scan2VKFlags!U72&lt;&gt;""," flags="""&amp;Scan2VKFlags!U72&amp;"""","")&amp;"/&gt;","")</f>
        <v>&lt;vk kbd="37" vk="NUMPAD4"/&gt;</v>
      </c>
      <c r="AZ72" s="3" t="str">
        <f>IF(AC72&lt;&gt;"","&lt;vk kbd="""&amp;AC$1&amp;""" vk="""&amp;AC72&amp;""""&amp;IF(Scan2VKFlags!V72&lt;&gt;""," flags="""&amp;Scan2VKFlags!V72&amp;"""","")&amp;"/&gt;","")</f>
        <v>&lt;vk kbd="40" vk="SCROLL"/&gt;</v>
      </c>
      <c r="BA72" s="16" t="str">
        <f>IF(AD72&lt;&gt;"","&lt;vk kbd="""&amp;AD$1&amp;""" vk="""&amp;AD72&amp;""""&amp;IF(Scan2VKFlags!W72&lt;&gt;""," flags="""&amp;Scan2VKFlags!W72&amp;"""","")&amp;"/&gt;","")</f>
        <v>&lt;vk kbd="41" vk="SCROLL"/&gt;</v>
      </c>
      <c r="BB72" t="s">
        <v>854</v>
      </c>
    </row>
    <row r="73" spans="1:54" x14ac:dyDescent="0.25">
      <c r="A73">
        <f t="shared" si="11"/>
        <v>71</v>
      </c>
      <c r="B73" t="str">
        <f t="shared" si="8"/>
        <v>T47</v>
      </c>
      <c r="C73" s="7" t="s">
        <v>71</v>
      </c>
      <c r="D73" s="12" t="str">
        <f>trimtext(SplitText($C73,",",0))</f>
        <v>HOME</v>
      </c>
      <c r="E73" s="12" t="str">
        <f>IF(SplitText($C73,",",COLUMN(E:E)-COLUMN($D:$D))="",$D73,trimtext(SplitText($C73,",",COLUMN(E:E)-COLUMN($D:$D))))</f>
        <v>HOME</v>
      </c>
      <c r="F73" s="12" t="str">
        <f>IF(SplitText($C73,",",COLUMN(F:F)-COLUMN($D:$D))="",$D73,trimtext(SplitText($C73,",",COLUMN(F:F)-COLUMN($D:$D))))</f>
        <v>HOME</v>
      </c>
      <c r="G73" s="12" t="str">
        <f>IF(SplitText($C73,",",COLUMN(G:G)-COLUMN($D:$D))="",$D73,trimtext(SplitText($C73,",",COLUMN(G:G)-COLUMN($D:$D))))</f>
        <v>HOME</v>
      </c>
      <c r="H73" s="12" t="str">
        <f>IF(SplitText($C73,",",COLUMN(H:H)-COLUMN($D:$D))="",$D73,trimtext(SplitText($C73,",",COLUMN(H:H)-COLUMN($D:$D))))</f>
        <v>HOME</v>
      </c>
      <c r="I73" s="12" t="str">
        <f>IF(SplitText($C73,",",COLUMN(I:I)-COLUMN($D:$D))="",$D73,trimtext(SplitText($C73,",",COLUMN(I:I)-COLUMN($D:$D))))</f>
        <v>HOME</v>
      </c>
      <c r="J73" s="9" t="s">
        <v>256</v>
      </c>
      <c r="K73" s="12" t="str">
        <f>trimtext(SplitText($J73,",",0))</f>
        <v>HOME</v>
      </c>
      <c r="L73" s="12" t="str">
        <f>IF(SplitText($J73,",",COLUMN(L:L)-COLUMN($K:$K))="",$K73,trimtext(SplitText($J73,",",COLUMN(L:L)-COLUMN($K:$K))))</f>
        <v>HOME</v>
      </c>
      <c r="M73" s="12" t="str">
        <f>IF(SplitText($J73,",",COLUMN(M:M)-COLUMN($K:$K))="",$K73,trimtext(SplitText($J73,",",COLUMN(M:M)-COLUMN($K:$K))))</f>
        <v>HOME</v>
      </c>
      <c r="N73" s="12" t="str">
        <f>IF(SplitText($J73,",",COLUMN(N:N)-COLUMN($K:$K))="",$K73,trimtext(SplitText($J73,",",COLUMN(N:N)-COLUMN($K:$K))))</f>
        <v>HOME</v>
      </c>
      <c r="O73" s="12" t="str">
        <f>IF(SplitText($J73,",",COLUMN(O:O)-COLUMN($K:$K))="",$K73,trimtext(SplitText($J73,",",COLUMN(O:O)-COLUMN($K:$K))))</f>
        <v>HOME</v>
      </c>
      <c r="P73" s="12" t="str">
        <f>IF(SplitText($J73,",",COLUMN(P:P)-COLUMN($K:$K))="",$K73,trimtext(SplitText($J73,",",COLUMN(P:P)-COLUMN($K:$K))))</f>
        <v>HOME</v>
      </c>
      <c r="Q73" s="12" t="str">
        <f>IF(SplitText($J73,",",COLUMN(Q:Q)-COLUMN($K:$K))="",$K73,trimtext(SplitText($J73,",",COLUMN(Q:Q)-COLUMN($K:$K))))</f>
        <v>HOME</v>
      </c>
      <c r="R73" s="2" t="s">
        <v>413</v>
      </c>
      <c r="S73" s="12" t="str">
        <f>trimtext(SplitText($R73,",",0))</f>
        <v>DECIMAL</v>
      </c>
      <c r="T73" s="12" t="str">
        <f>IF(SplitText($R73,",",COLUMN(T:T)-COLUMN($S:$S))="",$S73,trimtext(SplitText($R73,",",COLUMN(T:T)-COLUMN($S:$S))))</f>
        <v>DECIMAL</v>
      </c>
      <c r="U73" s="12" t="str">
        <f>IF(SplitText($R73,",",COLUMN(U:U)-COLUMN($S:$S))="",$S73,trimtext(SplitText($R73,",",COLUMN(U:U)-COLUMN($S:$S))))</f>
        <v>HOME</v>
      </c>
      <c r="V73" s="2" t="s">
        <v>577</v>
      </c>
      <c r="W73" s="12" t="str">
        <f>trimtext(SplitText($V73,",",0))</f>
        <v>HOME</v>
      </c>
      <c r="X73" s="12" t="str">
        <f>IF(SplitText($V73,",",COLUMN(X:X)-COLUMN($W:$W))="",$W73,trimtext(SplitText($V73,",",COLUMN(X:X)-COLUMN($W:$W))))</f>
        <v>HOME</v>
      </c>
      <c r="Y73" s="12" t="str">
        <f>IF(SplitText($V73,",",COLUMN(Y:Y)-COLUMN($W:$W))="",$W73,trimtext(SplitText($V73,",",COLUMN(Y:Y)-COLUMN($W:$W))))</f>
        <v>HOME</v>
      </c>
      <c r="Z73" s="2" t="s">
        <v>703</v>
      </c>
      <c r="AA73" s="12" t="str">
        <f t="shared" si="9"/>
        <v>NUMPAD5</v>
      </c>
      <c r="AB73" s="2" t="s">
        <v>814</v>
      </c>
      <c r="AC73" s="12" t="str">
        <f>trimtext(SplitText($AB73,",",0))</f>
        <v>HOME</v>
      </c>
      <c r="AD73" s="12" t="str">
        <f>IF(SplitText($AB73,",",COLUMN(AD:AD)-COLUMN($AC:$AC))="",$AC73,trimtext(SplitText($AB73,",",COLUMN(AD:AD)-COLUMN($AC:$AC))))</f>
        <v>HOME</v>
      </c>
      <c r="AE73" s="18" t="str">
        <f t="shared" si="10"/>
        <v>&lt;xs:enumeration value="T47"&gt;&lt;xs:annotation&gt;&lt;xs:documentation&gt;Typically HOME for keyboard type 4, different values for different keyboard types&lt;/xs:documentation&gt;&lt;xs:appinfo&gt;&lt;default-vk&gt;</v>
      </c>
      <c r="AF73" s="15" t="str">
        <f>IF(D73&lt;&gt;"","&lt;vk kbd="""&amp;D$1&amp;""" vk="""&amp;D73&amp;""""&amp;IF(Scan2VKFlags!B73&lt;&gt;""," flags="""&amp;Scan2VKFlags!B73&amp;"""","")&amp;"/&gt;","")</f>
        <v>&lt;vk kbd="1" vk="HOME"/&gt;</v>
      </c>
      <c r="AG73" s="15" t="str">
        <f>IF(E73&lt;&gt;"","&lt;vk kbd="""&amp;E$1&amp;""" vk="""&amp;E73&amp;""""&amp;IF(Scan2VKFlags!C73&lt;&gt;""," flags="""&amp;Scan2VKFlags!C73&amp;"""","")&amp;"/&gt;","")</f>
        <v>&lt;vk kbd="2" vk="HOME"/&gt;</v>
      </c>
      <c r="AH73" s="15" t="str">
        <f>IF(F73&lt;&gt;"","&lt;vk kbd="""&amp;F$1&amp;""" vk="""&amp;F73&amp;""""&amp;IF(Scan2VKFlags!D73&lt;&gt;""," flags="""&amp;Scan2VKFlags!D73&amp;"""","")&amp;"/&gt;","")</f>
        <v>&lt;vk kbd="3" vk="HOME"/&gt;</v>
      </c>
      <c r="AI73" s="15" t="str">
        <f>IF(G73&lt;&gt;"","&lt;vk kbd="""&amp;G$1&amp;""" vk="""&amp;G73&amp;""""&amp;IF(Scan2VKFlags!E73&lt;&gt;""," flags="""&amp;Scan2VKFlags!E73&amp;"""","")&amp;"/&gt;","")</f>
        <v>&lt;vk kbd="4" vk="HOME" flags="KBDNUMPAD KBDSPECIAL"/&gt;</v>
      </c>
      <c r="AJ73" s="15" t="str">
        <f>IF(H73&lt;&gt;"","&lt;vk kbd="""&amp;H$1&amp;""" vk="""&amp;H73&amp;""""&amp;IF(Scan2VKFlags!F73&lt;&gt;""," flags="""&amp;Scan2VKFlags!F73&amp;"""","")&amp;"/&gt;","")</f>
        <v>&lt;vk kbd="5" vk="HOME"/&gt;</v>
      </c>
      <c r="AK73" s="16" t="str">
        <f>IF(I73&lt;&gt;"","&lt;vk kbd="""&amp;I$1&amp;""" vk="""&amp;I73&amp;""""&amp;IF(Scan2VKFlags!G73&lt;&gt;""," flags="""&amp;Scan2VKFlags!G73&amp;"""","")&amp;"/&gt;","")</f>
        <v>&lt;vk kbd="6" vk="HOME"/&gt;</v>
      </c>
      <c r="AL73" s="3" t="str">
        <f>IF(K73&lt;&gt;"","&lt;vk kbd="""&amp;K$1&amp;""" vk="""&amp;K73&amp;""""&amp;IF(Scan2VKFlags!H73&lt;&gt;""," flags="""&amp;Scan2VKFlags!H73&amp;"""","")&amp;"/&gt;","")</f>
        <v>&lt;vk kbd="7" vk="HOME"/&gt;</v>
      </c>
      <c r="AM73" t="str">
        <f>IF(L73&lt;&gt;"","&lt;vk kbd="""&amp;L$1&amp;""" vk="""&amp;L73&amp;""""&amp;IF(Scan2VKFlags!I73&lt;&gt;""," flags="""&amp;Scan2VKFlags!I73&amp;"""","")&amp;"/&gt;","")</f>
        <v>&lt;vk kbd="8" vk="HOME"/&gt;</v>
      </c>
      <c r="AN73" t="str">
        <f>IF(M73&lt;&gt;"","&lt;vk kbd="""&amp;M$1&amp;""" vk="""&amp;M73&amp;""""&amp;IF(Scan2VKFlags!J73&lt;&gt;""," flags="""&amp;Scan2VKFlags!J73&amp;"""","")&amp;"/&gt;","")</f>
        <v>&lt;vk kbd="16" vk="HOME"/&gt;</v>
      </c>
      <c r="AO73" t="str">
        <f>IF(N73&lt;&gt;"","&lt;vk kbd="""&amp;N$1&amp;""" vk="""&amp;N73&amp;""""&amp;IF(Scan2VKFlags!K73&lt;&gt;""," flags="""&amp;Scan2VKFlags!K73&amp;"""","")&amp;"/&gt;","")</f>
        <v>&lt;vk kbd="10" vk="HOME"/&gt;</v>
      </c>
      <c r="AP73" t="str">
        <f>IF(O73&lt;&gt;"","&lt;vk kbd="""&amp;O$1&amp;""" vk="""&amp;O73&amp;""""&amp;IF(Scan2VKFlags!L73&lt;&gt;""," flags="""&amp;Scan2VKFlags!L73&amp;"""","")&amp;"/&gt;","")</f>
        <v>&lt;vk kbd="11" vk="HOME"/&gt;</v>
      </c>
      <c r="AQ73" t="str">
        <f>IF(P73&lt;&gt;"","&lt;vk kbd="""&amp;P$1&amp;""" vk="""&amp;P73&amp;""""&amp;IF(Scan2VKFlags!M73&lt;&gt;""," flags="""&amp;Scan2VKFlags!M73&amp;"""","")&amp;"/&gt;","")</f>
        <v>&lt;vk kbd="12" vk="HOME"/&gt;</v>
      </c>
      <c r="AR73" s="16" t="str">
        <f>IF(Q73&lt;&gt;"","&lt;vk kbd="""&amp;Q$1&amp;""" vk="""&amp;Q73&amp;""""&amp;IF(Scan2VKFlags!N73&lt;&gt;""," flags="""&amp;Scan2VKFlags!N73&amp;"""","")&amp;"/&gt;","")</f>
        <v>&lt;vk kbd="13" vk="HOME"/&gt;</v>
      </c>
      <c r="AS73" s="3" t="str">
        <f>IF(S73&lt;&gt;"","&lt;vk kbd="""&amp;S$1&amp;""" vk="""&amp;S73&amp;""""&amp;IF(Scan2VKFlags!O73&lt;&gt;""," flags="""&amp;Scan2VKFlags!O73&amp;"""","")&amp;"/&gt;","")</f>
        <v>&lt;vk kbd="20" vk="DECIMAL"/&gt;</v>
      </c>
      <c r="AT73" t="str">
        <f>IF(T73&lt;&gt;"","&lt;vk kbd="""&amp;T$1&amp;""" vk="""&amp;T73&amp;""""&amp;IF(Scan2VKFlags!P73&lt;&gt;""," flags="""&amp;Scan2VKFlags!P73&amp;"""","")&amp;"/&gt;","")</f>
        <v>&lt;vk kbd="21" vk="DECIMAL"/&gt;</v>
      </c>
      <c r="AU73" s="16" t="str">
        <f>IF(U73&lt;&gt;"","&lt;vk kbd="""&amp;U$1&amp;""" vk="""&amp;U73&amp;""""&amp;IF(Scan2VKFlags!Q73&lt;&gt;""," flags="""&amp;Scan2VKFlags!Q73&amp;"""","")&amp;"/&gt;","")</f>
        <v>&lt;vk kbd="22" vk="HOME"/&gt;</v>
      </c>
      <c r="AV73" s="3" t="str">
        <f>IF(W73&lt;&gt;"","&lt;vk kbd="""&amp;W$1&amp;""" vk="""&amp;W73&amp;""""&amp;IF(Scan2VKFlags!R73&lt;&gt;""," flags="""&amp;Scan2VKFlags!R73&amp;"""","")&amp;"/&gt;","")</f>
        <v>&lt;vk kbd="30" vk="HOME"/&gt;</v>
      </c>
      <c r="AW73" s="15" t="str">
        <f>IF(X73&lt;&gt;"","&lt;vk kbd="""&amp;X$1&amp;""" vk="""&amp;X73&amp;""""&amp;IF(Scan2VKFlags!S73&lt;&gt;""," flags="""&amp;Scan2VKFlags!S73&amp;"""","")&amp;"/&gt;","")</f>
        <v>&lt;vk kbd="33" vk="HOME"/&gt;</v>
      </c>
      <c r="AX73" s="15" t="str">
        <f>IF(Y73&lt;&gt;"","&lt;vk kbd="""&amp;Y$1&amp;""" vk="""&amp;Y73&amp;""""&amp;IF(Scan2VKFlags!T73&lt;&gt;""," flags="""&amp;Scan2VKFlags!T73&amp;"""","")&amp;"/&gt;","")</f>
        <v>&lt;vk kbd="34" vk="HOME"/&gt;</v>
      </c>
      <c r="AY73" s="18" t="str">
        <f>IF(AA73&lt;&gt;"","&lt;vk kbd="""&amp;AA$1&amp;""" vk="""&amp;AA73&amp;""""&amp;IF(Scan2VKFlags!U73&lt;&gt;""," flags="""&amp;Scan2VKFlags!U73&amp;"""","")&amp;"/&gt;","")</f>
        <v>&lt;vk kbd="37" vk="NUMPAD5"/&gt;</v>
      </c>
      <c r="AZ73" s="3" t="str">
        <f>IF(AC73&lt;&gt;"","&lt;vk kbd="""&amp;AC$1&amp;""" vk="""&amp;AC73&amp;""""&amp;IF(Scan2VKFlags!V73&lt;&gt;""," flags="""&amp;Scan2VKFlags!V73&amp;"""","")&amp;"/&gt;","")</f>
        <v>&lt;vk kbd="40" vk="HOME"/&gt;</v>
      </c>
      <c r="BA73" s="16" t="str">
        <f>IF(AD73&lt;&gt;"","&lt;vk kbd="""&amp;AD$1&amp;""" vk="""&amp;AD73&amp;""""&amp;IF(Scan2VKFlags!W73&lt;&gt;""," flags="""&amp;Scan2VKFlags!W73&amp;"""","")&amp;"/&gt;","")</f>
        <v>&lt;vk kbd="41" vk="HOME"/&gt;</v>
      </c>
      <c r="BB73" t="s">
        <v>854</v>
      </c>
    </row>
    <row r="74" spans="1:54" x14ac:dyDescent="0.25">
      <c r="A74">
        <f t="shared" si="11"/>
        <v>72</v>
      </c>
      <c r="B74" t="str">
        <f t="shared" si="8"/>
        <v>T48</v>
      </c>
      <c r="C74" s="7" t="s">
        <v>72</v>
      </c>
      <c r="D74" s="12" t="str">
        <f>trimtext(SplitText($C74,",",0))</f>
        <v>UP</v>
      </c>
      <c r="E74" s="12" t="str">
        <f>IF(SplitText($C74,",",COLUMN(E:E)-COLUMN($D:$D))="",$D74,trimtext(SplitText($C74,",",COLUMN(E:E)-COLUMN($D:$D))))</f>
        <v>UP</v>
      </c>
      <c r="F74" s="12" t="str">
        <f>IF(SplitText($C74,",",COLUMN(F:F)-COLUMN($D:$D))="",$D74,trimtext(SplitText($C74,",",COLUMN(F:F)-COLUMN($D:$D))))</f>
        <v>UP</v>
      </c>
      <c r="G74" s="12" t="str">
        <f>IF(SplitText($C74,",",COLUMN(G:G)-COLUMN($D:$D))="",$D74,trimtext(SplitText($C74,",",COLUMN(G:G)-COLUMN($D:$D))))</f>
        <v>UP</v>
      </c>
      <c r="H74" s="12" t="str">
        <f>IF(SplitText($C74,",",COLUMN(H:H)-COLUMN($D:$D))="",$D74,trimtext(SplitText($C74,",",COLUMN(H:H)-COLUMN($D:$D))))</f>
        <v>UP</v>
      </c>
      <c r="I74" s="12" t="str">
        <f>IF(SplitText($C74,",",COLUMN(I:I)-COLUMN($D:$D))="",$D74,trimtext(SplitText($C74,",",COLUMN(I:I)-COLUMN($D:$D))))</f>
        <v>UP</v>
      </c>
      <c r="J74" s="9" t="s">
        <v>257</v>
      </c>
      <c r="K74" s="12" t="str">
        <f>trimtext(SplitText($J74,",",0))</f>
        <v>UP</v>
      </c>
      <c r="L74" s="12" t="str">
        <f>IF(SplitText($J74,",",COLUMN(L:L)-COLUMN($K:$K))="",$K74,trimtext(SplitText($J74,",",COLUMN(L:L)-COLUMN($K:$K))))</f>
        <v>UP</v>
      </c>
      <c r="M74" s="12" t="str">
        <f>IF(SplitText($J74,",",COLUMN(M:M)-COLUMN($K:$K))="",$K74,trimtext(SplitText($J74,",",COLUMN(M:M)-COLUMN($K:$K))))</f>
        <v>UP</v>
      </c>
      <c r="N74" s="12" t="str">
        <f>IF(SplitText($J74,",",COLUMN(N:N)-COLUMN($K:$K))="",$K74,trimtext(SplitText($J74,",",COLUMN(N:N)-COLUMN($K:$K))))</f>
        <v>UP</v>
      </c>
      <c r="O74" s="12" t="str">
        <f>IF(SplitText($J74,",",COLUMN(O:O)-COLUMN($K:$K))="",$K74,trimtext(SplitText($J74,",",COLUMN(O:O)-COLUMN($K:$K))))</f>
        <v>UP</v>
      </c>
      <c r="P74" s="12" t="str">
        <f>IF(SplitText($J74,",",COLUMN(P:P)-COLUMN($K:$K))="",$K74,trimtext(SplitText($J74,",",COLUMN(P:P)-COLUMN($K:$K))))</f>
        <v>UP</v>
      </c>
      <c r="Q74" s="12" t="str">
        <f>IF(SplitText($J74,",",COLUMN(Q:Q)-COLUMN($K:$K))="",$K74,trimtext(SplitText($J74,",",COLUMN(Q:Q)-COLUMN($K:$K))))</f>
        <v>UP</v>
      </c>
      <c r="R74" s="2" t="s">
        <v>414</v>
      </c>
      <c r="S74" s="12" t="str">
        <f>trimtext(SplitText($R74,",",0))</f>
        <v>INSERT</v>
      </c>
      <c r="T74" s="12" t="str">
        <f>IF(SplitText($R74,",",COLUMN(T:T)-COLUMN($S:$S))="",$S74,trimtext(SplitText($R74,",",COLUMN(T:T)-COLUMN($S:$S))))</f>
        <v>INSERT</v>
      </c>
      <c r="U74" s="12" t="str">
        <f>IF(SplitText($R74,",",COLUMN(U:U)-COLUMN($S:$S))="",$S74,trimtext(SplitText($R74,",",COLUMN(U:U)-COLUMN($S:$S))))</f>
        <v>UP</v>
      </c>
      <c r="V74" s="2" t="s">
        <v>578</v>
      </c>
      <c r="W74" s="12" t="str">
        <f>trimtext(SplitText($V74,",",0))</f>
        <v>UP</v>
      </c>
      <c r="X74" s="12" t="str">
        <f>IF(SplitText($V74,",",COLUMN(X:X)-COLUMN($W:$W))="",$W74,trimtext(SplitText($V74,",",COLUMN(X:X)-COLUMN($W:$W))))</f>
        <v>UP</v>
      </c>
      <c r="Y74" s="12" t="str">
        <f>IF(SplitText($V74,",",COLUMN(Y:Y)-COLUMN($W:$W))="",$W74,trimtext(SplitText($V74,",",COLUMN(Y:Y)-COLUMN($W:$W))))</f>
        <v>UP</v>
      </c>
      <c r="Z74" s="2" t="s">
        <v>704</v>
      </c>
      <c r="AA74" s="12" t="str">
        <f t="shared" si="9"/>
        <v>NUMPAD6</v>
      </c>
      <c r="AB74" s="2" t="s">
        <v>815</v>
      </c>
      <c r="AC74" s="12" t="str">
        <f>trimtext(SplitText($AB74,",",0))</f>
        <v>UP</v>
      </c>
      <c r="AD74" s="12" t="str">
        <f>IF(SplitText($AB74,",",COLUMN(AD:AD)-COLUMN($AC:$AC))="",$AC74,trimtext(SplitText($AB74,",",COLUMN(AD:AD)-COLUMN($AC:$AC))))</f>
        <v>UP</v>
      </c>
      <c r="AE74" s="18" t="str">
        <f t="shared" si="10"/>
        <v>&lt;xs:enumeration value="T48"&gt;&lt;xs:annotation&gt;&lt;xs:documentation&gt;Typically UP for keyboard type 4, different values for different keyboard types&lt;/xs:documentation&gt;&lt;xs:appinfo&gt;&lt;default-vk&gt;</v>
      </c>
      <c r="AF74" s="15" t="str">
        <f>IF(D74&lt;&gt;"","&lt;vk kbd="""&amp;D$1&amp;""" vk="""&amp;D74&amp;""""&amp;IF(Scan2VKFlags!B74&lt;&gt;""," flags="""&amp;Scan2VKFlags!B74&amp;"""","")&amp;"/&gt;","")</f>
        <v>&lt;vk kbd="1" vk="UP"/&gt;</v>
      </c>
      <c r="AG74" s="15" t="str">
        <f>IF(E74&lt;&gt;"","&lt;vk kbd="""&amp;E$1&amp;""" vk="""&amp;E74&amp;""""&amp;IF(Scan2VKFlags!C74&lt;&gt;""," flags="""&amp;Scan2VKFlags!C74&amp;"""","")&amp;"/&gt;","")</f>
        <v>&lt;vk kbd="2" vk="UP"/&gt;</v>
      </c>
      <c r="AH74" s="15" t="str">
        <f>IF(F74&lt;&gt;"","&lt;vk kbd="""&amp;F$1&amp;""" vk="""&amp;F74&amp;""""&amp;IF(Scan2VKFlags!D74&lt;&gt;""," flags="""&amp;Scan2VKFlags!D74&amp;"""","")&amp;"/&gt;","")</f>
        <v>&lt;vk kbd="3" vk="UP"/&gt;</v>
      </c>
      <c r="AI74" s="15" t="str">
        <f>IF(G74&lt;&gt;"","&lt;vk kbd="""&amp;G$1&amp;""" vk="""&amp;G74&amp;""""&amp;IF(Scan2VKFlags!E74&lt;&gt;""," flags="""&amp;Scan2VKFlags!E74&amp;"""","")&amp;"/&gt;","")</f>
        <v>&lt;vk kbd="4" vk="UP" flags="KBDNUMPAD KBDSPECIAL"/&gt;</v>
      </c>
      <c r="AJ74" s="15" t="str">
        <f>IF(H74&lt;&gt;"","&lt;vk kbd="""&amp;H$1&amp;""" vk="""&amp;H74&amp;""""&amp;IF(Scan2VKFlags!F74&lt;&gt;""," flags="""&amp;Scan2VKFlags!F74&amp;"""","")&amp;"/&gt;","")</f>
        <v>&lt;vk kbd="5" vk="UP"/&gt;</v>
      </c>
      <c r="AK74" s="16" t="str">
        <f>IF(I74&lt;&gt;"","&lt;vk kbd="""&amp;I$1&amp;""" vk="""&amp;I74&amp;""""&amp;IF(Scan2VKFlags!G74&lt;&gt;""," flags="""&amp;Scan2VKFlags!G74&amp;"""","")&amp;"/&gt;","")</f>
        <v>&lt;vk kbd="6" vk="UP"/&gt;</v>
      </c>
      <c r="AL74" s="3" t="str">
        <f>IF(K74&lt;&gt;"","&lt;vk kbd="""&amp;K$1&amp;""" vk="""&amp;K74&amp;""""&amp;IF(Scan2VKFlags!H74&lt;&gt;""," flags="""&amp;Scan2VKFlags!H74&amp;"""","")&amp;"/&gt;","")</f>
        <v>&lt;vk kbd="7" vk="UP"/&gt;</v>
      </c>
      <c r="AM74" t="str">
        <f>IF(L74&lt;&gt;"","&lt;vk kbd="""&amp;L$1&amp;""" vk="""&amp;L74&amp;""""&amp;IF(Scan2VKFlags!I74&lt;&gt;""," flags="""&amp;Scan2VKFlags!I74&amp;"""","")&amp;"/&gt;","")</f>
        <v>&lt;vk kbd="8" vk="UP"/&gt;</v>
      </c>
      <c r="AN74" t="str">
        <f>IF(M74&lt;&gt;"","&lt;vk kbd="""&amp;M$1&amp;""" vk="""&amp;M74&amp;""""&amp;IF(Scan2VKFlags!J74&lt;&gt;""," flags="""&amp;Scan2VKFlags!J74&amp;"""","")&amp;"/&gt;","")</f>
        <v>&lt;vk kbd="16" vk="UP"/&gt;</v>
      </c>
      <c r="AO74" t="str">
        <f>IF(N74&lt;&gt;"","&lt;vk kbd="""&amp;N$1&amp;""" vk="""&amp;N74&amp;""""&amp;IF(Scan2VKFlags!K74&lt;&gt;""," flags="""&amp;Scan2VKFlags!K74&amp;"""","")&amp;"/&gt;","")</f>
        <v>&lt;vk kbd="10" vk="UP"/&gt;</v>
      </c>
      <c r="AP74" t="str">
        <f>IF(O74&lt;&gt;"","&lt;vk kbd="""&amp;O$1&amp;""" vk="""&amp;O74&amp;""""&amp;IF(Scan2VKFlags!L74&lt;&gt;""," flags="""&amp;Scan2VKFlags!L74&amp;"""","")&amp;"/&gt;","")</f>
        <v>&lt;vk kbd="11" vk="UP"/&gt;</v>
      </c>
      <c r="AQ74" t="str">
        <f>IF(P74&lt;&gt;"","&lt;vk kbd="""&amp;P$1&amp;""" vk="""&amp;P74&amp;""""&amp;IF(Scan2VKFlags!M74&lt;&gt;""," flags="""&amp;Scan2VKFlags!M74&amp;"""","")&amp;"/&gt;","")</f>
        <v>&lt;vk kbd="12" vk="UP"/&gt;</v>
      </c>
      <c r="AR74" s="16" t="str">
        <f>IF(Q74&lt;&gt;"","&lt;vk kbd="""&amp;Q$1&amp;""" vk="""&amp;Q74&amp;""""&amp;IF(Scan2VKFlags!N74&lt;&gt;""," flags="""&amp;Scan2VKFlags!N74&amp;"""","")&amp;"/&gt;","")</f>
        <v>&lt;vk kbd="13" vk="UP"/&gt;</v>
      </c>
      <c r="AS74" s="3" t="str">
        <f>IF(S74&lt;&gt;"","&lt;vk kbd="""&amp;S$1&amp;""" vk="""&amp;S74&amp;""""&amp;IF(Scan2VKFlags!O74&lt;&gt;""," flags="""&amp;Scan2VKFlags!O74&amp;"""","")&amp;"/&gt;","")</f>
        <v>&lt;vk kbd="20" vk="INSERT"/&gt;</v>
      </c>
      <c r="AT74" t="str">
        <f>IF(T74&lt;&gt;"","&lt;vk kbd="""&amp;T$1&amp;""" vk="""&amp;T74&amp;""""&amp;IF(Scan2VKFlags!P74&lt;&gt;""," flags="""&amp;Scan2VKFlags!P74&amp;"""","")&amp;"/&gt;","")</f>
        <v>&lt;vk kbd="21" vk="INSERT"/&gt;</v>
      </c>
      <c r="AU74" s="16" t="str">
        <f>IF(U74&lt;&gt;"","&lt;vk kbd="""&amp;U$1&amp;""" vk="""&amp;U74&amp;""""&amp;IF(Scan2VKFlags!Q74&lt;&gt;""," flags="""&amp;Scan2VKFlags!Q74&amp;"""","")&amp;"/&gt;","")</f>
        <v>&lt;vk kbd="22" vk="UP"/&gt;</v>
      </c>
      <c r="AV74" s="3" t="str">
        <f>IF(W74&lt;&gt;"","&lt;vk kbd="""&amp;W$1&amp;""" vk="""&amp;W74&amp;""""&amp;IF(Scan2VKFlags!R74&lt;&gt;""," flags="""&amp;Scan2VKFlags!R74&amp;"""","")&amp;"/&gt;","")</f>
        <v>&lt;vk kbd="30" vk="UP"/&gt;</v>
      </c>
      <c r="AW74" s="15" t="str">
        <f>IF(X74&lt;&gt;"","&lt;vk kbd="""&amp;X$1&amp;""" vk="""&amp;X74&amp;""""&amp;IF(Scan2VKFlags!S74&lt;&gt;""," flags="""&amp;Scan2VKFlags!S74&amp;"""","")&amp;"/&gt;","")</f>
        <v>&lt;vk kbd="33" vk="UP"/&gt;</v>
      </c>
      <c r="AX74" s="15" t="str">
        <f>IF(Y74&lt;&gt;"","&lt;vk kbd="""&amp;Y$1&amp;""" vk="""&amp;Y74&amp;""""&amp;IF(Scan2VKFlags!T74&lt;&gt;""," flags="""&amp;Scan2VKFlags!T74&amp;"""","")&amp;"/&gt;","")</f>
        <v>&lt;vk kbd="34" vk="UP"/&gt;</v>
      </c>
      <c r="AY74" s="18" t="str">
        <f>IF(AA74&lt;&gt;"","&lt;vk kbd="""&amp;AA$1&amp;""" vk="""&amp;AA74&amp;""""&amp;IF(Scan2VKFlags!U74&lt;&gt;""," flags="""&amp;Scan2VKFlags!U74&amp;"""","")&amp;"/&gt;","")</f>
        <v>&lt;vk kbd="37" vk="NUMPAD6"/&gt;</v>
      </c>
      <c r="AZ74" s="3" t="str">
        <f>IF(AC74&lt;&gt;"","&lt;vk kbd="""&amp;AC$1&amp;""" vk="""&amp;AC74&amp;""""&amp;IF(Scan2VKFlags!V74&lt;&gt;""," flags="""&amp;Scan2VKFlags!V74&amp;"""","")&amp;"/&gt;","")</f>
        <v>&lt;vk kbd="40" vk="UP"/&gt;</v>
      </c>
      <c r="BA74" s="16" t="str">
        <f>IF(AD74&lt;&gt;"","&lt;vk kbd="""&amp;AD$1&amp;""" vk="""&amp;AD74&amp;""""&amp;IF(Scan2VKFlags!W74&lt;&gt;""," flags="""&amp;Scan2VKFlags!W74&amp;"""","")&amp;"/&gt;","")</f>
        <v>&lt;vk kbd="41" vk="UP"/&gt;</v>
      </c>
      <c r="BB74" t="s">
        <v>854</v>
      </c>
    </row>
    <row r="75" spans="1:54" x14ac:dyDescent="0.25">
      <c r="A75">
        <f t="shared" si="11"/>
        <v>73</v>
      </c>
      <c r="B75" t="str">
        <f t="shared" si="8"/>
        <v>T49</v>
      </c>
      <c r="C75" s="7" t="s">
        <v>73</v>
      </c>
      <c r="D75" s="12" t="str">
        <f>trimtext(SplitText($C75,",",0))</f>
        <v>PRIOR</v>
      </c>
      <c r="E75" s="12" t="str">
        <f>IF(SplitText($C75,",",COLUMN(E:E)-COLUMN($D:$D))="",$D75,trimtext(SplitText($C75,",",COLUMN(E:E)-COLUMN($D:$D))))</f>
        <v>PRIOR</v>
      </c>
      <c r="F75" s="12" t="str">
        <f>IF(SplitText($C75,",",COLUMN(F:F)-COLUMN($D:$D))="",$D75,trimtext(SplitText($C75,",",COLUMN(F:F)-COLUMN($D:$D))))</f>
        <v>PRIOR</v>
      </c>
      <c r="G75" s="12" t="str">
        <f>IF(SplitText($C75,",",COLUMN(G:G)-COLUMN($D:$D))="",$D75,trimtext(SplitText($C75,",",COLUMN(G:G)-COLUMN($D:$D))))</f>
        <v>PRIOR</v>
      </c>
      <c r="H75" s="12" t="str">
        <f>IF(SplitText($C75,",",COLUMN(H:H)-COLUMN($D:$D))="",$D75,trimtext(SplitText($C75,",",COLUMN(H:H)-COLUMN($D:$D))))</f>
        <v>PRIOR</v>
      </c>
      <c r="I75" s="12" t="str">
        <f>IF(SplitText($C75,",",COLUMN(I:I)-COLUMN($D:$D))="",$D75,trimtext(SplitText($C75,",",COLUMN(I:I)-COLUMN($D:$D))))</f>
        <v>PRIOR</v>
      </c>
      <c r="J75" s="9" t="s">
        <v>258</v>
      </c>
      <c r="K75" s="12" t="str">
        <f>trimtext(SplitText($J75,",",0))</f>
        <v>PRIOR</v>
      </c>
      <c r="L75" s="12" t="str">
        <f>IF(SplitText($J75,",",COLUMN(L:L)-COLUMN($K:$K))="",$K75,trimtext(SplitText($J75,",",COLUMN(L:L)-COLUMN($K:$K))))</f>
        <v>PRIOR</v>
      </c>
      <c r="M75" s="12" t="str">
        <f>IF(SplitText($J75,",",COLUMN(M:M)-COLUMN($K:$K))="",$K75,trimtext(SplitText($J75,",",COLUMN(M:M)-COLUMN($K:$K))))</f>
        <v>PRIOR</v>
      </c>
      <c r="N75" s="12" t="str">
        <f>IF(SplitText($J75,",",COLUMN(N:N)-COLUMN($K:$K))="",$K75,trimtext(SplitText($J75,",",COLUMN(N:N)-COLUMN($K:$K))))</f>
        <v>PRIOR</v>
      </c>
      <c r="O75" s="12" t="str">
        <f>IF(SplitText($J75,",",COLUMN(O:O)-COLUMN($K:$K))="",$K75,trimtext(SplitText($J75,",",COLUMN(O:O)-COLUMN($K:$K))))</f>
        <v>PRIOR</v>
      </c>
      <c r="P75" s="12" t="str">
        <f>IF(SplitText($J75,",",COLUMN(P:P)-COLUMN($K:$K))="",$K75,trimtext(SplitText($J75,",",COLUMN(P:P)-COLUMN($K:$K))))</f>
        <v>PRIOR</v>
      </c>
      <c r="Q75" s="12" t="str">
        <f>IF(SplitText($J75,",",COLUMN(Q:Q)-COLUMN($K:$K))="",$K75,trimtext(SplitText($J75,",",COLUMN(Q:Q)-COLUMN($K:$K))))</f>
        <v>PRIOR</v>
      </c>
      <c r="R75" s="2" t="s">
        <v>415</v>
      </c>
      <c r="S75" s="12" t="str">
        <f>trimtext(SplitText($R75,",",0))</f>
        <v>OEM_00</v>
      </c>
      <c r="T75" s="12" t="str">
        <f>IF(SplitText($R75,",",COLUMN(T:T)-COLUMN($S:$S))="",$S75,trimtext(SplitText($R75,",",COLUMN(T:T)-COLUMN($S:$S))))</f>
        <v>OEM_00</v>
      </c>
      <c r="U75" s="12" t="str">
        <f>IF(SplitText($R75,",",COLUMN(U:U)-COLUMN($S:$S))="",$S75,trimtext(SplitText($R75,",",COLUMN(U:U)-COLUMN($S:$S))))</f>
        <v>PRIOR</v>
      </c>
      <c r="V75" s="2" t="s">
        <v>579</v>
      </c>
      <c r="W75" s="12" t="str">
        <f>trimtext(SplitText($V75,",",0))</f>
        <v>PRIOR</v>
      </c>
      <c r="X75" s="12" t="str">
        <f>IF(SplitText($V75,",",COLUMN(X:X)-COLUMN($W:$W))="",$W75,trimtext(SplitText($V75,",",COLUMN(X:X)-COLUMN($W:$W))))</f>
        <v>PRIOR</v>
      </c>
      <c r="Y75" s="12" t="str">
        <f>IF(SplitText($V75,",",COLUMN(Y:Y)-COLUMN($W:$W))="",$W75,trimtext(SplitText($V75,",",COLUMN(Y:Y)-COLUMN($W:$W))))</f>
        <v>PRIOR</v>
      </c>
      <c r="Z75" s="2" t="s">
        <v>705</v>
      </c>
      <c r="AA75" s="12" t="str">
        <f t="shared" si="9"/>
        <v>ADD</v>
      </c>
      <c r="AB75" s="2" t="s">
        <v>816</v>
      </c>
      <c r="AC75" s="12" t="str">
        <f>trimtext(SplitText($AB75,",",0))</f>
        <v>PRIOR</v>
      </c>
      <c r="AD75" s="12" t="str">
        <f>IF(SplitText($AB75,",",COLUMN(AD:AD)-COLUMN($AC:$AC))="",$AC75,trimtext(SplitText($AB75,",",COLUMN(AD:AD)-COLUMN($AC:$AC))))</f>
        <v>PRIOR</v>
      </c>
      <c r="AE75" s="18" t="str">
        <f t="shared" si="10"/>
        <v>&lt;xs:enumeration value="T49"&gt;&lt;xs:annotation&gt;&lt;xs:documentation&gt;Typically PRIOR for keyboard type 4, different values for different keyboard types&lt;/xs:documentation&gt;&lt;xs:appinfo&gt;&lt;default-vk&gt;</v>
      </c>
      <c r="AF75" s="15" t="str">
        <f>IF(D75&lt;&gt;"","&lt;vk kbd="""&amp;D$1&amp;""" vk="""&amp;D75&amp;""""&amp;IF(Scan2VKFlags!B75&lt;&gt;""," flags="""&amp;Scan2VKFlags!B75&amp;"""","")&amp;"/&gt;","")</f>
        <v>&lt;vk kbd="1" vk="PRIOR"/&gt;</v>
      </c>
      <c r="AG75" s="15" t="str">
        <f>IF(E75&lt;&gt;"","&lt;vk kbd="""&amp;E$1&amp;""" vk="""&amp;E75&amp;""""&amp;IF(Scan2VKFlags!C75&lt;&gt;""," flags="""&amp;Scan2VKFlags!C75&amp;"""","")&amp;"/&gt;","")</f>
        <v>&lt;vk kbd="2" vk="PRIOR"/&gt;</v>
      </c>
      <c r="AH75" s="15" t="str">
        <f>IF(F75&lt;&gt;"","&lt;vk kbd="""&amp;F$1&amp;""" vk="""&amp;F75&amp;""""&amp;IF(Scan2VKFlags!D75&lt;&gt;""," flags="""&amp;Scan2VKFlags!D75&amp;"""","")&amp;"/&gt;","")</f>
        <v>&lt;vk kbd="3" vk="PRIOR"/&gt;</v>
      </c>
      <c r="AI75" s="15" t="str">
        <f>IF(G75&lt;&gt;"","&lt;vk kbd="""&amp;G$1&amp;""" vk="""&amp;G75&amp;""""&amp;IF(Scan2VKFlags!E75&lt;&gt;""," flags="""&amp;Scan2VKFlags!E75&amp;"""","")&amp;"/&gt;","")</f>
        <v>&lt;vk kbd="4" vk="PRIOR" flags="KBDNUMPAD KBDSPECIAL"/&gt;</v>
      </c>
      <c r="AJ75" s="15" t="str">
        <f>IF(H75&lt;&gt;"","&lt;vk kbd="""&amp;H$1&amp;""" vk="""&amp;H75&amp;""""&amp;IF(Scan2VKFlags!F75&lt;&gt;""," flags="""&amp;Scan2VKFlags!F75&amp;"""","")&amp;"/&gt;","")</f>
        <v>&lt;vk kbd="5" vk="PRIOR"/&gt;</v>
      </c>
      <c r="AK75" s="16" t="str">
        <f>IF(I75&lt;&gt;"","&lt;vk kbd="""&amp;I$1&amp;""" vk="""&amp;I75&amp;""""&amp;IF(Scan2VKFlags!G75&lt;&gt;""," flags="""&amp;Scan2VKFlags!G75&amp;"""","")&amp;"/&gt;","")</f>
        <v>&lt;vk kbd="6" vk="PRIOR"/&gt;</v>
      </c>
      <c r="AL75" s="3" t="str">
        <f>IF(K75&lt;&gt;"","&lt;vk kbd="""&amp;K$1&amp;""" vk="""&amp;K75&amp;""""&amp;IF(Scan2VKFlags!H75&lt;&gt;""," flags="""&amp;Scan2VKFlags!H75&amp;"""","")&amp;"/&gt;","")</f>
        <v>&lt;vk kbd="7" vk="PRIOR"/&gt;</v>
      </c>
      <c r="AM75" t="str">
        <f>IF(L75&lt;&gt;"","&lt;vk kbd="""&amp;L$1&amp;""" vk="""&amp;L75&amp;""""&amp;IF(Scan2VKFlags!I75&lt;&gt;""," flags="""&amp;Scan2VKFlags!I75&amp;"""","")&amp;"/&gt;","")</f>
        <v>&lt;vk kbd="8" vk="PRIOR"/&gt;</v>
      </c>
      <c r="AN75" t="str">
        <f>IF(M75&lt;&gt;"","&lt;vk kbd="""&amp;M$1&amp;""" vk="""&amp;M75&amp;""""&amp;IF(Scan2VKFlags!J75&lt;&gt;""," flags="""&amp;Scan2VKFlags!J75&amp;"""","")&amp;"/&gt;","")</f>
        <v>&lt;vk kbd="16" vk="PRIOR"/&gt;</v>
      </c>
      <c r="AO75" t="str">
        <f>IF(N75&lt;&gt;"","&lt;vk kbd="""&amp;N$1&amp;""" vk="""&amp;N75&amp;""""&amp;IF(Scan2VKFlags!K75&lt;&gt;""," flags="""&amp;Scan2VKFlags!K75&amp;"""","")&amp;"/&gt;","")</f>
        <v>&lt;vk kbd="10" vk="PRIOR"/&gt;</v>
      </c>
      <c r="AP75" t="str">
        <f>IF(O75&lt;&gt;"","&lt;vk kbd="""&amp;O$1&amp;""" vk="""&amp;O75&amp;""""&amp;IF(Scan2VKFlags!L75&lt;&gt;""," flags="""&amp;Scan2VKFlags!L75&amp;"""","")&amp;"/&gt;","")</f>
        <v>&lt;vk kbd="11" vk="PRIOR"/&gt;</v>
      </c>
      <c r="AQ75" t="str">
        <f>IF(P75&lt;&gt;"","&lt;vk kbd="""&amp;P$1&amp;""" vk="""&amp;P75&amp;""""&amp;IF(Scan2VKFlags!M75&lt;&gt;""," flags="""&amp;Scan2VKFlags!M75&amp;"""","")&amp;"/&gt;","")</f>
        <v>&lt;vk kbd="12" vk="PRIOR"/&gt;</v>
      </c>
      <c r="AR75" s="16" t="str">
        <f>IF(Q75&lt;&gt;"","&lt;vk kbd="""&amp;Q$1&amp;""" vk="""&amp;Q75&amp;""""&amp;IF(Scan2VKFlags!N75&lt;&gt;""," flags="""&amp;Scan2VKFlags!N75&amp;"""","")&amp;"/&gt;","")</f>
        <v>&lt;vk kbd="13" vk="PRIOR"/&gt;</v>
      </c>
      <c r="AS75" s="3" t="str">
        <f>IF(S75&lt;&gt;"","&lt;vk kbd="""&amp;S$1&amp;""" vk="""&amp;S75&amp;""""&amp;IF(Scan2VKFlags!O75&lt;&gt;""," flags="""&amp;Scan2VKFlags!O75&amp;"""","")&amp;"/&gt;","")</f>
        <v>&lt;vk kbd="20" vk="OEM_00"/&gt;</v>
      </c>
      <c r="AT75" t="str">
        <f>IF(T75&lt;&gt;"","&lt;vk kbd="""&amp;T$1&amp;""" vk="""&amp;T75&amp;""""&amp;IF(Scan2VKFlags!P75&lt;&gt;""," flags="""&amp;Scan2VKFlags!P75&amp;"""","")&amp;"/&gt;","")</f>
        <v>&lt;vk kbd="21" vk="OEM_00"/&gt;</v>
      </c>
      <c r="AU75" s="16" t="str">
        <f>IF(U75&lt;&gt;"","&lt;vk kbd="""&amp;U$1&amp;""" vk="""&amp;U75&amp;""""&amp;IF(Scan2VKFlags!Q75&lt;&gt;""," flags="""&amp;Scan2VKFlags!Q75&amp;"""","")&amp;"/&gt;","")</f>
        <v>&lt;vk kbd="22" vk="PRIOR"/&gt;</v>
      </c>
      <c r="AV75" s="3" t="str">
        <f>IF(W75&lt;&gt;"","&lt;vk kbd="""&amp;W$1&amp;""" vk="""&amp;W75&amp;""""&amp;IF(Scan2VKFlags!R75&lt;&gt;""," flags="""&amp;Scan2VKFlags!R75&amp;"""","")&amp;"/&gt;","")</f>
        <v>&lt;vk kbd="30" vk="PRIOR"/&gt;</v>
      </c>
      <c r="AW75" s="15" t="str">
        <f>IF(X75&lt;&gt;"","&lt;vk kbd="""&amp;X$1&amp;""" vk="""&amp;X75&amp;""""&amp;IF(Scan2VKFlags!S75&lt;&gt;""," flags="""&amp;Scan2VKFlags!S75&amp;"""","")&amp;"/&gt;","")</f>
        <v>&lt;vk kbd="33" vk="PRIOR"/&gt;</v>
      </c>
      <c r="AX75" s="15" t="str">
        <f>IF(Y75&lt;&gt;"","&lt;vk kbd="""&amp;Y$1&amp;""" vk="""&amp;Y75&amp;""""&amp;IF(Scan2VKFlags!T75&lt;&gt;""," flags="""&amp;Scan2VKFlags!T75&amp;"""","")&amp;"/&gt;","")</f>
        <v>&lt;vk kbd="34" vk="PRIOR"/&gt;</v>
      </c>
      <c r="AY75" s="18" t="str">
        <f>IF(AA75&lt;&gt;"","&lt;vk kbd="""&amp;AA$1&amp;""" vk="""&amp;AA75&amp;""""&amp;IF(Scan2VKFlags!U75&lt;&gt;""," flags="""&amp;Scan2VKFlags!U75&amp;"""","")&amp;"/&gt;","")</f>
        <v>&lt;vk kbd="37" vk="ADD"/&gt;</v>
      </c>
      <c r="AZ75" s="3" t="str">
        <f>IF(AC75&lt;&gt;"","&lt;vk kbd="""&amp;AC$1&amp;""" vk="""&amp;AC75&amp;""""&amp;IF(Scan2VKFlags!V75&lt;&gt;""," flags="""&amp;Scan2VKFlags!V75&amp;"""","")&amp;"/&gt;","")</f>
        <v>&lt;vk kbd="40" vk="PRIOR"/&gt;</v>
      </c>
      <c r="BA75" s="16" t="str">
        <f>IF(AD75&lt;&gt;"","&lt;vk kbd="""&amp;AD$1&amp;""" vk="""&amp;AD75&amp;""""&amp;IF(Scan2VKFlags!W75&lt;&gt;""," flags="""&amp;Scan2VKFlags!W75&amp;"""","")&amp;"/&gt;","")</f>
        <v>&lt;vk kbd="41" vk="PRIOR"/&gt;</v>
      </c>
      <c r="BB75" t="s">
        <v>854</v>
      </c>
    </row>
    <row r="76" spans="1:54" x14ac:dyDescent="0.25">
      <c r="A76">
        <f t="shared" si="11"/>
        <v>74</v>
      </c>
      <c r="B76" t="str">
        <f t="shared" si="8"/>
        <v>T4A</v>
      </c>
      <c r="C76" s="7" t="s">
        <v>74</v>
      </c>
      <c r="D76" s="12" t="str">
        <f>trimtext(SplitText($C76,",",0))</f>
        <v>SUBTRACT</v>
      </c>
      <c r="E76" s="12" t="str">
        <f>IF(SplitText($C76,",",COLUMN(E:E)-COLUMN($D:$D))="",$D76,trimtext(SplitText($C76,",",COLUMN(E:E)-COLUMN($D:$D))))</f>
        <v>SUBTRACT</v>
      </c>
      <c r="F76" s="12" t="str">
        <f>IF(SplitText($C76,",",COLUMN(F:F)-COLUMN($D:$D))="",$D76,trimtext(SplitText($C76,",",COLUMN(F:F)-COLUMN($D:$D))))</f>
        <v>SUBTRACT</v>
      </c>
      <c r="G76" s="12" t="str">
        <f>IF(SplitText($C76,",",COLUMN(G:G)-COLUMN($D:$D))="",$D76,trimtext(SplitText($C76,",",COLUMN(G:G)-COLUMN($D:$D))))</f>
        <v>SUBTRACT</v>
      </c>
      <c r="H76" s="12" t="str">
        <f>IF(SplitText($C76,",",COLUMN(H:H)-COLUMN($D:$D))="",$D76,trimtext(SplitText($C76,",",COLUMN(H:H)-COLUMN($D:$D))))</f>
        <v>SUBTRACT</v>
      </c>
      <c r="I76" s="12" t="str">
        <f>IF(SplitText($C76,",",COLUMN(I:I)-COLUMN($D:$D))="",$D76,trimtext(SplitText($C76,",",COLUMN(I:I)-COLUMN($D:$D))))</f>
        <v>SUBTRACT</v>
      </c>
      <c r="J76" s="9" t="s">
        <v>259</v>
      </c>
      <c r="K76" s="12" t="str">
        <f>trimtext(SplitText($J76,",",0))</f>
        <v>SUBTRACT</v>
      </c>
      <c r="L76" s="12" t="str">
        <f>IF(SplitText($J76,",",COLUMN(L:L)-COLUMN($K:$K))="",$K76,trimtext(SplitText($J76,",",COLUMN(L:L)-COLUMN($K:$K))))</f>
        <v>SUBTRACT</v>
      </c>
      <c r="M76" s="12" t="str">
        <f>IF(SplitText($J76,",",COLUMN(M:M)-COLUMN($K:$K))="",$K76,trimtext(SplitText($J76,",",COLUMN(M:M)-COLUMN($K:$K))))</f>
        <v>SUBTRACT</v>
      </c>
      <c r="N76" s="12" t="str">
        <f>IF(SplitText($J76,",",COLUMN(N:N)-COLUMN($K:$K))="",$K76,trimtext(SplitText($J76,",",COLUMN(N:N)-COLUMN($K:$K))))</f>
        <v>SUBTRACT</v>
      </c>
      <c r="O76" s="12" t="str">
        <f>IF(SplitText($J76,",",COLUMN(O:O)-COLUMN($K:$K))="",$K76,trimtext(SplitText($J76,",",COLUMN(O:O)-COLUMN($K:$K))))</f>
        <v>SUBTRACT</v>
      </c>
      <c r="P76" s="12" t="str">
        <f>IF(SplitText($J76,",",COLUMN(P:P)-COLUMN($K:$K))="",$K76,trimtext(SplitText($J76,",",COLUMN(P:P)-COLUMN($K:$K))))</f>
        <v>SUBTRACT</v>
      </c>
      <c r="Q76" s="12" t="str">
        <f>IF(SplitText($J76,",",COLUMN(Q:Q)-COLUMN($K:$K))="",$K76,trimtext(SplitText($J76,",",COLUMN(Q:Q)-COLUMN($K:$K))))</f>
        <v>SUBTRACT</v>
      </c>
      <c r="R76" s="2" t="s">
        <v>416</v>
      </c>
      <c r="S76" s="12" t="str">
        <f>trimtext(SplitText($R76,",",0))</f>
        <v>OEM_000</v>
      </c>
      <c r="T76" s="12" t="str">
        <f>IF(SplitText($R76,",",COLUMN(T:T)-COLUMN($S:$S))="",$S76,trimtext(SplitText($R76,",",COLUMN(T:T)-COLUMN($S:$S))))</f>
        <v>OEM_000</v>
      </c>
      <c r="U76" s="12" t="str">
        <f>IF(SplitText($R76,",",COLUMN(U:U)-COLUMN($S:$S))="",$S76,trimtext(SplitText($R76,",",COLUMN(U:U)-COLUMN($S:$S))))</f>
        <v>SUBTRACT</v>
      </c>
      <c r="V76" s="2" t="s">
        <v>580</v>
      </c>
      <c r="W76" s="12" t="str">
        <f>trimtext(SplitText($V76,",",0))</f>
        <v>SUBTRACT</v>
      </c>
      <c r="X76" s="12" t="str">
        <f>IF(SplitText($V76,",",COLUMN(X:X)-COLUMN($W:$W))="",$W76,trimtext(SplitText($V76,",",COLUMN(X:X)-COLUMN($W:$W))))</f>
        <v>SUBTRACT</v>
      </c>
      <c r="Y76" s="12" t="str">
        <f>IF(SplitText($V76,",",COLUMN(Y:Y)-COLUMN($W:$W))="",$W76,trimtext(SplitText($V76,",",COLUMN(Y:Y)-COLUMN($W:$W))))</f>
        <v>SUBTRACT</v>
      </c>
      <c r="Z76" s="2" t="s">
        <v>706</v>
      </c>
      <c r="AA76" s="12" t="str">
        <f t="shared" si="9"/>
        <v>NUMPAD1</v>
      </c>
      <c r="AB76" s="2" t="s">
        <v>817</v>
      </c>
      <c r="AC76" s="12" t="str">
        <f>trimtext(SplitText($AB76,",",0))</f>
        <v>SUBTRACT</v>
      </c>
      <c r="AD76" s="12" t="str">
        <f>IF(SplitText($AB76,",",COLUMN(AD:AD)-COLUMN($AC:$AC))="",$AC76,trimtext(SplitText($AB76,",",COLUMN(AD:AD)-COLUMN($AC:$AC))))</f>
        <v>SUBTRACT</v>
      </c>
      <c r="AE76" s="18" t="str">
        <f t="shared" si="10"/>
        <v>&lt;xs:enumeration value="T4A"&gt;&lt;xs:annotation&gt;&lt;xs:documentation&gt;Typically SUBTRACT for keyboard type 4, different values for different keyboard types&lt;/xs:documentation&gt;&lt;xs:appinfo&gt;&lt;default-vk&gt;</v>
      </c>
      <c r="AF76" s="15" t="str">
        <f>IF(D76&lt;&gt;"","&lt;vk kbd="""&amp;D$1&amp;""" vk="""&amp;D76&amp;""""&amp;IF(Scan2VKFlags!B76&lt;&gt;""," flags="""&amp;Scan2VKFlags!B76&amp;"""","")&amp;"/&gt;","")</f>
        <v>&lt;vk kbd="1" vk="SUBTRACT"/&gt;</v>
      </c>
      <c r="AG76" s="15" t="str">
        <f>IF(E76&lt;&gt;"","&lt;vk kbd="""&amp;E$1&amp;""" vk="""&amp;E76&amp;""""&amp;IF(Scan2VKFlags!C76&lt;&gt;""," flags="""&amp;Scan2VKFlags!C76&amp;"""","")&amp;"/&gt;","")</f>
        <v>&lt;vk kbd="2" vk="SUBTRACT"/&gt;</v>
      </c>
      <c r="AH76" s="15" t="str">
        <f>IF(F76&lt;&gt;"","&lt;vk kbd="""&amp;F$1&amp;""" vk="""&amp;F76&amp;""""&amp;IF(Scan2VKFlags!D76&lt;&gt;""," flags="""&amp;Scan2VKFlags!D76&amp;"""","")&amp;"/&gt;","")</f>
        <v>&lt;vk kbd="3" vk="SUBTRACT"/&gt;</v>
      </c>
      <c r="AI76" s="15" t="str">
        <f>IF(G76&lt;&gt;"","&lt;vk kbd="""&amp;G$1&amp;""" vk="""&amp;G76&amp;""""&amp;IF(Scan2VKFlags!E76&lt;&gt;""," flags="""&amp;Scan2VKFlags!E76&amp;"""","")&amp;"/&gt;","")</f>
        <v>&lt;vk kbd="4" vk="SUBTRACT"/&gt;</v>
      </c>
      <c r="AJ76" s="15" t="str">
        <f>IF(H76&lt;&gt;"","&lt;vk kbd="""&amp;H$1&amp;""" vk="""&amp;H76&amp;""""&amp;IF(Scan2VKFlags!F76&lt;&gt;""," flags="""&amp;Scan2VKFlags!F76&amp;"""","")&amp;"/&gt;","")</f>
        <v>&lt;vk kbd="5" vk="SUBTRACT"/&gt;</v>
      </c>
      <c r="AK76" s="16" t="str">
        <f>IF(I76&lt;&gt;"","&lt;vk kbd="""&amp;I$1&amp;""" vk="""&amp;I76&amp;""""&amp;IF(Scan2VKFlags!G76&lt;&gt;""," flags="""&amp;Scan2VKFlags!G76&amp;"""","")&amp;"/&gt;","")</f>
        <v>&lt;vk kbd="6" vk="SUBTRACT"/&gt;</v>
      </c>
      <c r="AL76" s="3" t="str">
        <f>IF(K76&lt;&gt;"","&lt;vk kbd="""&amp;K$1&amp;""" vk="""&amp;K76&amp;""""&amp;IF(Scan2VKFlags!H76&lt;&gt;""," flags="""&amp;Scan2VKFlags!H76&amp;"""","")&amp;"/&gt;","")</f>
        <v>&lt;vk kbd="7" vk="SUBTRACT"/&gt;</v>
      </c>
      <c r="AM76" t="str">
        <f>IF(L76&lt;&gt;"","&lt;vk kbd="""&amp;L$1&amp;""" vk="""&amp;L76&amp;""""&amp;IF(Scan2VKFlags!I76&lt;&gt;""," flags="""&amp;Scan2VKFlags!I76&amp;"""","")&amp;"/&gt;","")</f>
        <v>&lt;vk kbd="8" vk="SUBTRACT"/&gt;</v>
      </c>
      <c r="AN76" t="str">
        <f>IF(M76&lt;&gt;"","&lt;vk kbd="""&amp;M$1&amp;""" vk="""&amp;M76&amp;""""&amp;IF(Scan2VKFlags!J76&lt;&gt;""," flags="""&amp;Scan2VKFlags!J76&amp;"""","")&amp;"/&gt;","")</f>
        <v>&lt;vk kbd="16" vk="SUBTRACT"/&gt;</v>
      </c>
      <c r="AO76" t="str">
        <f>IF(N76&lt;&gt;"","&lt;vk kbd="""&amp;N$1&amp;""" vk="""&amp;N76&amp;""""&amp;IF(Scan2VKFlags!K76&lt;&gt;""," flags="""&amp;Scan2VKFlags!K76&amp;"""","")&amp;"/&gt;","")</f>
        <v>&lt;vk kbd="10" vk="SUBTRACT"/&gt;</v>
      </c>
      <c r="AP76" t="str">
        <f>IF(O76&lt;&gt;"","&lt;vk kbd="""&amp;O$1&amp;""" vk="""&amp;O76&amp;""""&amp;IF(Scan2VKFlags!L76&lt;&gt;""," flags="""&amp;Scan2VKFlags!L76&amp;"""","")&amp;"/&gt;","")</f>
        <v>&lt;vk kbd="11" vk="SUBTRACT"/&gt;</v>
      </c>
      <c r="AQ76" t="str">
        <f>IF(P76&lt;&gt;"","&lt;vk kbd="""&amp;P$1&amp;""" vk="""&amp;P76&amp;""""&amp;IF(Scan2VKFlags!M76&lt;&gt;""," flags="""&amp;Scan2VKFlags!M76&amp;"""","")&amp;"/&gt;","")</f>
        <v>&lt;vk kbd="12" vk="SUBTRACT"/&gt;</v>
      </c>
      <c r="AR76" s="16" t="str">
        <f>IF(Q76&lt;&gt;"","&lt;vk kbd="""&amp;Q$1&amp;""" vk="""&amp;Q76&amp;""""&amp;IF(Scan2VKFlags!N76&lt;&gt;""," flags="""&amp;Scan2VKFlags!N76&amp;"""","")&amp;"/&gt;","")</f>
        <v>&lt;vk kbd="13" vk="SUBTRACT"/&gt;</v>
      </c>
      <c r="AS76" s="3" t="str">
        <f>IF(S76&lt;&gt;"","&lt;vk kbd="""&amp;S$1&amp;""" vk="""&amp;S76&amp;""""&amp;IF(Scan2VKFlags!O76&lt;&gt;""," flags="""&amp;Scan2VKFlags!O76&amp;"""","")&amp;"/&gt;","")</f>
        <v>&lt;vk kbd="20" vk="OEM_000"/&gt;</v>
      </c>
      <c r="AT76" t="str">
        <f>IF(T76&lt;&gt;"","&lt;vk kbd="""&amp;T$1&amp;""" vk="""&amp;T76&amp;""""&amp;IF(Scan2VKFlags!P76&lt;&gt;""," flags="""&amp;Scan2VKFlags!P76&amp;"""","")&amp;"/&gt;","")</f>
        <v>&lt;vk kbd="21" vk="OEM_000"/&gt;</v>
      </c>
      <c r="AU76" s="16" t="str">
        <f>IF(U76&lt;&gt;"","&lt;vk kbd="""&amp;U$1&amp;""" vk="""&amp;U76&amp;""""&amp;IF(Scan2VKFlags!Q76&lt;&gt;""," flags="""&amp;Scan2VKFlags!Q76&amp;"""","")&amp;"/&gt;","")</f>
        <v>&lt;vk kbd="22" vk="SUBTRACT"/&gt;</v>
      </c>
      <c r="AV76" s="3" t="str">
        <f>IF(W76&lt;&gt;"","&lt;vk kbd="""&amp;W$1&amp;""" vk="""&amp;W76&amp;""""&amp;IF(Scan2VKFlags!R76&lt;&gt;""," flags="""&amp;Scan2VKFlags!R76&amp;"""","")&amp;"/&gt;","")</f>
        <v>&lt;vk kbd="30" vk="SUBTRACT"/&gt;</v>
      </c>
      <c r="AW76" s="15" t="str">
        <f>IF(X76&lt;&gt;"","&lt;vk kbd="""&amp;X$1&amp;""" vk="""&amp;X76&amp;""""&amp;IF(Scan2VKFlags!S76&lt;&gt;""," flags="""&amp;Scan2VKFlags!S76&amp;"""","")&amp;"/&gt;","")</f>
        <v>&lt;vk kbd="33" vk="SUBTRACT"/&gt;</v>
      </c>
      <c r="AX76" s="15" t="str">
        <f>IF(Y76&lt;&gt;"","&lt;vk kbd="""&amp;Y$1&amp;""" vk="""&amp;Y76&amp;""""&amp;IF(Scan2VKFlags!T76&lt;&gt;""," flags="""&amp;Scan2VKFlags!T76&amp;"""","")&amp;"/&gt;","")</f>
        <v>&lt;vk kbd="34" vk="SUBTRACT"/&gt;</v>
      </c>
      <c r="AY76" s="18" t="str">
        <f>IF(AA76&lt;&gt;"","&lt;vk kbd="""&amp;AA$1&amp;""" vk="""&amp;AA76&amp;""""&amp;IF(Scan2VKFlags!U76&lt;&gt;""," flags="""&amp;Scan2VKFlags!U76&amp;"""","")&amp;"/&gt;","")</f>
        <v>&lt;vk kbd="37" vk="NUMPAD1"/&gt;</v>
      </c>
      <c r="AZ76" s="3" t="str">
        <f>IF(AC76&lt;&gt;"","&lt;vk kbd="""&amp;AC$1&amp;""" vk="""&amp;AC76&amp;""""&amp;IF(Scan2VKFlags!V76&lt;&gt;""," flags="""&amp;Scan2VKFlags!V76&amp;"""","")&amp;"/&gt;","")</f>
        <v>&lt;vk kbd="40" vk="SUBTRACT"/&gt;</v>
      </c>
      <c r="BA76" s="16" t="str">
        <f>IF(AD76&lt;&gt;"","&lt;vk kbd="""&amp;AD$1&amp;""" vk="""&amp;AD76&amp;""""&amp;IF(Scan2VKFlags!W76&lt;&gt;""," flags="""&amp;Scan2VKFlags!W76&amp;"""","")&amp;"/&gt;","")</f>
        <v>&lt;vk kbd="41" vk="SUBTRACT"/&gt;</v>
      </c>
      <c r="BB76" t="s">
        <v>854</v>
      </c>
    </row>
    <row r="77" spans="1:54" x14ac:dyDescent="0.25">
      <c r="A77">
        <f t="shared" si="11"/>
        <v>75</v>
      </c>
      <c r="B77" t="str">
        <f t="shared" si="8"/>
        <v>T4B</v>
      </c>
      <c r="C77" s="7" t="s">
        <v>75</v>
      </c>
      <c r="D77" s="12" t="str">
        <f>trimtext(SplitText($C77,",",0))</f>
        <v>LEFT</v>
      </c>
      <c r="E77" s="12" t="str">
        <f>IF(SplitText($C77,",",COLUMN(E:E)-COLUMN($D:$D))="",$D77,trimtext(SplitText($C77,",",COLUMN(E:E)-COLUMN($D:$D))))</f>
        <v>LEFT</v>
      </c>
      <c r="F77" s="12" t="str">
        <f>IF(SplitText($C77,",",COLUMN(F:F)-COLUMN($D:$D))="",$D77,trimtext(SplitText($C77,",",COLUMN(F:F)-COLUMN($D:$D))))</f>
        <v>LEFT</v>
      </c>
      <c r="G77" s="12" t="str">
        <f>IF(SplitText($C77,",",COLUMN(G:G)-COLUMN($D:$D))="",$D77,trimtext(SplitText($C77,",",COLUMN(G:G)-COLUMN($D:$D))))</f>
        <v>LEFT</v>
      </c>
      <c r="H77" s="12" t="str">
        <f>IF(SplitText($C77,",",COLUMN(H:H)-COLUMN($D:$D))="",$D77,trimtext(SplitText($C77,",",COLUMN(H:H)-COLUMN($D:$D))))</f>
        <v>LEFT</v>
      </c>
      <c r="I77" s="12" t="str">
        <f>IF(SplitText($C77,",",COLUMN(I:I)-COLUMN($D:$D))="",$D77,trimtext(SplitText($C77,",",COLUMN(I:I)-COLUMN($D:$D))))</f>
        <v>LEFT</v>
      </c>
      <c r="J77" s="9" t="s">
        <v>260</v>
      </c>
      <c r="K77" s="12" t="str">
        <f>trimtext(SplitText($J77,",",0))</f>
        <v>LEFT</v>
      </c>
      <c r="L77" s="12" t="str">
        <f>IF(SplitText($J77,",",COLUMN(L:L)-COLUMN($K:$K))="",$K77,trimtext(SplitText($J77,",",COLUMN(L:L)-COLUMN($K:$K))))</f>
        <v>LEFT</v>
      </c>
      <c r="M77" s="12" t="str">
        <f>IF(SplitText($J77,",",COLUMN(M:M)-COLUMN($K:$K))="",$K77,trimtext(SplitText($J77,",",COLUMN(M:M)-COLUMN($K:$K))))</f>
        <v>LEFT</v>
      </c>
      <c r="N77" s="12" t="str">
        <f>IF(SplitText($J77,",",COLUMN(N:N)-COLUMN($K:$K))="",$K77,trimtext(SplitText($J77,",",COLUMN(N:N)-COLUMN($K:$K))))</f>
        <v>LEFT</v>
      </c>
      <c r="O77" s="12" t="str">
        <f>IF(SplitText($J77,",",COLUMN(O:O)-COLUMN($K:$K))="",$K77,trimtext(SplitText($J77,",",COLUMN(O:O)-COLUMN($K:$K))))</f>
        <v>LEFT</v>
      </c>
      <c r="P77" s="12" t="str">
        <f>IF(SplitText($J77,",",COLUMN(P:P)-COLUMN($K:$K))="",$K77,trimtext(SplitText($J77,",",COLUMN(P:P)-COLUMN($K:$K))))</f>
        <v>LEFT</v>
      </c>
      <c r="Q77" s="12" t="str">
        <f>IF(SplitText($J77,",",COLUMN(Q:Q)-COLUMN($K:$K))="",$K77,trimtext(SplitText($J77,",",COLUMN(Q:Q)-COLUMN($K:$K))))</f>
        <v>LEFT</v>
      </c>
      <c r="R77" s="2" t="s">
        <v>417</v>
      </c>
      <c r="S77" s="12" t="str">
        <f>trimtext(SplitText($R77,",",0))</f>
        <v>DELETE</v>
      </c>
      <c r="T77" s="12" t="str">
        <f>IF(SplitText($R77,",",COLUMN(T:T)-COLUMN($S:$S))="",$S77,trimtext(SplitText($R77,",",COLUMN(T:T)-COLUMN($S:$S))))</f>
        <v>DELETE</v>
      </c>
      <c r="U77" s="12" t="str">
        <f>IF(SplitText($R77,",",COLUMN(U:U)-COLUMN($S:$S))="",$S77,trimtext(SplitText($R77,",",COLUMN(U:U)-COLUMN($S:$S))))</f>
        <v>LEFT</v>
      </c>
      <c r="V77" s="2" t="s">
        <v>581</v>
      </c>
      <c r="W77" s="12" t="str">
        <f>trimtext(SplitText($V77,",",0))</f>
        <v>LEFT</v>
      </c>
      <c r="X77" s="12" t="str">
        <f>IF(SplitText($V77,",",COLUMN(X:X)-COLUMN($W:$W))="",$W77,trimtext(SplitText($V77,",",COLUMN(X:X)-COLUMN($W:$W))))</f>
        <v>LEFT</v>
      </c>
      <c r="Y77" s="12" t="str">
        <f>IF(SplitText($V77,",",COLUMN(Y:Y)-COLUMN($W:$W))="",$W77,trimtext(SplitText($V77,",",COLUMN(Y:Y)-COLUMN($W:$W))))</f>
        <v>LEFT</v>
      </c>
      <c r="Z77" s="2" t="s">
        <v>707</v>
      </c>
      <c r="AA77" s="12" t="str">
        <f t="shared" si="9"/>
        <v>NUMPAD2</v>
      </c>
      <c r="AB77" s="2" t="s">
        <v>818</v>
      </c>
      <c r="AC77" s="12" t="str">
        <f>trimtext(SplitText($AB77,",",0))</f>
        <v>LEFT</v>
      </c>
      <c r="AD77" s="12" t="str">
        <f>IF(SplitText($AB77,",",COLUMN(AD:AD)-COLUMN($AC:$AC))="",$AC77,trimtext(SplitText($AB77,",",COLUMN(AD:AD)-COLUMN($AC:$AC))))</f>
        <v>LEFT</v>
      </c>
      <c r="AE77" s="18" t="str">
        <f t="shared" si="10"/>
        <v>&lt;xs:enumeration value="T4B"&gt;&lt;xs:annotation&gt;&lt;xs:documentation&gt;Typically LEFT for keyboard type 4, different values for different keyboard types&lt;/xs:documentation&gt;&lt;xs:appinfo&gt;&lt;default-vk&gt;</v>
      </c>
      <c r="AF77" s="15" t="str">
        <f>IF(D77&lt;&gt;"","&lt;vk kbd="""&amp;D$1&amp;""" vk="""&amp;D77&amp;""""&amp;IF(Scan2VKFlags!B77&lt;&gt;""," flags="""&amp;Scan2VKFlags!B77&amp;"""","")&amp;"/&gt;","")</f>
        <v>&lt;vk kbd="1" vk="LEFT"/&gt;</v>
      </c>
      <c r="AG77" s="15" t="str">
        <f>IF(E77&lt;&gt;"","&lt;vk kbd="""&amp;E$1&amp;""" vk="""&amp;E77&amp;""""&amp;IF(Scan2VKFlags!C77&lt;&gt;""," flags="""&amp;Scan2VKFlags!C77&amp;"""","")&amp;"/&gt;","")</f>
        <v>&lt;vk kbd="2" vk="LEFT"/&gt;</v>
      </c>
      <c r="AH77" s="15" t="str">
        <f>IF(F77&lt;&gt;"","&lt;vk kbd="""&amp;F$1&amp;""" vk="""&amp;F77&amp;""""&amp;IF(Scan2VKFlags!D77&lt;&gt;""," flags="""&amp;Scan2VKFlags!D77&amp;"""","")&amp;"/&gt;","")</f>
        <v>&lt;vk kbd="3" vk="LEFT"/&gt;</v>
      </c>
      <c r="AI77" s="15" t="str">
        <f>IF(G77&lt;&gt;"","&lt;vk kbd="""&amp;G$1&amp;""" vk="""&amp;G77&amp;""""&amp;IF(Scan2VKFlags!E77&lt;&gt;""," flags="""&amp;Scan2VKFlags!E77&amp;"""","")&amp;"/&gt;","")</f>
        <v>&lt;vk kbd="4" vk="LEFT" flags="KBDNUMPAD KBDSPECIAL"/&gt;</v>
      </c>
      <c r="AJ77" s="15" t="str">
        <f>IF(H77&lt;&gt;"","&lt;vk kbd="""&amp;H$1&amp;""" vk="""&amp;H77&amp;""""&amp;IF(Scan2VKFlags!F77&lt;&gt;""," flags="""&amp;Scan2VKFlags!F77&amp;"""","")&amp;"/&gt;","")</f>
        <v>&lt;vk kbd="5" vk="LEFT"/&gt;</v>
      </c>
      <c r="AK77" s="16" t="str">
        <f>IF(I77&lt;&gt;"","&lt;vk kbd="""&amp;I$1&amp;""" vk="""&amp;I77&amp;""""&amp;IF(Scan2VKFlags!G77&lt;&gt;""," flags="""&amp;Scan2VKFlags!G77&amp;"""","")&amp;"/&gt;","")</f>
        <v>&lt;vk kbd="6" vk="LEFT"/&gt;</v>
      </c>
      <c r="AL77" s="3" t="str">
        <f>IF(K77&lt;&gt;"","&lt;vk kbd="""&amp;K$1&amp;""" vk="""&amp;K77&amp;""""&amp;IF(Scan2VKFlags!H77&lt;&gt;""," flags="""&amp;Scan2VKFlags!H77&amp;"""","")&amp;"/&gt;","")</f>
        <v>&lt;vk kbd="7" vk="LEFT"/&gt;</v>
      </c>
      <c r="AM77" t="str">
        <f>IF(L77&lt;&gt;"","&lt;vk kbd="""&amp;L$1&amp;""" vk="""&amp;L77&amp;""""&amp;IF(Scan2VKFlags!I77&lt;&gt;""," flags="""&amp;Scan2VKFlags!I77&amp;"""","")&amp;"/&gt;","")</f>
        <v>&lt;vk kbd="8" vk="LEFT"/&gt;</v>
      </c>
      <c r="AN77" t="str">
        <f>IF(M77&lt;&gt;"","&lt;vk kbd="""&amp;M$1&amp;""" vk="""&amp;M77&amp;""""&amp;IF(Scan2VKFlags!J77&lt;&gt;""," flags="""&amp;Scan2VKFlags!J77&amp;"""","")&amp;"/&gt;","")</f>
        <v>&lt;vk kbd="16" vk="LEFT"/&gt;</v>
      </c>
      <c r="AO77" t="str">
        <f>IF(N77&lt;&gt;"","&lt;vk kbd="""&amp;N$1&amp;""" vk="""&amp;N77&amp;""""&amp;IF(Scan2VKFlags!K77&lt;&gt;""," flags="""&amp;Scan2VKFlags!K77&amp;"""","")&amp;"/&gt;","")</f>
        <v>&lt;vk kbd="10" vk="LEFT"/&gt;</v>
      </c>
      <c r="AP77" t="str">
        <f>IF(O77&lt;&gt;"","&lt;vk kbd="""&amp;O$1&amp;""" vk="""&amp;O77&amp;""""&amp;IF(Scan2VKFlags!L77&lt;&gt;""," flags="""&amp;Scan2VKFlags!L77&amp;"""","")&amp;"/&gt;","")</f>
        <v>&lt;vk kbd="11" vk="LEFT"/&gt;</v>
      </c>
      <c r="AQ77" t="str">
        <f>IF(P77&lt;&gt;"","&lt;vk kbd="""&amp;P$1&amp;""" vk="""&amp;P77&amp;""""&amp;IF(Scan2VKFlags!M77&lt;&gt;""," flags="""&amp;Scan2VKFlags!M77&amp;"""","")&amp;"/&gt;","")</f>
        <v>&lt;vk kbd="12" vk="LEFT"/&gt;</v>
      </c>
      <c r="AR77" s="16" t="str">
        <f>IF(Q77&lt;&gt;"","&lt;vk kbd="""&amp;Q$1&amp;""" vk="""&amp;Q77&amp;""""&amp;IF(Scan2VKFlags!N77&lt;&gt;""," flags="""&amp;Scan2VKFlags!N77&amp;"""","")&amp;"/&gt;","")</f>
        <v>&lt;vk kbd="13" vk="LEFT"/&gt;</v>
      </c>
      <c r="AS77" s="3" t="str">
        <f>IF(S77&lt;&gt;"","&lt;vk kbd="""&amp;S$1&amp;""" vk="""&amp;S77&amp;""""&amp;IF(Scan2VKFlags!O77&lt;&gt;""," flags="""&amp;Scan2VKFlags!O77&amp;"""","")&amp;"/&gt;","")</f>
        <v>&lt;vk kbd="20" vk="DELETE"/&gt;</v>
      </c>
      <c r="AT77" t="str">
        <f>IF(T77&lt;&gt;"","&lt;vk kbd="""&amp;T$1&amp;""" vk="""&amp;T77&amp;""""&amp;IF(Scan2VKFlags!P77&lt;&gt;""," flags="""&amp;Scan2VKFlags!P77&amp;"""","")&amp;"/&gt;","")</f>
        <v>&lt;vk kbd="21" vk="DELETE"/&gt;</v>
      </c>
      <c r="AU77" s="16" t="str">
        <f>IF(U77&lt;&gt;"","&lt;vk kbd="""&amp;U$1&amp;""" vk="""&amp;U77&amp;""""&amp;IF(Scan2VKFlags!Q77&lt;&gt;""," flags="""&amp;Scan2VKFlags!Q77&amp;"""","")&amp;"/&gt;","")</f>
        <v>&lt;vk kbd="22" vk="LEFT"/&gt;</v>
      </c>
      <c r="AV77" s="3" t="str">
        <f>IF(W77&lt;&gt;"","&lt;vk kbd="""&amp;W$1&amp;""" vk="""&amp;W77&amp;""""&amp;IF(Scan2VKFlags!R77&lt;&gt;""," flags="""&amp;Scan2VKFlags!R77&amp;"""","")&amp;"/&gt;","")</f>
        <v>&lt;vk kbd="30" vk="LEFT"/&gt;</v>
      </c>
      <c r="AW77" s="15" t="str">
        <f>IF(X77&lt;&gt;"","&lt;vk kbd="""&amp;X$1&amp;""" vk="""&amp;X77&amp;""""&amp;IF(Scan2VKFlags!S77&lt;&gt;""," flags="""&amp;Scan2VKFlags!S77&amp;"""","")&amp;"/&gt;","")</f>
        <v>&lt;vk kbd="33" vk="LEFT"/&gt;</v>
      </c>
      <c r="AX77" s="15" t="str">
        <f>IF(Y77&lt;&gt;"","&lt;vk kbd="""&amp;Y$1&amp;""" vk="""&amp;Y77&amp;""""&amp;IF(Scan2VKFlags!T77&lt;&gt;""," flags="""&amp;Scan2VKFlags!T77&amp;"""","")&amp;"/&gt;","")</f>
        <v>&lt;vk kbd="34" vk="LEFT"/&gt;</v>
      </c>
      <c r="AY77" s="18" t="str">
        <f>IF(AA77&lt;&gt;"","&lt;vk kbd="""&amp;AA$1&amp;""" vk="""&amp;AA77&amp;""""&amp;IF(Scan2VKFlags!U77&lt;&gt;""," flags="""&amp;Scan2VKFlags!U77&amp;"""","")&amp;"/&gt;","")</f>
        <v>&lt;vk kbd="37" vk="NUMPAD2"/&gt;</v>
      </c>
      <c r="AZ77" s="3" t="str">
        <f>IF(AC77&lt;&gt;"","&lt;vk kbd="""&amp;AC$1&amp;""" vk="""&amp;AC77&amp;""""&amp;IF(Scan2VKFlags!V77&lt;&gt;""," flags="""&amp;Scan2VKFlags!V77&amp;"""","")&amp;"/&gt;","")</f>
        <v>&lt;vk kbd="40" vk="LEFT"/&gt;</v>
      </c>
      <c r="BA77" s="16" t="str">
        <f>IF(AD77&lt;&gt;"","&lt;vk kbd="""&amp;AD$1&amp;""" vk="""&amp;AD77&amp;""""&amp;IF(Scan2VKFlags!W77&lt;&gt;""," flags="""&amp;Scan2VKFlags!W77&amp;"""","")&amp;"/&gt;","")</f>
        <v>&lt;vk kbd="41" vk="LEFT"/&gt;</v>
      </c>
      <c r="BB77" t="s">
        <v>854</v>
      </c>
    </row>
    <row r="78" spans="1:54" x14ac:dyDescent="0.25">
      <c r="A78">
        <f t="shared" si="11"/>
        <v>76</v>
      </c>
      <c r="B78" t="str">
        <f t="shared" si="8"/>
        <v>T4C</v>
      </c>
      <c r="C78" s="7" t="s">
        <v>76</v>
      </c>
      <c r="D78" s="12" t="str">
        <f>trimtext(SplitText($C78,",",0))</f>
        <v>CLEAR</v>
      </c>
      <c r="E78" s="12" t="str">
        <f>IF(SplitText($C78,",",COLUMN(E:E)-COLUMN($D:$D))="",$D78,trimtext(SplitText($C78,",",COLUMN(E:E)-COLUMN($D:$D))))</f>
        <v>CLEAR</v>
      </c>
      <c r="F78" s="12" t="str">
        <f>IF(SplitText($C78,",",COLUMN(F:F)-COLUMN($D:$D))="",$D78,trimtext(SplitText($C78,",",COLUMN(F:F)-COLUMN($D:$D))))</f>
        <v>CLEAR</v>
      </c>
      <c r="G78" s="12" t="str">
        <f>IF(SplitText($C78,",",COLUMN(G:G)-COLUMN($D:$D))="",$D78,trimtext(SplitText($C78,",",COLUMN(G:G)-COLUMN($D:$D))))</f>
        <v>CLEAR</v>
      </c>
      <c r="H78" s="12" t="str">
        <f>IF(SplitText($C78,",",COLUMN(H:H)-COLUMN($D:$D))="",$D78,trimtext(SplitText($C78,",",COLUMN(H:H)-COLUMN($D:$D))))</f>
        <v>CLEAR</v>
      </c>
      <c r="I78" s="12" t="str">
        <f>IF(SplitText($C78,",",COLUMN(I:I)-COLUMN($D:$D))="",$D78,trimtext(SplitText($C78,",",COLUMN(I:I)-COLUMN($D:$D))))</f>
        <v>CLEAR</v>
      </c>
      <c r="J78" s="9" t="s">
        <v>261</v>
      </c>
      <c r="K78" s="12" t="str">
        <f>trimtext(SplitText($J78,",",0))</f>
        <v>CLEAR</v>
      </c>
      <c r="L78" s="12" t="str">
        <f>IF(SplitText($J78,",",COLUMN(L:L)-COLUMN($K:$K))="",$K78,trimtext(SplitText($J78,",",COLUMN(L:L)-COLUMN($K:$K))))</f>
        <v>CLEAR</v>
      </c>
      <c r="M78" s="12" t="str">
        <f>IF(SplitText($J78,",",COLUMN(M:M)-COLUMN($K:$K))="",$K78,trimtext(SplitText($J78,",",COLUMN(M:M)-COLUMN($K:$K))))</f>
        <v>CLEAR</v>
      </c>
      <c r="N78" s="12" t="str">
        <f>IF(SplitText($J78,",",COLUMN(N:N)-COLUMN($K:$K))="",$K78,trimtext(SplitText($J78,",",COLUMN(N:N)-COLUMN($K:$K))))</f>
        <v>CLEAR</v>
      </c>
      <c r="O78" s="12" t="str">
        <f>IF(SplitText($J78,",",COLUMN(O:O)-COLUMN($K:$K))="",$K78,trimtext(SplitText($J78,",",COLUMN(O:O)-COLUMN($K:$K))))</f>
        <v>CLEAR</v>
      </c>
      <c r="P78" s="12" t="str">
        <f>IF(SplitText($J78,",",COLUMN(P:P)-COLUMN($K:$K))="",$K78,trimtext(SplitText($J78,",",COLUMN(P:P)-COLUMN($K:$K))))</f>
        <v>CLEAR</v>
      </c>
      <c r="Q78" s="12" t="str">
        <f>IF(SplitText($J78,",",COLUMN(Q:Q)-COLUMN($K:$K))="",$K78,trimtext(SplitText($J78,",",COLUMN(Q:Q)-COLUMN($K:$K))))</f>
        <v>CLEAR</v>
      </c>
      <c r="R78" s="2" t="s">
        <v>418</v>
      </c>
      <c r="S78" s="12" t="str">
        <f>trimtext(SplitText($R78,",",0))</f>
        <v>_none_</v>
      </c>
      <c r="T78" s="12" t="str">
        <f>IF(SplitText($R78,",",COLUMN(T:T)-COLUMN($S:$S))="",$S78,trimtext(SplitText($R78,",",COLUMN(T:T)-COLUMN($S:$S))))</f>
        <v>_none_</v>
      </c>
      <c r="U78" s="12" t="str">
        <f>IF(SplitText($R78,",",COLUMN(U:U)-COLUMN($S:$S))="",$S78,trimtext(SplitText($R78,",",COLUMN(U:U)-COLUMN($S:$S))))</f>
        <v>CLEAR</v>
      </c>
      <c r="V78" s="2" t="s">
        <v>582</v>
      </c>
      <c r="W78" s="12" t="str">
        <f>trimtext(SplitText($V78,",",0))</f>
        <v>CLEAR</v>
      </c>
      <c r="X78" s="12" t="str">
        <f>IF(SplitText($V78,",",COLUMN(X:X)-COLUMN($W:$W))="",$W78,trimtext(SplitText($V78,",",COLUMN(X:X)-COLUMN($W:$W))))</f>
        <v>CLEAR</v>
      </c>
      <c r="Y78" s="12" t="str">
        <f>IF(SplitText($V78,",",COLUMN(Y:Y)-COLUMN($W:$W))="",$W78,trimtext(SplitText($V78,",",COLUMN(Y:Y)-COLUMN($W:$W))))</f>
        <v>CLEAR</v>
      </c>
      <c r="Z78" s="2" t="s">
        <v>708</v>
      </c>
      <c r="AA78" s="12" t="str">
        <f t="shared" si="9"/>
        <v>NUMPAD3</v>
      </c>
      <c r="AB78" s="2" t="s">
        <v>819</v>
      </c>
      <c r="AC78" s="12" t="str">
        <f>trimtext(SplitText($AB78,",",0))</f>
        <v>CLEAR</v>
      </c>
      <c r="AD78" s="12" t="str">
        <f>IF(SplitText($AB78,",",COLUMN(AD:AD)-COLUMN($AC:$AC))="",$AC78,trimtext(SplitText($AB78,",",COLUMN(AD:AD)-COLUMN($AC:$AC))))</f>
        <v>CLEAR</v>
      </c>
      <c r="AE78" s="18" t="str">
        <f t="shared" si="10"/>
        <v>&lt;xs:enumeration value="T4C"&gt;&lt;xs:annotation&gt;&lt;xs:documentation&gt;Typically CLEAR for keyboard type 4, different values for different keyboard types&lt;/xs:documentation&gt;&lt;xs:appinfo&gt;&lt;default-vk&gt;</v>
      </c>
      <c r="AF78" s="15" t="str">
        <f>IF(D78&lt;&gt;"","&lt;vk kbd="""&amp;D$1&amp;""" vk="""&amp;D78&amp;""""&amp;IF(Scan2VKFlags!B78&lt;&gt;""," flags="""&amp;Scan2VKFlags!B78&amp;"""","")&amp;"/&gt;","")</f>
        <v>&lt;vk kbd="1" vk="CLEAR"/&gt;</v>
      </c>
      <c r="AG78" s="15" t="str">
        <f>IF(E78&lt;&gt;"","&lt;vk kbd="""&amp;E$1&amp;""" vk="""&amp;E78&amp;""""&amp;IF(Scan2VKFlags!C78&lt;&gt;""," flags="""&amp;Scan2VKFlags!C78&amp;"""","")&amp;"/&gt;","")</f>
        <v>&lt;vk kbd="2" vk="CLEAR"/&gt;</v>
      </c>
      <c r="AH78" s="15" t="str">
        <f>IF(F78&lt;&gt;"","&lt;vk kbd="""&amp;F$1&amp;""" vk="""&amp;F78&amp;""""&amp;IF(Scan2VKFlags!D78&lt;&gt;""," flags="""&amp;Scan2VKFlags!D78&amp;"""","")&amp;"/&gt;","")</f>
        <v>&lt;vk kbd="3" vk="CLEAR"/&gt;</v>
      </c>
      <c r="AI78" s="15" t="str">
        <f>IF(G78&lt;&gt;"","&lt;vk kbd="""&amp;G$1&amp;""" vk="""&amp;G78&amp;""""&amp;IF(Scan2VKFlags!E78&lt;&gt;""," flags="""&amp;Scan2VKFlags!E78&amp;"""","")&amp;"/&gt;","")</f>
        <v>&lt;vk kbd="4" vk="CLEAR" flags="KBDNUMPAD KBDSPECIAL"/&gt;</v>
      </c>
      <c r="AJ78" s="15" t="str">
        <f>IF(H78&lt;&gt;"","&lt;vk kbd="""&amp;H$1&amp;""" vk="""&amp;H78&amp;""""&amp;IF(Scan2VKFlags!F78&lt;&gt;""," flags="""&amp;Scan2VKFlags!F78&amp;"""","")&amp;"/&gt;","")</f>
        <v>&lt;vk kbd="5" vk="CLEAR"/&gt;</v>
      </c>
      <c r="AK78" s="16" t="str">
        <f>IF(I78&lt;&gt;"","&lt;vk kbd="""&amp;I$1&amp;""" vk="""&amp;I78&amp;""""&amp;IF(Scan2VKFlags!G78&lt;&gt;""," flags="""&amp;Scan2VKFlags!G78&amp;"""","")&amp;"/&gt;","")</f>
        <v>&lt;vk kbd="6" vk="CLEAR"/&gt;</v>
      </c>
      <c r="AL78" s="3" t="str">
        <f>IF(K78&lt;&gt;"","&lt;vk kbd="""&amp;K$1&amp;""" vk="""&amp;K78&amp;""""&amp;IF(Scan2VKFlags!H78&lt;&gt;""," flags="""&amp;Scan2VKFlags!H78&amp;"""","")&amp;"/&gt;","")</f>
        <v>&lt;vk kbd="7" vk="CLEAR"/&gt;</v>
      </c>
      <c r="AM78" t="str">
        <f>IF(L78&lt;&gt;"","&lt;vk kbd="""&amp;L$1&amp;""" vk="""&amp;L78&amp;""""&amp;IF(Scan2VKFlags!I78&lt;&gt;""," flags="""&amp;Scan2VKFlags!I78&amp;"""","")&amp;"/&gt;","")</f>
        <v>&lt;vk kbd="8" vk="CLEAR"/&gt;</v>
      </c>
      <c r="AN78" t="str">
        <f>IF(M78&lt;&gt;"","&lt;vk kbd="""&amp;M$1&amp;""" vk="""&amp;M78&amp;""""&amp;IF(Scan2VKFlags!J78&lt;&gt;""," flags="""&amp;Scan2VKFlags!J78&amp;"""","")&amp;"/&gt;","")</f>
        <v>&lt;vk kbd="16" vk="CLEAR"/&gt;</v>
      </c>
      <c r="AO78" t="str">
        <f>IF(N78&lt;&gt;"","&lt;vk kbd="""&amp;N$1&amp;""" vk="""&amp;N78&amp;""""&amp;IF(Scan2VKFlags!K78&lt;&gt;""," flags="""&amp;Scan2VKFlags!K78&amp;"""","")&amp;"/&gt;","")</f>
        <v>&lt;vk kbd="10" vk="CLEAR"/&gt;</v>
      </c>
      <c r="AP78" t="str">
        <f>IF(O78&lt;&gt;"","&lt;vk kbd="""&amp;O$1&amp;""" vk="""&amp;O78&amp;""""&amp;IF(Scan2VKFlags!L78&lt;&gt;""," flags="""&amp;Scan2VKFlags!L78&amp;"""","")&amp;"/&gt;","")</f>
        <v>&lt;vk kbd="11" vk="CLEAR"/&gt;</v>
      </c>
      <c r="AQ78" t="str">
        <f>IF(P78&lt;&gt;"","&lt;vk kbd="""&amp;P$1&amp;""" vk="""&amp;P78&amp;""""&amp;IF(Scan2VKFlags!M78&lt;&gt;""," flags="""&amp;Scan2VKFlags!M78&amp;"""","")&amp;"/&gt;","")</f>
        <v>&lt;vk kbd="12" vk="CLEAR"/&gt;</v>
      </c>
      <c r="AR78" s="16" t="str">
        <f>IF(Q78&lt;&gt;"","&lt;vk kbd="""&amp;Q$1&amp;""" vk="""&amp;Q78&amp;""""&amp;IF(Scan2VKFlags!N78&lt;&gt;""," flags="""&amp;Scan2VKFlags!N78&amp;"""","")&amp;"/&gt;","")</f>
        <v>&lt;vk kbd="13" vk="CLEAR"/&gt;</v>
      </c>
      <c r="AS78" s="3" t="str">
        <f>IF(S78&lt;&gt;"","&lt;vk kbd="""&amp;S$1&amp;""" vk="""&amp;S78&amp;""""&amp;IF(Scan2VKFlags!O78&lt;&gt;""," flags="""&amp;Scan2VKFlags!O78&amp;"""","")&amp;"/&gt;","")</f>
        <v>&lt;vk kbd="20" vk="_none_"/&gt;</v>
      </c>
      <c r="AT78" t="str">
        <f>IF(T78&lt;&gt;"","&lt;vk kbd="""&amp;T$1&amp;""" vk="""&amp;T78&amp;""""&amp;IF(Scan2VKFlags!P78&lt;&gt;""," flags="""&amp;Scan2VKFlags!P78&amp;"""","")&amp;"/&gt;","")</f>
        <v>&lt;vk kbd="21" vk="_none_"/&gt;</v>
      </c>
      <c r="AU78" s="16" t="str">
        <f>IF(U78&lt;&gt;"","&lt;vk kbd="""&amp;U$1&amp;""" vk="""&amp;U78&amp;""""&amp;IF(Scan2VKFlags!Q78&lt;&gt;""," flags="""&amp;Scan2VKFlags!Q78&amp;"""","")&amp;"/&gt;","")</f>
        <v>&lt;vk kbd="22" vk="CLEAR"/&gt;</v>
      </c>
      <c r="AV78" s="3" t="str">
        <f>IF(W78&lt;&gt;"","&lt;vk kbd="""&amp;W$1&amp;""" vk="""&amp;W78&amp;""""&amp;IF(Scan2VKFlags!R78&lt;&gt;""," flags="""&amp;Scan2VKFlags!R78&amp;"""","")&amp;"/&gt;","")</f>
        <v>&lt;vk kbd="30" vk="CLEAR"/&gt;</v>
      </c>
      <c r="AW78" s="15" t="str">
        <f>IF(X78&lt;&gt;"","&lt;vk kbd="""&amp;X$1&amp;""" vk="""&amp;X78&amp;""""&amp;IF(Scan2VKFlags!S78&lt;&gt;""," flags="""&amp;Scan2VKFlags!S78&amp;"""","")&amp;"/&gt;","")</f>
        <v>&lt;vk kbd="33" vk="CLEAR"/&gt;</v>
      </c>
      <c r="AX78" s="15" t="str">
        <f>IF(Y78&lt;&gt;"","&lt;vk kbd="""&amp;Y$1&amp;""" vk="""&amp;Y78&amp;""""&amp;IF(Scan2VKFlags!T78&lt;&gt;""," flags="""&amp;Scan2VKFlags!T78&amp;"""","")&amp;"/&gt;","")</f>
        <v>&lt;vk kbd="34" vk="CLEAR"/&gt;</v>
      </c>
      <c r="AY78" s="18" t="str">
        <f>IF(AA78&lt;&gt;"","&lt;vk kbd="""&amp;AA$1&amp;""" vk="""&amp;AA78&amp;""""&amp;IF(Scan2VKFlags!U78&lt;&gt;""," flags="""&amp;Scan2VKFlags!U78&amp;"""","")&amp;"/&gt;","")</f>
        <v>&lt;vk kbd="37" vk="NUMPAD3"/&gt;</v>
      </c>
      <c r="AZ78" s="3" t="str">
        <f>IF(AC78&lt;&gt;"","&lt;vk kbd="""&amp;AC$1&amp;""" vk="""&amp;AC78&amp;""""&amp;IF(Scan2VKFlags!V78&lt;&gt;""," flags="""&amp;Scan2VKFlags!V78&amp;"""","")&amp;"/&gt;","")</f>
        <v>&lt;vk kbd="40" vk="CLEAR"/&gt;</v>
      </c>
      <c r="BA78" s="16" t="str">
        <f>IF(AD78&lt;&gt;"","&lt;vk kbd="""&amp;AD$1&amp;""" vk="""&amp;AD78&amp;""""&amp;IF(Scan2VKFlags!W78&lt;&gt;""," flags="""&amp;Scan2VKFlags!W78&amp;"""","")&amp;"/&gt;","")</f>
        <v>&lt;vk kbd="41" vk="CLEAR"/&gt;</v>
      </c>
      <c r="BB78" t="s">
        <v>854</v>
      </c>
    </row>
    <row r="79" spans="1:54" x14ac:dyDescent="0.25">
      <c r="A79">
        <f t="shared" si="11"/>
        <v>77</v>
      </c>
      <c r="B79" t="str">
        <f t="shared" si="8"/>
        <v>T4D</v>
      </c>
      <c r="C79" s="7" t="s">
        <v>77</v>
      </c>
      <c r="D79" s="12" t="str">
        <f>trimtext(SplitText($C79,",",0))</f>
        <v>RIGHT</v>
      </c>
      <c r="E79" s="12" t="str">
        <f>IF(SplitText($C79,",",COLUMN(E:E)-COLUMN($D:$D))="",$D79,trimtext(SplitText($C79,",",COLUMN(E:E)-COLUMN($D:$D))))</f>
        <v>RIGHT</v>
      </c>
      <c r="F79" s="12" t="str">
        <f>IF(SplitText($C79,",",COLUMN(F:F)-COLUMN($D:$D))="",$D79,trimtext(SplitText($C79,",",COLUMN(F:F)-COLUMN($D:$D))))</f>
        <v>RIGHT</v>
      </c>
      <c r="G79" s="12" t="str">
        <f>IF(SplitText($C79,",",COLUMN(G:G)-COLUMN($D:$D))="",$D79,trimtext(SplitText($C79,",",COLUMN(G:G)-COLUMN($D:$D))))</f>
        <v>RIGHT</v>
      </c>
      <c r="H79" s="12" t="str">
        <f>IF(SplitText($C79,",",COLUMN(H:H)-COLUMN($D:$D))="",$D79,trimtext(SplitText($C79,",",COLUMN(H:H)-COLUMN($D:$D))))</f>
        <v>RIGHT</v>
      </c>
      <c r="I79" s="12" t="str">
        <f>IF(SplitText($C79,",",COLUMN(I:I)-COLUMN($D:$D))="",$D79,trimtext(SplitText($C79,",",COLUMN(I:I)-COLUMN($D:$D))))</f>
        <v>RIGHT</v>
      </c>
      <c r="J79" s="9" t="s">
        <v>262</v>
      </c>
      <c r="K79" s="12" t="str">
        <f>trimtext(SplitText($J79,",",0))</f>
        <v>RIGHT</v>
      </c>
      <c r="L79" s="12" t="str">
        <f>IF(SplitText($J79,",",COLUMN(L:L)-COLUMN($K:$K))="",$K79,trimtext(SplitText($J79,",",COLUMN(L:L)-COLUMN($K:$K))))</f>
        <v>RIGHT</v>
      </c>
      <c r="M79" s="12" t="str">
        <f>IF(SplitText($J79,",",COLUMN(M:M)-COLUMN($K:$K))="",$K79,trimtext(SplitText($J79,",",COLUMN(M:M)-COLUMN($K:$K))))</f>
        <v>RIGHT</v>
      </c>
      <c r="N79" s="12" t="str">
        <f>IF(SplitText($J79,",",COLUMN(N:N)-COLUMN($K:$K))="",$K79,trimtext(SplitText($J79,",",COLUMN(N:N)-COLUMN($K:$K))))</f>
        <v>RIGHT</v>
      </c>
      <c r="O79" s="12" t="str">
        <f>IF(SplitText($J79,",",COLUMN(O:O)-COLUMN($K:$K))="",$K79,trimtext(SplitText($J79,",",COLUMN(O:O)-COLUMN($K:$K))))</f>
        <v>RIGHT</v>
      </c>
      <c r="P79" s="12" t="str">
        <f>IF(SplitText($J79,",",COLUMN(P:P)-COLUMN($K:$K))="",$K79,trimtext(SplitText($J79,",",COLUMN(P:P)-COLUMN($K:$K))))</f>
        <v>RIGHT</v>
      </c>
      <c r="Q79" s="12" t="str">
        <f>IF(SplitText($J79,",",COLUMN(Q:Q)-COLUMN($K:$K))="",$K79,trimtext(SplitText($J79,",",COLUMN(Q:Q)-COLUMN($K:$K))))</f>
        <v>RIGHT</v>
      </c>
      <c r="R79" s="2" t="s">
        <v>419</v>
      </c>
      <c r="S79" s="12" t="str">
        <f>trimtext(SplitText($R79,",",0))</f>
        <v>UP</v>
      </c>
      <c r="T79" s="12" t="str">
        <f>IF(SplitText($R79,",",COLUMN(T:T)-COLUMN($S:$S))="",$S79,trimtext(SplitText($R79,",",COLUMN(T:T)-COLUMN($S:$S))))</f>
        <v>UP</v>
      </c>
      <c r="U79" s="12" t="str">
        <f>IF(SplitText($R79,",",COLUMN(U:U)-COLUMN($S:$S))="",$S79,trimtext(SplitText($R79,",",COLUMN(U:U)-COLUMN($S:$S))))</f>
        <v>RIGHT</v>
      </c>
      <c r="V79" s="2" t="s">
        <v>583</v>
      </c>
      <c r="W79" s="12" t="str">
        <f>trimtext(SplitText($V79,",",0))</f>
        <v>RIGHT</v>
      </c>
      <c r="X79" s="12" t="str">
        <f>IF(SplitText($V79,",",COLUMN(X:X)-COLUMN($W:$W))="",$W79,trimtext(SplitText($V79,",",COLUMN(X:X)-COLUMN($W:$W))))</f>
        <v>RIGHT</v>
      </c>
      <c r="Y79" s="12" t="str">
        <f>IF(SplitText($V79,",",COLUMN(Y:Y)-COLUMN($W:$W))="",$W79,trimtext(SplitText($V79,",",COLUMN(Y:Y)-COLUMN($W:$W))))</f>
        <v>RIGHT</v>
      </c>
      <c r="Z79" s="2" t="s">
        <v>742</v>
      </c>
      <c r="AA79" s="12" t="str">
        <f t="shared" si="9"/>
        <v>OEM_NEC_EQUAL</v>
      </c>
      <c r="AB79" s="2" t="s">
        <v>820</v>
      </c>
      <c r="AC79" s="12" t="str">
        <f>trimtext(SplitText($AB79,",",0))</f>
        <v>RIGHT</v>
      </c>
      <c r="AD79" s="12" t="str">
        <f>IF(SplitText($AB79,",",COLUMN(AD:AD)-COLUMN($AC:$AC))="",$AC79,trimtext(SplitText($AB79,",",COLUMN(AD:AD)-COLUMN($AC:$AC))))</f>
        <v>RIGHT</v>
      </c>
      <c r="AE79" s="18" t="str">
        <f t="shared" si="10"/>
        <v>&lt;xs:enumeration value="T4D"&gt;&lt;xs:annotation&gt;&lt;xs:documentation&gt;Typically RIGHT for keyboard type 4, different values for different keyboard types&lt;/xs:documentation&gt;&lt;xs:appinfo&gt;&lt;default-vk&gt;</v>
      </c>
      <c r="AF79" s="15" t="str">
        <f>IF(D79&lt;&gt;"","&lt;vk kbd="""&amp;D$1&amp;""" vk="""&amp;D79&amp;""""&amp;IF(Scan2VKFlags!B79&lt;&gt;""," flags="""&amp;Scan2VKFlags!B79&amp;"""","")&amp;"/&gt;","")</f>
        <v>&lt;vk kbd="1" vk="RIGHT"/&gt;</v>
      </c>
      <c r="AG79" s="15" t="str">
        <f>IF(E79&lt;&gt;"","&lt;vk kbd="""&amp;E$1&amp;""" vk="""&amp;E79&amp;""""&amp;IF(Scan2VKFlags!C79&lt;&gt;""," flags="""&amp;Scan2VKFlags!C79&amp;"""","")&amp;"/&gt;","")</f>
        <v>&lt;vk kbd="2" vk="RIGHT"/&gt;</v>
      </c>
      <c r="AH79" s="15" t="str">
        <f>IF(F79&lt;&gt;"","&lt;vk kbd="""&amp;F$1&amp;""" vk="""&amp;F79&amp;""""&amp;IF(Scan2VKFlags!D79&lt;&gt;""," flags="""&amp;Scan2VKFlags!D79&amp;"""","")&amp;"/&gt;","")</f>
        <v>&lt;vk kbd="3" vk="RIGHT"/&gt;</v>
      </c>
      <c r="AI79" s="15" t="str">
        <f>IF(G79&lt;&gt;"","&lt;vk kbd="""&amp;G$1&amp;""" vk="""&amp;G79&amp;""""&amp;IF(Scan2VKFlags!E79&lt;&gt;""," flags="""&amp;Scan2VKFlags!E79&amp;"""","")&amp;"/&gt;","")</f>
        <v>&lt;vk kbd="4" vk="RIGHT" flags="KBDNUMPAD KBDSPECIAL"/&gt;</v>
      </c>
      <c r="AJ79" s="15" t="str">
        <f>IF(H79&lt;&gt;"","&lt;vk kbd="""&amp;H$1&amp;""" vk="""&amp;H79&amp;""""&amp;IF(Scan2VKFlags!F79&lt;&gt;""," flags="""&amp;Scan2VKFlags!F79&amp;"""","")&amp;"/&gt;","")</f>
        <v>&lt;vk kbd="5" vk="RIGHT"/&gt;</v>
      </c>
      <c r="AK79" s="16" t="str">
        <f>IF(I79&lt;&gt;"","&lt;vk kbd="""&amp;I$1&amp;""" vk="""&amp;I79&amp;""""&amp;IF(Scan2VKFlags!G79&lt;&gt;""," flags="""&amp;Scan2VKFlags!G79&amp;"""","")&amp;"/&gt;","")</f>
        <v>&lt;vk kbd="6" vk="RIGHT"/&gt;</v>
      </c>
      <c r="AL79" s="3" t="str">
        <f>IF(K79&lt;&gt;"","&lt;vk kbd="""&amp;K$1&amp;""" vk="""&amp;K79&amp;""""&amp;IF(Scan2VKFlags!H79&lt;&gt;""," flags="""&amp;Scan2VKFlags!H79&amp;"""","")&amp;"/&gt;","")</f>
        <v>&lt;vk kbd="7" vk="RIGHT"/&gt;</v>
      </c>
      <c r="AM79" t="str">
        <f>IF(L79&lt;&gt;"","&lt;vk kbd="""&amp;L$1&amp;""" vk="""&amp;L79&amp;""""&amp;IF(Scan2VKFlags!I79&lt;&gt;""," flags="""&amp;Scan2VKFlags!I79&amp;"""","")&amp;"/&gt;","")</f>
        <v>&lt;vk kbd="8" vk="RIGHT"/&gt;</v>
      </c>
      <c r="AN79" t="str">
        <f>IF(M79&lt;&gt;"","&lt;vk kbd="""&amp;M$1&amp;""" vk="""&amp;M79&amp;""""&amp;IF(Scan2VKFlags!J79&lt;&gt;""," flags="""&amp;Scan2VKFlags!J79&amp;"""","")&amp;"/&gt;","")</f>
        <v>&lt;vk kbd="16" vk="RIGHT"/&gt;</v>
      </c>
      <c r="AO79" t="str">
        <f>IF(N79&lt;&gt;"","&lt;vk kbd="""&amp;N$1&amp;""" vk="""&amp;N79&amp;""""&amp;IF(Scan2VKFlags!K79&lt;&gt;""," flags="""&amp;Scan2VKFlags!K79&amp;"""","")&amp;"/&gt;","")</f>
        <v>&lt;vk kbd="10" vk="RIGHT"/&gt;</v>
      </c>
      <c r="AP79" t="str">
        <f>IF(O79&lt;&gt;"","&lt;vk kbd="""&amp;O$1&amp;""" vk="""&amp;O79&amp;""""&amp;IF(Scan2VKFlags!L79&lt;&gt;""," flags="""&amp;Scan2VKFlags!L79&amp;"""","")&amp;"/&gt;","")</f>
        <v>&lt;vk kbd="11" vk="RIGHT"/&gt;</v>
      </c>
      <c r="AQ79" t="str">
        <f>IF(P79&lt;&gt;"","&lt;vk kbd="""&amp;P$1&amp;""" vk="""&amp;P79&amp;""""&amp;IF(Scan2VKFlags!M79&lt;&gt;""," flags="""&amp;Scan2VKFlags!M79&amp;"""","")&amp;"/&gt;","")</f>
        <v>&lt;vk kbd="12" vk="RIGHT"/&gt;</v>
      </c>
      <c r="AR79" s="16" t="str">
        <f>IF(Q79&lt;&gt;"","&lt;vk kbd="""&amp;Q$1&amp;""" vk="""&amp;Q79&amp;""""&amp;IF(Scan2VKFlags!N79&lt;&gt;""," flags="""&amp;Scan2VKFlags!N79&amp;"""","")&amp;"/&gt;","")</f>
        <v>&lt;vk kbd="13" vk="RIGHT"/&gt;</v>
      </c>
      <c r="AS79" s="3" t="str">
        <f>IF(S79&lt;&gt;"","&lt;vk kbd="""&amp;S$1&amp;""" vk="""&amp;S79&amp;""""&amp;IF(Scan2VKFlags!O79&lt;&gt;""," flags="""&amp;Scan2VKFlags!O79&amp;"""","")&amp;"/&gt;","")</f>
        <v>&lt;vk kbd="20" vk="UP"/&gt;</v>
      </c>
      <c r="AT79" t="str">
        <f>IF(T79&lt;&gt;"","&lt;vk kbd="""&amp;T$1&amp;""" vk="""&amp;T79&amp;""""&amp;IF(Scan2VKFlags!P79&lt;&gt;""," flags="""&amp;Scan2VKFlags!P79&amp;"""","")&amp;"/&gt;","")</f>
        <v>&lt;vk kbd="21" vk="UP"/&gt;</v>
      </c>
      <c r="AU79" s="16" t="str">
        <f>IF(U79&lt;&gt;"","&lt;vk kbd="""&amp;U$1&amp;""" vk="""&amp;U79&amp;""""&amp;IF(Scan2VKFlags!Q79&lt;&gt;""," flags="""&amp;Scan2VKFlags!Q79&amp;"""","")&amp;"/&gt;","")</f>
        <v>&lt;vk kbd="22" vk="RIGHT"/&gt;</v>
      </c>
      <c r="AV79" s="3" t="str">
        <f>IF(W79&lt;&gt;"","&lt;vk kbd="""&amp;W$1&amp;""" vk="""&amp;W79&amp;""""&amp;IF(Scan2VKFlags!R79&lt;&gt;""," flags="""&amp;Scan2VKFlags!R79&amp;"""","")&amp;"/&gt;","")</f>
        <v>&lt;vk kbd="30" vk="RIGHT"/&gt;</v>
      </c>
      <c r="AW79" s="15" t="str">
        <f>IF(X79&lt;&gt;"","&lt;vk kbd="""&amp;X$1&amp;""" vk="""&amp;X79&amp;""""&amp;IF(Scan2VKFlags!S79&lt;&gt;""," flags="""&amp;Scan2VKFlags!S79&amp;"""","")&amp;"/&gt;","")</f>
        <v>&lt;vk kbd="33" vk="RIGHT"/&gt;</v>
      </c>
      <c r="AX79" s="15" t="str">
        <f>IF(Y79&lt;&gt;"","&lt;vk kbd="""&amp;Y$1&amp;""" vk="""&amp;Y79&amp;""""&amp;IF(Scan2VKFlags!T79&lt;&gt;""," flags="""&amp;Scan2VKFlags!T79&amp;"""","")&amp;"/&gt;","")</f>
        <v>&lt;vk kbd="34" vk="RIGHT"/&gt;</v>
      </c>
      <c r="AY79" s="18" t="str">
        <f>IF(AA79&lt;&gt;"","&lt;vk kbd="""&amp;AA$1&amp;""" vk="""&amp;AA79&amp;""""&amp;IF(Scan2VKFlags!U79&lt;&gt;""," flags="""&amp;Scan2VKFlags!U79&amp;"""","")&amp;"/&gt;","")</f>
        <v>&lt;vk kbd="37" vk="OEM_NEC_EQUAL"/&gt;</v>
      </c>
      <c r="AZ79" s="3" t="str">
        <f>IF(AC79&lt;&gt;"","&lt;vk kbd="""&amp;AC$1&amp;""" vk="""&amp;AC79&amp;""""&amp;IF(Scan2VKFlags!V79&lt;&gt;""," flags="""&amp;Scan2VKFlags!V79&amp;"""","")&amp;"/&gt;","")</f>
        <v>&lt;vk kbd="40" vk="RIGHT"/&gt;</v>
      </c>
      <c r="BA79" s="16" t="str">
        <f>IF(AD79&lt;&gt;"","&lt;vk kbd="""&amp;AD$1&amp;""" vk="""&amp;AD79&amp;""""&amp;IF(Scan2VKFlags!W79&lt;&gt;""," flags="""&amp;Scan2VKFlags!W79&amp;"""","")&amp;"/&gt;","")</f>
        <v>&lt;vk kbd="41" vk="RIGHT"/&gt;</v>
      </c>
      <c r="BB79" t="s">
        <v>854</v>
      </c>
    </row>
    <row r="80" spans="1:54" x14ac:dyDescent="0.25">
      <c r="A80">
        <f t="shared" si="11"/>
        <v>78</v>
      </c>
      <c r="B80" t="str">
        <f t="shared" si="8"/>
        <v>T4E</v>
      </c>
      <c r="C80" s="7" t="s">
        <v>78</v>
      </c>
      <c r="D80" s="12" t="str">
        <f>trimtext(SplitText($C80,",",0))</f>
        <v>ADD</v>
      </c>
      <c r="E80" s="12" t="str">
        <f>IF(SplitText($C80,",",COLUMN(E:E)-COLUMN($D:$D))="",$D80,trimtext(SplitText($C80,",",COLUMN(E:E)-COLUMN($D:$D))))</f>
        <v>ADD</v>
      </c>
      <c r="F80" s="12" t="str">
        <f>IF(SplitText($C80,",",COLUMN(F:F)-COLUMN($D:$D))="",$D80,trimtext(SplitText($C80,",",COLUMN(F:F)-COLUMN($D:$D))))</f>
        <v>ADD</v>
      </c>
      <c r="G80" s="12" t="str">
        <f>IF(SplitText($C80,",",COLUMN(G:G)-COLUMN($D:$D))="",$D80,trimtext(SplitText($C80,",",COLUMN(G:G)-COLUMN($D:$D))))</f>
        <v>ADD</v>
      </c>
      <c r="H80" s="12" t="str">
        <f>IF(SplitText($C80,",",COLUMN(H:H)-COLUMN($D:$D))="",$D80,trimtext(SplitText($C80,",",COLUMN(H:H)-COLUMN($D:$D))))</f>
        <v>ADD</v>
      </c>
      <c r="I80" s="12" t="str">
        <f>IF(SplitText($C80,",",COLUMN(I:I)-COLUMN($D:$D))="",$D80,trimtext(SplitText($C80,",",COLUMN(I:I)-COLUMN($D:$D))))</f>
        <v>ADD</v>
      </c>
      <c r="J80" s="9" t="s">
        <v>263</v>
      </c>
      <c r="K80" s="12" t="str">
        <f>trimtext(SplitText($J80,",",0))</f>
        <v>ADD</v>
      </c>
      <c r="L80" s="12" t="str">
        <f>IF(SplitText($J80,",",COLUMN(L:L)-COLUMN($K:$K))="",$K80,trimtext(SplitText($J80,",",COLUMN(L:L)-COLUMN($K:$K))))</f>
        <v>ADD</v>
      </c>
      <c r="M80" s="12" t="str">
        <f>IF(SplitText($J80,",",COLUMN(M:M)-COLUMN($K:$K))="",$K80,trimtext(SplitText($J80,",",COLUMN(M:M)-COLUMN($K:$K))))</f>
        <v>ADD</v>
      </c>
      <c r="N80" s="12" t="str">
        <f>IF(SplitText($J80,",",COLUMN(N:N)-COLUMN($K:$K))="",$K80,trimtext(SplitText($J80,",",COLUMN(N:N)-COLUMN($K:$K))))</f>
        <v>ADD</v>
      </c>
      <c r="O80" s="12" t="str">
        <f>IF(SplitText($J80,",",COLUMN(O:O)-COLUMN($K:$K))="",$K80,trimtext(SplitText($J80,",",COLUMN(O:O)-COLUMN($K:$K))))</f>
        <v>ADD</v>
      </c>
      <c r="P80" s="12" t="str">
        <f>IF(SplitText($J80,",",COLUMN(P:P)-COLUMN($K:$K))="",$K80,trimtext(SplitText($J80,",",COLUMN(P:P)-COLUMN($K:$K))))</f>
        <v>ADD</v>
      </c>
      <c r="Q80" s="12" t="str">
        <f>IF(SplitText($J80,",",COLUMN(Q:Q)-COLUMN($K:$K))="",$K80,trimtext(SplitText($J80,",",COLUMN(Q:Q)-COLUMN($K:$K))))</f>
        <v>ADD</v>
      </c>
      <c r="R80" s="2" t="s">
        <v>420</v>
      </c>
      <c r="S80" s="12" t="str">
        <f>trimtext(SplitText($R80,",",0))</f>
        <v>HOME</v>
      </c>
      <c r="T80" s="12" t="str">
        <f>IF(SplitText($R80,",",COLUMN(T:T)-COLUMN($S:$S))="",$S80,trimtext(SplitText($R80,",",COLUMN(T:T)-COLUMN($S:$S))))</f>
        <v>HOME</v>
      </c>
      <c r="U80" s="12" t="str">
        <f>IF(SplitText($R80,",",COLUMN(U:U)-COLUMN($S:$S))="",$S80,trimtext(SplitText($R80,",",COLUMN(U:U)-COLUMN($S:$S))))</f>
        <v>ADD</v>
      </c>
      <c r="V80" s="2" t="s">
        <v>584</v>
      </c>
      <c r="W80" s="12" t="str">
        <f>trimtext(SplitText($V80,",",0))</f>
        <v>ADD</v>
      </c>
      <c r="X80" s="12" t="str">
        <f>IF(SplitText($V80,",",COLUMN(X:X)-COLUMN($W:$W))="",$W80,trimtext(SplitText($V80,",",COLUMN(X:X)-COLUMN($W:$W))))</f>
        <v>ADD</v>
      </c>
      <c r="Y80" s="12" t="str">
        <f>IF(SplitText($V80,",",COLUMN(Y:Y)-COLUMN($W:$W))="",$W80,trimtext(SplitText($V80,",",COLUMN(Y:Y)-COLUMN($W:$W))))</f>
        <v>ADD</v>
      </c>
      <c r="Z80" s="2" t="s">
        <v>709</v>
      </c>
      <c r="AA80" s="12" t="str">
        <f t="shared" si="9"/>
        <v>NUMPAD0</v>
      </c>
      <c r="AB80" s="2" t="s">
        <v>821</v>
      </c>
      <c r="AC80" s="12" t="str">
        <f>trimtext(SplitText($AB80,",",0))</f>
        <v>ADD</v>
      </c>
      <c r="AD80" s="12" t="str">
        <f>IF(SplitText($AB80,",",COLUMN(AD:AD)-COLUMN($AC:$AC))="",$AC80,trimtext(SplitText($AB80,",",COLUMN(AD:AD)-COLUMN($AC:$AC))))</f>
        <v>ADD</v>
      </c>
      <c r="AE80" s="18" t="str">
        <f t="shared" si="10"/>
        <v>&lt;xs:enumeration value="T4E"&gt;&lt;xs:annotation&gt;&lt;xs:documentation&gt;Typically ADD for keyboard type 4, different values for different keyboard types&lt;/xs:documentation&gt;&lt;xs:appinfo&gt;&lt;default-vk&gt;</v>
      </c>
      <c r="AF80" s="15" t="str">
        <f>IF(D80&lt;&gt;"","&lt;vk kbd="""&amp;D$1&amp;""" vk="""&amp;D80&amp;""""&amp;IF(Scan2VKFlags!B80&lt;&gt;""," flags="""&amp;Scan2VKFlags!B80&amp;"""","")&amp;"/&gt;","")</f>
        <v>&lt;vk kbd="1" vk="ADD"/&gt;</v>
      </c>
      <c r="AG80" s="15" t="str">
        <f>IF(E80&lt;&gt;"","&lt;vk kbd="""&amp;E$1&amp;""" vk="""&amp;E80&amp;""""&amp;IF(Scan2VKFlags!C80&lt;&gt;""," flags="""&amp;Scan2VKFlags!C80&amp;"""","")&amp;"/&gt;","")</f>
        <v>&lt;vk kbd="2" vk="ADD"/&gt;</v>
      </c>
      <c r="AH80" s="15" t="str">
        <f>IF(F80&lt;&gt;"","&lt;vk kbd="""&amp;F$1&amp;""" vk="""&amp;F80&amp;""""&amp;IF(Scan2VKFlags!D80&lt;&gt;""," flags="""&amp;Scan2VKFlags!D80&amp;"""","")&amp;"/&gt;","")</f>
        <v>&lt;vk kbd="3" vk="ADD"/&gt;</v>
      </c>
      <c r="AI80" s="15" t="str">
        <f>IF(G80&lt;&gt;"","&lt;vk kbd="""&amp;G$1&amp;""" vk="""&amp;G80&amp;""""&amp;IF(Scan2VKFlags!E80&lt;&gt;""," flags="""&amp;Scan2VKFlags!E80&amp;"""","")&amp;"/&gt;","")</f>
        <v>&lt;vk kbd="4" vk="ADD"/&gt;</v>
      </c>
      <c r="AJ80" s="15" t="str">
        <f>IF(H80&lt;&gt;"","&lt;vk kbd="""&amp;H$1&amp;""" vk="""&amp;H80&amp;""""&amp;IF(Scan2VKFlags!F80&lt;&gt;""," flags="""&amp;Scan2VKFlags!F80&amp;"""","")&amp;"/&gt;","")</f>
        <v>&lt;vk kbd="5" vk="ADD"/&gt;</v>
      </c>
      <c r="AK80" s="16" t="str">
        <f>IF(I80&lt;&gt;"","&lt;vk kbd="""&amp;I$1&amp;""" vk="""&amp;I80&amp;""""&amp;IF(Scan2VKFlags!G80&lt;&gt;""," flags="""&amp;Scan2VKFlags!G80&amp;"""","")&amp;"/&gt;","")</f>
        <v>&lt;vk kbd="6" vk="ADD"/&gt;</v>
      </c>
      <c r="AL80" s="3" t="str">
        <f>IF(K80&lt;&gt;"","&lt;vk kbd="""&amp;K$1&amp;""" vk="""&amp;K80&amp;""""&amp;IF(Scan2VKFlags!H80&lt;&gt;""," flags="""&amp;Scan2VKFlags!H80&amp;"""","")&amp;"/&gt;","")</f>
        <v>&lt;vk kbd="7" vk="ADD"/&gt;</v>
      </c>
      <c r="AM80" t="str">
        <f>IF(L80&lt;&gt;"","&lt;vk kbd="""&amp;L$1&amp;""" vk="""&amp;L80&amp;""""&amp;IF(Scan2VKFlags!I80&lt;&gt;""," flags="""&amp;Scan2VKFlags!I80&amp;"""","")&amp;"/&gt;","")</f>
        <v>&lt;vk kbd="8" vk="ADD"/&gt;</v>
      </c>
      <c r="AN80" t="str">
        <f>IF(M80&lt;&gt;"","&lt;vk kbd="""&amp;M$1&amp;""" vk="""&amp;M80&amp;""""&amp;IF(Scan2VKFlags!J80&lt;&gt;""," flags="""&amp;Scan2VKFlags!J80&amp;"""","")&amp;"/&gt;","")</f>
        <v>&lt;vk kbd="16" vk="ADD"/&gt;</v>
      </c>
      <c r="AO80" t="str">
        <f>IF(N80&lt;&gt;"","&lt;vk kbd="""&amp;N$1&amp;""" vk="""&amp;N80&amp;""""&amp;IF(Scan2VKFlags!K80&lt;&gt;""," flags="""&amp;Scan2VKFlags!K80&amp;"""","")&amp;"/&gt;","")</f>
        <v>&lt;vk kbd="10" vk="ADD"/&gt;</v>
      </c>
      <c r="AP80" t="str">
        <f>IF(O80&lt;&gt;"","&lt;vk kbd="""&amp;O$1&amp;""" vk="""&amp;O80&amp;""""&amp;IF(Scan2VKFlags!L80&lt;&gt;""," flags="""&amp;Scan2VKFlags!L80&amp;"""","")&amp;"/&gt;","")</f>
        <v>&lt;vk kbd="11" vk="ADD"/&gt;</v>
      </c>
      <c r="AQ80" t="str">
        <f>IF(P80&lt;&gt;"","&lt;vk kbd="""&amp;P$1&amp;""" vk="""&amp;P80&amp;""""&amp;IF(Scan2VKFlags!M80&lt;&gt;""," flags="""&amp;Scan2VKFlags!M80&amp;"""","")&amp;"/&gt;","")</f>
        <v>&lt;vk kbd="12" vk="ADD"/&gt;</v>
      </c>
      <c r="AR80" s="16" t="str">
        <f>IF(Q80&lt;&gt;"","&lt;vk kbd="""&amp;Q$1&amp;""" vk="""&amp;Q80&amp;""""&amp;IF(Scan2VKFlags!N80&lt;&gt;""," flags="""&amp;Scan2VKFlags!N80&amp;"""","")&amp;"/&gt;","")</f>
        <v>&lt;vk kbd="13" vk="ADD"/&gt;</v>
      </c>
      <c r="AS80" s="3" t="str">
        <f>IF(S80&lt;&gt;"","&lt;vk kbd="""&amp;S$1&amp;""" vk="""&amp;S80&amp;""""&amp;IF(Scan2VKFlags!O80&lt;&gt;""," flags="""&amp;Scan2VKFlags!O80&amp;"""","")&amp;"/&gt;","")</f>
        <v>&lt;vk kbd="20" vk="HOME"/&gt;</v>
      </c>
      <c r="AT80" t="str">
        <f>IF(T80&lt;&gt;"","&lt;vk kbd="""&amp;T$1&amp;""" vk="""&amp;T80&amp;""""&amp;IF(Scan2VKFlags!P80&lt;&gt;""," flags="""&amp;Scan2VKFlags!P80&amp;"""","")&amp;"/&gt;","")</f>
        <v>&lt;vk kbd="21" vk="HOME"/&gt;</v>
      </c>
      <c r="AU80" s="16" t="str">
        <f>IF(U80&lt;&gt;"","&lt;vk kbd="""&amp;U$1&amp;""" vk="""&amp;U80&amp;""""&amp;IF(Scan2VKFlags!Q80&lt;&gt;""," flags="""&amp;Scan2VKFlags!Q80&amp;"""","")&amp;"/&gt;","")</f>
        <v>&lt;vk kbd="22" vk="ADD"/&gt;</v>
      </c>
      <c r="AV80" s="3" t="str">
        <f>IF(W80&lt;&gt;"","&lt;vk kbd="""&amp;W$1&amp;""" vk="""&amp;W80&amp;""""&amp;IF(Scan2VKFlags!R80&lt;&gt;""," flags="""&amp;Scan2VKFlags!R80&amp;"""","")&amp;"/&gt;","")</f>
        <v>&lt;vk kbd="30" vk="ADD"/&gt;</v>
      </c>
      <c r="AW80" s="15" t="str">
        <f>IF(X80&lt;&gt;"","&lt;vk kbd="""&amp;X$1&amp;""" vk="""&amp;X80&amp;""""&amp;IF(Scan2VKFlags!S80&lt;&gt;""," flags="""&amp;Scan2VKFlags!S80&amp;"""","")&amp;"/&gt;","")</f>
        <v>&lt;vk kbd="33" vk="ADD"/&gt;</v>
      </c>
      <c r="AX80" s="15" t="str">
        <f>IF(Y80&lt;&gt;"","&lt;vk kbd="""&amp;Y$1&amp;""" vk="""&amp;Y80&amp;""""&amp;IF(Scan2VKFlags!T80&lt;&gt;""," flags="""&amp;Scan2VKFlags!T80&amp;"""","")&amp;"/&gt;","")</f>
        <v>&lt;vk kbd="34" vk="ADD"/&gt;</v>
      </c>
      <c r="AY80" s="18" t="str">
        <f>IF(AA80&lt;&gt;"","&lt;vk kbd="""&amp;AA$1&amp;""" vk="""&amp;AA80&amp;""""&amp;IF(Scan2VKFlags!U80&lt;&gt;""," flags="""&amp;Scan2VKFlags!U80&amp;"""","")&amp;"/&gt;","")</f>
        <v>&lt;vk kbd="37" vk="NUMPAD0"/&gt;</v>
      </c>
      <c r="AZ80" s="3" t="str">
        <f>IF(AC80&lt;&gt;"","&lt;vk kbd="""&amp;AC$1&amp;""" vk="""&amp;AC80&amp;""""&amp;IF(Scan2VKFlags!V80&lt;&gt;""," flags="""&amp;Scan2VKFlags!V80&amp;"""","")&amp;"/&gt;","")</f>
        <v>&lt;vk kbd="40" vk="ADD"/&gt;</v>
      </c>
      <c r="BA80" s="16" t="str">
        <f>IF(AD80&lt;&gt;"","&lt;vk kbd="""&amp;AD$1&amp;""" vk="""&amp;AD80&amp;""""&amp;IF(Scan2VKFlags!W80&lt;&gt;""," flags="""&amp;Scan2VKFlags!W80&amp;"""","")&amp;"/&gt;","")</f>
        <v>&lt;vk kbd="41" vk="ADD"/&gt;</v>
      </c>
      <c r="BB80" t="s">
        <v>854</v>
      </c>
    </row>
    <row r="81" spans="1:54" x14ac:dyDescent="0.25">
      <c r="A81">
        <f t="shared" si="11"/>
        <v>79</v>
      </c>
      <c r="B81" t="str">
        <f t="shared" si="8"/>
        <v>T4F</v>
      </c>
      <c r="C81" s="7" t="s">
        <v>79</v>
      </c>
      <c r="D81" s="12" t="str">
        <f>trimtext(SplitText($C81,",",0))</f>
        <v>END</v>
      </c>
      <c r="E81" s="12" t="str">
        <f>IF(SplitText($C81,",",COLUMN(E:E)-COLUMN($D:$D))="",$D81,trimtext(SplitText($C81,",",COLUMN(E:E)-COLUMN($D:$D))))</f>
        <v>END</v>
      </c>
      <c r="F81" s="12" t="str">
        <f>IF(SplitText($C81,",",COLUMN(F:F)-COLUMN($D:$D))="",$D81,trimtext(SplitText($C81,",",COLUMN(F:F)-COLUMN($D:$D))))</f>
        <v>END</v>
      </c>
      <c r="G81" s="12" t="str">
        <f>IF(SplitText($C81,",",COLUMN(G:G)-COLUMN($D:$D))="",$D81,trimtext(SplitText($C81,",",COLUMN(G:G)-COLUMN($D:$D))))</f>
        <v>END</v>
      </c>
      <c r="H81" s="12" t="str">
        <f>IF(SplitText($C81,",",COLUMN(H:H)-COLUMN($D:$D))="",$D81,trimtext(SplitText($C81,",",COLUMN(H:H)-COLUMN($D:$D))))</f>
        <v>END</v>
      </c>
      <c r="I81" s="12" t="str">
        <f>IF(SplitText($C81,",",COLUMN(I:I)-COLUMN($D:$D))="",$D81,trimtext(SplitText($C81,",",COLUMN(I:I)-COLUMN($D:$D))))</f>
        <v>END</v>
      </c>
      <c r="J81" s="9" t="s">
        <v>264</v>
      </c>
      <c r="K81" s="12" t="str">
        <f>trimtext(SplitText($J81,",",0))</f>
        <v>END</v>
      </c>
      <c r="L81" s="12" t="str">
        <f>IF(SplitText($J81,",",COLUMN(L:L)-COLUMN($K:$K))="",$K81,trimtext(SplitText($J81,",",COLUMN(L:L)-COLUMN($K:$K))))</f>
        <v>END</v>
      </c>
      <c r="M81" s="12" t="str">
        <f>IF(SplitText($J81,",",COLUMN(M:M)-COLUMN($K:$K))="",$K81,trimtext(SplitText($J81,",",COLUMN(M:M)-COLUMN($K:$K))))</f>
        <v>END</v>
      </c>
      <c r="N81" s="12" t="str">
        <f>IF(SplitText($J81,",",COLUMN(N:N)-COLUMN($K:$K))="",$K81,trimtext(SplitText($J81,",",COLUMN(N:N)-COLUMN($K:$K))))</f>
        <v>END</v>
      </c>
      <c r="O81" s="12" t="str">
        <f>IF(SplitText($J81,",",COLUMN(O:O)-COLUMN($K:$K))="",$K81,trimtext(SplitText($J81,",",COLUMN(O:O)-COLUMN($K:$K))))</f>
        <v>END</v>
      </c>
      <c r="P81" s="12" t="str">
        <f>IF(SplitText($J81,",",COLUMN(P:P)-COLUMN($K:$K))="",$K81,trimtext(SplitText($J81,",",COLUMN(P:P)-COLUMN($K:$K))))</f>
        <v>END</v>
      </c>
      <c r="Q81" s="12" t="str">
        <f>IF(SplitText($J81,",",COLUMN(Q:Q)-COLUMN($K:$K))="",$K81,trimtext(SplitText($J81,",",COLUMN(Q:Q)-COLUMN($K:$K))))</f>
        <v>END</v>
      </c>
      <c r="R81" s="2" t="s">
        <v>421</v>
      </c>
      <c r="S81" s="12" t="str">
        <f>trimtext(SplitText($R81,",",0))</f>
        <v>LEFT</v>
      </c>
      <c r="T81" s="12" t="str">
        <f>IF(SplitText($R81,",",COLUMN(T:T)-COLUMN($S:$S))="",$S81,trimtext(SplitText($R81,",",COLUMN(T:T)-COLUMN($S:$S))))</f>
        <v>LEFT</v>
      </c>
      <c r="U81" s="12" t="str">
        <f>IF(SplitText($R81,",",COLUMN(U:U)-COLUMN($S:$S))="",$S81,trimtext(SplitText($R81,",",COLUMN(U:U)-COLUMN($S:$S))))</f>
        <v>END</v>
      </c>
      <c r="V81" s="2" t="s">
        <v>585</v>
      </c>
      <c r="W81" s="12" t="str">
        <f>trimtext(SplitText($V81,",",0))</f>
        <v>END</v>
      </c>
      <c r="X81" s="12" t="str">
        <f>IF(SplitText($V81,",",COLUMN(X:X)-COLUMN($W:$W))="",$W81,trimtext(SplitText($V81,",",COLUMN(X:X)-COLUMN($W:$W))))</f>
        <v>END</v>
      </c>
      <c r="Y81" s="12" t="str">
        <f>IF(SplitText($V81,",",COLUMN(Y:Y)-COLUMN($W:$W))="",$W81,trimtext(SplitText($V81,",",COLUMN(Y:Y)-COLUMN($W:$W))))</f>
        <v>END</v>
      </c>
      <c r="Z81" s="2" t="s">
        <v>710</v>
      </c>
      <c r="AA81" s="12" t="str">
        <f t="shared" si="9"/>
        <v>SEPARATOR</v>
      </c>
      <c r="AB81" s="2" t="s">
        <v>822</v>
      </c>
      <c r="AC81" s="12" t="str">
        <f>trimtext(SplitText($AB81,",",0))</f>
        <v>END</v>
      </c>
      <c r="AD81" s="12" t="str">
        <f>IF(SplitText($AB81,",",COLUMN(AD:AD)-COLUMN($AC:$AC))="",$AC81,trimtext(SplitText($AB81,",",COLUMN(AD:AD)-COLUMN($AC:$AC))))</f>
        <v>END</v>
      </c>
      <c r="AE81" s="18" t="str">
        <f t="shared" si="10"/>
        <v>&lt;xs:enumeration value="T4F"&gt;&lt;xs:annotation&gt;&lt;xs:documentation&gt;Typically END for keyboard type 4, different values for different keyboard types&lt;/xs:documentation&gt;&lt;xs:appinfo&gt;&lt;default-vk&gt;</v>
      </c>
      <c r="AF81" s="15" t="str">
        <f>IF(D81&lt;&gt;"","&lt;vk kbd="""&amp;D$1&amp;""" vk="""&amp;D81&amp;""""&amp;IF(Scan2VKFlags!B81&lt;&gt;""," flags="""&amp;Scan2VKFlags!B81&amp;"""","")&amp;"/&gt;","")</f>
        <v>&lt;vk kbd="1" vk="END"/&gt;</v>
      </c>
      <c r="AG81" s="15" t="str">
        <f>IF(E81&lt;&gt;"","&lt;vk kbd="""&amp;E$1&amp;""" vk="""&amp;E81&amp;""""&amp;IF(Scan2VKFlags!C81&lt;&gt;""," flags="""&amp;Scan2VKFlags!C81&amp;"""","")&amp;"/&gt;","")</f>
        <v>&lt;vk kbd="2" vk="END"/&gt;</v>
      </c>
      <c r="AH81" s="15" t="str">
        <f>IF(F81&lt;&gt;"","&lt;vk kbd="""&amp;F$1&amp;""" vk="""&amp;F81&amp;""""&amp;IF(Scan2VKFlags!D81&lt;&gt;""," flags="""&amp;Scan2VKFlags!D81&amp;"""","")&amp;"/&gt;","")</f>
        <v>&lt;vk kbd="3" vk="END"/&gt;</v>
      </c>
      <c r="AI81" s="15" t="str">
        <f>IF(G81&lt;&gt;"","&lt;vk kbd="""&amp;G$1&amp;""" vk="""&amp;G81&amp;""""&amp;IF(Scan2VKFlags!E81&lt;&gt;""," flags="""&amp;Scan2VKFlags!E81&amp;"""","")&amp;"/&gt;","")</f>
        <v>&lt;vk kbd="4" vk="END" flags="KBDNUMPAD KBDSPECIAL"/&gt;</v>
      </c>
      <c r="AJ81" s="15" t="str">
        <f>IF(H81&lt;&gt;"","&lt;vk kbd="""&amp;H$1&amp;""" vk="""&amp;H81&amp;""""&amp;IF(Scan2VKFlags!F81&lt;&gt;""," flags="""&amp;Scan2VKFlags!F81&amp;"""","")&amp;"/&gt;","")</f>
        <v>&lt;vk kbd="5" vk="END"/&gt;</v>
      </c>
      <c r="AK81" s="16" t="str">
        <f>IF(I81&lt;&gt;"","&lt;vk kbd="""&amp;I$1&amp;""" vk="""&amp;I81&amp;""""&amp;IF(Scan2VKFlags!G81&lt;&gt;""," flags="""&amp;Scan2VKFlags!G81&amp;"""","")&amp;"/&gt;","")</f>
        <v>&lt;vk kbd="6" vk="END"/&gt;</v>
      </c>
      <c r="AL81" s="3" t="str">
        <f>IF(K81&lt;&gt;"","&lt;vk kbd="""&amp;K$1&amp;""" vk="""&amp;K81&amp;""""&amp;IF(Scan2VKFlags!H81&lt;&gt;""," flags="""&amp;Scan2VKFlags!H81&amp;"""","")&amp;"/&gt;","")</f>
        <v>&lt;vk kbd="7" vk="END"/&gt;</v>
      </c>
      <c r="AM81" t="str">
        <f>IF(L81&lt;&gt;"","&lt;vk kbd="""&amp;L$1&amp;""" vk="""&amp;L81&amp;""""&amp;IF(Scan2VKFlags!I81&lt;&gt;""," flags="""&amp;Scan2VKFlags!I81&amp;"""","")&amp;"/&gt;","")</f>
        <v>&lt;vk kbd="8" vk="END"/&gt;</v>
      </c>
      <c r="AN81" t="str">
        <f>IF(M81&lt;&gt;"","&lt;vk kbd="""&amp;M$1&amp;""" vk="""&amp;M81&amp;""""&amp;IF(Scan2VKFlags!J81&lt;&gt;""," flags="""&amp;Scan2VKFlags!J81&amp;"""","")&amp;"/&gt;","")</f>
        <v>&lt;vk kbd="16" vk="END"/&gt;</v>
      </c>
      <c r="AO81" t="str">
        <f>IF(N81&lt;&gt;"","&lt;vk kbd="""&amp;N$1&amp;""" vk="""&amp;N81&amp;""""&amp;IF(Scan2VKFlags!K81&lt;&gt;""," flags="""&amp;Scan2VKFlags!K81&amp;"""","")&amp;"/&gt;","")</f>
        <v>&lt;vk kbd="10" vk="END"/&gt;</v>
      </c>
      <c r="AP81" t="str">
        <f>IF(O81&lt;&gt;"","&lt;vk kbd="""&amp;O$1&amp;""" vk="""&amp;O81&amp;""""&amp;IF(Scan2VKFlags!L81&lt;&gt;""," flags="""&amp;Scan2VKFlags!L81&amp;"""","")&amp;"/&gt;","")</f>
        <v>&lt;vk kbd="11" vk="END"/&gt;</v>
      </c>
      <c r="AQ81" t="str">
        <f>IF(P81&lt;&gt;"","&lt;vk kbd="""&amp;P$1&amp;""" vk="""&amp;P81&amp;""""&amp;IF(Scan2VKFlags!M81&lt;&gt;""," flags="""&amp;Scan2VKFlags!M81&amp;"""","")&amp;"/&gt;","")</f>
        <v>&lt;vk kbd="12" vk="END"/&gt;</v>
      </c>
      <c r="AR81" s="16" t="str">
        <f>IF(Q81&lt;&gt;"","&lt;vk kbd="""&amp;Q$1&amp;""" vk="""&amp;Q81&amp;""""&amp;IF(Scan2VKFlags!N81&lt;&gt;""," flags="""&amp;Scan2VKFlags!N81&amp;"""","")&amp;"/&gt;","")</f>
        <v>&lt;vk kbd="13" vk="END"/&gt;</v>
      </c>
      <c r="AS81" s="3" t="str">
        <f>IF(S81&lt;&gt;"","&lt;vk kbd="""&amp;S$1&amp;""" vk="""&amp;S81&amp;""""&amp;IF(Scan2VKFlags!O81&lt;&gt;""," flags="""&amp;Scan2VKFlags!O81&amp;"""","")&amp;"/&gt;","")</f>
        <v>&lt;vk kbd="20" vk="LEFT"/&gt;</v>
      </c>
      <c r="AT81" t="str">
        <f>IF(T81&lt;&gt;"","&lt;vk kbd="""&amp;T$1&amp;""" vk="""&amp;T81&amp;""""&amp;IF(Scan2VKFlags!P81&lt;&gt;""," flags="""&amp;Scan2VKFlags!P81&amp;"""","")&amp;"/&gt;","")</f>
        <v>&lt;vk kbd="21" vk="LEFT"/&gt;</v>
      </c>
      <c r="AU81" s="16" t="str">
        <f>IF(U81&lt;&gt;"","&lt;vk kbd="""&amp;U$1&amp;""" vk="""&amp;U81&amp;""""&amp;IF(Scan2VKFlags!Q81&lt;&gt;""," flags="""&amp;Scan2VKFlags!Q81&amp;"""","")&amp;"/&gt;","")</f>
        <v>&lt;vk kbd="22" vk="END"/&gt;</v>
      </c>
      <c r="AV81" s="3" t="str">
        <f>IF(W81&lt;&gt;"","&lt;vk kbd="""&amp;W$1&amp;""" vk="""&amp;W81&amp;""""&amp;IF(Scan2VKFlags!R81&lt;&gt;""," flags="""&amp;Scan2VKFlags!R81&amp;"""","")&amp;"/&gt;","")</f>
        <v>&lt;vk kbd="30" vk="END"/&gt;</v>
      </c>
      <c r="AW81" s="15" t="str">
        <f>IF(X81&lt;&gt;"","&lt;vk kbd="""&amp;X$1&amp;""" vk="""&amp;X81&amp;""""&amp;IF(Scan2VKFlags!S81&lt;&gt;""," flags="""&amp;Scan2VKFlags!S81&amp;"""","")&amp;"/&gt;","")</f>
        <v>&lt;vk kbd="33" vk="END"/&gt;</v>
      </c>
      <c r="AX81" s="15" t="str">
        <f>IF(Y81&lt;&gt;"","&lt;vk kbd="""&amp;Y$1&amp;""" vk="""&amp;Y81&amp;""""&amp;IF(Scan2VKFlags!T81&lt;&gt;""," flags="""&amp;Scan2VKFlags!T81&amp;"""","")&amp;"/&gt;","")</f>
        <v>&lt;vk kbd="34" vk="END"/&gt;</v>
      </c>
      <c r="AY81" s="18" t="str">
        <f>IF(AA81&lt;&gt;"","&lt;vk kbd="""&amp;AA$1&amp;""" vk="""&amp;AA81&amp;""""&amp;IF(Scan2VKFlags!U81&lt;&gt;""," flags="""&amp;Scan2VKFlags!U81&amp;"""","")&amp;"/&gt;","")</f>
        <v>&lt;vk kbd="37" vk="SEPARATOR"/&gt;</v>
      </c>
      <c r="AZ81" s="3" t="str">
        <f>IF(AC81&lt;&gt;"","&lt;vk kbd="""&amp;AC$1&amp;""" vk="""&amp;AC81&amp;""""&amp;IF(Scan2VKFlags!V81&lt;&gt;""," flags="""&amp;Scan2VKFlags!V81&amp;"""","")&amp;"/&gt;","")</f>
        <v>&lt;vk kbd="40" vk="END"/&gt;</v>
      </c>
      <c r="BA81" s="16" t="str">
        <f>IF(AD81&lt;&gt;"","&lt;vk kbd="""&amp;AD$1&amp;""" vk="""&amp;AD81&amp;""""&amp;IF(Scan2VKFlags!W81&lt;&gt;""," flags="""&amp;Scan2VKFlags!W81&amp;"""","")&amp;"/&gt;","")</f>
        <v>&lt;vk kbd="41" vk="END"/&gt;</v>
      </c>
      <c r="BB81" t="s">
        <v>854</v>
      </c>
    </row>
    <row r="82" spans="1:54" x14ac:dyDescent="0.25">
      <c r="A82">
        <f t="shared" si="11"/>
        <v>80</v>
      </c>
      <c r="B82" t="str">
        <f t="shared" si="8"/>
        <v>T50</v>
      </c>
      <c r="C82" s="7" t="s">
        <v>80</v>
      </c>
      <c r="D82" s="12" t="str">
        <f>trimtext(SplitText($C82,",",0))</f>
        <v>DOWN</v>
      </c>
      <c r="E82" s="12" t="str">
        <f>IF(SplitText($C82,",",COLUMN(E:E)-COLUMN($D:$D))="",$D82,trimtext(SplitText($C82,",",COLUMN(E:E)-COLUMN($D:$D))))</f>
        <v>DOWN</v>
      </c>
      <c r="F82" s="12" t="str">
        <f>IF(SplitText($C82,",",COLUMN(F:F)-COLUMN($D:$D))="",$D82,trimtext(SplitText($C82,",",COLUMN(F:F)-COLUMN($D:$D))))</f>
        <v>DOWN</v>
      </c>
      <c r="G82" s="12" t="str">
        <f>IF(SplitText($C82,",",COLUMN(G:G)-COLUMN($D:$D))="",$D82,trimtext(SplitText($C82,",",COLUMN(G:G)-COLUMN($D:$D))))</f>
        <v>DOWN</v>
      </c>
      <c r="H82" s="12" t="str">
        <f>IF(SplitText($C82,",",COLUMN(H:H)-COLUMN($D:$D))="",$D82,trimtext(SplitText($C82,",",COLUMN(H:H)-COLUMN($D:$D))))</f>
        <v>DOWN</v>
      </c>
      <c r="I82" s="12" t="str">
        <f>IF(SplitText($C82,",",COLUMN(I:I)-COLUMN($D:$D))="",$D82,trimtext(SplitText($C82,",",COLUMN(I:I)-COLUMN($D:$D))))</f>
        <v>DOWN</v>
      </c>
      <c r="J82" s="9" t="s">
        <v>265</v>
      </c>
      <c r="K82" s="12" t="str">
        <f>trimtext(SplitText($J82,",",0))</f>
        <v>DOWN</v>
      </c>
      <c r="L82" s="12" t="str">
        <f>IF(SplitText($J82,",",COLUMN(L:L)-COLUMN($K:$K))="",$K82,trimtext(SplitText($J82,",",COLUMN(L:L)-COLUMN($K:$K))))</f>
        <v>DOWN</v>
      </c>
      <c r="M82" s="12" t="str">
        <f>IF(SplitText($J82,",",COLUMN(M:M)-COLUMN($K:$K))="",$K82,trimtext(SplitText($J82,",",COLUMN(M:M)-COLUMN($K:$K))))</f>
        <v>DOWN</v>
      </c>
      <c r="N82" s="12" t="str">
        <f>IF(SplitText($J82,",",COLUMN(N:N)-COLUMN($K:$K))="",$K82,trimtext(SplitText($J82,",",COLUMN(N:N)-COLUMN($K:$K))))</f>
        <v>DOWN</v>
      </c>
      <c r="O82" s="12" t="str">
        <f>IF(SplitText($J82,",",COLUMN(O:O)-COLUMN($K:$K))="",$K82,trimtext(SplitText($J82,",",COLUMN(O:O)-COLUMN($K:$K))))</f>
        <v>DOWN</v>
      </c>
      <c r="P82" s="12" t="str">
        <f>IF(SplitText($J82,",",COLUMN(P:P)-COLUMN($K:$K))="",$K82,trimtext(SplitText($J82,",",COLUMN(P:P)-COLUMN($K:$K))))</f>
        <v>DOWN</v>
      </c>
      <c r="Q82" s="12" t="str">
        <f>IF(SplitText($J82,",",COLUMN(Q:Q)-COLUMN($K:$K))="",$K82,trimtext(SplitText($J82,",",COLUMN(Q:Q)-COLUMN($K:$K))))</f>
        <v>DOWN</v>
      </c>
      <c r="R82" s="2" t="s">
        <v>422</v>
      </c>
      <c r="S82" s="12" t="str">
        <f>trimtext(SplitText($R82,",",0))</f>
        <v>DOWN</v>
      </c>
      <c r="T82" s="12" t="str">
        <f>IF(SplitText($R82,",",COLUMN(T:T)-COLUMN($S:$S))="",$S82,trimtext(SplitText($R82,",",COLUMN(T:T)-COLUMN($S:$S))))</f>
        <v>DOWN</v>
      </c>
      <c r="U82" s="12" t="str">
        <f>IF(SplitText($R82,",",COLUMN(U:U)-COLUMN($S:$S))="",$S82,trimtext(SplitText($R82,",",COLUMN(U:U)-COLUMN($S:$S))))</f>
        <v>DOWN</v>
      </c>
      <c r="V82" s="2" t="s">
        <v>586</v>
      </c>
      <c r="W82" s="12" t="str">
        <f>trimtext(SplitText($V82,",",0))</f>
        <v>DOWN</v>
      </c>
      <c r="X82" s="12" t="str">
        <f>IF(SplitText($V82,",",COLUMN(X:X)-COLUMN($W:$W))="",$W82,trimtext(SplitText($V82,",",COLUMN(X:X)-COLUMN($W:$W))))</f>
        <v>DOWN</v>
      </c>
      <c r="Y82" s="12" t="str">
        <f>IF(SplitText($V82,",",COLUMN(Y:Y)-COLUMN($W:$W))="",$W82,trimtext(SplitText($V82,",",COLUMN(Y:Y)-COLUMN($W:$W))))</f>
        <v>DOWN</v>
      </c>
      <c r="Z82" s="2" t="s">
        <v>711</v>
      </c>
      <c r="AA82" s="12" t="str">
        <f t="shared" si="9"/>
        <v>DECIMAL</v>
      </c>
      <c r="AB82" s="2" t="s">
        <v>823</v>
      </c>
      <c r="AC82" s="12" t="str">
        <f>trimtext(SplitText($AB82,",",0))</f>
        <v>DOWN</v>
      </c>
      <c r="AD82" s="12" t="str">
        <f>IF(SplitText($AB82,",",COLUMN(AD:AD)-COLUMN($AC:$AC))="",$AC82,trimtext(SplitText($AB82,",",COLUMN(AD:AD)-COLUMN($AC:$AC))))</f>
        <v>DOWN</v>
      </c>
      <c r="AE82" s="18" t="str">
        <f t="shared" si="10"/>
        <v>&lt;xs:enumeration value="T50"&gt;&lt;xs:annotation&gt;&lt;xs:documentation&gt;Typically DOWN for keyboard type 4, different values for different keyboard types&lt;/xs:documentation&gt;&lt;xs:appinfo&gt;&lt;default-vk&gt;</v>
      </c>
      <c r="AF82" s="15" t="str">
        <f>IF(D82&lt;&gt;"","&lt;vk kbd="""&amp;D$1&amp;""" vk="""&amp;D82&amp;""""&amp;IF(Scan2VKFlags!B82&lt;&gt;""," flags="""&amp;Scan2VKFlags!B82&amp;"""","")&amp;"/&gt;","")</f>
        <v>&lt;vk kbd="1" vk="DOWN"/&gt;</v>
      </c>
      <c r="AG82" s="15" t="str">
        <f>IF(E82&lt;&gt;"","&lt;vk kbd="""&amp;E$1&amp;""" vk="""&amp;E82&amp;""""&amp;IF(Scan2VKFlags!C82&lt;&gt;""," flags="""&amp;Scan2VKFlags!C82&amp;"""","")&amp;"/&gt;","")</f>
        <v>&lt;vk kbd="2" vk="DOWN"/&gt;</v>
      </c>
      <c r="AH82" s="15" t="str">
        <f>IF(F82&lt;&gt;"","&lt;vk kbd="""&amp;F$1&amp;""" vk="""&amp;F82&amp;""""&amp;IF(Scan2VKFlags!D82&lt;&gt;""," flags="""&amp;Scan2VKFlags!D82&amp;"""","")&amp;"/&gt;","")</f>
        <v>&lt;vk kbd="3" vk="DOWN"/&gt;</v>
      </c>
      <c r="AI82" s="15" t="str">
        <f>IF(G82&lt;&gt;"","&lt;vk kbd="""&amp;G$1&amp;""" vk="""&amp;G82&amp;""""&amp;IF(Scan2VKFlags!E82&lt;&gt;""," flags="""&amp;Scan2VKFlags!E82&amp;"""","")&amp;"/&gt;","")</f>
        <v>&lt;vk kbd="4" vk="DOWN" flags="KBDNUMPAD KBDSPECIAL"/&gt;</v>
      </c>
      <c r="AJ82" s="15" t="str">
        <f>IF(H82&lt;&gt;"","&lt;vk kbd="""&amp;H$1&amp;""" vk="""&amp;H82&amp;""""&amp;IF(Scan2VKFlags!F82&lt;&gt;""," flags="""&amp;Scan2VKFlags!F82&amp;"""","")&amp;"/&gt;","")</f>
        <v>&lt;vk kbd="5" vk="DOWN"/&gt;</v>
      </c>
      <c r="AK82" s="16" t="str">
        <f>IF(I82&lt;&gt;"","&lt;vk kbd="""&amp;I$1&amp;""" vk="""&amp;I82&amp;""""&amp;IF(Scan2VKFlags!G82&lt;&gt;""," flags="""&amp;Scan2VKFlags!G82&amp;"""","")&amp;"/&gt;","")</f>
        <v>&lt;vk kbd="6" vk="DOWN"/&gt;</v>
      </c>
      <c r="AL82" s="3" t="str">
        <f>IF(K82&lt;&gt;"","&lt;vk kbd="""&amp;K$1&amp;""" vk="""&amp;K82&amp;""""&amp;IF(Scan2VKFlags!H82&lt;&gt;""," flags="""&amp;Scan2VKFlags!H82&amp;"""","")&amp;"/&gt;","")</f>
        <v>&lt;vk kbd="7" vk="DOWN"/&gt;</v>
      </c>
      <c r="AM82" t="str">
        <f>IF(L82&lt;&gt;"","&lt;vk kbd="""&amp;L$1&amp;""" vk="""&amp;L82&amp;""""&amp;IF(Scan2VKFlags!I82&lt;&gt;""," flags="""&amp;Scan2VKFlags!I82&amp;"""","")&amp;"/&gt;","")</f>
        <v>&lt;vk kbd="8" vk="DOWN"/&gt;</v>
      </c>
      <c r="AN82" t="str">
        <f>IF(M82&lt;&gt;"","&lt;vk kbd="""&amp;M$1&amp;""" vk="""&amp;M82&amp;""""&amp;IF(Scan2VKFlags!J82&lt;&gt;""," flags="""&amp;Scan2VKFlags!J82&amp;"""","")&amp;"/&gt;","")</f>
        <v>&lt;vk kbd="16" vk="DOWN"/&gt;</v>
      </c>
      <c r="AO82" t="str">
        <f>IF(N82&lt;&gt;"","&lt;vk kbd="""&amp;N$1&amp;""" vk="""&amp;N82&amp;""""&amp;IF(Scan2VKFlags!K82&lt;&gt;""," flags="""&amp;Scan2VKFlags!K82&amp;"""","")&amp;"/&gt;","")</f>
        <v>&lt;vk kbd="10" vk="DOWN"/&gt;</v>
      </c>
      <c r="AP82" t="str">
        <f>IF(O82&lt;&gt;"","&lt;vk kbd="""&amp;O$1&amp;""" vk="""&amp;O82&amp;""""&amp;IF(Scan2VKFlags!L82&lt;&gt;""," flags="""&amp;Scan2VKFlags!L82&amp;"""","")&amp;"/&gt;","")</f>
        <v>&lt;vk kbd="11" vk="DOWN"/&gt;</v>
      </c>
      <c r="AQ82" t="str">
        <f>IF(P82&lt;&gt;"","&lt;vk kbd="""&amp;P$1&amp;""" vk="""&amp;P82&amp;""""&amp;IF(Scan2VKFlags!M82&lt;&gt;""," flags="""&amp;Scan2VKFlags!M82&amp;"""","")&amp;"/&gt;","")</f>
        <v>&lt;vk kbd="12" vk="DOWN"/&gt;</v>
      </c>
      <c r="AR82" s="16" t="str">
        <f>IF(Q82&lt;&gt;"","&lt;vk kbd="""&amp;Q$1&amp;""" vk="""&amp;Q82&amp;""""&amp;IF(Scan2VKFlags!N82&lt;&gt;""," flags="""&amp;Scan2VKFlags!N82&amp;"""","")&amp;"/&gt;","")</f>
        <v>&lt;vk kbd="13" vk="DOWN"/&gt;</v>
      </c>
      <c r="AS82" s="3" t="str">
        <f>IF(S82&lt;&gt;"","&lt;vk kbd="""&amp;S$1&amp;""" vk="""&amp;S82&amp;""""&amp;IF(Scan2VKFlags!O82&lt;&gt;""," flags="""&amp;Scan2VKFlags!O82&amp;"""","")&amp;"/&gt;","")</f>
        <v>&lt;vk kbd="20" vk="DOWN"/&gt;</v>
      </c>
      <c r="AT82" t="str">
        <f>IF(T82&lt;&gt;"","&lt;vk kbd="""&amp;T$1&amp;""" vk="""&amp;T82&amp;""""&amp;IF(Scan2VKFlags!P82&lt;&gt;""," flags="""&amp;Scan2VKFlags!P82&amp;"""","")&amp;"/&gt;","")</f>
        <v>&lt;vk kbd="21" vk="DOWN"/&gt;</v>
      </c>
      <c r="AU82" s="16" t="str">
        <f>IF(U82&lt;&gt;"","&lt;vk kbd="""&amp;U$1&amp;""" vk="""&amp;U82&amp;""""&amp;IF(Scan2VKFlags!Q82&lt;&gt;""," flags="""&amp;Scan2VKFlags!Q82&amp;"""","")&amp;"/&gt;","")</f>
        <v>&lt;vk kbd="22" vk="DOWN"/&gt;</v>
      </c>
      <c r="AV82" s="3" t="str">
        <f>IF(W82&lt;&gt;"","&lt;vk kbd="""&amp;W$1&amp;""" vk="""&amp;W82&amp;""""&amp;IF(Scan2VKFlags!R82&lt;&gt;""," flags="""&amp;Scan2VKFlags!R82&amp;"""","")&amp;"/&gt;","")</f>
        <v>&lt;vk kbd="30" vk="DOWN"/&gt;</v>
      </c>
      <c r="AW82" s="15" t="str">
        <f>IF(X82&lt;&gt;"","&lt;vk kbd="""&amp;X$1&amp;""" vk="""&amp;X82&amp;""""&amp;IF(Scan2VKFlags!S82&lt;&gt;""," flags="""&amp;Scan2VKFlags!S82&amp;"""","")&amp;"/&gt;","")</f>
        <v>&lt;vk kbd="33" vk="DOWN"/&gt;</v>
      </c>
      <c r="AX82" s="15" t="str">
        <f>IF(Y82&lt;&gt;"","&lt;vk kbd="""&amp;Y$1&amp;""" vk="""&amp;Y82&amp;""""&amp;IF(Scan2VKFlags!T82&lt;&gt;""," flags="""&amp;Scan2VKFlags!T82&amp;"""","")&amp;"/&gt;","")</f>
        <v>&lt;vk kbd="34" vk="DOWN"/&gt;</v>
      </c>
      <c r="AY82" s="18" t="str">
        <f>IF(AA82&lt;&gt;"","&lt;vk kbd="""&amp;AA$1&amp;""" vk="""&amp;AA82&amp;""""&amp;IF(Scan2VKFlags!U82&lt;&gt;""," flags="""&amp;Scan2VKFlags!U82&amp;"""","")&amp;"/&gt;","")</f>
        <v>&lt;vk kbd="37" vk="DECIMAL"/&gt;</v>
      </c>
      <c r="AZ82" s="3" t="str">
        <f>IF(AC82&lt;&gt;"","&lt;vk kbd="""&amp;AC$1&amp;""" vk="""&amp;AC82&amp;""""&amp;IF(Scan2VKFlags!V82&lt;&gt;""," flags="""&amp;Scan2VKFlags!V82&amp;"""","")&amp;"/&gt;","")</f>
        <v>&lt;vk kbd="40" vk="DOWN"/&gt;</v>
      </c>
      <c r="BA82" s="16" t="str">
        <f>IF(AD82&lt;&gt;"","&lt;vk kbd="""&amp;AD$1&amp;""" vk="""&amp;AD82&amp;""""&amp;IF(Scan2VKFlags!W82&lt;&gt;""," flags="""&amp;Scan2VKFlags!W82&amp;"""","")&amp;"/&gt;","")</f>
        <v>&lt;vk kbd="41" vk="DOWN"/&gt;</v>
      </c>
      <c r="BB82" t="s">
        <v>854</v>
      </c>
    </row>
    <row r="83" spans="1:54" x14ac:dyDescent="0.25">
      <c r="A83">
        <f t="shared" si="11"/>
        <v>81</v>
      </c>
      <c r="B83" t="str">
        <f t="shared" si="8"/>
        <v>T51</v>
      </c>
      <c r="C83" s="7" t="s">
        <v>81</v>
      </c>
      <c r="D83" s="12" t="str">
        <f>trimtext(SplitText($C83,",",0))</f>
        <v>NEXT</v>
      </c>
      <c r="E83" s="12" t="str">
        <f>IF(SplitText($C83,",",COLUMN(E:E)-COLUMN($D:$D))="",$D83,trimtext(SplitText($C83,",",COLUMN(E:E)-COLUMN($D:$D))))</f>
        <v>NEXT</v>
      </c>
      <c r="F83" s="12" t="str">
        <f>IF(SplitText($C83,",",COLUMN(F:F)-COLUMN($D:$D))="",$D83,trimtext(SplitText($C83,",",COLUMN(F:F)-COLUMN($D:$D))))</f>
        <v>NEXT</v>
      </c>
      <c r="G83" s="12" t="str">
        <f>IF(SplitText($C83,",",COLUMN(G:G)-COLUMN($D:$D))="",$D83,trimtext(SplitText($C83,",",COLUMN(G:G)-COLUMN($D:$D))))</f>
        <v>NEXT</v>
      </c>
      <c r="H83" s="12" t="str">
        <f>IF(SplitText($C83,",",COLUMN(H:H)-COLUMN($D:$D))="",$D83,trimtext(SplitText($C83,",",COLUMN(H:H)-COLUMN($D:$D))))</f>
        <v>NEXT</v>
      </c>
      <c r="I83" s="12" t="str">
        <f>IF(SplitText($C83,",",COLUMN(I:I)-COLUMN($D:$D))="",$D83,trimtext(SplitText($C83,",",COLUMN(I:I)-COLUMN($D:$D))))</f>
        <v>NEXT</v>
      </c>
      <c r="J83" s="9" t="s">
        <v>266</v>
      </c>
      <c r="K83" s="12" t="str">
        <f>trimtext(SplitText($J83,",",0))</f>
        <v>NEXT</v>
      </c>
      <c r="L83" s="12" t="str">
        <f>IF(SplitText($J83,",",COLUMN(L:L)-COLUMN($K:$K))="",$K83,trimtext(SplitText($J83,",",COLUMN(L:L)-COLUMN($K:$K))))</f>
        <v>NEXT</v>
      </c>
      <c r="M83" s="12" t="str">
        <f>IF(SplitText($J83,",",COLUMN(M:M)-COLUMN($K:$K))="",$K83,trimtext(SplitText($J83,",",COLUMN(M:M)-COLUMN($K:$K))))</f>
        <v>NEXT</v>
      </c>
      <c r="N83" s="12" t="str">
        <f>IF(SplitText($J83,",",COLUMN(N:N)-COLUMN($K:$K))="",$K83,trimtext(SplitText($J83,",",COLUMN(N:N)-COLUMN($K:$K))))</f>
        <v>NEXT</v>
      </c>
      <c r="O83" s="12" t="str">
        <f>IF(SplitText($J83,",",COLUMN(O:O)-COLUMN($K:$K))="",$K83,trimtext(SplitText($J83,",",COLUMN(O:O)-COLUMN($K:$K))))</f>
        <v>NEXT</v>
      </c>
      <c r="P83" s="12" t="str">
        <f>IF(SplitText($J83,",",COLUMN(P:P)-COLUMN($K:$K))="",$K83,trimtext(SplitText($J83,",",COLUMN(P:P)-COLUMN($K:$K))))</f>
        <v>NEXT</v>
      </c>
      <c r="Q83" s="12" t="str">
        <f>IF(SplitText($J83,",",COLUMN(Q:Q)-COLUMN($K:$K))="",$K83,trimtext(SplitText($J83,",",COLUMN(Q:Q)-COLUMN($K:$K))))</f>
        <v>NEXT</v>
      </c>
      <c r="R83" s="2" t="s">
        <v>423</v>
      </c>
      <c r="S83" s="12" t="str">
        <f>trimtext(SplitText($R83,",",0))</f>
        <v>RIGHT</v>
      </c>
      <c r="T83" s="12" t="str">
        <f>IF(SplitText($R83,",",COLUMN(T:T)-COLUMN($S:$S))="",$S83,trimtext(SplitText($R83,",",COLUMN(T:T)-COLUMN($S:$S))))</f>
        <v>RIGHT</v>
      </c>
      <c r="U83" s="12" t="str">
        <f>IF(SplitText($R83,",",COLUMN(U:U)-COLUMN($S:$S))="",$S83,trimtext(SplitText($R83,",",COLUMN(U:U)-COLUMN($S:$S))))</f>
        <v>NEXT</v>
      </c>
      <c r="V83" s="2" t="s">
        <v>587</v>
      </c>
      <c r="W83" s="12" t="str">
        <f>trimtext(SplitText($V83,",",0))</f>
        <v>NEXT</v>
      </c>
      <c r="X83" s="12" t="str">
        <f>IF(SplitText($V83,",",COLUMN(X:X)-COLUMN($W:$W))="",$W83,trimtext(SplitText($V83,",",COLUMN(X:X)-COLUMN($W:$W))))</f>
        <v>NEXT</v>
      </c>
      <c r="Y83" s="12" t="str">
        <f>IF(SplitText($V83,",",COLUMN(Y:Y)-COLUMN($W:$W))="",$W83,trimtext(SplitText($V83,",",COLUMN(Y:Y)-COLUMN($W:$W))))</f>
        <v>NEXT</v>
      </c>
      <c r="Z83" s="2" t="s">
        <v>712</v>
      </c>
      <c r="AA83" s="12" t="str">
        <f t="shared" si="9"/>
        <v>NONCONVERT</v>
      </c>
      <c r="AB83" s="2" t="s">
        <v>824</v>
      </c>
      <c r="AC83" s="12" t="str">
        <f>trimtext(SplitText($AB83,",",0))</f>
        <v>NEXT</v>
      </c>
      <c r="AD83" s="12" t="str">
        <f>IF(SplitText($AB83,",",COLUMN(AD:AD)-COLUMN($AC:$AC))="",$AC83,trimtext(SplitText($AB83,",",COLUMN(AD:AD)-COLUMN($AC:$AC))))</f>
        <v>NEXT</v>
      </c>
      <c r="AE83" s="18" t="str">
        <f t="shared" si="10"/>
        <v>&lt;xs:enumeration value="T51"&gt;&lt;xs:annotation&gt;&lt;xs:documentation&gt;Typically NEXT for keyboard type 4, different values for different keyboard types&lt;/xs:documentation&gt;&lt;xs:appinfo&gt;&lt;default-vk&gt;</v>
      </c>
      <c r="AF83" s="15" t="str">
        <f>IF(D83&lt;&gt;"","&lt;vk kbd="""&amp;D$1&amp;""" vk="""&amp;D83&amp;""""&amp;IF(Scan2VKFlags!B83&lt;&gt;""," flags="""&amp;Scan2VKFlags!B83&amp;"""","")&amp;"/&gt;","")</f>
        <v>&lt;vk kbd="1" vk="NEXT"/&gt;</v>
      </c>
      <c r="AG83" s="15" t="str">
        <f>IF(E83&lt;&gt;"","&lt;vk kbd="""&amp;E$1&amp;""" vk="""&amp;E83&amp;""""&amp;IF(Scan2VKFlags!C83&lt;&gt;""," flags="""&amp;Scan2VKFlags!C83&amp;"""","")&amp;"/&gt;","")</f>
        <v>&lt;vk kbd="2" vk="NEXT"/&gt;</v>
      </c>
      <c r="AH83" s="15" t="str">
        <f>IF(F83&lt;&gt;"","&lt;vk kbd="""&amp;F$1&amp;""" vk="""&amp;F83&amp;""""&amp;IF(Scan2VKFlags!D83&lt;&gt;""," flags="""&amp;Scan2VKFlags!D83&amp;"""","")&amp;"/&gt;","")</f>
        <v>&lt;vk kbd="3" vk="NEXT"/&gt;</v>
      </c>
      <c r="AI83" s="15" t="str">
        <f>IF(G83&lt;&gt;"","&lt;vk kbd="""&amp;G$1&amp;""" vk="""&amp;G83&amp;""""&amp;IF(Scan2VKFlags!E83&lt;&gt;""," flags="""&amp;Scan2VKFlags!E83&amp;"""","")&amp;"/&gt;","")</f>
        <v>&lt;vk kbd="4" vk="NEXT" flags="KBDNUMPAD KBDSPECIAL"/&gt;</v>
      </c>
      <c r="AJ83" s="15" t="str">
        <f>IF(H83&lt;&gt;"","&lt;vk kbd="""&amp;H$1&amp;""" vk="""&amp;H83&amp;""""&amp;IF(Scan2VKFlags!F83&lt;&gt;""," flags="""&amp;Scan2VKFlags!F83&amp;"""","")&amp;"/&gt;","")</f>
        <v>&lt;vk kbd="5" vk="NEXT"/&gt;</v>
      </c>
      <c r="AK83" s="16" t="str">
        <f>IF(I83&lt;&gt;"","&lt;vk kbd="""&amp;I$1&amp;""" vk="""&amp;I83&amp;""""&amp;IF(Scan2VKFlags!G83&lt;&gt;""," flags="""&amp;Scan2VKFlags!G83&amp;"""","")&amp;"/&gt;","")</f>
        <v>&lt;vk kbd="6" vk="NEXT"/&gt;</v>
      </c>
      <c r="AL83" s="3" t="str">
        <f>IF(K83&lt;&gt;"","&lt;vk kbd="""&amp;K$1&amp;""" vk="""&amp;K83&amp;""""&amp;IF(Scan2VKFlags!H83&lt;&gt;""," flags="""&amp;Scan2VKFlags!H83&amp;"""","")&amp;"/&gt;","")</f>
        <v>&lt;vk kbd="7" vk="NEXT"/&gt;</v>
      </c>
      <c r="AM83" t="str">
        <f>IF(L83&lt;&gt;"","&lt;vk kbd="""&amp;L$1&amp;""" vk="""&amp;L83&amp;""""&amp;IF(Scan2VKFlags!I83&lt;&gt;""," flags="""&amp;Scan2VKFlags!I83&amp;"""","")&amp;"/&gt;","")</f>
        <v>&lt;vk kbd="8" vk="NEXT"/&gt;</v>
      </c>
      <c r="AN83" t="str">
        <f>IF(M83&lt;&gt;"","&lt;vk kbd="""&amp;M$1&amp;""" vk="""&amp;M83&amp;""""&amp;IF(Scan2VKFlags!J83&lt;&gt;""," flags="""&amp;Scan2VKFlags!J83&amp;"""","")&amp;"/&gt;","")</f>
        <v>&lt;vk kbd="16" vk="NEXT"/&gt;</v>
      </c>
      <c r="AO83" t="str">
        <f>IF(N83&lt;&gt;"","&lt;vk kbd="""&amp;N$1&amp;""" vk="""&amp;N83&amp;""""&amp;IF(Scan2VKFlags!K83&lt;&gt;""," flags="""&amp;Scan2VKFlags!K83&amp;"""","")&amp;"/&gt;","")</f>
        <v>&lt;vk kbd="10" vk="NEXT"/&gt;</v>
      </c>
      <c r="AP83" t="str">
        <f>IF(O83&lt;&gt;"","&lt;vk kbd="""&amp;O$1&amp;""" vk="""&amp;O83&amp;""""&amp;IF(Scan2VKFlags!L83&lt;&gt;""," flags="""&amp;Scan2VKFlags!L83&amp;"""","")&amp;"/&gt;","")</f>
        <v>&lt;vk kbd="11" vk="NEXT"/&gt;</v>
      </c>
      <c r="AQ83" t="str">
        <f>IF(P83&lt;&gt;"","&lt;vk kbd="""&amp;P$1&amp;""" vk="""&amp;P83&amp;""""&amp;IF(Scan2VKFlags!M83&lt;&gt;""," flags="""&amp;Scan2VKFlags!M83&amp;"""","")&amp;"/&gt;","")</f>
        <v>&lt;vk kbd="12" vk="NEXT"/&gt;</v>
      </c>
      <c r="AR83" s="16" t="str">
        <f>IF(Q83&lt;&gt;"","&lt;vk kbd="""&amp;Q$1&amp;""" vk="""&amp;Q83&amp;""""&amp;IF(Scan2VKFlags!N83&lt;&gt;""," flags="""&amp;Scan2VKFlags!N83&amp;"""","")&amp;"/&gt;","")</f>
        <v>&lt;vk kbd="13" vk="NEXT"/&gt;</v>
      </c>
      <c r="AS83" s="3" t="str">
        <f>IF(S83&lt;&gt;"","&lt;vk kbd="""&amp;S$1&amp;""" vk="""&amp;S83&amp;""""&amp;IF(Scan2VKFlags!O83&lt;&gt;""," flags="""&amp;Scan2VKFlags!O83&amp;"""","")&amp;"/&gt;","")</f>
        <v>&lt;vk kbd="20" vk="RIGHT"/&gt;</v>
      </c>
      <c r="AT83" t="str">
        <f>IF(T83&lt;&gt;"","&lt;vk kbd="""&amp;T$1&amp;""" vk="""&amp;T83&amp;""""&amp;IF(Scan2VKFlags!P83&lt;&gt;""," flags="""&amp;Scan2VKFlags!P83&amp;"""","")&amp;"/&gt;","")</f>
        <v>&lt;vk kbd="21" vk="RIGHT"/&gt;</v>
      </c>
      <c r="AU83" s="16" t="str">
        <f>IF(U83&lt;&gt;"","&lt;vk kbd="""&amp;U$1&amp;""" vk="""&amp;U83&amp;""""&amp;IF(Scan2VKFlags!Q83&lt;&gt;""," flags="""&amp;Scan2VKFlags!Q83&amp;"""","")&amp;"/&gt;","")</f>
        <v>&lt;vk kbd="22" vk="NEXT"/&gt;</v>
      </c>
      <c r="AV83" s="3" t="str">
        <f>IF(W83&lt;&gt;"","&lt;vk kbd="""&amp;W$1&amp;""" vk="""&amp;W83&amp;""""&amp;IF(Scan2VKFlags!R83&lt;&gt;""," flags="""&amp;Scan2VKFlags!R83&amp;"""","")&amp;"/&gt;","")</f>
        <v>&lt;vk kbd="30" vk="NEXT"/&gt;</v>
      </c>
      <c r="AW83" s="15" t="str">
        <f>IF(X83&lt;&gt;"","&lt;vk kbd="""&amp;X$1&amp;""" vk="""&amp;X83&amp;""""&amp;IF(Scan2VKFlags!S83&lt;&gt;""," flags="""&amp;Scan2VKFlags!S83&amp;"""","")&amp;"/&gt;","")</f>
        <v>&lt;vk kbd="33" vk="NEXT"/&gt;</v>
      </c>
      <c r="AX83" s="15" t="str">
        <f>IF(Y83&lt;&gt;"","&lt;vk kbd="""&amp;Y$1&amp;""" vk="""&amp;Y83&amp;""""&amp;IF(Scan2VKFlags!T83&lt;&gt;""," flags="""&amp;Scan2VKFlags!T83&amp;"""","")&amp;"/&gt;","")</f>
        <v>&lt;vk kbd="34" vk="NEXT"/&gt;</v>
      </c>
      <c r="AY83" s="18" t="str">
        <f>IF(AA83&lt;&gt;"","&lt;vk kbd="""&amp;AA$1&amp;""" vk="""&amp;AA83&amp;""""&amp;IF(Scan2VKFlags!U83&lt;&gt;""," flags="""&amp;Scan2VKFlags!U83&amp;"""","")&amp;"/&gt;","")</f>
        <v>&lt;vk kbd="37" vk="NONCONVERT"/&gt;</v>
      </c>
      <c r="AZ83" s="3" t="str">
        <f>IF(AC83&lt;&gt;"","&lt;vk kbd="""&amp;AC$1&amp;""" vk="""&amp;AC83&amp;""""&amp;IF(Scan2VKFlags!V83&lt;&gt;""," flags="""&amp;Scan2VKFlags!V83&amp;"""","")&amp;"/&gt;","")</f>
        <v>&lt;vk kbd="40" vk="NEXT"/&gt;</v>
      </c>
      <c r="BA83" s="16" t="str">
        <f>IF(AD83&lt;&gt;"","&lt;vk kbd="""&amp;AD$1&amp;""" vk="""&amp;AD83&amp;""""&amp;IF(Scan2VKFlags!W83&lt;&gt;""," flags="""&amp;Scan2VKFlags!W83&amp;"""","")&amp;"/&gt;","")</f>
        <v>&lt;vk kbd="41" vk="NEXT"/&gt;</v>
      </c>
      <c r="BB83" t="s">
        <v>854</v>
      </c>
    </row>
    <row r="84" spans="1:54" x14ac:dyDescent="0.25">
      <c r="A84">
        <f t="shared" si="11"/>
        <v>82</v>
      </c>
      <c r="B84" t="str">
        <f t="shared" si="8"/>
        <v>T52</v>
      </c>
      <c r="C84" s="7" t="s">
        <v>82</v>
      </c>
      <c r="D84" s="12" t="str">
        <f>trimtext(SplitText($C84,",",0))</f>
        <v>INSERT</v>
      </c>
      <c r="E84" s="12" t="str">
        <f>IF(SplitText($C84,",",COLUMN(E:E)-COLUMN($D:$D))="",$D84,trimtext(SplitText($C84,",",COLUMN(E:E)-COLUMN($D:$D))))</f>
        <v>INSERT</v>
      </c>
      <c r="F84" s="12" t="str">
        <f>IF(SplitText($C84,",",COLUMN(F:F)-COLUMN($D:$D))="",$D84,trimtext(SplitText($C84,",",COLUMN(F:F)-COLUMN($D:$D))))</f>
        <v>INSERT</v>
      </c>
      <c r="G84" s="12" t="str">
        <f>IF(SplitText($C84,",",COLUMN(G:G)-COLUMN($D:$D))="",$D84,trimtext(SplitText($C84,",",COLUMN(G:G)-COLUMN($D:$D))))</f>
        <v>INSERT</v>
      </c>
      <c r="H84" s="12" t="str">
        <f>IF(SplitText($C84,",",COLUMN(H:H)-COLUMN($D:$D))="",$D84,trimtext(SplitText($C84,",",COLUMN(H:H)-COLUMN($D:$D))))</f>
        <v>INSERT</v>
      </c>
      <c r="I84" s="12" t="str">
        <f>IF(SplitText($C84,",",COLUMN(I:I)-COLUMN($D:$D))="",$D84,trimtext(SplitText($C84,",",COLUMN(I:I)-COLUMN($D:$D))))</f>
        <v>INSERT</v>
      </c>
      <c r="J84" s="9" t="s">
        <v>267</v>
      </c>
      <c r="K84" s="12" t="str">
        <f>trimtext(SplitText($J84,",",0))</f>
        <v>INSERT</v>
      </c>
      <c r="L84" s="12" t="str">
        <f>IF(SplitText($J84,",",COLUMN(L:L)-COLUMN($K:$K))="",$K84,trimtext(SplitText($J84,",",COLUMN(L:L)-COLUMN($K:$K))))</f>
        <v>INSERT</v>
      </c>
      <c r="M84" s="12" t="str">
        <f>IF(SplitText($J84,",",COLUMN(M:M)-COLUMN($K:$K))="",$K84,trimtext(SplitText($J84,",",COLUMN(M:M)-COLUMN($K:$K))))</f>
        <v>INSERT</v>
      </c>
      <c r="N84" s="12" t="str">
        <f>IF(SplitText($J84,",",COLUMN(N:N)-COLUMN($K:$K))="",$K84,trimtext(SplitText($J84,",",COLUMN(N:N)-COLUMN($K:$K))))</f>
        <v>INSERT</v>
      </c>
      <c r="O84" s="12" t="str">
        <f>IF(SplitText($J84,",",COLUMN(O:O)-COLUMN($K:$K))="",$K84,trimtext(SplitText($J84,",",COLUMN(O:O)-COLUMN($K:$K))))</f>
        <v>INSERT</v>
      </c>
      <c r="P84" s="12" t="str">
        <f>IF(SplitText($J84,",",COLUMN(P:P)-COLUMN($K:$K))="",$K84,trimtext(SplitText($J84,",",COLUMN(P:P)-COLUMN($K:$K))))</f>
        <v>INSERT</v>
      </c>
      <c r="Q84" s="12" t="str">
        <f>IF(SplitText($J84,",",COLUMN(Q:Q)-COLUMN($K:$K))="",$K84,trimtext(SplitText($J84,",",COLUMN(Q:Q)-COLUMN($K:$K))))</f>
        <v>INSERT</v>
      </c>
      <c r="R84" s="2" t="s">
        <v>424</v>
      </c>
      <c r="S84" s="12" t="str">
        <f>trimtext(SplitText($R84,",",0))</f>
        <v>LCONTROL</v>
      </c>
      <c r="T84" s="12" t="str">
        <f>IF(SplitText($R84,",",COLUMN(T:T)-COLUMN($S:$S))="",$S84,trimtext(SplitText($R84,",",COLUMN(T:T)-COLUMN($S:$S))))</f>
        <v>LCONTROL</v>
      </c>
      <c r="U84" s="12" t="str">
        <f>IF(SplitText($R84,",",COLUMN(U:U)-COLUMN($S:$S))="",$S84,trimtext(SplitText($R84,",",COLUMN(U:U)-COLUMN($S:$S))))</f>
        <v>INSERT</v>
      </c>
      <c r="V84" s="2" t="s">
        <v>588</v>
      </c>
      <c r="W84" s="12" t="str">
        <f>trimtext(SplitText($V84,",",0))</f>
        <v>INSERT</v>
      </c>
      <c r="X84" s="12" t="str">
        <f>IF(SplitText($V84,",",COLUMN(X:X)-COLUMN($W:$W))="",$W84,trimtext(SplitText($V84,",",COLUMN(X:X)-COLUMN($W:$W))))</f>
        <v>INSERT</v>
      </c>
      <c r="Y84" s="12" t="str">
        <f>IF(SplitText($V84,",",COLUMN(Y:Y)-COLUMN($W:$W))="",$W84,trimtext(SplitText($V84,",",COLUMN(Y:Y)-COLUMN($W:$W))))</f>
        <v>INSERT</v>
      </c>
      <c r="Z84" s="2" t="s">
        <v>713</v>
      </c>
      <c r="AA84" s="12" t="str">
        <f t="shared" si="9"/>
        <v>F11</v>
      </c>
      <c r="AB84" s="2" t="s">
        <v>825</v>
      </c>
      <c r="AC84" s="12" t="str">
        <f>trimtext(SplitText($AB84,",",0))</f>
        <v>INSERT</v>
      </c>
      <c r="AD84" s="12" t="str">
        <f>IF(SplitText($AB84,",",COLUMN(AD:AD)-COLUMN($AC:$AC))="",$AC84,trimtext(SplitText($AB84,",",COLUMN(AD:AD)-COLUMN($AC:$AC))))</f>
        <v>INSERT</v>
      </c>
      <c r="AE84" s="18" t="str">
        <f t="shared" si="10"/>
        <v>&lt;xs:enumeration value="T52"&gt;&lt;xs:annotation&gt;&lt;xs:documentation&gt;Typically INSERT for keyboard type 4, different values for different keyboard types&lt;/xs:documentation&gt;&lt;xs:appinfo&gt;&lt;default-vk&gt;</v>
      </c>
      <c r="AF84" s="15" t="str">
        <f>IF(D84&lt;&gt;"","&lt;vk kbd="""&amp;D$1&amp;""" vk="""&amp;D84&amp;""""&amp;IF(Scan2VKFlags!B84&lt;&gt;""," flags="""&amp;Scan2VKFlags!B84&amp;"""","")&amp;"/&gt;","")</f>
        <v>&lt;vk kbd="1" vk="INSERT"/&gt;</v>
      </c>
      <c r="AG84" s="15" t="str">
        <f>IF(E84&lt;&gt;"","&lt;vk kbd="""&amp;E$1&amp;""" vk="""&amp;E84&amp;""""&amp;IF(Scan2VKFlags!C84&lt;&gt;""," flags="""&amp;Scan2VKFlags!C84&amp;"""","")&amp;"/&gt;","")</f>
        <v>&lt;vk kbd="2" vk="INSERT"/&gt;</v>
      </c>
      <c r="AH84" s="15" t="str">
        <f>IF(F84&lt;&gt;"","&lt;vk kbd="""&amp;F$1&amp;""" vk="""&amp;F84&amp;""""&amp;IF(Scan2VKFlags!D84&lt;&gt;""," flags="""&amp;Scan2VKFlags!D84&amp;"""","")&amp;"/&gt;","")</f>
        <v>&lt;vk kbd="3" vk="INSERT"/&gt;</v>
      </c>
      <c r="AI84" s="15" t="str">
        <f>IF(G84&lt;&gt;"","&lt;vk kbd="""&amp;G$1&amp;""" vk="""&amp;G84&amp;""""&amp;IF(Scan2VKFlags!E84&lt;&gt;""," flags="""&amp;Scan2VKFlags!E84&amp;"""","")&amp;"/&gt;","")</f>
        <v>&lt;vk kbd="4" vk="INSERT" flags="KBDNUMPAD KBDSPECIAL"/&gt;</v>
      </c>
      <c r="AJ84" s="15" t="str">
        <f>IF(H84&lt;&gt;"","&lt;vk kbd="""&amp;H$1&amp;""" vk="""&amp;H84&amp;""""&amp;IF(Scan2VKFlags!F84&lt;&gt;""," flags="""&amp;Scan2VKFlags!F84&amp;"""","")&amp;"/&gt;","")</f>
        <v>&lt;vk kbd="5" vk="INSERT"/&gt;</v>
      </c>
      <c r="AK84" s="16" t="str">
        <f>IF(I84&lt;&gt;"","&lt;vk kbd="""&amp;I$1&amp;""" vk="""&amp;I84&amp;""""&amp;IF(Scan2VKFlags!G84&lt;&gt;""," flags="""&amp;Scan2VKFlags!G84&amp;"""","")&amp;"/&gt;","")</f>
        <v>&lt;vk kbd="6" vk="INSERT"/&gt;</v>
      </c>
      <c r="AL84" s="3" t="str">
        <f>IF(K84&lt;&gt;"","&lt;vk kbd="""&amp;K$1&amp;""" vk="""&amp;K84&amp;""""&amp;IF(Scan2VKFlags!H84&lt;&gt;""," flags="""&amp;Scan2VKFlags!H84&amp;"""","")&amp;"/&gt;","")</f>
        <v>&lt;vk kbd="7" vk="INSERT"/&gt;</v>
      </c>
      <c r="AM84" t="str">
        <f>IF(L84&lt;&gt;"","&lt;vk kbd="""&amp;L$1&amp;""" vk="""&amp;L84&amp;""""&amp;IF(Scan2VKFlags!I84&lt;&gt;""," flags="""&amp;Scan2VKFlags!I84&amp;"""","")&amp;"/&gt;","")</f>
        <v>&lt;vk kbd="8" vk="INSERT"/&gt;</v>
      </c>
      <c r="AN84" t="str">
        <f>IF(M84&lt;&gt;"","&lt;vk kbd="""&amp;M$1&amp;""" vk="""&amp;M84&amp;""""&amp;IF(Scan2VKFlags!J84&lt;&gt;""," flags="""&amp;Scan2VKFlags!J84&amp;"""","")&amp;"/&gt;","")</f>
        <v>&lt;vk kbd="16" vk="INSERT"/&gt;</v>
      </c>
      <c r="AO84" t="str">
        <f>IF(N84&lt;&gt;"","&lt;vk kbd="""&amp;N$1&amp;""" vk="""&amp;N84&amp;""""&amp;IF(Scan2VKFlags!K84&lt;&gt;""," flags="""&amp;Scan2VKFlags!K84&amp;"""","")&amp;"/&gt;","")</f>
        <v>&lt;vk kbd="10" vk="INSERT"/&gt;</v>
      </c>
      <c r="AP84" t="str">
        <f>IF(O84&lt;&gt;"","&lt;vk kbd="""&amp;O$1&amp;""" vk="""&amp;O84&amp;""""&amp;IF(Scan2VKFlags!L84&lt;&gt;""," flags="""&amp;Scan2VKFlags!L84&amp;"""","")&amp;"/&gt;","")</f>
        <v>&lt;vk kbd="11" vk="INSERT"/&gt;</v>
      </c>
      <c r="AQ84" t="str">
        <f>IF(P84&lt;&gt;"","&lt;vk kbd="""&amp;P$1&amp;""" vk="""&amp;P84&amp;""""&amp;IF(Scan2VKFlags!M84&lt;&gt;""," flags="""&amp;Scan2VKFlags!M84&amp;"""","")&amp;"/&gt;","")</f>
        <v>&lt;vk kbd="12" vk="INSERT"/&gt;</v>
      </c>
      <c r="AR84" s="16" t="str">
        <f>IF(Q84&lt;&gt;"","&lt;vk kbd="""&amp;Q$1&amp;""" vk="""&amp;Q84&amp;""""&amp;IF(Scan2VKFlags!N84&lt;&gt;""," flags="""&amp;Scan2VKFlags!N84&amp;"""","")&amp;"/&gt;","")</f>
        <v>&lt;vk kbd="13" vk="INSERT"/&gt;</v>
      </c>
      <c r="AS84" s="3" t="str">
        <f>IF(S84&lt;&gt;"","&lt;vk kbd="""&amp;S$1&amp;""" vk="""&amp;S84&amp;""""&amp;IF(Scan2VKFlags!O84&lt;&gt;""," flags="""&amp;Scan2VKFlags!O84&amp;"""","")&amp;"/&gt;","")</f>
        <v>&lt;vk kbd="20" vk="LCONTROL"/&gt;</v>
      </c>
      <c r="AT84" t="str">
        <f>IF(T84&lt;&gt;"","&lt;vk kbd="""&amp;T$1&amp;""" vk="""&amp;T84&amp;""""&amp;IF(Scan2VKFlags!P84&lt;&gt;""," flags="""&amp;Scan2VKFlags!P84&amp;"""","")&amp;"/&gt;","")</f>
        <v>&lt;vk kbd="21" vk="LCONTROL"/&gt;</v>
      </c>
      <c r="AU84" s="16" t="str">
        <f>IF(U84&lt;&gt;"","&lt;vk kbd="""&amp;U$1&amp;""" vk="""&amp;U84&amp;""""&amp;IF(Scan2VKFlags!Q84&lt;&gt;""," flags="""&amp;Scan2VKFlags!Q84&amp;"""","")&amp;"/&gt;","")</f>
        <v>&lt;vk kbd="22" vk="INSERT"/&gt;</v>
      </c>
      <c r="AV84" s="3" t="str">
        <f>IF(W84&lt;&gt;"","&lt;vk kbd="""&amp;W$1&amp;""" vk="""&amp;W84&amp;""""&amp;IF(Scan2VKFlags!R84&lt;&gt;""," flags="""&amp;Scan2VKFlags!R84&amp;"""","")&amp;"/&gt;","")</f>
        <v>&lt;vk kbd="30" vk="INSERT"/&gt;</v>
      </c>
      <c r="AW84" s="15" t="str">
        <f>IF(X84&lt;&gt;"","&lt;vk kbd="""&amp;X$1&amp;""" vk="""&amp;X84&amp;""""&amp;IF(Scan2VKFlags!S84&lt;&gt;""," flags="""&amp;Scan2VKFlags!S84&amp;"""","")&amp;"/&gt;","")</f>
        <v>&lt;vk kbd="33" vk="INSERT"/&gt;</v>
      </c>
      <c r="AX84" s="15" t="str">
        <f>IF(Y84&lt;&gt;"","&lt;vk kbd="""&amp;Y$1&amp;""" vk="""&amp;Y84&amp;""""&amp;IF(Scan2VKFlags!T84&lt;&gt;""," flags="""&amp;Scan2VKFlags!T84&amp;"""","")&amp;"/&gt;","")</f>
        <v>&lt;vk kbd="34" vk="INSERT"/&gt;</v>
      </c>
      <c r="AY84" s="18" t="str">
        <f>IF(AA84&lt;&gt;"","&lt;vk kbd="""&amp;AA$1&amp;""" vk="""&amp;AA84&amp;""""&amp;IF(Scan2VKFlags!U84&lt;&gt;""," flags="""&amp;Scan2VKFlags!U84&amp;"""","")&amp;"/&gt;","")</f>
        <v>&lt;vk kbd="37" vk="F11"/&gt;</v>
      </c>
      <c r="AZ84" s="3" t="str">
        <f>IF(AC84&lt;&gt;"","&lt;vk kbd="""&amp;AC$1&amp;""" vk="""&amp;AC84&amp;""""&amp;IF(Scan2VKFlags!V84&lt;&gt;""," flags="""&amp;Scan2VKFlags!V84&amp;"""","")&amp;"/&gt;","")</f>
        <v>&lt;vk kbd="40" vk="INSERT"/&gt;</v>
      </c>
      <c r="BA84" s="16" t="str">
        <f>IF(AD84&lt;&gt;"","&lt;vk kbd="""&amp;AD$1&amp;""" vk="""&amp;AD84&amp;""""&amp;IF(Scan2VKFlags!W84&lt;&gt;""," flags="""&amp;Scan2VKFlags!W84&amp;"""","")&amp;"/&gt;","")</f>
        <v>&lt;vk kbd="41" vk="INSERT"/&gt;</v>
      </c>
      <c r="BB84" t="s">
        <v>854</v>
      </c>
    </row>
    <row r="85" spans="1:54" x14ac:dyDescent="0.25">
      <c r="A85">
        <f t="shared" si="11"/>
        <v>83</v>
      </c>
      <c r="B85" t="str">
        <f t="shared" si="8"/>
        <v>T53</v>
      </c>
      <c r="C85" s="7" t="s">
        <v>83</v>
      </c>
      <c r="D85" s="12" t="str">
        <f>trimtext(SplitText($C85,",",0))</f>
        <v>DELETE</v>
      </c>
      <c r="E85" s="12" t="str">
        <f>IF(SplitText($C85,",",COLUMN(E:E)-COLUMN($D:$D))="",$D85,trimtext(SplitText($C85,",",COLUMN(E:E)-COLUMN($D:$D))))</f>
        <v>DELETE</v>
      </c>
      <c r="F85" s="12" t="str">
        <f>IF(SplitText($C85,",",COLUMN(F:F)-COLUMN($D:$D))="",$D85,trimtext(SplitText($C85,",",COLUMN(F:F)-COLUMN($D:$D))))</f>
        <v>DELETE</v>
      </c>
      <c r="G85" s="12" t="str">
        <f>IF(SplitText($C85,",",COLUMN(G:G)-COLUMN($D:$D))="",$D85,trimtext(SplitText($C85,",",COLUMN(G:G)-COLUMN($D:$D))))</f>
        <v>DELETE</v>
      </c>
      <c r="H85" s="12" t="str">
        <f>IF(SplitText($C85,",",COLUMN(H:H)-COLUMN($D:$D))="",$D85,trimtext(SplitText($C85,",",COLUMN(H:H)-COLUMN($D:$D))))</f>
        <v>DELETE</v>
      </c>
      <c r="I85" s="12" t="str">
        <f>IF(SplitText($C85,",",COLUMN(I:I)-COLUMN($D:$D))="",$D85,trimtext(SplitText($C85,",",COLUMN(I:I)-COLUMN($D:$D))))</f>
        <v>DELETE</v>
      </c>
      <c r="J85" s="9" t="s">
        <v>268</v>
      </c>
      <c r="K85" s="12" t="str">
        <f>trimtext(SplitText($J85,",",0))</f>
        <v>DELETE</v>
      </c>
      <c r="L85" s="12" t="str">
        <f>IF(SplitText($J85,",",COLUMN(L:L)-COLUMN($K:$K))="",$K85,trimtext(SplitText($J85,",",COLUMN(L:L)-COLUMN($K:$K))))</f>
        <v>DELETE</v>
      </c>
      <c r="M85" s="12" t="str">
        <f>IF(SplitText($J85,",",COLUMN(M:M)-COLUMN($K:$K))="",$K85,trimtext(SplitText($J85,",",COLUMN(M:M)-COLUMN($K:$K))))</f>
        <v>DELETE</v>
      </c>
      <c r="N85" s="12" t="str">
        <f>IF(SplitText($J85,",",COLUMN(N:N)-COLUMN($K:$K))="",$K85,trimtext(SplitText($J85,",",COLUMN(N:N)-COLUMN($K:$K))))</f>
        <v>DELETE</v>
      </c>
      <c r="O85" s="12" t="str">
        <f>IF(SplitText($J85,",",COLUMN(O:O)-COLUMN($K:$K))="",$K85,trimtext(SplitText($J85,",",COLUMN(O:O)-COLUMN($K:$K))))</f>
        <v>DELETE</v>
      </c>
      <c r="P85" s="12" t="str">
        <f>IF(SplitText($J85,",",COLUMN(P:P)-COLUMN($K:$K))="",$K85,trimtext(SplitText($J85,",",COLUMN(P:P)-COLUMN($K:$K))))</f>
        <v>DELETE</v>
      </c>
      <c r="Q85" s="12" t="str">
        <f>IF(SplitText($J85,",",COLUMN(Q:Q)-COLUMN($K:$K))="",$K85,trimtext(SplitText($J85,",",COLUMN(Q:Q)-COLUMN($K:$K))))</f>
        <v>DELETE</v>
      </c>
      <c r="R85" s="2" t="s">
        <v>425</v>
      </c>
      <c r="S85" s="12" t="str">
        <f>trimtext(SplitText($R85,",",0))</f>
        <v>LSHIFT</v>
      </c>
      <c r="T85" s="12" t="str">
        <f>IF(SplitText($R85,",",COLUMN(T:T)-COLUMN($S:$S))="",$S85,trimtext(SplitText($R85,",",COLUMN(T:T)-COLUMN($S:$S))))</f>
        <v>LSHIFT</v>
      </c>
      <c r="U85" s="12" t="str">
        <f>IF(SplitText($R85,",",COLUMN(U:U)-COLUMN($S:$S))="",$S85,trimtext(SplitText($R85,",",COLUMN(U:U)-COLUMN($S:$S))))</f>
        <v>DELETE</v>
      </c>
      <c r="V85" s="2" t="s">
        <v>589</v>
      </c>
      <c r="W85" s="12" t="str">
        <f>trimtext(SplitText($V85,",",0))</f>
        <v>DELETE</v>
      </c>
      <c r="X85" s="12" t="str">
        <f>IF(SplitText($V85,",",COLUMN(X:X)-COLUMN($W:$W))="",$W85,trimtext(SplitText($V85,",",COLUMN(X:X)-COLUMN($W:$W))))</f>
        <v>DELETE</v>
      </c>
      <c r="Y85" s="12" t="str">
        <f>IF(SplitText($V85,",",COLUMN(Y:Y)-COLUMN($W:$W))="",$W85,trimtext(SplitText($V85,",",COLUMN(Y:Y)-COLUMN($W:$W))))</f>
        <v>DELETE</v>
      </c>
      <c r="Z85" s="2" t="s">
        <v>714</v>
      </c>
      <c r="AA85" s="12" t="str">
        <f t="shared" si="9"/>
        <v>F12</v>
      </c>
      <c r="AB85" s="2" t="s">
        <v>826</v>
      </c>
      <c r="AC85" s="12" t="str">
        <f>trimtext(SplitText($AB85,",",0))</f>
        <v>DELETE</v>
      </c>
      <c r="AD85" s="12" t="str">
        <f>IF(SplitText($AB85,",",COLUMN(AD:AD)-COLUMN($AC:$AC))="",$AC85,trimtext(SplitText($AB85,",",COLUMN(AD:AD)-COLUMN($AC:$AC))))</f>
        <v>DELETE</v>
      </c>
      <c r="AE85" s="18" t="str">
        <f t="shared" si="10"/>
        <v>&lt;xs:enumeration value="T53"&gt;&lt;xs:annotation&gt;&lt;xs:documentation&gt;Typically DELETE for keyboard type 4, different values for different keyboard types&lt;/xs:documentation&gt;&lt;xs:appinfo&gt;&lt;default-vk&gt;</v>
      </c>
      <c r="AF85" s="15" t="str">
        <f>IF(D85&lt;&gt;"","&lt;vk kbd="""&amp;D$1&amp;""" vk="""&amp;D85&amp;""""&amp;IF(Scan2VKFlags!B85&lt;&gt;""," flags="""&amp;Scan2VKFlags!B85&amp;"""","")&amp;"/&gt;","")</f>
        <v>&lt;vk kbd="1" vk="DELETE"/&gt;</v>
      </c>
      <c r="AG85" s="15" t="str">
        <f>IF(E85&lt;&gt;"","&lt;vk kbd="""&amp;E$1&amp;""" vk="""&amp;E85&amp;""""&amp;IF(Scan2VKFlags!C85&lt;&gt;""," flags="""&amp;Scan2VKFlags!C85&amp;"""","")&amp;"/&gt;","")</f>
        <v>&lt;vk kbd="2" vk="DELETE"/&gt;</v>
      </c>
      <c r="AH85" s="15" t="str">
        <f>IF(F85&lt;&gt;"","&lt;vk kbd="""&amp;F$1&amp;""" vk="""&amp;F85&amp;""""&amp;IF(Scan2VKFlags!D85&lt;&gt;""," flags="""&amp;Scan2VKFlags!D85&amp;"""","")&amp;"/&gt;","")</f>
        <v>&lt;vk kbd="3" vk="DELETE"/&gt;</v>
      </c>
      <c r="AI85" s="15" t="str">
        <f>IF(G85&lt;&gt;"","&lt;vk kbd="""&amp;G$1&amp;""" vk="""&amp;G85&amp;""""&amp;IF(Scan2VKFlags!E85&lt;&gt;""," flags="""&amp;Scan2VKFlags!E85&amp;"""","")&amp;"/&gt;","")</f>
        <v>&lt;vk kbd="4" vk="DELETE" flags="KBDNUMPAD KBDSPECIAL"/&gt;</v>
      </c>
      <c r="AJ85" s="15" t="str">
        <f>IF(H85&lt;&gt;"","&lt;vk kbd="""&amp;H$1&amp;""" vk="""&amp;H85&amp;""""&amp;IF(Scan2VKFlags!F85&lt;&gt;""," flags="""&amp;Scan2VKFlags!F85&amp;"""","")&amp;"/&gt;","")</f>
        <v>&lt;vk kbd="5" vk="DELETE"/&gt;</v>
      </c>
      <c r="AK85" s="16" t="str">
        <f>IF(I85&lt;&gt;"","&lt;vk kbd="""&amp;I$1&amp;""" vk="""&amp;I85&amp;""""&amp;IF(Scan2VKFlags!G85&lt;&gt;""," flags="""&amp;Scan2VKFlags!G85&amp;"""","")&amp;"/&gt;","")</f>
        <v>&lt;vk kbd="6" vk="DELETE"/&gt;</v>
      </c>
      <c r="AL85" s="3" t="str">
        <f>IF(K85&lt;&gt;"","&lt;vk kbd="""&amp;K$1&amp;""" vk="""&amp;K85&amp;""""&amp;IF(Scan2VKFlags!H85&lt;&gt;""," flags="""&amp;Scan2VKFlags!H85&amp;"""","")&amp;"/&gt;","")</f>
        <v>&lt;vk kbd="7" vk="DELETE"/&gt;</v>
      </c>
      <c r="AM85" t="str">
        <f>IF(L85&lt;&gt;"","&lt;vk kbd="""&amp;L$1&amp;""" vk="""&amp;L85&amp;""""&amp;IF(Scan2VKFlags!I85&lt;&gt;""," flags="""&amp;Scan2VKFlags!I85&amp;"""","")&amp;"/&gt;","")</f>
        <v>&lt;vk kbd="8" vk="DELETE"/&gt;</v>
      </c>
      <c r="AN85" t="str">
        <f>IF(M85&lt;&gt;"","&lt;vk kbd="""&amp;M$1&amp;""" vk="""&amp;M85&amp;""""&amp;IF(Scan2VKFlags!J85&lt;&gt;""," flags="""&amp;Scan2VKFlags!J85&amp;"""","")&amp;"/&gt;","")</f>
        <v>&lt;vk kbd="16" vk="DELETE"/&gt;</v>
      </c>
      <c r="AO85" t="str">
        <f>IF(N85&lt;&gt;"","&lt;vk kbd="""&amp;N$1&amp;""" vk="""&amp;N85&amp;""""&amp;IF(Scan2VKFlags!K85&lt;&gt;""," flags="""&amp;Scan2VKFlags!K85&amp;"""","")&amp;"/&gt;","")</f>
        <v>&lt;vk kbd="10" vk="DELETE"/&gt;</v>
      </c>
      <c r="AP85" t="str">
        <f>IF(O85&lt;&gt;"","&lt;vk kbd="""&amp;O$1&amp;""" vk="""&amp;O85&amp;""""&amp;IF(Scan2VKFlags!L85&lt;&gt;""," flags="""&amp;Scan2VKFlags!L85&amp;"""","")&amp;"/&gt;","")</f>
        <v>&lt;vk kbd="11" vk="DELETE"/&gt;</v>
      </c>
      <c r="AQ85" t="str">
        <f>IF(P85&lt;&gt;"","&lt;vk kbd="""&amp;P$1&amp;""" vk="""&amp;P85&amp;""""&amp;IF(Scan2VKFlags!M85&lt;&gt;""," flags="""&amp;Scan2VKFlags!M85&amp;"""","")&amp;"/&gt;","")</f>
        <v>&lt;vk kbd="12" vk="DELETE"/&gt;</v>
      </c>
      <c r="AR85" s="16" t="str">
        <f>IF(Q85&lt;&gt;"","&lt;vk kbd="""&amp;Q$1&amp;""" vk="""&amp;Q85&amp;""""&amp;IF(Scan2VKFlags!N85&lt;&gt;""," flags="""&amp;Scan2VKFlags!N85&amp;"""","")&amp;"/&gt;","")</f>
        <v>&lt;vk kbd="13" vk="DELETE"/&gt;</v>
      </c>
      <c r="AS85" s="3" t="str">
        <f>IF(S85&lt;&gt;"","&lt;vk kbd="""&amp;S$1&amp;""" vk="""&amp;S85&amp;""""&amp;IF(Scan2VKFlags!O85&lt;&gt;""," flags="""&amp;Scan2VKFlags!O85&amp;"""","")&amp;"/&gt;","")</f>
        <v>&lt;vk kbd="20" vk="LSHIFT"/&gt;</v>
      </c>
      <c r="AT85" t="str">
        <f>IF(T85&lt;&gt;"","&lt;vk kbd="""&amp;T$1&amp;""" vk="""&amp;T85&amp;""""&amp;IF(Scan2VKFlags!P85&lt;&gt;""," flags="""&amp;Scan2VKFlags!P85&amp;"""","")&amp;"/&gt;","")</f>
        <v>&lt;vk kbd="21" vk="LSHIFT"/&gt;</v>
      </c>
      <c r="AU85" s="16" t="str">
        <f>IF(U85&lt;&gt;"","&lt;vk kbd="""&amp;U$1&amp;""" vk="""&amp;U85&amp;""""&amp;IF(Scan2VKFlags!Q85&lt;&gt;""," flags="""&amp;Scan2VKFlags!Q85&amp;"""","")&amp;"/&gt;","")</f>
        <v>&lt;vk kbd="22" vk="DELETE"/&gt;</v>
      </c>
      <c r="AV85" s="3" t="str">
        <f>IF(W85&lt;&gt;"","&lt;vk kbd="""&amp;W$1&amp;""" vk="""&amp;W85&amp;""""&amp;IF(Scan2VKFlags!R85&lt;&gt;""," flags="""&amp;Scan2VKFlags!R85&amp;"""","")&amp;"/&gt;","")</f>
        <v>&lt;vk kbd="30" vk="DELETE"/&gt;</v>
      </c>
      <c r="AW85" s="15" t="str">
        <f>IF(X85&lt;&gt;"","&lt;vk kbd="""&amp;X$1&amp;""" vk="""&amp;X85&amp;""""&amp;IF(Scan2VKFlags!S85&lt;&gt;""," flags="""&amp;Scan2VKFlags!S85&amp;"""","")&amp;"/&gt;","")</f>
        <v>&lt;vk kbd="33" vk="DELETE"/&gt;</v>
      </c>
      <c r="AX85" s="15" t="str">
        <f>IF(Y85&lt;&gt;"","&lt;vk kbd="""&amp;Y$1&amp;""" vk="""&amp;Y85&amp;""""&amp;IF(Scan2VKFlags!T85&lt;&gt;""," flags="""&amp;Scan2VKFlags!T85&amp;"""","")&amp;"/&gt;","")</f>
        <v>&lt;vk kbd="34" vk="DELETE"/&gt;</v>
      </c>
      <c r="AY85" s="18" t="str">
        <f>IF(AA85&lt;&gt;"","&lt;vk kbd="""&amp;AA$1&amp;""" vk="""&amp;AA85&amp;""""&amp;IF(Scan2VKFlags!U85&lt;&gt;""," flags="""&amp;Scan2VKFlags!U85&amp;"""","")&amp;"/&gt;","")</f>
        <v>&lt;vk kbd="37" vk="F12"/&gt;</v>
      </c>
      <c r="AZ85" s="3" t="str">
        <f>IF(AC85&lt;&gt;"","&lt;vk kbd="""&amp;AC$1&amp;""" vk="""&amp;AC85&amp;""""&amp;IF(Scan2VKFlags!V85&lt;&gt;""," flags="""&amp;Scan2VKFlags!V85&amp;"""","")&amp;"/&gt;","")</f>
        <v>&lt;vk kbd="40" vk="DELETE"/&gt;</v>
      </c>
      <c r="BA85" s="16" t="str">
        <f>IF(AD85&lt;&gt;"","&lt;vk kbd="""&amp;AD$1&amp;""" vk="""&amp;AD85&amp;""""&amp;IF(Scan2VKFlags!W85&lt;&gt;""," flags="""&amp;Scan2VKFlags!W85&amp;"""","")&amp;"/&gt;","")</f>
        <v>&lt;vk kbd="41" vk="DELETE"/&gt;</v>
      </c>
      <c r="BB85" t="s">
        <v>854</v>
      </c>
    </row>
    <row r="86" spans="1:54" x14ac:dyDescent="0.25">
      <c r="A86">
        <f t="shared" si="11"/>
        <v>84</v>
      </c>
      <c r="B86" t="str">
        <f t="shared" si="8"/>
        <v>T54</v>
      </c>
      <c r="C86" s="7" t="s">
        <v>84</v>
      </c>
      <c r="D86" s="12" t="str">
        <f>trimtext(SplitText($C86,",",0))</f>
        <v>SNAPSHOT</v>
      </c>
      <c r="E86" s="12" t="str">
        <f>IF(SplitText($C86,",",COLUMN(E:E)-COLUMN($D:$D))="",$D86,trimtext(SplitText($C86,",",COLUMN(E:E)-COLUMN($D:$D))))</f>
        <v>SNAPSHOT</v>
      </c>
      <c r="F86" s="12" t="str">
        <f>IF(SplitText($C86,",",COLUMN(F:F)-COLUMN($D:$D))="",$D86,trimtext(SplitText($C86,",",COLUMN(F:F)-COLUMN($D:$D))))</f>
        <v>SNAPSHOT</v>
      </c>
      <c r="G86" s="12" t="str">
        <f>IF(SplitText($C86,",",COLUMN(G:G)-COLUMN($D:$D))="",$D86,trimtext(SplitText($C86,",",COLUMN(G:G)-COLUMN($D:$D))))</f>
        <v>SNAPSHOT</v>
      </c>
      <c r="H86" s="12" t="str">
        <f>IF(SplitText($C86,",",COLUMN(H:H)-COLUMN($D:$D))="",$D86,trimtext(SplitText($C86,",",COLUMN(H:H)-COLUMN($D:$D))))</f>
        <v>SNAPSHOT</v>
      </c>
      <c r="I86" s="12" t="str">
        <f>IF(SplitText($C86,",",COLUMN(I:I)-COLUMN($D:$D))="",$D86,trimtext(SplitText($C86,",",COLUMN(I:I)-COLUMN($D:$D))))</f>
        <v>SNAPSHOT</v>
      </c>
      <c r="J86" s="9" t="s">
        <v>269</v>
      </c>
      <c r="K86" s="12" t="str">
        <f>trimtext(SplitText($J86,",",0))</f>
        <v>SNAPSHOT</v>
      </c>
      <c r="L86" s="12" t="str">
        <f>IF(SplitText($J86,",",COLUMN(L:L)-COLUMN($K:$K))="",$K86,trimtext(SplitText($J86,",",COLUMN(L:L)-COLUMN($K:$K))))</f>
        <v>SNAPSHOT</v>
      </c>
      <c r="M86" s="12" t="str">
        <f>IF(SplitText($J86,",",COLUMN(M:M)-COLUMN($K:$K))="",$K86,trimtext(SplitText($J86,",",COLUMN(M:M)-COLUMN($K:$K))))</f>
        <v>SNAPSHOT</v>
      </c>
      <c r="N86" s="12" t="str">
        <f>IF(SplitText($J86,",",COLUMN(N:N)-COLUMN($K:$K))="",$K86,trimtext(SplitText($J86,",",COLUMN(N:N)-COLUMN($K:$K))))</f>
        <v>SNAPSHOT</v>
      </c>
      <c r="O86" s="12" t="str">
        <f>IF(SplitText($J86,",",COLUMN(O:O)-COLUMN($K:$K))="",$K86,trimtext(SplitText($J86,",",COLUMN(O:O)-COLUMN($K:$K))))</f>
        <v>SNAPSHOT</v>
      </c>
      <c r="P86" s="12" t="str">
        <f>IF(SplitText($J86,",",COLUMN(P:P)-COLUMN($K:$K))="",$K86,trimtext(SplitText($J86,",",COLUMN(P:P)-COLUMN($K:$K))))</f>
        <v>SNAPSHOT</v>
      </c>
      <c r="Q86" s="12" t="str">
        <f>IF(SplitText($J86,",",COLUMN(Q:Q)-COLUMN($K:$K))="",$K86,trimtext(SplitText($J86,",",COLUMN(Q:Q)-COLUMN($K:$K))))</f>
        <v>SNAPSHOT</v>
      </c>
      <c r="R86" s="2" t="s">
        <v>426</v>
      </c>
      <c r="S86" s="12" t="str">
        <f>trimtext(SplitText($R86,",",0))</f>
        <v>_none_</v>
      </c>
      <c r="T86" s="12" t="str">
        <f>IF(SplitText($R86,",",COLUMN(T:T)-COLUMN($S:$S))="",$S86,trimtext(SplitText($R86,",",COLUMN(T:T)-COLUMN($S:$S))))</f>
        <v>_none_</v>
      </c>
      <c r="U86" s="12" t="str">
        <f>IF(SplitText($R86,",",COLUMN(U:U)-COLUMN($S:$S))="",$S86,trimtext(SplitText($R86,",",COLUMN(U:U)-COLUMN($S:$S))))</f>
        <v>SNAPSHOT</v>
      </c>
      <c r="V86" s="2" t="s">
        <v>590</v>
      </c>
      <c r="W86" s="12" t="str">
        <f>trimtext(SplitText($V86,",",0))</f>
        <v>SNAPSHOT</v>
      </c>
      <c r="X86" s="12" t="str">
        <f>IF(SplitText($V86,",",COLUMN(X:X)-COLUMN($W:$W))="",$W86,trimtext(SplitText($V86,",",COLUMN(X:X)-COLUMN($W:$W))))</f>
        <v>SNAPSHOT</v>
      </c>
      <c r="Y86" s="12" t="str">
        <f>IF(SplitText($V86,",",COLUMN(Y:Y)-COLUMN($W:$W))="",$W86,trimtext(SplitText($V86,",",COLUMN(Y:Y)-COLUMN($W:$W))))</f>
        <v>SNAPSHOT</v>
      </c>
      <c r="Z86" s="2" t="s">
        <v>715</v>
      </c>
      <c r="AA86" s="12" t="str">
        <f t="shared" si="9"/>
        <v>F13</v>
      </c>
      <c r="AB86" s="2" t="s">
        <v>827</v>
      </c>
      <c r="AC86" s="12" t="str">
        <f>trimtext(SplitText($AB86,",",0))</f>
        <v>SNAPSHOT</v>
      </c>
      <c r="AD86" s="12" t="str">
        <f>IF(SplitText($AB86,",",COLUMN(AD:AD)-COLUMN($AC:$AC))="",$AC86,trimtext(SplitText($AB86,",",COLUMN(AD:AD)-COLUMN($AC:$AC))))</f>
        <v>SNAPSHOT</v>
      </c>
      <c r="AE86" s="18" t="str">
        <f t="shared" si="10"/>
        <v>&lt;xs:enumeration value="T54"&gt;&lt;xs:annotation&gt;&lt;xs:documentation&gt;Typically SNAPSHOT for keyboard type 4, different values for different keyboard types&lt;/xs:documentation&gt;&lt;xs:appinfo&gt;&lt;default-vk&gt;</v>
      </c>
      <c r="AF86" s="15" t="str">
        <f>IF(D86&lt;&gt;"","&lt;vk kbd="""&amp;D$1&amp;""" vk="""&amp;D86&amp;""""&amp;IF(Scan2VKFlags!B86&lt;&gt;""," flags="""&amp;Scan2VKFlags!B86&amp;"""","")&amp;"/&gt;","")</f>
        <v>&lt;vk kbd="1" vk="SNAPSHOT"/&gt;</v>
      </c>
      <c r="AG86" s="15" t="str">
        <f>IF(E86&lt;&gt;"","&lt;vk kbd="""&amp;E$1&amp;""" vk="""&amp;E86&amp;""""&amp;IF(Scan2VKFlags!C86&lt;&gt;""," flags="""&amp;Scan2VKFlags!C86&amp;"""","")&amp;"/&gt;","")</f>
        <v>&lt;vk kbd="2" vk="SNAPSHOT"/&gt;</v>
      </c>
      <c r="AH86" s="15" t="str">
        <f>IF(F86&lt;&gt;"","&lt;vk kbd="""&amp;F$1&amp;""" vk="""&amp;F86&amp;""""&amp;IF(Scan2VKFlags!D86&lt;&gt;""," flags="""&amp;Scan2VKFlags!D86&amp;"""","")&amp;"/&gt;","")</f>
        <v>&lt;vk kbd="3" vk="SNAPSHOT"/&gt;</v>
      </c>
      <c r="AI86" s="15" t="str">
        <f>IF(G86&lt;&gt;"","&lt;vk kbd="""&amp;G$1&amp;""" vk="""&amp;G86&amp;""""&amp;IF(Scan2VKFlags!E86&lt;&gt;""," flags="""&amp;Scan2VKFlags!E86&amp;"""","")&amp;"/&gt;","")</f>
        <v>&lt;vk kbd="4" vk="SNAPSHOT"/&gt;</v>
      </c>
      <c r="AJ86" s="15" t="str">
        <f>IF(H86&lt;&gt;"","&lt;vk kbd="""&amp;H$1&amp;""" vk="""&amp;H86&amp;""""&amp;IF(Scan2VKFlags!F86&lt;&gt;""," flags="""&amp;Scan2VKFlags!F86&amp;"""","")&amp;"/&gt;","")</f>
        <v>&lt;vk kbd="5" vk="SNAPSHOT"/&gt;</v>
      </c>
      <c r="AK86" s="16" t="str">
        <f>IF(I86&lt;&gt;"","&lt;vk kbd="""&amp;I$1&amp;""" vk="""&amp;I86&amp;""""&amp;IF(Scan2VKFlags!G86&lt;&gt;""," flags="""&amp;Scan2VKFlags!G86&amp;"""","")&amp;"/&gt;","")</f>
        <v>&lt;vk kbd="6" vk="SNAPSHOT"/&gt;</v>
      </c>
      <c r="AL86" s="3" t="str">
        <f>IF(K86&lt;&gt;"","&lt;vk kbd="""&amp;K$1&amp;""" vk="""&amp;K86&amp;""""&amp;IF(Scan2VKFlags!H86&lt;&gt;""," flags="""&amp;Scan2VKFlags!H86&amp;"""","")&amp;"/&gt;","")</f>
        <v>&lt;vk kbd="7" vk="SNAPSHOT"/&gt;</v>
      </c>
      <c r="AM86" t="str">
        <f>IF(L86&lt;&gt;"","&lt;vk kbd="""&amp;L$1&amp;""" vk="""&amp;L86&amp;""""&amp;IF(Scan2VKFlags!I86&lt;&gt;""," flags="""&amp;Scan2VKFlags!I86&amp;"""","")&amp;"/&gt;","")</f>
        <v>&lt;vk kbd="8" vk="SNAPSHOT"/&gt;</v>
      </c>
      <c r="AN86" t="str">
        <f>IF(M86&lt;&gt;"","&lt;vk kbd="""&amp;M$1&amp;""" vk="""&amp;M86&amp;""""&amp;IF(Scan2VKFlags!J86&lt;&gt;""," flags="""&amp;Scan2VKFlags!J86&amp;"""","")&amp;"/&gt;","")</f>
        <v>&lt;vk kbd="16" vk="SNAPSHOT"/&gt;</v>
      </c>
      <c r="AO86" t="str">
        <f>IF(N86&lt;&gt;"","&lt;vk kbd="""&amp;N$1&amp;""" vk="""&amp;N86&amp;""""&amp;IF(Scan2VKFlags!K86&lt;&gt;""," flags="""&amp;Scan2VKFlags!K86&amp;"""","")&amp;"/&gt;","")</f>
        <v>&lt;vk kbd="10" vk="SNAPSHOT"/&gt;</v>
      </c>
      <c r="AP86" t="str">
        <f>IF(O86&lt;&gt;"","&lt;vk kbd="""&amp;O$1&amp;""" vk="""&amp;O86&amp;""""&amp;IF(Scan2VKFlags!L86&lt;&gt;""," flags="""&amp;Scan2VKFlags!L86&amp;"""","")&amp;"/&gt;","")</f>
        <v>&lt;vk kbd="11" vk="SNAPSHOT"/&gt;</v>
      </c>
      <c r="AQ86" t="str">
        <f>IF(P86&lt;&gt;"","&lt;vk kbd="""&amp;P$1&amp;""" vk="""&amp;P86&amp;""""&amp;IF(Scan2VKFlags!M86&lt;&gt;""," flags="""&amp;Scan2VKFlags!M86&amp;"""","")&amp;"/&gt;","")</f>
        <v>&lt;vk kbd="12" vk="SNAPSHOT"/&gt;</v>
      </c>
      <c r="AR86" s="16" t="str">
        <f>IF(Q86&lt;&gt;"","&lt;vk kbd="""&amp;Q$1&amp;""" vk="""&amp;Q86&amp;""""&amp;IF(Scan2VKFlags!N86&lt;&gt;""," flags="""&amp;Scan2VKFlags!N86&amp;"""","")&amp;"/&gt;","")</f>
        <v>&lt;vk kbd="13" vk="SNAPSHOT"/&gt;</v>
      </c>
      <c r="AS86" s="3" t="str">
        <f>IF(S86&lt;&gt;"","&lt;vk kbd="""&amp;S$1&amp;""" vk="""&amp;S86&amp;""""&amp;IF(Scan2VKFlags!O86&lt;&gt;""," flags="""&amp;Scan2VKFlags!O86&amp;"""","")&amp;"/&gt;","")</f>
        <v>&lt;vk kbd="20" vk="_none_"/&gt;</v>
      </c>
      <c r="AT86" t="str">
        <f>IF(T86&lt;&gt;"","&lt;vk kbd="""&amp;T$1&amp;""" vk="""&amp;T86&amp;""""&amp;IF(Scan2VKFlags!P86&lt;&gt;""," flags="""&amp;Scan2VKFlags!P86&amp;"""","")&amp;"/&gt;","")</f>
        <v>&lt;vk kbd="21" vk="_none_"/&gt;</v>
      </c>
      <c r="AU86" s="16" t="str">
        <f>IF(U86&lt;&gt;"","&lt;vk kbd="""&amp;U$1&amp;""" vk="""&amp;U86&amp;""""&amp;IF(Scan2VKFlags!Q86&lt;&gt;""," flags="""&amp;Scan2VKFlags!Q86&amp;"""","")&amp;"/&gt;","")</f>
        <v>&lt;vk kbd="22" vk="SNAPSHOT"/&gt;</v>
      </c>
      <c r="AV86" s="3" t="str">
        <f>IF(W86&lt;&gt;"","&lt;vk kbd="""&amp;W$1&amp;""" vk="""&amp;W86&amp;""""&amp;IF(Scan2VKFlags!R86&lt;&gt;""," flags="""&amp;Scan2VKFlags!R86&amp;"""","")&amp;"/&gt;","")</f>
        <v>&lt;vk kbd="30" vk="SNAPSHOT"/&gt;</v>
      </c>
      <c r="AW86" s="15" t="str">
        <f>IF(X86&lt;&gt;"","&lt;vk kbd="""&amp;X$1&amp;""" vk="""&amp;X86&amp;""""&amp;IF(Scan2VKFlags!S86&lt;&gt;""," flags="""&amp;Scan2VKFlags!S86&amp;"""","")&amp;"/&gt;","")</f>
        <v>&lt;vk kbd="33" vk="SNAPSHOT"/&gt;</v>
      </c>
      <c r="AX86" s="15" t="str">
        <f>IF(Y86&lt;&gt;"","&lt;vk kbd="""&amp;Y$1&amp;""" vk="""&amp;Y86&amp;""""&amp;IF(Scan2VKFlags!T86&lt;&gt;""," flags="""&amp;Scan2VKFlags!T86&amp;"""","")&amp;"/&gt;","")</f>
        <v>&lt;vk kbd="34" vk="SNAPSHOT"/&gt;</v>
      </c>
      <c r="AY86" s="18" t="str">
        <f>IF(AA86&lt;&gt;"","&lt;vk kbd="""&amp;AA$1&amp;""" vk="""&amp;AA86&amp;""""&amp;IF(Scan2VKFlags!U86&lt;&gt;""," flags="""&amp;Scan2VKFlags!U86&amp;"""","")&amp;"/&gt;","")</f>
        <v>&lt;vk kbd="37" vk="F13"/&gt;</v>
      </c>
      <c r="AZ86" s="3" t="str">
        <f>IF(AC86&lt;&gt;"","&lt;vk kbd="""&amp;AC$1&amp;""" vk="""&amp;AC86&amp;""""&amp;IF(Scan2VKFlags!V86&lt;&gt;""," flags="""&amp;Scan2VKFlags!V86&amp;"""","")&amp;"/&gt;","")</f>
        <v>&lt;vk kbd="40" vk="SNAPSHOT"/&gt;</v>
      </c>
      <c r="BA86" s="16" t="str">
        <f>IF(AD86&lt;&gt;"","&lt;vk kbd="""&amp;AD$1&amp;""" vk="""&amp;AD86&amp;""""&amp;IF(Scan2VKFlags!W86&lt;&gt;""," flags="""&amp;Scan2VKFlags!W86&amp;"""","")&amp;"/&gt;","")</f>
        <v>&lt;vk kbd="41" vk="SNAPSHOT"/&gt;</v>
      </c>
      <c r="BB86" t="s">
        <v>854</v>
      </c>
    </row>
    <row r="87" spans="1:54" x14ac:dyDescent="0.25">
      <c r="A87">
        <f t="shared" si="11"/>
        <v>85</v>
      </c>
      <c r="B87" t="str">
        <f t="shared" si="8"/>
        <v>T55</v>
      </c>
      <c r="C87" s="7" t="s">
        <v>0</v>
      </c>
      <c r="D87" s="12" t="str">
        <f>trimtext(SplitText($C87,",",0))</f>
        <v>_none_</v>
      </c>
      <c r="E87" s="12" t="str">
        <f>IF(SplitText($C87,",",COLUMN(E:E)-COLUMN($D:$D))="",$D87,trimtext(SplitText($C87,",",COLUMN(E:E)-COLUMN($D:$D))))</f>
        <v>_none_</v>
      </c>
      <c r="F87" s="12" t="str">
        <f>IF(SplitText($C87,",",COLUMN(F:F)-COLUMN($D:$D))="",$D87,trimtext(SplitText($C87,",",COLUMN(F:F)-COLUMN($D:$D))))</f>
        <v>_none_</v>
      </c>
      <c r="G87" s="12" t="str">
        <f>IF(SplitText($C87,",",COLUMN(G:G)-COLUMN($D:$D))="",$D87,trimtext(SplitText($C87,",",COLUMN(G:G)-COLUMN($D:$D))))</f>
        <v>_none_</v>
      </c>
      <c r="H87" s="12" t="str">
        <f>IF(SplitText($C87,",",COLUMN(H:H)-COLUMN($D:$D))="",$D87,trimtext(SplitText($C87,",",COLUMN(H:H)-COLUMN($D:$D))))</f>
        <v>_none_</v>
      </c>
      <c r="I87" s="12" t="str">
        <f>IF(SplitText($C87,",",COLUMN(I:I)-COLUMN($D:$D))="",$D87,trimtext(SplitText($C87,",",COLUMN(I:I)-COLUMN($D:$D))))</f>
        <v>_none_</v>
      </c>
      <c r="J87" s="9" t="s">
        <v>185</v>
      </c>
      <c r="K87" s="12" t="str">
        <f>trimtext(SplitText($J87,",",0))</f>
        <v>_none_</v>
      </c>
      <c r="L87" s="12" t="str">
        <f>IF(SplitText($J87,",",COLUMN(L:L)-COLUMN($K:$K))="",$K87,trimtext(SplitText($J87,",",COLUMN(L:L)-COLUMN($K:$K))))</f>
        <v>_none_</v>
      </c>
      <c r="M87" s="12" t="str">
        <f>IF(SplitText($J87,",",COLUMN(M:M)-COLUMN($K:$K))="",$K87,trimtext(SplitText($J87,",",COLUMN(M:M)-COLUMN($K:$K))))</f>
        <v>_none_</v>
      </c>
      <c r="N87" s="12" t="str">
        <f>IF(SplitText($J87,",",COLUMN(N:N)-COLUMN($K:$K))="",$K87,trimtext(SplitText($J87,",",COLUMN(N:N)-COLUMN($K:$K))))</f>
        <v>_none_</v>
      </c>
      <c r="O87" s="12" t="str">
        <f>IF(SplitText($J87,",",COLUMN(O:O)-COLUMN($K:$K))="",$K87,trimtext(SplitText($J87,",",COLUMN(O:O)-COLUMN($K:$K))))</f>
        <v>_none_</v>
      </c>
      <c r="P87" s="12" t="str">
        <f>IF(SplitText($J87,",",COLUMN(P:P)-COLUMN($K:$K))="",$K87,trimtext(SplitText($J87,",",COLUMN(P:P)-COLUMN($K:$K))))</f>
        <v>_none_</v>
      </c>
      <c r="Q87" s="12" t="str">
        <f>IF(SplitText($J87,",",COLUMN(Q:Q)-COLUMN($K:$K))="",$K87,trimtext(SplitText($J87,",",COLUMN(Q:Q)-COLUMN($K:$K))))</f>
        <v>_none_</v>
      </c>
      <c r="R87" s="2" t="s">
        <v>427</v>
      </c>
      <c r="S87" s="12" t="str">
        <f>trimtext(SplitText($R87,",",0))</f>
        <v>CAPITAL</v>
      </c>
      <c r="T87" s="12" t="str">
        <f>IF(SplitText($R87,",",COLUMN(T:T)-COLUMN($S:$S))="",$S87,trimtext(SplitText($R87,",",COLUMN(T:T)-COLUMN($S:$S))))</f>
        <v>_none_</v>
      </c>
      <c r="U87" s="12" t="str">
        <f>IF(SplitText($R87,",",COLUMN(U:U)-COLUMN($S:$S))="",$S87,trimtext(SplitText($R87,",",COLUMN(U:U)-COLUMN($S:$S))))</f>
        <v>_none_</v>
      </c>
      <c r="V87" s="2" t="s">
        <v>591</v>
      </c>
      <c r="W87" s="12" t="str">
        <f>trimtext(SplitText($V87,",",0))</f>
        <v>_none_</v>
      </c>
      <c r="X87" s="12" t="str">
        <f>IF(SplitText($V87,",",COLUMN(X:X)-COLUMN($W:$W))="",$W87,trimtext(SplitText($V87,",",COLUMN(X:X)-COLUMN($W:$W))))</f>
        <v>_none_</v>
      </c>
      <c r="Y87" s="12" t="str">
        <f>IF(SplitText($V87,",",COLUMN(Y:Y)-COLUMN($W:$W))="",$W87,trimtext(SplitText($V87,",",COLUMN(Y:Y)-COLUMN($W:$W))))</f>
        <v>OEM_8</v>
      </c>
      <c r="Z87" s="2" t="s">
        <v>716</v>
      </c>
      <c r="AA87" s="12" t="str">
        <f t="shared" si="9"/>
        <v>F14</v>
      </c>
      <c r="AB87" s="2" t="s">
        <v>743</v>
      </c>
      <c r="AC87" s="12" t="str">
        <f>trimtext(SplitText($AB87,",",0))</f>
        <v>_none_</v>
      </c>
      <c r="AD87" s="12" t="str">
        <f>IF(SplitText($AB87,",",COLUMN(AD:AD)-COLUMN($AC:$AC))="",$AC87,trimtext(SplitText($AB87,",",COLUMN(AD:AD)-COLUMN($AC:$AC))))</f>
        <v>_none_</v>
      </c>
      <c r="AE87" s="18" t="str">
        <f t="shared" si="10"/>
        <v>&lt;xs:enumeration value="T55"&gt;&lt;xs:annotation&gt;&lt;xs:documentation&gt;Typically _none_ for keyboard type 4, different values for different keyboard types&lt;/xs:documentation&gt;&lt;xs:appinfo&gt;&lt;default-vk&gt;</v>
      </c>
      <c r="AF87" s="15" t="str">
        <f>IF(D87&lt;&gt;"","&lt;vk kbd="""&amp;D$1&amp;""" vk="""&amp;D87&amp;""""&amp;IF(Scan2VKFlags!B87&lt;&gt;""," flags="""&amp;Scan2VKFlags!B87&amp;"""","")&amp;"/&gt;","")</f>
        <v>&lt;vk kbd="1" vk="_none_"/&gt;</v>
      </c>
      <c r="AG87" s="15" t="str">
        <f>IF(E87&lt;&gt;"","&lt;vk kbd="""&amp;E$1&amp;""" vk="""&amp;E87&amp;""""&amp;IF(Scan2VKFlags!C87&lt;&gt;""," flags="""&amp;Scan2VKFlags!C87&amp;"""","")&amp;"/&gt;","")</f>
        <v>&lt;vk kbd="2" vk="_none_"/&gt;</v>
      </c>
      <c r="AH87" s="15" t="str">
        <f>IF(F87&lt;&gt;"","&lt;vk kbd="""&amp;F$1&amp;""" vk="""&amp;F87&amp;""""&amp;IF(Scan2VKFlags!D87&lt;&gt;""," flags="""&amp;Scan2VKFlags!D87&amp;"""","")&amp;"/&gt;","")</f>
        <v>&lt;vk kbd="3" vk="_none_"/&gt;</v>
      </c>
      <c r="AI87" s="15" t="str">
        <f>IF(G87&lt;&gt;"","&lt;vk kbd="""&amp;G$1&amp;""" vk="""&amp;G87&amp;""""&amp;IF(Scan2VKFlags!E87&lt;&gt;""," flags="""&amp;Scan2VKFlags!E87&amp;"""","")&amp;"/&gt;","")</f>
        <v>&lt;vk kbd="4" vk="_none_"/&gt;</v>
      </c>
      <c r="AJ87" s="15" t="str">
        <f>IF(H87&lt;&gt;"","&lt;vk kbd="""&amp;H$1&amp;""" vk="""&amp;H87&amp;""""&amp;IF(Scan2VKFlags!F87&lt;&gt;""," flags="""&amp;Scan2VKFlags!F87&amp;"""","")&amp;"/&gt;","")</f>
        <v>&lt;vk kbd="5" vk="_none_"/&gt;</v>
      </c>
      <c r="AK87" s="16" t="str">
        <f>IF(I87&lt;&gt;"","&lt;vk kbd="""&amp;I$1&amp;""" vk="""&amp;I87&amp;""""&amp;IF(Scan2VKFlags!G87&lt;&gt;""," flags="""&amp;Scan2VKFlags!G87&amp;"""","")&amp;"/&gt;","")</f>
        <v>&lt;vk kbd="6" vk="_none_"/&gt;</v>
      </c>
      <c r="AL87" s="3" t="str">
        <f>IF(K87&lt;&gt;"","&lt;vk kbd="""&amp;K$1&amp;""" vk="""&amp;K87&amp;""""&amp;IF(Scan2VKFlags!H87&lt;&gt;""," flags="""&amp;Scan2VKFlags!H87&amp;"""","")&amp;"/&gt;","")</f>
        <v>&lt;vk kbd="7" vk="_none_"/&gt;</v>
      </c>
      <c r="AM87" t="str">
        <f>IF(L87&lt;&gt;"","&lt;vk kbd="""&amp;L$1&amp;""" vk="""&amp;L87&amp;""""&amp;IF(Scan2VKFlags!I87&lt;&gt;""," flags="""&amp;Scan2VKFlags!I87&amp;"""","")&amp;"/&gt;","")</f>
        <v>&lt;vk kbd="8" vk="_none_"/&gt;</v>
      </c>
      <c r="AN87" t="str">
        <f>IF(M87&lt;&gt;"","&lt;vk kbd="""&amp;M$1&amp;""" vk="""&amp;M87&amp;""""&amp;IF(Scan2VKFlags!J87&lt;&gt;""," flags="""&amp;Scan2VKFlags!J87&amp;"""","")&amp;"/&gt;","")</f>
        <v>&lt;vk kbd="16" vk="_none_"/&gt;</v>
      </c>
      <c r="AO87" t="str">
        <f>IF(N87&lt;&gt;"","&lt;vk kbd="""&amp;N$1&amp;""" vk="""&amp;N87&amp;""""&amp;IF(Scan2VKFlags!K87&lt;&gt;""," flags="""&amp;Scan2VKFlags!K87&amp;"""","")&amp;"/&gt;","")</f>
        <v>&lt;vk kbd="10" vk="_none_"/&gt;</v>
      </c>
      <c r="AP87" t="str">
        <f>IF(O87&lt;&gt;"","&lt;vk kbd="""&amp;O$1&amp;""" vk="""&amp;O87&amp;""""&amp;IF(Scan2VKFlags!L87&lt;&gt;""," flags="""&amp;Scan2VKFlags!L87&amp;"""","")&amp;"/&gt;","")</f>
        <v>&lt;vk kbd="11" vk="_none_"/&gt;</v>
      </c>
      <c r="AQ87" t="str">
        <f>IF(P87&lt;&gt;"","&lt;vk kbd="""&amp;P$1&amp;""" vk="""&amp;P87&amp;""""&amp;IF(Scan2VKFlags!M87&lt;&gt;""," flags="""&amp;Scan2VKFlags!M87&amp;"""","")&amp;"/&gt;","")</f>
        <v>&lt;vk kbd="12" vk="_none_"/&gt;</v>
      </c>
      <c r="AR87" s="16" t="str">
        <f>IF(Q87&lt;&gt;"","&lt;vk kbd="""&amp;Q$1&amp;""" vk="""&amp;Q87&amp;""""&amp;IF(Scan2VKFlags!N87&lt;&gt;""," flags="""&amp;Scan2VKFlags!N87&amp;"""","")&amp;"/&gt;","")</f>
        <v>&lt;vk kbd="13" vk="_none_"/&gt;</v>
      </c>
      <c r="AS87" s="3" t="str">
        <f>IF(S87&lt;&gt;"","&lt;vk kbd="""&amp;S$1&amp;""" vk="""&amp;S87&amp;""""&amp;IF(Scan2VKFlags!O87&lt;&gt;""," flags="""&amp;Scan2VKFlags!O87&amp;"""","")&amp;"/&gt;","")</f>
        <v>&lt;vk kbd="20" vk="CAPITAL"/&gt;</v>
      </c>
      <c r="AT87" t="str">
        <f>IF(T87&lt;&gt;"","&lt;vk kbd="""&amp;T$1&amp;""" vk="""&amp;T87&amp;""""&amp;IF(Scan2VKFlags!P87&lt;&gt;""," flags="""&amp;Scan2VKFlags!P87&amp;"""","")&amp;"/&gt;","")</f>
        <v>&lt;vk kbd="21" vk="_none_"/&gt;</v>
      </c>
      <c r="AU87" s="16" t="str">
        <f>IF(U87&lt;&gt;"","&lt;vk kbd="""&amp;U$1&amp;""" vk="""&amp;U87&amp;""""&amp;IF(Scan2VKFlags!Q87&lt;&gt;""," flags="""&amp;Scan2VKFlags!Q87&amp;"""","")&amp;"/&gt;","")</f>
        <v>&lt;vk kbd="22" vk="_none_"/&gt;</v>
      </c>
      <c r="AV87" s="3" t="str">
        <f>IF(W87&lt;&gt;"","&lt;vk kbd="""&amp;W$1&amp;""" vk="""&amp;W87&amp;""""&amp;IF(Scan2VKFlags!R87&lt;&gt;""," flags="""&amp;Scan2VKFlags!R87&amp;"""","")&amp;"/&gt;","")</f>
        <v>&lt;vk kbd="30" vk="_none_"/&gt;</v>
      </c>
      <c r="AW87" s="15" t="str">
        <f>IF(X87&lt;&gt;"","&lt;vk kbd="""&amp;X$1&amp;""" vk="""&amp;X87&amp;""""&amp;IF(Scan2VKFlags!S87&lt;&gt;""," flags="""&amp;Scan2VKFlags!S87&amp;"""","")&amp;"/&gt;","")</f>
        <v>&lt;vk kbd="33" vk="_none_"/&gt;</v>
      </c>
      <c r="AX87" s="15" t="str">
        <f>IF(Y87&lt;&gt;"","&lt;vk kbd="""&amp;Y$1&amp;""" vk="""&amp;Y87&amp;""""&amp;IF(Scan2VKFlags!T87&lt;&gt;""," flags="""&amp;Scan2VKFlags!T87&amp;"""","")&amp;"/&gt;","")</f>
        <v>&lt;vk kbd="34" vk="OEM_8"/&gt;</v>
      </c>
      <c r="AY87" s="18" t="str">
        <f>IF(AA87&lt;&gt;"","&lt;vk kbd="""&amp;AA$1&amp;""" vk="""&amp;AA87&amp;""""&amp;IF(Scan2VKFlags!U87&lt;&gt;""," flags="""&amp;Scan2VKFlags!U87&amp;"""","")&amp;"/&gt;","")</f>
        <v>&lt;vk kbd="37" vk="F14"/&gt;</v>
      </c>
      <c r="AZ87" s="3" t="str">
        <f>IF(AC87&lt;&gt;"","&lt;vk kbd="""&amp;AC$1&amp;""" vk="""&amp;AC87&amp;""""&amp;IF(Scan2VKFlags!V87&lt;&gt;""," flags="""&amp;Scan2VKFlags!V87&amp;"""","")&amp;"/&gt;","")</f>
        <v>&lt;vk kbd="40" vk="_none_"/&gt;</v>
      </c>
      <c r="BA87" s="16" t="str">
        <f>IF(AD87&lt;&gt;"","&lt;vk kbd="""&amp;AD$1&amp;""" vk="""&amp;AD87&amp;""""&amp;IF(Scan2VKFlags!W87&lt;&gt;""," flags="""&amp;Scan2VKFlags!W87&amp;"""","")&amp;"/&gt;","")</f>
        <v>&lt;vk kbd="41" vk="_none_"/&gt;</v>
      </c>
      <c r="BB87" t="s">
        <v>854</v>
      </c>
    </row>
    <row r="88" spans="1:54" x14ac:dyDescent="0.25">
      <c r="A88">
        <f t="shared" si="11"/>
        <v>86</v>
      </c>
      <c r="B88" t="str">
        <f t="shared" si="8"/>
        <v>T56</v>
      </c>
      <c r="C88" s="7" t="s">
        <v>85</v>
      </c>
      <c r="D88" s="12" t="str">
        <f>trimtext(SplitText($C88,",",0))</f>
        <v>OEM_102</v>
      </c>
      <c r="E88" s="12" t="str">
        <f>IF(SplitText($C88,",",COLUMN(E:E)-COLUMN($D:$D))="",$D88,trimtext(SplitText($C88,",",COLUMN(E:E)-COLUMN($D:$D))))</f>
        <v>HELP</v>
      </c>
      <c r="F88" s="12" t="str">
        <f>IF(SplitText($C88,",",COLUMN(F:F)-COLUMN($D:$D))="",$D88,trimtext(SplitText($C88,",",COLUMN(F:F)-COLUMN($D:$D))))</f>
        <v>OEM_102</v>
      </c>
      <c r="G88" s="12" t="str">
        <f>IF(SplitText($C88,",",COLUMN(G:G)-COLUMN($D:$D))="",$D88,trimtext(SplitText($C88,",",COLUMN(G:G)-COLUMN($D:$D))))</f>
        <v>OEM_102</v>
      </c>
      <c r="H88" s="12" t="str">
        <f>IF(SplitText($C88,",",COLUMN(H:H)-COLUMN($D:$D))="",$D88,trimtext(SplitText($C88,",",COLUMN(H:H)-COLUMN($D:$D))))</f>
        <v>_none_</v>
      </c>
      <c r="I88" s="12" t="str">
        <f>IF(SplitText($C88,",",COLUMN(I:I)-COLUMN($D:$D))="",$D88,trimtext(SplitText($C88,",",COLUMN(I:I)-COLUMN($D:$D))))</f>
        <v>OEM_PA2</v>
      </c>
      <c r="J88" s="9" t="s">
        <v>270</v>
      </c>
      <c r="K88" s="12" t="str">
        <f>trimtext(SplitText($J88,",",0))</f>
        <v>_none_</v>
      </c>
      <c r="L88" s="12" t="str">
        <f>IF(SplitText($J88,",",COLUMN(L:L)-COLUMN($K:$K))="",$K88,trimtext(SplitText($J88,",",COLUMN(L:L)-COLUMN($K:$K))))</f>
        <v>_none_</v>
      </c>
      <c r="M88" s="12" t="str">
        <f>IF(SplitText($J88,",",COLUMN(M:M)-COLUMN($K:$K))="",$K88,trimtext(SplitText($J88,",",COLUMN(M:M)-COLUMN($K:$K))))</f>
        <v>OEM_102</v>
      </c>
      <c r="N88" s="12" t="str">
        <f>IF(SplitText($J88,",",COLUMN(N:N)-COLUMN($K:$K))="",$K88,trimtext(SplitText($J88,",",COLUMN(N:N)-COLUMN($K:$K))))</f>
        <v>OEM_102</v>
      </c>
      <c r="O88" s="12" t="str">
        <f>IF(SplitText($J88,",",COLUMN(O:O)-COLUMN($K:$K))="",$K88,trimtext(SplitText($J88,",",COLUMN(O:O)-COLUMN($K:$K))))</f>
        <v>OEM_102</v>
      </c>
      <c r="P88" s="12" t="str">
        <f>IF(SplitText($J88,",",COLUMN(P:P)-COLUMN($K:$K))="",$K88,trimtext(SplitText($J88,",",COLUMN(P:P)-COLUMN($K:$K))))</f>
        <v>OEM_102</v>
      </c>
      <c r="Q88" s="12" t="str">
        <f>IF(SplitText($J88,",",COLUMN(Q:Q)-COLUMN($K:$K))="",$K88,trimtext(SplitText($J88,",",COLUMN(Q:Q)-COLUMN($K:$K))))</f>
        <v>OEM_102</v>
      </c>
      <c r="R88" s="2" t="s">
        <v>428</v>
      </c>
      <c r="S88" s="12" t="str">
        <f>trimtext(SplitText($R88,",",0))</f>
        <v>DBE_HIRAGANA</v>
      </c>
      <c r="T88" s="12" t="str">
        <f>IF(SplitText($R88,",",COLUMN(T:T)-COLUMN($S:$S))="",$S88,trimtext(SplitText($R88,",",COLUMN(T:T)-COLUMN($S:$S))))</f>
        <v>_none_</v>
      </c>
      <c r="U88" s="12" t="str">
        <f>IF(SplitText($R88,",",COLUMN(U:U)-COLUMN($S:$S))="",$S88,trimtext(SplitText($R88,",",COLUMN(U:U)-COLUMN($S:$S))))</f>
        <v>_none_</v>
      </c>
      <c r="V88" s="2" t="s">
        <v>507</v>
      </c>
      <c r="W88" s="12" t="str">
        <f>trimtext(SplitText($V88,",",0))</f>
        <v>_none_</v>
      </c>
      <c r="X88" s="12" t="str">
        <f>IF(SplitText($V88,",",COLUMN(X:X)-COLUMN($W:$W))="",$W88,trimtext(SplitText($V88,",",COLUMN(X:X)-COLUMN($W:$W))))</f>
        <v>_none_</v>
      </c>
      <c r="Y88" s="12" t="str">
        <f>IF(SplitText($V88,",",COLUMN(Y:Y)-COLUMN($W:$W))="",$W88,trimtext(SplitText($V88,",",COLUMN(Y:Y)-COLUMN($W:$W))))</f>
        <v>_none_</v>
      </c>
      <c r="Z88" s="2" t="s">
        <v>717</v>
      </c>
      <c r="AA88" s="12" t="str">
        <f t="shared" si="9"/>
        <v>F15</v>
      </c>
      <c r="AB88" s="2" t="s">
        <v>743</v>
      </c>
      <c r="AC88" s="12" t="str">
        <f>trimtext(SplitText($AB88,",",0))</f>
        <v>_none_</v>
      </c>
      <c r="AD88" s="12" t="str">
        <f>IF(SplitText($AB88,",",COLUMN(AD:AD)-COLUMN($AC:$AC))="",$AC88,trimtext(SplitText($AB88,",",COLUMN(AD:AD)-COLUMN($AC:$AC))))</f>
        <v>_none_</v>
      </c>
      <c r="AE88" s="18" t="str">
        <f t="shared" si="10"/>
        <v>&lt;xs:enumeration value="T56"&gt;&lt;xs:annotation&gt;&lt;xs:documentation&gt;Typically OEM_102 for keyboard type 4, different values for different keyboard types&lt;/xs:documentation&gt;&lt;xs:appinfo&gt;&lt;default-vk&gt;</v>
      </c>
      <c r="AF88" s="15" t="str">
        <f>IF(D88&lt;&gt;"","&lt;vk kbd="""&amp;D$1&amp;""" vk="""&amp;D88&amp;""""&amp;IF(Scan2VKFlags!B88&lt;&gt;""," flags="""&amp;Scan2VKFlags!B88&amp;"""","")&amp;"/&gt;","")</f>
        <v>&lt;vk kbd="1" vk="OEM_102"/&gt;</v>
      </c>
      <c r="AG88" s="15" t="str">
        <f>IF(E88&lt;&gt;"","&lt;vk kbd="""&amp;E$1&amp;""" vk="""&amp;E88&amp;""""&amp;IF(Scan2VKFlags!C88&lt;&gt;""," flags="""&amp;Scan2VKFlags!C88&amp;"""","")&amp;"/&gt;","")</f>
        <v>&lt;vk kbd="2" vk="HELP"/&gt;</v>
      </c>
      <c r="AH88" s="15" t="str">
        <f>IF(F88&lt;&gt;"","&lt;vk kbd="""&amp;F$1&amp;""" vk="""&amp;F88&amp;""""&amp;IF(Scan2VKFlags!D88&lt;&gt;""," flags="""&amp;Scan2VKFlags!D88&amp;"""","")&amp;"/&gt;","")</f>
        <v>&lt;vk kbd="3" vk="OEM_102"/&gt;</v>
      </c>
      <c r="AI88" s="15" t="str">
        <f>IF(G88&lt;&gt;"","&lt;vk kbd="""&amp;G$1&amp;""" vk="""&amp;G88&amp;""""&amp;IF(Scan2VKFlags!E88&lt;&gt;""," flags="""&amp;Scan2VKFlags!E88&amp;"""","")&amp;"/&gt;","")</f>
        <v>&lt;vk kbd="4" vk="OEM_102"/&gt;</v>
      </c>
      <c r="AJ88" s="15" t="str">
        <f>IF(H88&lt;&gt;"","&lt;vk kbd="""&amp;H$1&amp;""" vk="""&amp;H88&amp;""""&amp;IF(Scan2VKFlags!F88&lt;&gt;""," flags="""&amp;Scan2VKFlags!F88&amp;"""","")&amp;"/&gt;","")</f>
        <v>&lt;vk kbd="5" vk="_none_"/&gt;</v>
      </c>
      <c r="AK88" s="16" t="str">
        <f>IF(I88&lt;&gt;"","&lt;vk kbd="""&amp;I$1&amp;""" vk="""&amp;I88&amp;""""&amp;IF(Scan2VKFlags!G88&lt;&gt;""," flags="""&amp;Scan2VKFlags!G88&amp;"""","")&amp;"/&gt;","")</f>
        <v>&lt;vk kbd="6" vk="OEM_PA2"/&gt;</v>
      </c>
      <c r="AL88" s="3" t="str">
        <f>IF(K88&lt;&gt;"","&lt;vk kbd="""&amp;K$1&amp;""" vk="""&amp;K88&amp;""""&amp;IF(Scan2VKFlags!H88&lt;&gt;""," flags="""&amp;Scan2VKFlags!H88&amp;"""","")&amp;"/&gt;","")</f>
        <v>&lt;vk kbd="7" vk="_none_"/&gt;</v>
      </c>
      <c r="AM88" t="str">
        <f>IF(L88&lt;&gt;"","&lt;vk kbd="""&amp;L$1&amp;""" vk="""&amp;L88&amp;""""&amp;IF(Scan2VKFlags!I88&lt;&gt;""," flags="""&amp;Scan2VKFlags!I88&amp;"""","")&amp;"/&gt;","")</f>
        <v>&lt;vk kbd="8" vk="_none_"/&gt;</v>
      </c>
      <c r="AN88" t="str">
        <f>IF(M88&lt;&gt;"","&lt;vk kbd="""&amp;M$1&amp;""" vk="""&amp;M88&amp;""""&amp;IF(Scan2VKFlags!J88&lt;&gt;""," flags="""&amp;Scan2VKFlags!J88&amp;"""","")&amp;"/&gt;","")</f>
        <v>&lt;vk kbd="16" vk="OEM_102"/&gt;</v>
      </c>
      <c r="AO88" t="str">
        <f>IF(N88&lt;&gt;"","&lt;vk kbd="""&amp;N$1&amp;""" vk="""&amp;N88&amp;""""&amp;IF(Scan2VKFlags!K88&lt;&gt;""," flags="""&amp;Scan2VKFlags!K88&amp;"""","")&amp;"/&gt;","")</f>
        <v>&lt;vk kbd="10" vk="OEM_102"/&gt;</v>
      </c>
      <c r="AP88" t="str">
        <f>IF(O88&lt;&gt;"","&lt;vk kbd="""&amp;O$1&amp;""" vk="""&amp;O88&amp;""""&amp;IF(Scan2VKFlags!L88&lt;&gt;""," flags="""&amp;Scan2VKFlags!L88&amp;"""","")&amp;"/&gt;","")</f>
        <v>&lt;vk kbd="11" vk="OEM_102"/&gt;</v>
      </c>
      <c r="AQ88" t="str">
        <f>IF(P88&lt;&gt;"","&lt;vk kbd="""&amp;P$1&amp;""" vk="""&amp;P88&amp;""""&amp;IF(Scan2VKFlags!M88&lt;&gt;""," flags="""&amp;Scan2VKFlags!M88&amp;"""","")&amp;"/&gt;","")</f>
        <v>&lt;vk kbd="12" vk="OEM_102"/&gt;</v>
      </c>
      <c r="AR88" s="16" t="str">
        <f>IF(Q88&lt;&gt;"","&lt;vk kbd="""&amp;Q$1&amp;""" vk="""&amp;Q88&amp;""""&amp;IF(Scan2VKFlags!N88&lt;&gt;""," flags="""&amp;Scan2VKFlags!N88&amp;"""","")&amp;"/&gt;","")</f>
        <v>&lt;vk kbd="13" vk="OEM_102"/&gt;</v>
      </c>
      <c r="AS88" s="3" t="str">
        <f>IF(S88&lt;&gt;"","&lt;vk kbd="""&amp;S$1&amp;""" vk="""&amp;S88&amp;""""&amp;IF(Scan2VKFlags!O88&lt;&gt;""," flags="""&amp;Scan2VKFlags!O88&amp;"""","")&amp;"/&gt;","")</f>
        <v>&lt;vk kbd="20" vk="DBE_HIRAGANA"/&gt;</v>
      </c>
      <c r="AT88" t="str">
        <f>IF(T88&lt;&gt;"","&lt;vk kbd="""&amp;T$1&amp;""" vk="""&amp;T88&amp;""""&amp;IF(Scan2VKFlags!P88&lt;&gt;""," flags="""&amp;Scan2VKFlags!P88&amp;"""","")&amp;"/&gt;","")</f>
        <v>&lt;vk kbd="21" vk="_none_"/&gt;</v>
      </c>
      <c r="AU88" s="16" t="str">
        <f>IF(U88&lt;&gt;"","&lt;vk kbd="""&amp;U$1&amp;""" vk="""&amp;U88&amp;""""&amp;IF(Scan2VKFlags!Q88&lt;&gt;""," flags="""&amp;Scan2VKFlags!Q88&amp;"""","")&amp;"/&gt;","")</f>
        <v>&lt;vk kbd="22" vk="_none_"/&gt;</v>
      </c>
      <c r="AV88" s="3" t="str">
        <f>IF(W88&lt;&gt;"","&lt;vk kbd="""&amp;W$1&amp;""" vk="""&amp;W88&amp;""""&amp;IF(Scan2VKFlags!R88&lt;&gt;""," flags="""&amp;Scan2VKFlags!R88&amp;"""","")&amp;"/&gt;","")</f>
        <v>&lt;vk kbd="30" vk="_none_"/&gt;</v>
      </c>
      <c r="AW88" s="15" t="str">
        <f>IF(X88&lt;&gt;"","&lt;vk kbd="""&amp;X$1&amp;""" vk="""&amp;X88&amp;""""&amp;IF(Scan2VKFlags!S88&lt;&gt;""," flags="""&amp;Scan2VKFlags!S88&amp;"""","")&amp;"/&gt;","")</f>
        <v>&lt;vk kbd="33" vk="_none_"/&gt;</v>
      </c>
      <c r="AX88" s="15" t="str">
        <f>IF(Y88&lt;&gt;"","&lt;vk kbd="""&amp;Y$1&amp;""" vk="""&amp;Y88&amp;""""&amp;IF(Scan2VKFlags!T88&lt;&gt;""," flags="""&amp;Scan2VKFlags!T88&amp;"""","")&amp;"/&gt;","")</f>
        <v>&lt;vk kbd="34" vk="_none_"/&gt;</v>
      </c>
      <c r="AY88" s="18" t="str">
        <f>IF(AA88&lt;&gt;"","&lt;vk kbd="""&amp;AA$1&amp;""" vk="""&amp;AA88&amp;""""&amp;IF(Scan2VKFlags!U88&lt;&gt;""," flags="""&amp;Scan2VKFlags!U88&amp;"""","")&amp;"/&gt;","")</f>
        <v>&lt;vk kbd="37" vk="F15"/&gt;</v>
      </c>
      <c r="AZ88" s="3" t="str">
        <f>IF(AC88&lt;&gt;"","&lt;vk kbd="""&amp;AC$1&amp;""" vk="""&amp;AC88&amp;""""&amp;IF(Scan2VKFlags!V88&lt;&gt;""," flags="""&amp;Scan2VKFlags!V88&amp;"""","")&amp;"/&gt;","")</f>
        <v>&lt;vk kbd="40" vk="_none_"/&gt;</v>
      </c>
      <c r="BA88" s="16" t="str">
        <f>IF(AD88&lt;&gt;"","&lt;vk kbd="""&amp;AD$1&amp;""" vk="""&amp;AD88&amp;""""&amp;IF(Scan2VKFlags!W88&lt;&gt;""," flags="""&amp;Scan2VKFlags!W88&amp;"""","")&amp;"/&gt;","")</f>
        <v>&lt;vk kbd="41" vk="_none_"/&gt;</v>
      </c>
      <c r="BB88" t="s">
        <v>854</v>
      </c>
    </row>
    <row r="89" spans="1:54" x14ac:dyDescent="0.25">
      <c r="A89">
        <f t="shared" si="11"/>
        <v>87</v>
      </c>
      <c r="B89" t="str">
        <f t="shared" si="8"/>
        <v>T57</v>
      </c>
      <c r="C89" s="7" t="s">
        <v>86</v>
      </c>
      <c r="D89" s="12" t="str">
        <f>trimtext(SplitText($C89,",",0))</f>
        <v>F11</v>
      </c>
      <c r="E89" s="12" t="str">
        <f>IF(SplitText($C89,",",COLUMN(E:E)-COLUMN($D:$D))="",$D89,trimtext(SplitText($C89,",",COLUMN(E:E)-COLUMN($D:$D))))</f>
        <v>RETURN</v>
      </c>
      <c r="F89" s="12" t="str">
        <f>IF(SplitText($C89,",",COLUMN(F:F)-COLUMN($D:$D))="",$D89,trimtext(SplitText($C89,",",COLUMN(F:F)-COLUMN($D:$D))))</f>
        <v>F11</v>
      </c>
      <c r="G89" s="12" t="str">
        <f>IF(SplitText($C89,",",COLUMN(G:G)-COLUMN($D:$D))="",$D89,trimtext(SplitText($C89,",",COLUMN(G:G)-COLUMN($D:$D))))</f>
        <v>F11</v>
      </c>
      <c r="H89" s="12" t="str">
        <f>IF(SplitText($C89,",",COLUMN(H:H)-COLUMN($D:$D))="",$D89,trimtext(SplitText($C89,",",COLUMN(H:H)-COLUMN($D:$D))))</f>
        <v>_none_</v>
      </c>
      <c r="I89" s="12" t="str">
        <f>IF(SplitText($C89,",",COLUMN(I:I)-COLUMN($D:$D))="",$D89,trimtext(SplitText($C89,",",COLUMN(I:I)-COLUMN($D:$D))))</f>
        <v>HELP</v>
      </c>
      <c r="J89" s="9" t="s">
        <v>271</v>
      </c>
      <c r="K89" s="12" t="str">
        <f>trimtext(SplitText($J89,",",0))</f>
        <v>F11</v>
      </c>
      <c r="L89" s="12" t="str">
        <f>IF(SplitText($J89,",",COLUMN(L:L)-COLUMN($K:$K))="",$K89,trimtext(SplitText($J89,",",COLUMN(L:L)-COLUMN($K:$K))))</f>
        <v>F11</v>
      </c>
      <c r="M89" s="12" t="str">
        <f>IF(SplitText($J89,",",COLUMN(M:M)-COLUMN($K:$K))="",$K89,trimtext(SplitText($J89,",",COLUMN(M:M)-COLUMN($K:$K))))</f>
        <v>F11</v>
      </c>
      <c r="N89" s="12" t="str">
        <f>IF(SplitText($J89,",",COLUMN(N:N)-COLUMN($K:$K))="",$K89,trimtext(SplitText($J89,",",COLUMN(N:N)-COLUMN($K:$K))))</f>
        <v>F11</v>
      </c>
      <c r="O89" s="12" t="str">
        <f>IF(SplitText($J89,",",COLUMN(O:O)-COLUMN($K:$K))="",$K89,trimtext(SplitText($J89,",",COLUMN(O:O)-COLUMN($K:$K))))</f>
        <v>F11</v>
      </c>
      <c r="P89" s="12" t="str">
        <f>IF(SplitText($J89,",",COLUMN(P:P)-COLUMN($K:$K))="",$K89,trimtext(SplitText($J89,",",COLUMN(P:P)-COLUMN($K:$K))))</f>
        <v>F11</v>
      </c>
      <c r="Q89" s="12" t="str">
        <f>IF(SplitText($J89,",",COLUMN(Q:Q)-COLUMN($K:$K))="",$K89,trimtext(SplitText($J89,",",COLUMN(Q:Q)-COLUMN($K:$K))))</f>
        <v>F11</v>
      </c>
      <c r="R89" s="2" t="s">
        <v>429</v>
      </c>
      <c r="S89" s="12" t="str">
        <f>trimtext(SplitText($R89,",",0))</f>
        <v>NONCONVERT</v>
      </c>
      <c r="T89" s="12" t="str">
        <f>IF(SplitText($R89,",",COLUMN(T:T)-COLUMN($S:$S))="",$S89,trimtext(SplitText($R89,",",COLUMN(T:T)-COLUMN($S:$S))))</f>
        <v>NONCONVERT</v>
      </c>
      <c r="U89" s="12" t="str">
        <f>IF(SplitText($R89,",",COLUMN(U:U)-COLUMN($S:$S))="",$S89,trimtext(SplitText($R89,",",COLUMN(U:U)-COLUMN($S:$S))))</f>
        <v>F11</v>
      </c>
      <c r="V89" s="2" t="s">
        <v>592</v>
      </c>
      <c r="W89" s="12" t="str">
        <f>trimtext(SplitText($V89,",",0))</f>
        <v>F11</v>
      </c>
      <c r="X89" s="12" t="str">
        <f>IF(SplitText($V89,",",COLUMN(X:X)-COLUMN($W:$W))="",$W89,trimtext(SplitText($V89,",",COLUMN(X:X)-COLUMN($W:$W))))</f>
        <v>F11</v>
      </c>
      <c r="Y89" s="12" t="str">
        <f>IF(SplitText($V89,",",COLUMN(Y:Y)-COLUMN($W:$W))="",$W89,trimtext(SplitText($V89,",",COLUMN(Y:Y)-COLUMN($W:$W))))</f>
        <v>F11</v>
      </c>
      <c r="Z89" s="2" t="s">
        <v>718</v>
      </c>
      <c r="AA89" s="12" t="str">
        <f t="shared" si="9"/>
        <v>_none_</v>
      </c>
      <c r="AB89" s="2" t="s">
        <v>828</v>
      </c>
      <c r="AC89" s="12" t="str">
        <f>trimtext(SplitText($AB89,",",0))</f>
        <v>F11</v>
      </c>
      <c r="AD89" s="12" t="str">
        <f>IF(SplitText($AB89,",",COLUMN(AD:AD)-COLUMN($AC:$AC))="",$AC89,trimtext(SplitText($AB89,",",COLUMN(AD:AD)-COLUMN($AC:$AC))))</f>
        <v>F11</v>
      </c>
      <c r="AE89" s="18" t="str">
        <f t="shared" si="10"/>
        <v>&lt;xs:enumeration value="T57"&gt;&lt;xs:annotation&gt;&lt;xs:documentation&gt;Typically F11 for keyboard type 4, different values for different keyboard types&lt;/xs:documentation&gt;&lt;xs:appinfo&gt;&lt;default-vk&gt;</v>
      </c>
      <c r="AF89" s="15" t="str">
        <f>IF(D89&lt;&gt;"","&lt;vk kbd="""&amp;D$1&amp;""" vk="""&amp;D89&amp;""""&amp;IF(Scan2VKFlags!B89&lt;&gt;""," flags="""&amp;Scan2VKFlags!B89&amp;"""","")&amp;"/&gt;","")</f>
        <v>&lt;vk kbd="1" vk="F11"/&gt;</v>
      </c>
      <c r="AG89" s="15" t="str">
        <f>IF(E89&lt;&gt;"","&lt;vk kbd="""&amp;E$1&amp;""" vk="""&amp;E89&amp;""""&amp;IF(Scan2VKFlags!C89&lt;&gt;""," flags="""&amp;Scan2VKFlags!C89&amp;"""","")&amp;"/&gt;","")</f>
        <v>&lt;vk kbd="2" vk="RETURN"/&gt;</v>
      </c>
      <c r="AH89" s="15" t="str">
        <f>IF(F89&lt;&gt;"","&lt;vk kbd="""&amp;F$1&amp;""" vk="""&amp;F89&amp;""""&amp;IF(Scan2VKFlags!D89&lt;&gt;""," flags="""&amp;Scan2VKFlags!D89&amp;"""","")&amp;"/&gt;","")</f>
        <v>&lt;vk kbd="3" vk="F11"/&gt;</v>
      </c>
      <c r="AI89" s="15" t="str">
        <f>IF(G89&lt;&gt;"","&lt;vk kbd="""&amp;G$1&amp;""" vk="""&amp;G89&amp;""""&amp;IF(Scan2VKFlags!E89&lt;&gt;""," flags="""&amp;Scan2VKFlags!E89&amp;"""","")&amp;"/&gt;","")</f>
        <v>&lt;vk kbd="4" vk="F11"/&gt;</v>
      </c>
      <c r="AJ89" s="15" t="str">
        <f>IF(H89&lt;&gt;"","&lt;vk kbd="""&amp;H$1&amp;""" vk="""&amp;H89&amp;""""&amp;IF(Scan2VKFlags!F89&lt;&gt;""," flags="""&amp;Scan2VKFlags!F89&amp;"""","")&amp;"/&gt;","")</f>
        <v>&lt;vk kbd="5" vk="_none_"/&gt;</v>
      </c>
      <c r="AK89" s="16" t="str">
        <f>IF(I89&lt;&gt;"","&lt;vk kbd="""&amp;I$1&amp;""" vk="""&amp;I89&amp;""""&amp;IF(Scan2VKFlags!G89&lt;&gt;""," flags="""&amp;Scan2VKFlags!G89&amp;"""","")&amp;"/&gt;","")</f>
        <v>&lt;vk kbd="6" vk="HELP"/&gt;</v>
      </c>
      <c r="AL89" s="3" t="str">
        <f>IF(K89&lt;&gt;"","&lt;vk kbd="""&amp;K$1&amp;""" vk="""&amp;K89&amp;""""&amp;IF(Scan2VKFlags!H89&lt;&gt;""," flags="""&amp;Scan2VKFlags!H89&amp;"""","")&amp;"/&gt;","")</f>
        <v>&lt;vk kbd="7" vk="F11"/&gt;</v>
      </c>
      <c r="AM89" t="str">
        <f>IF(L89&lt;&gt;"","&lt;vk kbd="""&amp;L$1&amp;""" vk="""&amp;L89&amp;""""&amp;IF(Scan2VKFlags!I89&lt;&gt;""," flags="""&amp;Scan2VKFlags!I89&amp;"""","")&amp;"/&gt;","")</f>
        <v>&lt;vk kbd="8" vk="F11"/&gt;</v>
      </c>
      <c r="AN89" t="str">
        <f>IF(M89&lt;&gt;"","&lt;vk kbd="""&amp;M$1&amp;""" vk="""&amp;M89&amp;""""&amp;IF(Scan2VKFlags!J89&lt;&gt;""," flags="""&amp;Scan2VKFlags!J89&amp;"""","")&amp;"/&gt;","")</f>
        <v>&lt;vk kbd="16" vk="F11"/&gt;</v>
      </c>
      <c r="AO89" t="str">
        <f>IF(N89&lt;&gt;"","&lt;vk kbd="""&amp;N$1&amp;""" vk="""&amp;N89&amp;""""&amp;IF(Scan2VKFlags!K89&lt;&gt;""," flags="""&amp;Scan2VKFlags!K89&amp;"""","")&amp;"/&gt;","")</f>
        <v>&lt;vk kbd="10" vk="F11"/&gt;</v>
      </c>
      <c r="AP89" t="str">
        <f>IF(O89&lt;&gt;"","&lt;vk kbd="""&amp;O$1&amp;""" vk="""&amp;O89&amp;""""&amp;IF(Scan2VKFlags!L89&lt;&gt;""," flags="""&amp;Scan2VKFlags!L89&amp;"""","")&amp;"/&gt;","")</f>
        <v>&lt;vk kbd="11" vk="F11"/&gt;</v>
      </c>
      <c r="AQ89" t="str">
        <f>IF(P89&lt;&gt;"","&lt;vk kbd="""&amp;P$1&amp;""" vk="""&amp;P89&amp;""""&amp;IF(Scan2VKFlags!M89&lt;&gt;""," flags="""&amp;Scan2VKFlags!M89&amp;"""","")&amp;"/&gt;","")</f>
        <v>&lt;vk kbd="12" vk="F11"/&gt;</v>
      </c>
      <c r="AR89" s="16" t="str">
        <f>IF(Q89&lt;&gt;"","&lt;vk kbd="""&amp;Q$1&amp;""" vk="""&amp;Q89&amp;""""&amp;IF(Scan2VKFlags!N89&lt;&gt;""," flags="""&amp;Scan2VKFlags!N89&amp;"""","")&amp;"/&gt;","")</f>
        <v>&lt;vk kbd="13" vk="F11"/&gt;</v>
      </c>
      <c r="AS89" s="3" t="str">
        <f>IF(S89&lt;&gt;"","&lt;vk kbd="""&amp;S$1&amp;""" vk="""&amp;S89&amp;""""&amp;IF(Scan2VKFlags!O89&lt;&gt;""," flags="""&amp;Scan2VKFlags!O89&amp;"""","")&amp;"/&gt;","")</f>
        <v>&lt;vk kbd="20" vk="NONCONVERT"/&gt;</v>
      </c>
      <c r="AT89" t="str">
        <f>IF(T89&lt;&gt;"","&lt;vk kbd="""&amp;T$1&amp;""" vk="""&amp;T89&amp;""""&amp;IF(Scan2VKFlags!P89&lt;&gt;""," flags="""&amp;Scan2VKFlags!P89&amp;"""","")&amp;"/&gt;","")</f>
        <v>&lt;vk kbd="21" vk="NONCONVERT"/&gt;</v>
      </c>
      <c r="AU89" s="16" t="str">
        <f>IF(U89&lt;&gt;"","&lt;vk kbd="""&amp;U$1&amp;""" vk="""&amp;U89&amp;""""&amp;IF(Scan2VKFlags!Q89&lt;&gt;""," flags="""&amp;Scan2VKFlags!Q89&amp;"""","")&amp;"/&gt;","")</f>
        <v>&lt;vk kbd="22" vk="F11"/&gt;</v>
      </c>
      <c r="AV89" s="3" t="str">
        <f>IF(W89&lt;&gt;"","&lt;vk kbd="""&amp;W$1&amp;""" vk="""&amp;W89&amp;""""&amp;IF(Scan2VKFlags!R89&lt;&gt;""," flags="""&amp;Scan2VKFlags!R89&amp;"""","")&amp;"/&gt;","")</f>
        <v>&lt;vk kbd="30" vk="F11"/&gt;</v>
      </c>
      <c r="AW89" s="15" t="str">
        <f>IF(X89&lt;&gt;"","&lt;vk kbd="""&amp;X$1&amp;""" vk="""&amp;X89&amp;""""&amp;IF(Scan2VKFlags!S89&lt;&gt;""," flags="""&amp;Scan2VKFlags!S89&amp;"""","")&amp;"/&gt;","")</f>
        <v>&lt;vk kbd="33" vk="F11"/&gt;</v>
      </c>
      <c r="AX89" s="15" t="str">
        <f>IF(Y89&lt;&gt;"","&lt;vk kbd="""&amp;Y$1&amp;""" vk="""&amp;Y89&amp;""""&amp;IF(Scan2VKFlags!T89&lt;&gt;""," flags="""&amp;Scan2VKFlags!T89&amp;"""","")&amp;"/&gt;","")</f>
        <v>&lt;vk kbd="34" vk="F11"/&gt;</v>
      </c>
      <c r="AY89" s="18" t="str">
        <f>IF(AA89&lt;&gt;"","&lt;vk kbd="""&amp;AA$1&amp;""" vk="""&amp;AA89&amp;""""&amp;IF(Scan2VKFlags!U89&lt;&gt;""," flags="""&amp;Scan2VKFlags!U89&amp;"""","")&amp;"/&gt;","")</f>
        <v>&lt;vk kbd="37" vk="_none_"/&gt;</v>
      </c>
      <c r="AZ89" s="3" t="str">
        <f>IF(AC89&lt;&gt;"","&lt;vk kbd="""&amp;AC$1&amp;""" vk="""&amp;AC89&amp;""""&amp;IF(Scan2VKFlags!V89&lt;&gt;""," flags="""&amp;Scan2VKFlags!V89&amp;"""","")&amp;"/&gt;","")</f>
        <v>&lt;vk kbd="40" vk="F11"/&gt;</v>
      </c>
      <c r="BA89" s="16" t="str">
        <f>IF(AD89&lt;&gt;"","&lt;vk kbd="""&amp;AD$1&amp;""" vk="""&amp;AD89&amp;""""&amp;IF(Scan2VKFlags!W89&lt;&gt;""," flags="""&amp;Scan2VKFlags!W89&amp;"""","")&amp;"/&gt;","")</f>
        <v>&lt;vk kbd="41" vk="F11"/&gt;</v>
      </c>
      <c r="BB89" t="s">
        <v>854</v>
      </c>
    </row>
    <row r="90" spans="1:54" x14ac:dyDescent="0.25">
      <c r="A90">
        <f t="shared" si="11"/>
        <v>88</v>
      </c>
      <c r="B90" t="str">
        <f t="shared" si="8"/>
        <v>T58</v>
      </c>
      <c r="C90" s="7" t="s">
        <v>87</v>
      </c>
      <c r="D90" s="12" t="str">
        <f>trimtext(SplitText($C90,",",0))</f>
        <v>F12</v>
      </c>
      <c r="E90" s="12" t="str">
        <f>IF(SplitText($C90,",",COLUMN(E:E)-COLUMN($D:$D))="",$D90,trimtext(SplitText($C90,",",COLUMN(E:E)-COLUMN($D:$D))))</f>
        <v>LEFT</v>
      </c>
      <c r="F90" s="12" t="str">
        <f>IF(SplitText($C90,",",COLUMN(F:F)-COLUMN($D:$D))="",$D90,trimtext(SplitText($C90,",",COLUMN(F:F)-COLUMN($D:$D))))</f>
        <v>F12</v>
      </c>
      <c r="G90" s="12" t="str">
        <f>IF(SplitText($C90,",",COLUMN(G:G)-COLUMN($D:$D))="",$D90,trimtext(SplitText($C90,",",COLUMN(G:G)-COLUMN($D:$D))))</f>
        <v>F12</v>
      </c>
      <c r="H90" s="12" t="str">
        <f>IF(SplitText($C90,",",COLUMN(H:H)-COLUMN($D:$D))="",$D90,trimtext(SplitText($C90,",",COLUMN(H:H)-COLUMN($D:$D))))</f>
        <v>_none_</v>
      </c>
      <c r="I90" s="12" t="str">
        <f>IF(SplitText($C90,",",COLUMN(I:I)-COLUMN($D:$D))="",$D90,trimtext(SplitText($C90,",",COLUMN(I:I)-COLUMN($D:$D))))</f>
        <v>OEM_102</v>
      </c>
      <c r="J90" s="9" t="s">
        <v>272</v>
      </c>
      <c r="K90" s="12" t="str">
        <f>trimtext(SplitText($J90,",",0))</f>
        <v>F12</v>
      </c>
      <c r="L90" s="12" t="str">
        <f>IF(SplitText($J90,",",COLUMN(L:L)-COLUMN($K:$K))="",$K90,trimtext(SplitText($J90,",",COLUMN(L:L)-COLUMN($K:$K))))</f>
        <v>F12</v>
      </c>
      <c r="M90" s="12" t="str">
        <f>IF(SplitText($J90,",",COLUMN(M:M)-COLUMN($K:$K))="",$K90,trimtext(SplitText($J90,",",COLUMN(M:M)-COLUMN($K:$K))))</f>
        <v>F12</v>
      </c>
      <c r="N90" s="12" t="str">
        <f>IF(SplitText($J90,",",COLUMN(N:N)-COLUMN($K:$K))="",$K90,trimtext(SplitText($J90,",",COLUMN(N:N)-COLUMN($K:$K))))</f>
        <v>F12</v>
      </c>
      <c r="O90" s="12" t="str">
        <f>IF(SplitText($J90,",",COLUMN(O:O)-COLUMN($K:$K))="",$K90,trimtext(SplitText($J90,",",COLUMN(O:O)-COLUMN($K:$K))))</f>
        <v>F12</v>
      </c>
      <c r="P90" s="12" t="str">
        <f>IF(SplitText($J90,",",COLUMN(P:P)-COLUMN($K:$K))="",$K90,trimtext(SplitText($J90,",",COLUMN(P:P)-COLUMN($K:$K))))</f>
        <v>F12</v>
      </c>
      <c r="Q90" s="12" t="str">
        <f>IF(SplitText($J90,",",COLUMN(Q:Q)-COLUMN($K:$K))="",$K90,trimtext(SplitText($J90,",",COLUMN(Q:Q)-COLUMN($K:$K))))</f>
        <v>F12</v>
      </c>
      <c r="R90" s="2" t="s">
        <v>430</v>
      </c>
      <c r="S90" s="12" t="str">
        <f>trimtext(SplitText($R90,",",0))</f>
        <v>CONVERT</v>
      </c>
      <c r="T90" s="12" t="str">
        <f>IF(SplitText($R90,",",COLUMN(T:T)-COLUMN($S:$S))="",$S90,trimtext(SplitText($R90,",",COLUMN(T:T)-COLUMN($S:$S))))</f>
        <v>CONVERT</v>
      </c>
      <c r="U90" s="12" t="str">
        <f>IF(SplitText($R90,",",COLUMN(U:U)-COLUMN($S:$S))="",$S90,trimtext(SplitText($R90,",",COLUMN(U:U)-COLUMN($S:$S))))</f>
        <v>F12</v>
      </c>
      <c r="V90" s="2" t="s">
        <v>593</v>
      </c>
      <c r="W90" s="12" t="str">
        <f>trimtext(SplitText($V90,",",0))</f>
        <v>F12</v>
      </c>
      <c r="X90" s="12" t="str">
        <f>IF(SplitText($V90,",",COLUMN(X:X)-COLUMN($W:$W))="",$W90,trimtext(SplitText($V90,",",COLUMN(X:X)-COLUMN($W:$W))))</f>
        <v>F12</v>
      </c>
      <c r="Y90" s="12" t="str">
        <f>IF(SplitText($V90,",",COLUMN(Y:Y)-COLUMN($W:$W))="",$W90,trimtext(SplitText($V90,",",COLUMN(Y:Y)-COLUMN($W:$W))))</f>
        <v>F12</v>
      </c>
      <c r="Z90" s="2" t="s">
        <v>718</v>
      </c>
      <c r="AA90" s="12" t="str">
        <f t="shared" si="9"/>
        <v>_none_</v>
      </c>
      <c r="AB90" s="2" t="s">
        <v>829</v>
      </c>
      <c r="AC90" s="12" t="str">
        <f>trimtext(SplitText($AB90,",",0))</f>
        <v>F12</v>
      </c>
      <c r="AD90" s="12" t="str">
        <f>IF(SplitText($AB90,",",COLUMN(AD:AD)-COLUMN($AC:$AC))="",$AC90,trimtext(SplitText($AB90,",",COLUMN(AD:AD)-COLUMN($AC:$AC))))</f>
        <v>F12</v>
      </c>
      <c r="AE90" s="18" t="str">
        <f t="shared" si="10"/>
        <v>&lt;xs:enumeration value="T58"&gt;&lt;xs:annotation&gt;&lt;xs:documentation&gt;Typically F12 for keyboard type 4, different values for different keyboard types&lt;/xs:documentation&gt;&lt;xs:appinfo&gt;&lt;default-vk&gt;</v>
      </c>
      <c r="AF90" s="15" t="str">
        <f>IF(D90&lt;&gt;"","&lt;vk kbd="""&amp;D$1&amp;""" vk="""&amp;D90&amp;""""&amp;IF(Scan2VKFlags!B90&lt;&gt;""," flags="""&amp;Scan2VKFlags!B90&amp;"""","")&amp;"/&gt;","")</f>
        <v>&lt;vk kbd="1" vk="F12"/&gt;</v>
      </c>
      <c r="AG90" s="15" t="str">
        <f>IF(E90&lt;&gt;"","&lt;vk kbd="""&amp;E$1&amp;""" vk="""&amp;E90&amp;""""&amp;IF(Scan2VKFlags!C90&lt;&gt;""," flags="""&amp;Scan2VKFlags!C90&amp;"""","")&amp;"/&gt;","")</f>
        <v>&lt;vk kbd="2" vk="LEFT"/&gt;</v>
      </c>
      <c r="AH90" s="15" t="str">
        <f>IF(F90&lt;&gt;"","&lt;vk kbd="""&amp;F$1&amp;""" vk="""&amp;F90&amp;""""&amp;IF(Scan2VKFlags!D90&lt;&gt;""," flags="""&amp;Scan2VKFlags!D90&amp;"""","")&amp;"/&gt;","")</f>
        <v>&lt;vk kbd="3" vk="F12"/&gt;</v>
      </c>
      <c r="AI90" s="15" t="str">
        <f>IF(G90&lt;&gt;"","&lt;vk kbd="""&amp;G$1&amp;""" vk="""&amp;G90&amp;""""&amp;IF(Scan2VKFlags!E90&lt;&gt;""," flags="""&amp;Scan2VKFlags!E90&amp;"""","")&amp;"/&gt;","")</f>
        <v>&lt;vk kbd="4" vk="F12"/&gt;</v>
      </c>
      <c r="AJ90" s="15" t="str">
        <f>IF(H90&lt;&gt;"","&lt;vk kbd="""&amp;H$1&amp;""" vk="""&amp;H90&amp;""""&amp;IF(Scan2VKFlags!F90&lt;&gt;""," flags="""&amp;Scan2VKFlags!F90&amp;"""","")&amp;"/&gt;","")</f>
        <v>&lt;vk kbd="5" vk="_none_"/&gt;</v>
      </c>
      <c r="AK90" s="16" t="str">
        <f>IF(I90&lt;&gt;"","&lt;vk kbd="""&amp;I$1&amp;""" vk="""&amp;I90&amp;""""&amp;IF(Scan2VKFlags!G90&lt;&gt;""," flags="""&amp;Scan2VKFlags!G90&amp;"""","")&amp;"/&gt;","")</f>
        <v>&lt;vk kbd="6" vk="OEM_102"/&gt;</v>
      </c>
      <c r="AL90" s="3" t="str">
        <f>IF(K90&lt;&gt;"","&lt;vk kbd="""&amp;K$1&amp;""" vk="""&amp;K90&amp;""""&amp;IF(Scan2VKFlags!H90&lt;&gt;""," flags="""&amp;Scan2VKFlags!H90&amp;"""","")&amp;"/&gt;","")</f>
        <v>&lt;vk kbd="7" vk="F12"/&gt;</v>
      </c>
      <c r="AM90" t="str">
        <f>IF(L90&lt;&gt;"","&lt;vk kbd="""&amp;L$1&amp;""" vk="""&amp;L90&amp;""""&amp;IF(Scan2VKFlags!I90&lt;&gt;""," flags="""&amp;Scan2VKFlags!I90&amp;"""","")&amp;"/&gt;","")</f>
        <v>&lt;vk kbd="8" vk="F12"/&gt;</v>
      </c>
      <c r="AN90" t="str">
        <f>IF(M90&lt;&gt;"","&lt;vk kbd="""&amp;M$1&amp;""" vk="""&amp;M90&amp;""""&amp;IF(Scan2VKFlags!J90&lt;&gt;""," flags="""&amp;Scan2VKFlags!J90&amp;"""","")&amp;"/&gt;","")</f>
        <v>&lt;vk kbd="16" vk="F12"/&gt;</v>
      </c>
      <c r="AO90" t="str">
        <f>IF(N90&lt;&gt;"","&lt;vk kbd="""&amp;N$1&amp;""" vk="""&amp;N90&amp;""""&amp;IF(Scan2VKFlags!K90&lt;&gt;""," flags="""&amp;Scan2VKFlags!K90&amp;"""","")&amp;"/&gt;","")</f>
        <v>&lt;vk kbd="10" vk="F12"/&gt;</v>
      </c>
      <c r="AP90" t="str">
        <f>IF(O90&lt;&gt;"","&lt;vk kbd="""&amp;O$1&amp;""" vk="""&amp;O90&amp;""""&amp;IF(Scan2VKFlags!L90&lt;&gt;""," flags="""&amp;Scan2VKFlags!L90&amp;"""","")&amp;"/&gt;","")</f>
        <v>&lt;vk kbd="11" vk="F12"/&gt;</v>
      </c>
      <c r="AQ90" t="str">
        <f>IF(P90&lt;&gt;"","&lt;vk kbd="""&amp;P$1&amp;""" vk="""&amp;P90&amp;""""&amp;IF(Scan2VKFlags!M90&lt;&gt;""," flags="""&amp;Scan2VKFlags!M90&amp;"""","")&amp;"/&gt;","")</f>
        <v>&lt;vk kbd="12" vk="F12"/&gt;</v>
      </c>
      <c r="AR90" s="16" t="str">
        <f>IF(Q90&lt;&gt;"","&lt;vk kbd="""&amp;Q$1&amp;""" vk="""&amp;Q90&amp;""""&amp;IF(Scan2VKFlags!N90&lt;&gt;""," flags="""&amp;Scan2VKFlags!N90&amp;"""","")&amp;"/&gt;","")</f>
        <v>&lt;vk kbd="13" vk="F12"/&gt;</v>
      </c>
      <c r="AS90" s="3" t="str">
        <f>IF(S90&lt;&gt;"","&lt;vk kbd="""&amp;S$1&amp;""" vk="""&amp;S90&amp;""""&amp;IF(Scan2VKFlags!O90&lt;&gt;""," flags="""&amp;Scan2VKFlags!O90&amp;"""","")&amp;"/&gt;","")</f>
        <v>&lt;vk kbd="20" vk="CONVERT"/&gt;</v>
      </c>
      <c r="AT90" t="str">
        <f>IF(T90&lt;&gt;"","&lt;vk kbd="""&amp;T$1&amp;""" vk="""&amp;T90&amp;""""&amp;IF(Scan2VKFlags!P90&lt;&gt;""," flags="""&amp;Scan2VKFlags!P90&amp;"""","")&amp;"/&gt;","")</f>
        <v>&lt;vk kbd="21" vk="CONVERT"/&gt;</v>
      </c>
      <c r="AU90" s="16" t="str">
        <f>IF(U90&lt;&gt;"","&lt;vk kbd="""&amp;U$1&amp;""" vk="""&amp;U90&amp;""""&amp;IF(Scan2VKFlags!Q90&lt;&gt;""," flags="""&amp;Scan2VKFlags!Q90&amp;"""","")&amp;"/&gt;","")</f>
        <v>&lt;vk kbd="22" vk="F12"/&gt;</v>
      </c>
      <c r="AV90" s="3" t="str">
        <f>IF(W90&lt;&gt;"","&lt;vk kbd="""&amp;W$1&amp;""" vk="""&amp;W90&amp;""""&amp;IF(Scan2VKFlags!R90&lt;&gt;""," flags="""&amp;Scan2VKFlags!R90&amp;"""","")&amp;"/&gt;","")</f>
        <v>&lt;vk kbd="30" vk="F12"/&gt;</v>
      </c>
      <c r="AW90" s="15" t="str">
        <f>IF(X90&lt;&gt;"","&lt;vk kbd="""&amp;X$1&amp;""" vk="""&amp;X90&amp;""""&amp;IF(Scan2VKFlags!S90&lt;&gt;""," flags="""&amp;Scan2VKFlags!S90&amp;"""","")&amp;"/&gt;","")</f>
        <v>&lt;vk kbd="33" vk="F12"/&gt;</v>
      </c>
      <c r="AX90" s="15" t="str">
        <f>IF(Y90&lt;&gt;"","&lt;vk kbd="""&amp;Y$1&amp;""" vk="""&amp;Y90&amp;""""&amp;IF(Scan2VKFlags!T90&lt;&gt;""," flags="""&amp;Scan2VKFlags!T90&amp;"""","")&amp;"/&gt;","")</f>
        <v>&lt;vk kbd="34" vk="F12"/&gt;</v>
      </c>
      <c r="AY90" s="18" t="str">
        <f>IF(AA90&lt;&gt;"","&lt;vk kbd="""&amp;AA$1&amp;""" vk="""&amp;AA90&amp;""""&amp;IF(Scan2VKFlags!U90&lt;&gt;""," flags="""&amp;Scan2VKFlags!U90&amp;"""","")&amp;"/&gt;","")</f>
        <v>&lt;vk kbd="37" vk="_none_"/&gt;</v>
      </c>
      <c r="AZ90" s="3" t="str">
        <f>IF(AC90&lt;&gt;"","&lt;vk kbd="""&amp;AC$1&amp;""" vk="""&amp;AC90&amp;""""&amp;IF(Scan2VKFlags!V90&lt;&gt;""," flags="""&amp;Scan2VKFlags!V90&amp;"""","")&amp;"/&gt;","")</f>
        <v>&lt;vk kbd="40" vk="F12"/&gt;</v>
      </c>
      <c r="BA90" s="16" t="str">
        <f>IF(AD90&lt;&gt;"","&lt;vk kbd="""&amp;AD$1&amp;""" vk="""&amp;AD90&amp;""""&amp;IF(Scan2VKFlags!W90&lt;&gt;""," flags="""&amp;Scan2VKFlags!W90&amp;"""","")&amp;"/&gt;","")</f>
        <v>&lt;vk kbd="41" vk="F12"/&gt;</v>
      </c>
      <c r="BB90" t="s">
        <v>854</v>
      </c>
    </row>
    <row r="91" spans="1:54" x14ac:dyDescent="0.25">
      <c r="A91">
        <f t="shared" si="11"/>
        <v>89</v>
      </c>
      <c r="B91" t="str">
        <f t="shared" si="8"/>
        <v>T59</v>
      </c>
      <c r="C91" s="7" t="s">
        <v>76</v>
      </c>
      <c r="D91" s="12" t="str">
        <f>trimtext(SplitText($C91,",",0))</f>
        <v>CLEAR</v>
      </c>
      <c r="E91" s="12" t="str">
        <f>IF(SplitText($C91,",",COLUMN(E:E)-COLUMN($D:$D))="",$D91,trimtext(SplitText($C91,",",COLUMN(E:E)-COLUMN($D:$D))))</f>
        <v>CLEAR</v>
      </c>
      <c r="F91" s="12" t="str">
        <f>IF(SplitText($C91,",",COLUMN(F:F)-COLUMN($D:$D))="",$D91,trimtext(SplitText($C91,",",COLUMN(F:F)-COLUMN($D:$D))))</f>
        <v>CLEAR</v>
      </c>
      <c r="G91" s="12" t="str">
        <f>IF(SplitText($C91,",",COLUMN(G:G)-COLUMN($D:$D))="",$D91,trimtext(SplitText($C91,",",COLUMN(G:G)-COLUMN($D:$D))))</f>
        <v>CLEAR</v>
      </c>
      <c r="H91" s="12" t="str">
        <f>IF(SplitText($C91,",",COLUMN(H:H)-COLUMN($D:$D))="",$D91,trimtext(SplitText($C91,",",COLUMN(H:H)-COLUMN($D:$D))))</f>
        <v>CLEAR</v>
      </c>
      <c r="I91" s="12" t="str">
        <f>IF(SplitText($C91,",",COLUMN(I:I)-COLUMN($D:$D))="",$D91,trimtext(SplitText($C91,",",COLUMN(I:I)-COLUMN($D:$D))))</f>
        <v>CLEAR</v>
      </c>
      <c r="J91" s="9" t="s">
        <v>261</v>
      </c>
      <c r="K91" s="12" t="str">
        <f>trimtext(SplitText($J91,",",0))</f>
        <v>CLEAR</v>
      </c>
      <c r="L91" s="12" t="str">
        <f>IF(SplitText($J91,",",COLUMN(L:L)-COLUMN($K:$K))="",$K91,trimtext(SplitText($J91,",",COLUMN(L:L)-COLUMN($K:$K))))</f>
        <v>CLEAR</v>
      </c>
      <c r="M91" s="12" t="str">
        <f>IF(SplitText($J91,",",COLUMN(M:M)-COLUMN($K:$K))="",$K91,trimtext(SplitText($J91,",",COLUMN(M:M)-COLUMN($K:$K))))</f>
        <v>CLEAR</v>
      </c>
      <c r="N91" s="12" t="str">
        <f>IF(SplitText($J91,",",COLUMN(N:N)-COLUMN($K:$K))="",$K91,trimtext(SplitText($J91,",",COLUMN(N:N)-COLUMN($K:$K))))</f>
        <v>CLEAR</v>
      </c>
      <c r="O91" s="12" t="str">
        <f>IF(SplitText($J91,",",COLUMN(O:O)-COLUMN($K:$K))="",$K91,trimtext(SplitText($J91,",",COLUMN(O:O)-COLUMN($K:$K))))</f>
        <v>CLEAR</v>
      </c>
      <c r="P91" s="12" t="str">
        <f>IF(SplitText($J91,",",COLUMN(P:P)-COLUMN($K:$K))="",$K91,trimtext(SplitText($J91,",",COLUMN(P:P)-COLUMN($K:$K))))</f>
        <v>CLEAR</v>
      </c>
      <c r="Q91" s="12" t="str">
        <f>IF(SplitText($J91,",",COLUMN(Q:Q)-COLUMN($K:$K))="",$K91,trimtext(SplitText($J91,",",COLUMN(Q:Q)-COLUMN($K:$K))))</f>
        <v>CLEAR</v>
      </c>
      <c r="R91" s="2" t="s">
        <v>431</v>
      </c>
      <c r="S91" s="12" t="str">
        <f>trimtext(SplitText($R91,",",0))</f>
        <v>KANJI</v>
      </c>
      <c r="T91" s="12" t="str">
        <f>IF(SplitText($R91,",",COLUMN(T:T)-COLUMN($S:$S))="",$S91,trimtext(SplitText($R91,",",COLUMN(T:T)-COLUMN($S:$S))))</f>
        <v>KANJI</v>
      </c>
      <c r="U91" s="12" t="str">
        <f>IF(SplitText($R91,",",COLUMN(U:U)-COLUMN($S:$S))="",$S91,trimtext(SplitText($R91,",",COLUMN(U:U)-COLUMN($S:$S))))</f>
        <v>CLEAR</v>
      </c>
      <c r="V91" s="2" t="s">
        <v>594</v>
      </c>
      <c r="W91" s="12" t="str">
        <f>trimtext(SplitText($V91,",",0))</f>
        <v>OEM_NEC_EQUAL</v>
      </c>
      <c r="X91" s="12" t="str">
        <f>IF(SplitText($V91,",",COLUMN(X:X)-COLUMN($W:$W))="",$W91,trimtext(SplitText($V91,",",COLUMN(X:X)-COLUMN($W:$W))))</f>
        <v>OEM_NEC_EQUAL</v>
      </c>
      <c r="Y91" s="12" t="str">
        <f>IF(SplitText($V91,",",COLUMN(Y:Y)-COLUMN($W:$W))="",$W91,trimtext(SplitText($V91,",",COLUMN(Y:Y)-COLUMN($W:$W))))</f>
        <v>OEM_NEC_EQUAL</v>
      </c>
      <c r="Z91" s="2" t="s">
        <v>718</v>
      </c>
      <c r="AA91" s="12" t="str">
        <f t="shared" si="9"/>
        <v>_none_</v>
      </c>
      <c r="AB91" s="2" t="s">
        <v>743</v>
      </c>
      <c r="AC91" s="12" t="str">
        <f>trimtext(SplitText($AB91,",",0))</f>
        <v>_none_</v>
      </c>
      <c r="AD91" s="12" t="str">
        <f>IF(SplitText($AB91,",",COLUMN(AD:AD)-COLUMN($AC:$AC))="",$AC91,trimtext(SplitText($AB91,",",COLUMN(AD:AD)-COLUMN($AC:$AC))))</f>
        <v>_none_</v>
      </c>
      <c r="AE91" s="18" t="str">
        <f t="shared" si="10"/>
        <v>&lt;xs:enumeration value="T59"&gt;&lt;xs:annotation&gt;&lt;xs:documentation&gt;Typically CLEAR for keyboard type 4, different values for different keyboard types&lt;/xs:documentation&gt;&lt;xs:appinfo&gt;&lt;default-vk&gt;</v>
      </c>
      <c r="AF91" s="15" t="str">
        <f>IF(D91&lt;&gt;"","&lt;vk kbd="""&amp;D$1&amp;""" vk="""&amp;D91&amp;""""&amp;IF(Scan2VKFlags!B91&lt;&gt;""," flags="""&amp;Scan2VKFlags!B91&amp;"""","")&amp;"/&gt;","")</f>
        <v>&lt;vk kbd="1" vk="CLEAR"/&gt;</v>
      </c>
      <c r="AG91" s="15" t="str">
        <f>IF(E91&lt;&gt;"","&lt;vk kbd="""&amp;E$1&amp;""" vk="""&amp;E91&amp;""""&amp;IF(Scan2VKFlags!C91&lt;&gt;""," flags="""&amp;Scan2VKFlags!C91&amp;"""","")&amp;"/&gt;","")</f>
        <v>&lt;vk kbd="2" vk="CLEAR"/&gt;</v>
      </c>
      <c r="AH91" s="15" t="str">
        <f>IF(F91&lt;&gt;"","&lt;vk kbd="""&amp;F$1&amp;""" vk="""&amp;F91&amp;""""&amp;IF(Scan2VKFlags!D91&lt;&gt;""," flags="""&amp;Scan2VKFlags!D91&amp;"""","")&amp;"/&gt;","")</f>
        <v>&lt;vk kbd="3" vk="CLEAR"/&gt;</v>
      </c>
      <c r="AI91" s="15" t="str">
        <f>IF(G91&lt;&gt;"","&lt;vk kbd="""&amp;G$1&amp;""" vk="""&amp;G91&amp;""""&amp;IF(Scan2VKFlags!E91&lt;&gt;""," flags="""&amp;Scan2VKFlags!E91&amp;"""","")&amp;"/&gt;","")</f>
        <v>&lt;vk kbd="4" vk="CLEAR"/&gt;</v>
      </c>
      <c r="AJ91" s="15" t="str">
        <f>IF(H91&lt;&gt;"","&lt;vk kbd="""&amp;H$1&amp;""" vk="""&amp;H91&amp;""""&amp;IF(Scan2VKFlags!F91&lt;&gt;""," flags="""&amp;Scan2VKFlags!F91&amp;"""","")&amp;"/&gt;","")</f>
        <v>&lt;vk kbd="5" vk="CLEAR"/&gt;</v>
      </c>
      <c r="AK91" s="16" t="str">
        <f>IF(I91&lt;&gt;"","&lt;vk kbd="""&amp;I$1&amp;""" vk="""&amp;I91&amp;""""&amp;IF(Scan2VKFlags!G91&lt;&gt;""," flags="""&amp;Scan2VKFlags!G91&amp;"""","")&amp;"/&gt;","")</f>
        <v>&lt;vk kbd="6" vk="CLEAR"/&gt;</v>
      </c>
      <c r="AL91" s="3" t="str">
        <f>IF(K91&lt;&gt;"","&lt;vk kbd="""&amp;K$1&amp;""" vk="""&amp;K91&amp;""""&amp;IF(Scan2VKFlags!H91&lt;&gt;""," flags="""&amp;Scan2VKFlags!H91&amp;"""","")&amp;"/&gt;","")</f>
        <v>&lt;vk kbd="7" vk="CLEAR"/&gt;</v>
      </c>
      <c r="AM91" t="str">
        <f>IF(L91&lt;&gt;"","&lt;vk kbd="""&amp;L$1&amp;""" vk="""&amp;L91&amp;""""&amp;IF(Scan2VKFlags!I91&lt;&gt;""," flags="""&amp;Scan2VKFlags!I91&amp;"""","")&amp;"/&gt;","")</f>
        <v>&lt;vk kbd="8" vk="CLEAR"/&gt;</v>
      </c>
      <c r="AN91" t="str">
        <f>IF(M91&lt;&gt;"","&lt;vk kbd="""&amp;M$1&amp;""" vk="""&amp;M91&amp;""""&amp;IF(Scan2VKFlags!J91&lt;&gt;""," flags="""&amp;Scan2VKFlags!J91&amp;"""","")&amp;"/&gt;","")</f>
        <v>&lt;vk kbd="16" vk="CLEAR"/&gt;</v>
      </c>
      <c r="AO91" t="str">
        <f>IF(N91&lt;&gt;"","&lt;vk kbd="""&amp;N$1&amp;""" vk="""&amp;N91&amp;""""&amp;IF(Scan2VKFlags!K91&lt;&gt;""," flags="""&amp;Scan2VKFlags!K91&amp;"""","")&amp;"/&gt;","")</f>
        <v>&lt;vk kbd="10" vk="CLEAR"/&gt;</v>
      </c>
      <c r="AP91" t="str">
        <f>IF(O91&lt;&gt;"","&lt;vk kbd="""&amp;O$1&amp;""" vk="""&amp;O91&amp;""""&amp;IF(Scan2VKFlags!L91&lt;&gt;""," flags="""&amp;Scan2VKFlags!L91&amp;"""","")&amp;"/&gt;","")</f>
        <v>&lt;vk kbd="11" vk="CLEAR"/&gt;</v>
      </c>
      <c r="AQ91" t="str">
        <f>IF(P91&lt;&gt;"","&lt;vk kbd="""&amp;P$1&amp;""" vk="""&amp;P91&amp;""""&amp;IF(Scan2VKFlags!M91&lt;&gt;""," flags="""&amp;Scan2VKFlags!M91&amp;"""","")&amp;"/&gt;","")</f>
        <v>&lt;vk kbd="12" vk="CLEAR"/&gt;</v>
      </c>
      <c r="AR91" s="16" t="str">
        <f>IF(Q91&lt;&gt;"","&lt;vk kbd="""&amp;Q$1&amp;""" vk="""&amp;Q91&amp;""""&amp;IF(Scan2VKFlags!N91&lt;&gt;""," flags="""&amp;Scan2VKFlags!N91&amp;"""","")&amp;"/&gt;","")</f>
        <v>&lt;vk kbd="13" vk="CLEAR"/&gt;</v>
      </c>
      <c r="AS91" s="3" t="str">
        <f>IF(S91&lt;&gt;"","&lt;vk kbd="""&amp;S$1&amp;""" vk="""&amp;S91&amp;""""&amp;IF(Scan2VKFlags!O91&lt;&gt;""," flags="""&amp;Scan2VKFlags!O91&amp;"""","")&amp;"/&gt;","")</f>
        <v>&lt;vk kbd="20" vk="KANJI"/&gt;</v>
      </c>
      <c r="AT91" t="str">
        <f>IF(T91&lt;&gt;"","&lt;vk kbd="""&amp;T$1&amp;""" vk="""&amp;T91&amp;""""&amp;IF(Scan2VKFlags!P91&lt;&gt;""," flags="""&amp;Scan2VKFlags!P91&amp;"""","")&amp;"/&gt;","")</f>
        <v>&lt;vk kbd="21" vk="KANJI"/&gt;</v>
      </c>
      <c r="AU91" s="16" t="str">
        <f>IF(U91&lt;&gt;"","&lt;vk kbd="""&amp;U$1&amp;""" vk="""&amp;U91&amp;""""&amp;IF(Scan2VKFlags!Q91&lt;&gt;""," flags="""&amp;Scan2VKFlags!Q91&amp;"""","")&amp;"/&gt;","")</f>
        <v>&lt;vk kbd="22" vk="CLEAR"/&gt;</v>
      </c>
      <c r="AV91" s="3" t="str">
        <f>IF(W91&lt;&gt;"","&lt;vk kbd="""&amp;W$1&amp;""" vk="""&amp;W91&amp;""""&amp;IF(Scan2VKFlags!R91&lt;&gt;""," flags="""&amp;Scan2VKFlags!R91&amp;"""","")&amp;"/&gt;","")</f>
        <v>&lt;vk kbd="30" vk="OEM_NEC_EQUAL"/&gt;</v>
      </c>
      <c r="AW91" s="15" t="str">
        <f>IF(X91&lt;&gt;"","&lt;vk kbd="""&amp;X$1&amp;""" vk="""&amp;X91&amp;""""&amp;IF(Scan2VKFlags!S91&lt;&gt;""," flags="""&amp;Scan2VKFlags!S91&amp;"""","")&amp;"/&gt;","")</f>
        <v>&lt;vk kbd="33" vk="OEM_NEC_EQUAL"/&gt;</v>
      </c>
      <c r="AX91" s="15" t="str">
        <f>IF(Y91&lt;&gt;"","&lt;vk kbd="""&amp;Y$1&amp;""" vk="""&amp;Y91&amp;""""&amp;IF(Scan2VKFlags!T91&lt;&gt;""," flags="""&amp;Scan2VKFlags!T91&amp;"""","")&amp;"/&gt;","")</f>
        <v>&lt;vk kbd="34" vk="OEM_NEC_EQUAL"/&gt;</v>
      </c>
      <c r="AY91" s="18" t="str">
        <f>IF(AA91&lt;&gt;"","&lt;vk kbd="""&amp;AA$1&amp;""" vk="""&amp;AA91&amp;""""&amp;IF(Scan2VKFlags!U91&lt;&gt;""," flags="""&amp;Scan2VKFlags!U91&amp;"""","")&amp;"/&gt;","")</f>
        <v>&lt;vk kbd="37" vk="_none_"/&gt;</v>
      </c>
      <c r="AZ91" s="3" t="str">
        <f>IF(AC91&lt;&gt;"","&lt;vk kbd="""&amp;AC$1&amp;""" vk="""&amp;AC91&amp;""""&amp;IF(Scan2VKFlags!V91&lt;&gt;""," flags="""&amp;Scan2VKFlags!V91&amp;"""","")&amp;"/&gt;","")</f>
        <v>&lt;vk kbd="40" vk="_none_"/&gt;</v>
      </c>
      <c r="BA91" s="16" t="str">
        <f>IF(AD91&lt;&gt;"","&lt;vk kbd="""&amp;AD$1&amp;""" vk="""&amp;AD91&amp;""""&amp;IF(Scan2VKFlags!W91&lt;&gt;""," flags="""&amp;Scan2VKFlags!W91&amp;"""","")&amp;"/&gt;","")</f>
        <v>&lt;vk kbd="41" vk="_none_"/&gt;</v>
      </c>
      <c r="BB91" t="s">
        <v>854</v>
      </c>
    </row>
    <row r="92" spans="1:54" x14ac:dyDescent="0.25">
      <c r="A92">
        <f t="shared" si="11"/>
        <v>90</v>
      </c>
      <c r="B92" t="str">
        <f t="shared" si="8"/>
        <v>T5A</v>
      </c>
      <c r="C92" s="7" t="s">
        <v>88</v>
      </c>
      <c r="D92" s="12" t="str">
        <f>trimtext(SplitText($C92,",",0))</f>
        <v>OEM_WSCTRL</v>
      </c>
      <c r="E92" s="12" t="str">
        <f>IF(SplitText($C92,",",COLUMN(E:E)-COLUMN($D:$D))="",$D92,trimtext(SplitText($C92,",",COLUMN(E:E)-COLUMN($D:$D))))</f>
        <v>OEM_WSCTRL</v>
      </c>
      <c r="F92" s="12" t="str">
        <f>IF(SplitText($C92,",",COLUMN(F:F)-COLUMN($D:$D))="",$D92,trimtext(SplitText($C92,",",COLUMN(F:F)-COLUMN($D:$D))))</f>
        <v>OEM_WSCTRL</v>
      </c>
      <c r="G92" s="12" t="str">
        <f>IF(SplitText($C92,",",COLUMN(G:G)-COLUMN($D:$D))="",$D92,trimtext(SplitText($C92,",",COLUMN(G:G)-COLUMN($D:$D))))</f>
        <v>OEM_WSCTRL</v>
      </c>
      <c r="H92" s="12" t="str">
        <f>IF(SplitText($C92,",",COLUMN(H:H)-COLUMN($D:$D))="",$D92,trimtext(SplitText($C92,",",COLUMN(H:H)-COLUMN($D:$D))))</f>
        <v>OEM_WSCTRL</v>
      </c>
      <c r="I92" s="12" t="str">
        <f>IF(SplitText($C92,",",COLUMN(I:I)-COLUMN($D:$D))="",$D92,trimtext(SplitText($C92,",",COLUMN(I:I)-COLUMN($D:$D))))</f>
        <v>OEM_WSCTRL</v>
      </c>
      <c r="J92" s="9" t="s">
        <v>273</v>
      </c>
      <c r="K92" s="12" t="str">
        <f>trimtext(SplitText($J92,",",0))</f>
        <v>NONAME</v>
      </c>
      <c r="L92" s="12" t="str">
        <f>IF(SplitText($J92,",",COLUMN(L:L)-COLUMN($K:$K))="",$K92,trimtext(SplitText($J92,",",COLUMN(L:L)-COLUMN($K:$K))))</f>
        <v>NONAME</v>
      </c>
      <c r="M92" s="12" t="str">
        <f>IF(SplitText($J92,",",COLUMN(M:M)-COLUMN($K:$K))="",$K92,trimtext(SplitText($J92,",",COLUMN(M:M)-COLUMN($K:$K))))</f>
        <v>NONCONVERT</v>
      </c>
      <c r="N92" s="12" t="str">
        <f>IF(SplitText($J92,",",COLUMN(N:N)-COLUMN($K:$K))="",$K92,trimtext(SplitText($J92,",",COLUMN(N:N)-COLUMN($K:$K))))</f>
        <v>OEM_WSCTRL</v>
      </c>
      <c r="O92" s="12" t="str">
        <f>IF(SplitText($J92,",",COLUMN(O:O)-COLUMN($K:$K))="",$K92,trimtext(SplitText($J92,",",COLUMN(O:O)-COLUMN($K:$K))))</f>
        <v>OEM_WSCTRL</v>
      </c>
      <c r="P92" s="12" t="str">
        <f>IF(SplitText($J92,",",COLUMN(P:P)-COLUMN($K:$K))="",$K92,trimtext(SplitText($J92,",",COLUMN(P:P)-COLUMN($K:$K))))</f>
        <v>OEM_WSCTRL</v>
      </c>
      <c r="Q92" s="12" t="str">
        <f>IF(SplitText($J92,",",COLUMN(Q:Q)-COLUMN($K:$K))="",$K92,trimtext(SplitText($J92,",",COLUMN(Q:Q)-COLUMN($K:$K))))</f>
        <v>OEM_WSCTRL</v>
      </c>
      <c r="R92" s="2" t="s">
        <v>432</v>
      </c>
      <c r="S92" s="12" t="str">
        <f>trimtext(SplitText($R92,",",0))</f>
        <v>DBE_KATAKANA</v>
      </c>
      <c r="T92" s="12" t="str">
        <f>IF(SplitText($R92,",",COLUMN(T:T)-COLUMN($S:$S))="",$S92,trimtext(SplitText($R92,",",COLUMN(T:T)-COLUMN($S:$S))))</f>
        <v>_none_</v>
      </c>
      <c r="U92" s="12" t="str">
        <f>IF(SplitText($R92,",",COLUMN(U:U)-COLUMN($S:$S))="",$S92,trimtext(SplitText($R92,",",COLUMN(U:U)-COLUMN($S:$S))))</f>
        <v>NONAME</v>
      </c>
      <c r="V92" s="2" t="s">
        <v>595</v>
      </c>
      <c r="W92" s="12" t="str">
        <f>trimtext(SplitText($V92,",",0))</f>
        <v>NONAME</v>
      </c>
      <c r="X92" s="12" t="str">
        <f>IF(SplitText($V92,",",COLUMN(X:X)-COLUMN($W:$W))="",$W92,trimtext(SplitText($V92,",",COLUMN(X:X)-COLUMN($W:$W))))</f>
        <v>NONAME</v>
      </c>
      <c r="Y92" s="12" t="str">
        <f>IF(SplitText($V92,",",COLUMN(Y:Y)-COLUMN($W:$W))="",$W92,trimtext(SplitText($V92,",",COLUMN(Y:Y)-COLUMN($W:$W))))</f>
        <v>NONCONVERT</v>
      </c>
      <c r="Z92" s="2" t="s">
        <v>718</v>
      </c>
      <c r="AA92" s="12" t="str">
        <f t="shared" si="9"/>
        <v>_none_</v>
      </c>
      <c r="AB92" s="2" t="s">
        <v>743</v>
      </c>
      <c r="AC92" s="12" t="str">
        <f>trimtext(SplitText($AB92,",",0))</f>
        <v>_none_</v>
      </c>
      <c r="AD92" s="12" t="str">
        <f>IF(SplitText($AB92,",",COLUMN(AD:AD)-COLUMN($AC:$AC))="",$AC92,trimtext(SplitText($AB92,",",COLUMN(AD:AD)-COLUMN($AC:$AC))))</f>
        <v>_none_</v>
      </c>
      <c r="AE92" s="18" t="str">
        <f t="shared" si="10"/>
        <v>&lt;xs:enumeration value="T5A"&gt;&lt;xs:annotation&gt;&lt;xs:documentation&gt;Typically OEM_WSCTRL for keyboard type 4, different values for different keyboard types&lt;/xs:documentation&gt;&lt;xs:appinfo&gt;&lt;default-vk&gt;</v>
      </c>
      <c r="AF92" s="15" t="str">
        <f>IF(D92&lt;&gt;"","&lt;vk kbd="""&amp;D$1&amp;""" vk="""&amp;D92&amp;""""&amp;IF(Scan2VKFlags!B92&lt;&gt;""," flags="""&amp;Scan2VKFlags!B92&amp;"""","")&amp;"/&gt;","")</f>
        <v>&lt;vk kbd="1" vk="OEM_WSCTRL"/&gt;</v>
      </c>
      <c r="AG92" s="15" t="str">
        <f>IF(E92&lt;&gt;"","&lt;vk kbd="""&amp;E$1&amp;""" vk="""&amp;E92&amp;""""&amp;IF(Scan2VKFlags!C92&lt;&gt;""," flags="""&amp;Scan2VKFlags!C92&amp;"""","")&amp;"/&gt;","")</f>
        <v>&lt;vk kbd="2" vk="OEM_WSCTRL"/&gt;</v>
      </c>
      <c r="AH92" s="15" t="str">
        <f>IF(F92&lt;&gt;"","&lt;vk kbd="""&amp;F$1&amp;""" vk="""&amp;F92&amp;""""&amp;IF(Scan2VKFlags!D92&lt;&gt;""," flags="""&amp;Scan2VKFlags!D92&amp;"""","")&amp;"/&gt;","")</f>
        <v>&lt;vk kbd="3" vk="OEM_WSCTRL"/&gt;</v>
      </c>
      <c r="AI92" s="15" t="str">
        <f>IF(G92&lt;&gt;"","&lt;vk kbd="""&amp;G$1&amp;""" vk="""&amp;G92&amp;""""&amp;IF(Scan2VKFlags!E92&lt;&gt;""," flags="""&amp;Scan2VKFlags!E92&amp;"""","")&amp;"/&gt;","")</f>
        <v>&lt;vk kbd="4" vk="OEM_WSCTRL"/&gt;</v>
      </c>
      <c r="AJ92" s="15" t="str">
        <f>IF(H92&lt;&gt;"","&lt;vk kbd="""&amp;H$1&amp;""" vk="""&amp;H92&amp;""""&amp;IF(Scan2VKFlags!F92&lt;&gt;""," flags="""&amp;Scan2VKFlags!F92&amp;"""","")&amp;"/&gt;","")</f>
        <v>&lt;vk kbd="5" vk="OEM_WSCTRL"/&gt;</v>
      </c>
      <c r="AK92" s="16" t="str">
        <f>IF(I92&lt;&gt;"","&lt;vk kbd="""&amp;I$1&amp;""" vk="""&amp;I92&amp;""""&amp;IF(Scan2VKFlags!G92&lt;&gt;""," flags="""&amp;Scan2VKFlags!G92&amp;"""","")&amp;"/&gt;","")</f>
        <v>&lt;vk kbd="6" vk="OEM_WSCTRL"/&gt;</v>
      </c>
      <c r="AL92" s="3" t="str">
        <f>IF(K92&lt;&gt;"","&lt;vk kbd="""&amp;K$1&amp;""" vk="""&amp;K92&amp;""""&amp;IF(Scan2VKFlags!H92&lt;&gt;""," flags="""&amp;Scan2VKFlags!H92&amp;"""","")&amp;"/&gt;","")</f>
        <v>&lt;vk kbd="7" vk="NONAME"/&gt;</v>
      </c>
      <c r="AM92" t="str">
        <f>IF(L92&lt;&gt;"","&lt;vk kbd="""&amp;L$1&amp;""" vk="""&amp;L92&amp;""""&amp;IF(Scan2VKFlags!I92&lt;&gt;""," flags="""&amp;Scan2VKFlags!I92&amp;"""","")&amp;"/&gt;","")</f>
        <v>&lt;vk kbd="8" vk="NONAME"/&gt;</v>
      </c>
      <c r="AN92" t="str">
        <f>IF(M92&lt;&gt;"","&lt;vk kbd="""&amp;M$1&amp;""" vk="""&amp;M92&amp;""""&amp;IF(Scan2VKFlags!J92&lt;&gt;""," flags="""&amp;Scan2VKFlags!J92&amp;"""","")&amp;"/&gt;","")</f>
        <v>&lt;vk kbd="16" vk="NONCONVERT"/&gt;</v>
      </c>
      <c r="AO92" t="str">
        <f>IF(N92&lt;&gt;"","&lt;vk kbd="""&amp;N$1&amp;""" vk="""&amp;N92&amp;""""&amp;IF(Scan2VKFlags!K92&lt;&gt;""," flags="""&amp;Scan2VKFlags!K92&amp;"""","")&amp;"/&gt;","")</f>
        <v>&lt;vk kbd="10" vk="OEM_WSCTRL"/&gt;</v>
      </c>
      <c r="AP92" t="str">
        <f>IF(O92&lt;&gt;"","&lt;vk kbd="""&amp;O$1&amp;""" vk="""&amp;O92&amp;""""&amp;IF(Scan2VKFlags!L92&lt;&gt;""," flags="""&amp;Scan2VKFlags!L92&amp;"""","")&amp;"/&gt;","")</f>
        <v>&lt;vk kbd="11" vk="OEM_WSCTRL"/&gt;</v>
      </c>
      <c r="AQ92" t="str">
        <f>IF(P92&lt;&gt;"","&lt;vk kbd="""&amp;P$1&amp;""" vk="""&amp;P92&amp;""""&amp;IF(Scan2VKFlags!M92&lt;&gt;""," flags="""&amp;Scan2VKFlags!M92&amp;"""","")&amp;"/&gt;","")</f>
        <v>&lt;vk kbd="12" vk="OEM_WSCTRL"/&gt;</v>
      </c>
      <c r="AR92" s="16" t="str">
        <f>IF(Q92&lt;&gt;"","&lt;vk kbd="""&amp;Q$1&amp;""" vk="""&amp;Q92&amp;""""&amp;IF(Scan2VKFlags!N92&lt;&gt;""," flags="""&amp;Scan2VKFlags!N92&amp;"""","")&amp;"/&gt;","")</f>
        <v>&lt;vk kbd="13" vk="OEM_WSCTRL"/&gt;</v>
      </c>
      <c r="AS92" s="3" t="str">
        <f>IF(S92&lt;&gt;"","&lt;vk kbd="""&amp;S$1&amp;""" vk="""&amp;S92&amp;""""&amp;IF(Scan2VKFlags!O92&lt;&gt;""," flags="""&amp;Scan2VKFlags!O92&amp;"""","")&amp;"/&gt;","")</f>
        <v>&lt;vk kbd="20" vk="DBE_KATAKANA"/&gt;</v>
      </c>
      <c r="AT92" t="str">
        <f>IF(T92&lt;&gt;"","&lt;vk kbd="""&amp;T$1&amp;""" vk="""&amp;T92&amp;""""&amp;IF(Scan2VKFlags!P92&lt;&gt;""," flags="""&amp;Scan2VKFlags!P92&amp;"""","")&amp;"/&gt;","")</f>
        <v>&lt;vk kbd="21" vk="_none_"/&gt;</v>
      </c>
      <c r="AU92" s="16" t="str">
        <f>IF(U92&lt;&gt;"","&lt;vk kbd="""&amp;U$1&amp;""" vk="""&amp;U92&amp;""""&amp;IF(Scan2VKFlags!Q92&lt;&gt;""," flags="""&amp;Scan2VKFlags!Q92&amp;"""","")&amp;"/&gt;","")</f>
        <v>&lt;vk kbd="22" vk="NONAME"/&gt;</v>
      </c>
      <c r="AV92" s="3" t="str">
        <f>IF(W92&lt;&gt;"","&lt;vk kbd="""&amp;W$1&amp;""" vk="""&amp;W92&amp;""""&amp;IF(Scan2VKFlags!R92&lt;&gt;""," flags="""&amp;Scan2VKFlags!R92&amp;"""","")&amp;"/&gt;","")</f>
        <v>&lt;vk kbd="30" vk="NONAME"/&gt;</v>
      </c>
      <c r="AW92" s="15" t="str">
        <f>IF(X92&lt;&gt;"","&lt;vk kbd="""&amp;X$1&amp;""" vk="""&amp;X92&amp;""""&amp;IF(Scan2VKFlags!S92&lt;&gt;""," flags="""&amp;Scan2VKFlags!S92&amp;"""","")&amp;"/&gt;","")</f>
        <v>&lt;vk kbd="33" vk="NONAME"/&gt;</v>
      </c>
      <c r="AX92" s="15" t="str">
        <f>IF(Y92&lt;&gt;"","&lt;vk kbd="""&amp;Y$1&amp;""" vk="""&amp;Y92&amp;""""&amp;IF(Scan2VKFlags!T92&lt;&gt;""," flags="""&amp;Scan2VKFlags!T92&amp;"""","")&amp;"/&gt;","")</f>
        <v>&lt;vk kbd="34" vk="NONCONVERT"/&gt;</v>
      </c>
      <c r="AY92" s="18" t="str">
        <f>IF(AA92&lt;&gt;"","&lt;vk kbd="""&amp;AA$1&amp;""" vk="""&amp;AA92&amp;""""&amp;IF(Scan2VKFlags!U92&lt;&gt;""," flags="""&amp;Scan2VKFlags!U92&amp;"""","")&amp;"/&gt;","")</f>
        <v>&lt;vk kbd="37" vk="_none_"/&gt;</v>
      </c>
      <c r="AZ92" s="3" t="str">
        <f>IF(AC92&lt;&gt;"","&lt;vk kbd="""&amp;AC$1&amp;""" vk="""&amp;AC92&amp;""""&amp;IF(Scan2VKFlags!V92&lt;&gt;""," flags="""&amp;Scan2VKFlags!V92&amp;"""","")&amp;"/&gt;","")</f>
        <v>&lt;vk kbd="40" vk="_none_"/&gt;</v>
      </c>
      <c r="BA92" s="16" t="str">
        <f>IF(AD92&lt;&gt;"","&lt;vk kbd="""&amp;AD$1&amp;""" vk="""&amp;AD92&amp;""""&amp;IF(Scan2VKFlags!W92&lt;&gt;""," flags="""&amp;Scan2VKFlags!W92&amp;"""","")&amp;"/&gt;","")</f>
        <v>&lt;vk kbd="41" vk="_none_"/&gt;</v>
      </c>
      <c r="BB92" t="s">
        <v>854</v>
      </c>
    </row>
    <row r="93" spans="1:54" x14ac:dyDescent="0.25">
      <c r="A93">
        <f t="shared" si="11"/>
        <v>91</v>
      </c>
      <c r="B93" t="str">
        <f t="shared" si="8"/>
        <v>T5B</v>
      </c>
      <c r="C93" s="7" t="s">
        <v>89</v>
      </c>
      <c r="D93" s="12" t="str">
        <f>trimtext(SplitText($C93,",",0))</f>
        <v>OEM_FINISH</v>
      </c>
      <c r="E93" s="12" t="str">
        <f>IF(SplitText($C93,",",COLUMN(E:E)-COLUMN($D:$D))="",$D93,trimtext(SplitText($C93,",",COLUMN(E:E)-COLUMN($D:$D))))</f>
        <v>OEM_FINISH</v>
      </c>
      <c r="F93" s="12" t="str">
        <f>IF(SplitText($C93,",",COLUMN(F:F)-COLUMN($D:$D))="",$D93,trimtext(SplitText($C93,",",COLUMN(F:F)-COLUMN($D:$D))))</f>
        <v>OEM_FINISH</v>
      </c>
      <c r="G93" s="12" t="str">
        <f>IF(SplitText($C93,",",COLUMN(G:G)-COLUMN($D:$D))="",$D93,trimtext(SplitText($C93,",",COLUMN(G:G)-COLUMN($D:$D))))</f>
        <v>OEM_FINISH</v>
      </c>
      <c r="H93" s="12" t="str">
        <f>IF(SplitText($C93,",",COLUMN(H:H)-COLUMN($D:$D))="",$D93,trimtext(SplitText($C93,",",COLUMN(H:H)-COLUMN($D:$D))))</f>
        <v>OEM_FINISH</v>
      </c>
      <c r="I93" s="12" t="str">
        <f>IF(SplitText($C93,",",COLUMN(I:I)-COLUMN($D:$D))="",$D93,trimtext(SplitText($C93,",",COLUMN(I:I)-COLUMN($D:$D))))</f>
        <v>OEM_FINISH</v>
      </c>
      <c r="J93" s="9" t="s">
        <v>274</v>
      </c>
      <c r="K93" s="12" t="str">
        <f>trimtext(SplitText($J93,",",0))</f>
        <v>NONAME</v>
      </c>
      <c r="L93" s="12" t="str">
        <f>IF(SplitText($J93,",",COLUMN(L:L)-COLUMN($K:$K))="",$K93,trimtext(SplitText($J93,",",COLUMN(L:L)-COLUMN($K:$K))))</f>
        <v>NONAME</v>
      </c>
      <c r="M93" s="12" t="str">
        <f>IF(SplitText($J93,",",COLUMN(M:M)-COLUMN($K:$K))="",$K93,trimtext(SplitText($J93,",",COLUMN(M:M)-COLUMN($K:$K))))</f>
        <v>CONVERT</v>
      </c>
      <c r="N93" s="12" t="str">
        <f>IF(SplitText($J93,",",COLUMN(N:N)-COLUMN($K:$K))="",$K93,trimtext(SplitText($J93,",",COLUMN(N:N)-COLUMN($K:$K))))</f>
        <v>OEM_FINISH</v>
      </c>
      <c r="O93" s="12" t="str">
        <f>IF(SplitText($J93,",",COLUMN(O:O)-COLUMN($K:$K))="",$K93,trimtext(SplitText($J93,",",COLUMN(O:O)-COLUMN($K:$K))))</f>
        <v>OEM_FINISH</v>
      </c>
      <c r="P93" s="12" t="str">
        <f>IF(SplitText($J93,",",COLUMN(P:P)-COLUMN($K:$K))="",$K93,trimtext(SplitText($J93,",",COLUMN(P:P)-COLUMN($K:$K))))</f>
        <v>OEM_FINISH</v>
      </c>
      <c r="Q93" s="12" t="str">
        <f>IF(SplitText($J93,",",COLUMN(Q:Q)-COLUMN($K:$K))="",$K93,trimtext(SplitText($J93,",",COLUMN(Q:Q)-COLUMN($K:$K))))</f>
        <v>OEM_FINISH</v>
      </c>
      <c r="R93" s="2" t="s">
        <v>433</v>
      </c>
      <c r="S93" s="12" t="str">
        <f>trimtext(SplitText($R93,",",0))</f>
        <v>F12</v>
      </c>
      <c r="T93" s="12" t="str">
        <f>IF(SplitText($R93,",",COLUMN(T:T)-COLUMN($S:$S))="",$S93,trimtext(SplitText($R93,",",COLUMN(T:T)-COLUMN($S:$S))))</f>
        <v>F12</v>
      </c>
      <c r="U93" s="12" t="str">
        <f>IF(SplitText($R93,",",COLUMN(U:U)-COLUMN($S:$S))="",$S93,trimtext(SplitText($R93,",",COLUMN(U:U)-COLUMN($S:$S))))</f>
        <v>NONAME</v>
      </c>
      <c r="V93" s="2" t="s">
        <v>596</v>
      </c>
      <c r="W93" s="12" t="str">
        <f>trimtext(SplitText($V93,",",0))</f>
        <v>_none_</v>
      </c>
      <c r="X93" s="12" t="str">
        <f>IF(SplitText($V93,",",COLUMN(X:X)-COLUMN($W:$W))="",$W93,trimtext(SplitText($V93,",",COLUMN(X:X)-COLUMN($W:$W))))</f>
        <v>_none_</v>
      </c>
      <c r="Y93" s="12" t="str">
        <f>IF(SplitText($V93,",",COLUMN(Y:Y)-COLUMN($W:$W))="",$W93,trimtext(SplitText($V93,",",COLUMN(Y:Y)-COLUMN($W:$W))))</f>
        <v>NONAME</v>
      </c>
      <c r="Z93" s="2" t="s">
        <v>718</v>
      </c>
      <c r="AA93" s="12" t="str">
        <f t="shared" si="9"/>
        <v>_none_</v>
      </c>
      <c r="AB93" s="2" t="s">
        <v>743</v>
      </c>
      <c r="AC93" s="12" t="str">
        <f>trimtext(SplitText($AB93,",",0))</f>
        <v>_none_</v>
      </c>
      <c r="AD93" s="12" t="str">
        <f>IF(SplitText($AB93,",",COLUMN(AD:AD)-COLUMN($AC:$AC))="",$AC93,trimtext(SplitText($AB93,",",COLUMN(AD:AD)-COLUMN($AC:$AC))))</f>
        <v>_none_</v>
      </c>
      <c r="AE93" s="18" t="str">
        <f t="shared" si="10"/>
        <v>&lt;xs:enumeration value="T5B"&gt;&lt;xs:annotation&gt;&lt;xs:documentation&gt;Typically OEM_FINISH for keyboard type 4, different values for different keyboard types&lt;/xs:documentation&gt;&lt;xs:appinfo&gt;&lt;default-vk&gt;</v>
      </c>
      <c r="AF93" s="15" t="str">
        <f>IF(D93&lt;&gt;"","&lt;vk kbd="""&amp;D$1&amp;""" vk="""&amp;D93&amp;""""&amp;IF(Scan2VKFlags!B93&lt;&gt;""," flags="""&amp;Scan2VKFlags!B93&amp;"""","")&amp;"/&gt;","")</f>
        <v>&lt;vk kbd="1" vk="OEM_FINISH"/&gt;</v>
      </c>
      <c r="AG93" s="15" t="str">
        <f>IF(E93&lt;&gt;"","&lt;vk kbd="""&amp;E$1&amp;""" vk="""&amp;E93&amp;""""&amp;IF(Scan2VKFlags!C93&lt;&gt;""," flags="""&amp;Scan2VKFlags!C93&amp;"""","")&amp;"/&gt;","")</f>
        <v>&lt;vk kbd="2" vk="OEM_FINISH"/&gt;</v>
      </c>
      <c r="AH93" s="15" t="str">
        <f>IF(F93&lt;&gt;"","&lt;vk kbd="""&amp;F$1&amp;""" vk="""&amp;F93&amp;""""&amp;IF(Scan2VKFlags!D93&lt;&gt;""," flags="""&amp;Scan2VKFlags!D93&amp;"""","")&amp;"/&gt;","")</f>
        <v>&lt;vk kbd="3" vk="OEM_FINISH"/&gt;</v>
      </c>
      <c r="AI93" s="15" t="str">
        <f>IF(G93&lt;&gt;"","&lt;vk kbd="""&amp;G$1&amp;""" vk="""&amp;G93&amp;""""&amp;IF(Scan2VKFlags!E93&lt;&gt;""," flags="""&amp;Scan2VKFlags!E93&amp;"""","")&amp;"/&gt;","")</f>
        <v>&lt;vk kbd="4" vk="OEM_FINISH"/&gt;</v>
      </c>
      <c r="AJ93" s="15" t="str">
        <f>IF(H93&lt;&gt;"","&lt;vk kbd="""&amp;H$1&amp;""" vk="""&amp;H93&amp;""""&amp;IF(Scan2VKFlags!F93&lt;&gt;""," flags="""&amp;Scan2VKFlags!F93&amp;"""","")&amp;"/&gt;","")</f>
        <v>&lt;vk kbd="5" vk="OEM_FINISH"/&gt;</v>
      </c>
      <c r="AK93" s="16" t="str">
        <f>IF(I93&lt;&gt;"","&lt;vk kbd="""&amp;I$1&amp;""" vk="""&amp;I93&amp;""""&amp;IF(Scan2VKFlags!G93&lt;&gt;""," flags="""&amp;Scan2VKFlags!G93&amp;"""","")&amp;"/&gt;","")</f>
        <v>&lt;vk kbd="6" vk="OEM_FINISH"/&gt;</v>
      </c>
      <c r="AL93" s="3" t="str">
        <f>IF(K93&lt;&gt;"","&lt;vk kbd="""&amp;K$1&amp;""" vk="""&amp;K93&amp;""""&amp;IF(Scan2VKFlags!H93&lt;&gt;""," flags="""&amp;Scan2VKFlags!H93&amp;"""","")&amp;"/&gt;","")</f>
        <v>&lt;vk kbd="7" vk="NONAME"/&gt;</v>
      </c>
      <c r="AM93" t="str">
        <f>IF(L93&lt;&gt;"","&lt;vk kbd="""&amp;L$1&amp;""" vk="""&amp;L93&amp;""""&amp;IF(Scan2VKFlags!I93&lt;&gt;""," flags="""&amp;Scan2VKFlags!I93&amp;"""","")&amp;"/&gt;","")</f>
        <v>&lt;vk kbd="8" vk="NONAME"/&gt;</v>
      </c>
      <c r="AN93" t="str">
        <f>IF(M93&lt;&gt;"","&lt;vk kbd="""&amp;M$1&amp;""" vk="""&amp;M93&amp;""""&amp;IF(Scan2VKFlags!J93&lt;&gt;""," flags="""&amp;Scan2VKFlags!J93&amp;"""","")&amp;"/&gt;","")</f>
        <v>&lt;vk kbd="16" vk="CONVERT"/&gt;</v>
      </c>
      <c r="AO93" t="str">
        <f>IF(N93&lt;&gt;"","&lt;vk kbd="""&amp;N$1&amp;""" vk="""&amp;N93&amp;""""&amp;IF(Scan2VKFlags!K93&lt;&gt;""," flags="""&amp;Scan2VKFlags!K93&amp;"""","")&amp;"/&gt;","")</f>
        <v>&lt;vk kbd="10" vk="OEM_FINISH"/&gt;</v>
      </c>
      <c r="AP93" t="str">
        <f>IF(O93&lt;&gt;"","&lt;vk kbd="""&amp;O$1&amp;""" vk="""&amp;O93&amp;""""&amp;IF(Scan2VKFlags!L93&lt;&gt;""," flags="""&amp;Scan2VKFlags!L93&amp;"""","")&amp;"/&gt;","")</f>
        <v>&lt;vk kbd="11" vk="OEM_FINISH"/&gt;</v>
      </c>
      <c r="AQ93" t="str">
        <f>IF(P93&lt;&gt;"","&lt;vk kbd="""&amp;P$1&amp;""" vk="""&amp;P93&amp;""""&amp;IF(Scan2VKFlags!M93&lt;&gt;""," flags="""&amp;Scan2VKFlags!M93&amp;"""","")&amp;"/&gt;","")</f>
        <v>&lt;vk kbd="12" vk="OEM_FINISH"/&gt;</v>
      </c>
      <c r="AR93" s="16" t="str">
        <f>IF(Q93&lt;&gt;"","&lt;vk kbd="""&amp;Q$1&amp;""" vk="""&amp;Q93&amp;""""&amp;IF(Scan2VKFlags!N93&lt;&gt;""," flags="""&amp;Scan2VKFlags!N93&amp;"""","")&amp;"/&gt;","")</f>
        <v>&lt;vk kbd="13" vk="OEM_FINISH"/&gt;</v>
      </c>
      <c r="AS93" s="3" t="str">
        <f>IF(S93&lt;&gt;"","&lt;vk kbd="""&amp;S$1&amp;""" vk="""&amp;S93&amp;""""&amp;IF(Scan2VKFlags!O93&lt;&gt;""," flags="""&amp;Scan2VKFlags!O93&amp;"""","")&amp;"/&gt;","")</f>
        <v>&lt;vk kbd="20" vk="F12"/&gt;</v>
      </c>
      <c r="AT93" t="str">
        <f>IF(T93&lt;&gt;"","&lt;vk kbd="""&amp;T$1&amp;""" vk="""&amp;T93&amp;""""&amp;IF(Scan2VKFlags!P93&lt;&gt;""," flags="""&amp;Scan2VKFlags!P93&amp;"""","")&amp;"/&gt;","")</f>
        <v>&lt;vk kbd="21" vk="F12"/&gt;</v>
      </c>
      <c r="AU93" s="16" t="str">
        <f>IF(U93&lt;&gt;"","&lt;vk kbd="""&amp;U$1&amp;""" vk="""&amp;U93&amp;""""&amp;IF(Scan2VKFlags!Q93&lt;&gt;""," flags="""&amp;Scan2VKFlags!Q93&amp;"""","")&amp;"/&gt;","")</f>
        <v>&lt;vk kbd="22" vk="NONAME"/&gt;</v>
      </c>
      <c r="AV93" s="3" t="str">
        <f>IF(W93&lt;&gt;"","&lt;vk kbd="""&amp;W$1&amp;""" vk="""&amp;W93&amp;""""&amp;IF(Scan2VKFlags!R93&lt;&gt;""," flags="""&amp;Scan2VKFlags!R93&amp;"""","")&amp;"/&gt;","")</f>
        <v>&lt;vk kbd="30" vk="_none_"/&gt;</v>
      </c>
      <c r="AW93" s="15" t="str">
        <f>IF(X93&lt;&gt;"","&lt;vk kbd="""&amp;X$1&amp;""" vk="""&amp;X93&amp;""""&amp;IF(Scan2VKFlags!S93&lt;&gt;""," flags="""&amp;Scan2VKFlags!S93&amp;"""","")&amp;"/&gt;","")</f>
        <v>&lt;vk kbd="33" vk="_none_"/&gt;</v>
      </c>
      <c r="AX93" s="15" t="str">
        <f>IF(Y93&lt;&gt;"","&lt;vk kbd="""&amp;Y$1&amp;""" vk="""&amp;Y93&amp;""""&amp;IF(Scan2VKFlags!T93&lt;&gt;""," flags="""&amp;Scan2VKFlags!T93&amp;"""","")&amp;"/&gt;","")</f>
        <v>&lt;vk kbd="34" vk="NONAME"/&gt;</v>
      </c>
      <c r="AY93" s="18" t="str">
        <f>IF(AA93&lt;&gt;"","&lt;vk kbd="""&amp;AA$1&amp;""" vk="""&amp;AA93&amp;""""&amp;IF(Scan2VKFlags!U93&lt;&gt;""," flags="""&amp;Scan2VKFlags!U93&amp;"""","")&amp;"/&gt;","")</f>
        <v>&lt;vk kbd="37" vk="_none_"/&gt;</v>
      </c>
      <c r="AZ93" s="3" t="str">
        <f>IF(AC93&lt;&gt;"","&lt;vk kbd="""&amp;AC$1&amp;""" vk="""&amp;AC93&amp;""""&amp;IF(Scan2VKFlags!V93&lt;&gt;""," flags="""&amp;Scan2VKFlags!V93&amp;"""","")&amp;"/&gt;","")</f>
        <v>&lt;vk kbd="40" vk="_none_"/&gt;</v>
      </c>
      <c r="BA93" s="16" t="str">
        <f>IF(AD93&lt;&gt;"","&lt;vk kbd="""&amp;AD$1&amp;""" vk="""&amp;AD93&amp;""""&amp;IF(Scan2VKFlags!W93&lt;&gt;""," flags="""&amp;Scan2VKFlags!W93&amp;"""","")&amp;"/&gt;","")</f>
        <v>&lt;vk kbd="41" vk="_none_"/&gt;</v>
      </c>
      <c r="BB93" t="s">
        <v>854</v>
      </c>
    </row>
    <row r="94" spans="1:54" x14ac:dyDescent="0.25">
      <c r="A94">
        <f t="shared" si="11"/>
        <v>92</v>
      </c>
      <c r="B94" t="str">
        <f t="shared" si="8"/>
        <v>T5C</v>
      </c>
      <c r="C94" s="7" t="s">
        <v>90</v>
      </c>
      <c r="D94" s="12" t="str">
        <f>trimtext(SplitText($C94,",",0))</f>
        <v>OEM_JUMP</v>
      </c>
      <c r="E94" s="12" t="str">
        <f>IF(SplitText($C94,",",COLUMN(E:E)-COLUMN($D:$D))="",$D94,trimtext(SplitText($C94,",",COLUMN(E:E)-COLUMN($D:$D))))</f>
        <v>OEM_JUMP</v>
      </c>
      <c r="F94" s="12" t="str">
        <f>IF(SplitText($C94,",",COLUMN(F:F)-COLUMN($D:$D))="",$D94,trimtext(SplitText($C94,",",COLUMN(F:F)-COLUMN($D:$D))))</f>
        <v>OEM_JUMP</v>
      </c>
      <c r="G94" s="12" t="str">
        <f>IF(SplitText($C94,",",COLUMN(G:G)-COLUMN($D:$D))="",$D94,trimtext(SplitText($C94,",",COLUMN(G:G)-COLUMN($D:$D))))</f>
        <v>OEM_JUMP</v>
      </c>
      <c r="H94" s="12" t="str">
        <f>IF(SplitText($C94,",",COLUMN(H:H)-COLUMN($D:$D))="",$D94,trimtext(SplitText($C94,",",COLUMN(H:H)-COLUMN($D:$D))))</f>
        <v>OEM_JUMP</v>
      </c>
      <c r="I94" s="12" t="str">
        <f>IF(SplitText($C94,",",COLUMN(I:I)-COLUMN($D:$D))="",$D94,trimtext(SplitText($C94,",",COLUMN(I:I)-COLUMN($D:$D))))</f>
        <v>OEM_JUMP</v>
      </c>
      <c r="J94" s="9" t="s">
        <v>275</v>
      </c>
      <c r="K94" s="12" t="str">
        <f>trimtext(SplitText($J94,",",0))</f>
        <v>NONAME</v>
      </c>
      <c r="L94" s="12" t="str">
        <f>IF(SplitText($J94,",",COLUMN(L:L)-COLUMN($K:$K))="",$K94,trimtext(SplitText($J94,",",COLUMN(L:L)-COLUMN($K:$K))))</f>
        <v>NONAME</v>
      </c>
      <c r="M94" s="12" t="str">
        <f>IF(SplitText($J94,",",COLUMN(M:M)-COLUMN($K:$K))="",$K94,trimtext(SplitText($J94,",",COLUMN(M:M)-COLUMN($K:$K))))</f>
        <v>OEM_AX</v>
      </c>
      <c r="N94" s="12" t="str">
        <f>IF(SplitText($J94,",",COLUMN(N:N)-COLUMN($K:$K))="",$K94,trimtext(SplitText($J94,",",COLUMN(N:N)-COLUMN($K:$K))))</f>
        <v>OEM_JUMP</v>
      </c>
      <c r="O94" s="12" t="str">
        <f>IF(SplitText($J94,",",COLUMN(O:O)-COLUMN($K:$K))="",$K94,trimtext(SplitText($J94,",",COLUMN(O:O)-COLUMN($K:$K))))</f>
        <v>OEM_JUMP</v>
      </c>
      <c r="P94" s="12" t="str">
        <f>IF(SplitText($J94,",",COLUMN(P:P)-COLUMN($K:$K))="",$K94,trimtext(SplitText($J94,",",COLUMN(P:P)-COLUMN($K:$K))))</f>
        <v>OEM_JUMP</v>
      </c>
      <c r="Q94" s="12" t="str">
        <f>IF(SplitText($J94,",",COLUMN(Q:Q)-COLUMN($K:$K))="",$K94,trimtext(SplitText($J94,",",COLUMN(Q:Q)-COLUMN($K:$K))))</f>
        <v>OEM_JUMP</v>
      </c>
      <c r="R94" s="2" t="s">
        <v>434</v>
      </c>
      <c r="S94" s="12" t="str">
        <f>trimtext(SplitText($R94,",",0))</f>
        <v>LMENU</v>
      </c>
      <c r="T94" s="12" t="str">
        <f>IF(SplitText($R94,",",COLUMN(T:T)-COLUMN($S:$S))="",$S94,trimtext(SplitText($R94,",",COLUMN(T:T)-COLUMN($S:$S))))</f>
        <v>LMENU</v>
      </c>
      <c r="U94" s="12" t="str">
        <f>IF(SplitText($R94,",",COLUMN(U:U)-COLUMN($S:$S))="",$S94,trimtext(SplitText($R94,",",COLUMN(U:U)-COLUMN($S:$S))))</f>
        <v>NONAME</v>
      </c>
      <c r="V94" s="2" t="s">
        <v>597</v>
      </c>
      <c r="W94" s="12" t="str">
        <f>trimtext(SplitText($V94,",",0))</f>
        <v>SEPARATOR</v>
      </c>
      <c r="X94" s="12" t="str">
        <f>IF(SplitText($V94,",",COLUMN(X:X)-COLUMN($W:$W))="",$W94,trimtext(SplitText($V94,",",COLUMN(X:X)-COLUMN($W:$W))))</f>
        <v>SEPARATOR</v>
      </c>
      <c r="Y94" s="12" t="str">
        <f>IF(SplitText($V94,",",COLUMN(Y:Y)-COLUMN($W:$W))="",$W94,trimtext(SplitText($V94,",",COLUMN(Y:Y)-COLUMN($W:$W))))</f>
        <v>SEPARATOR</v>
      </c>
      <c r="Z94" s="2" t="s">
        <v>660</v>
      </c>
      <c r="AA94" s="12" t="str">
        <f t="shared" si="9"/>
        <v>RETURN</v>
      </c>
      <c r="AB94" s="2" t="s">
        <v>743</v>
      </c>
      <c r="AC94" s="12" t="str">
        <f>trimtext(SplitText($AB94,",",0))</f>
        <v>_none_</v>
      </c>
      <c r="AD94" s="12" t="str">
        <f>IF(SplitText($AB94,",",COLUMN(AD:AD)-COLUMN($AC:$AC))="",$AC94,trimtext(SplitText($AB94,",",COLUMN(AD:AD)-COLUMN($AC:$AC))))</f>
        <v>_none_</v>
      </c>
      <c r="AE94" s="18" t="str">
        <f t="shared" si="10"/>
        <v>&lt;xs:enumeration value="T5C"&gt;&lt;xs:annotation&gt;&lt;xs:documentation&gt;Typically OEM_JUMP for keyboard type 4, different values for different keyboard types&lt;/xs:documentation&gt;&lt;xs:appinfo&gt;&lt;default-vk&gt;</v>
      </c>
      <c r="AF94" s="15" t="str">
        <f>IF(D94&lt;&gt;"","&lt;vk kbd="""&amp;D$1&amp;""" vk="""&amp;D94&amp;""""&amp;IF(Scan2VKFlags!B94&lt;&gt;""," flags="""&amp;Scan2VKFlags!B94&amp;"""","")&amp;"/&gt;","")</f>
        <v>&lt;vk kbd="1" vk="OEM_JUMP"/&gt;</v>
      </c>
      <c r="AG94" s="15" t="str">
        <f>IF(E94&lt;&gt;"","&lt;vk kbd="""&amp;E$1&amp;""" vk="""&amp;E94&amp;""""&amp;IF(Scan2VKFlags!C94&lt;&gt;""," flags="""&amp;Scan2VKFlags!C94&amp;"""","")&amp;"/&gt;","")</f>
        <v>&lt;vk kbd="2" vk="OEM_JUMP"/&gt;</v>
      </c>
      <c r="AH94" s="15" t="str">
        <f>IF(F94&lt;&gt;"","&lt;vk kbd="""&amp;F$1&amp;""" vk="""&amp;F94&amp;""""&amp;IF(Scan2VKFlags!D94&lt;&gt;""," flags="""&amp;Scan2VKFlags!D94&amp;"""","")&amp;"/&gt;","")</f>
        <v>&lt;vk kbd="3" vk="OEM_JUMP"/&gt;</v>
      </c>
      <c r="AI94" s="15" t="str">
        <f>IF(G94&lt;&gt;"","&lt;vk kbd="""&amp;G$1&amp;""" vk="""&amp;G94&amp;""""&amp;IF(Scan2VKFlags!E94&lt;&gt;""," flags="""&amp;Scan2VKFlags!E94&amp;"""","")&amp;"/&gt;","")</f>
        <v>&lt;vk kbd="4" vk="OEM_JUMP"/&gt;</v>
      </c>
      <c r="AJ94" s="15" t="str">
        <f>IF(H94&lt;&gt;"","&lt;vk kbd="""&amp;H$1&amp;""" vk="""&amp;H94&amp;""""&amp;IF(Scan2VKFlags!F94&lt;&gt;""," flags="""&amp;Scan2VKFlags!F94&amp;"""","")&amp;"/&gt;","")</f>
        <v>&lt;vk kbd="5" vk="OEM_JUMP"/&gt;</v>
      </c>
      <c r="AK94" s="16" t="str">
        <f>IF(I94&lt;&gt;"","&lt;vk kbd="""&amp;I$1&amp;""" vk="""&amp;I94&amp;""""&amp;IF(Scan2VKFlags!G94&lt;&gt;""," flags="""&amp;Scan2VKFlags!G94&amp;"""","")&amp;"/&gt;","")</f>
        <v>&lt;vk kbd="6" vk="OEM_JUMP"/&gt;</v>
      </c>
      <c r="AL94" s="3" t="str">
        <f>IF(K94&lt;&gt;"","&lt;vk kbd="""&amp;K$1&amp;""" vk="""&amp;K94&amp;""""&amp;IF(Scan2VKFlags!H94&lt;&gt;""," flags="""&amp;Scan2VKFlags!H94&amp;"""","")&amp;"/&gt;","")</f>
        <v>&lt;vk kbd="7" vk="NONAME"/&gt;</v>
      </c>
      <c r="AM94" t="str">
        <f>IF(L94&lt;&gt;"","&lt;vk kbd="""&amp;L$1&amp;""" vk="""&amp;L94&amp;""""&amp;IF(Scan2VKFlags!I94&lt;&gt;""," flags="""&amp;Scan2VKFlags!I94&amp;"""","")&amp;"/&gt;","")</f>
        <v>&lt;vk kbd="8" vk="NONAME"/&gt;</v>
      </c>
      <c r="AN94" t="str">
        <f>IF(M94&lt;&gt;"","&lt;vk kbd="""&amp;M$1&amp;""" vk="""&amp;M94&amp;""""&amp;IF(Scan2VKFlags!J94&lt;&gt;""," flags="""&amp;Scan2VKFlags!J94&amp;"""","")&amp;"/&gt;","")</f>
        <v>&lt;vk kbd="16" vk="OEM_AX"/&gt;</v>
      </c>
      <c r="AO94" t="str">
        <f>IF(N94&lt;&gt;"","&lt;vk kbd="""&amp;N$1&amp;""" vk="""&amp;N94&amp;""""&amp;IF(Scan2VKFlags!K94&lt;&gt;""," flags="""&amp;Scan2VKFlags!K94&amp;"""","")&amp;"/&gt;","")</f>
        <v>&lt;vk kbd="10" vk="OEM_JUMP"/&gt;</v>
      </c>
      <c r="AP94" t="str">
        <f>IF(O94&lt;&gt;"","&lt;vk kbd="""&amp;O$1&amp;""" vk="""&amp;O94&amp;""""&amp;IF(Scan2VKFlags!L94&lt;&gt;""," flags="""&amp;Scan2VKFlags!L94&amp;"""","")&amp;"/&gt;","")</f>
        <v>&lt;vk kbd="11" vk="OEM_JUMP"/&gt;</v>
      </c>
      <c r="AQ94" t="str">
        <f>IF(P94&lt;&gt;"","&lt;vk kbd="""&amp;P$1&amp;""" vk="""&amp;P94&amp;""""&amp;IF(Scan2VKFlags!M94&lt;&gt;""," flags="""&amp;Scan2VKFlags!M94&amp;"""","")&amp;"/&gt;","")</f>
        <v>&lt;vk kbd="12" vk="OEM_JUMP"/&gt;</v>
      </c>
      <c r="AR94" s="16" t="str">
        <f>IF(Q94&lt;&gt;"","&lt;vk kbd="""&amp;Q$1&amp;""" vk="""&amp;Q94&amp;""""&amp;IF(Scan2VKFlags!N94&lt;&gt;""," flags="""&amp;Scan2VKFlags!N94&amp;"""","")&amp;"/&gt;","")</f>
        <v>&lt;vk kbd="13" vk="OEM_JUMP"/&gt;</v>
      </c>
      <c r="AS94" s="3" t="str">
        <f>IF(S94&lt;&gt;"","&lt;vk kbd="""&amp;S$1&amp;""" vk="""&amp;S94&amp;""""&amp;IF(Scan2VKFlags!O94&lt;&gt;""," flags="""&amp;Scan2VKFlags!O94&amp;"""","")&amp;"/&gt;","")</f>
        <v>&lt;vk kbd="20" vk="LMENU"/&gt;</v>
      </c>
      <c r="AT94" t="str">
        <f>IF(T94&lt;&gt;"","&lt;vk kbd="""&amp;T$1&amp;""" vk="""&amp;T94&amp;""""&amp;IF(Scan2VKFlags!P94&lt;&gt;""," flags="""&amp;Scan2VKFlags!P94&amp;"""","")&amp;"/&gt;","")</f>
        <v>&lt;vk kbd="21" vk="LMENU"/&gt;</v>
      </c>
      <c r="AU94" s="16" t="str">
        <f>IF(U94&lt;&gt;"","&lt;vk kbd="""&amp;U$1&amp;""" vk="""&amp;U94&amp;""""&amp;IF(Scan2VKFlags!Q94&lt;&gt;""," flags="""&amp;Scan2VKFlags!Q94&amp;"""","")&amp;"/&gt;","")</f>
        <v>&lt;vk kbd="22" vk="NONAME"/&gt;</v>
      </c>
      <c r="AV94" s="3" t="str">
        <f>IF(W94&lt;&gt;"","&lt;vk kbd="""&amp;W$1&amp;""" vk="""&amp;W94&amp;""""&amp;IF(Scan2VKFlags!R94&lt;&gt;""," flags="""&amp;Scan2VKFlags!R94&amp;"""","")&amp;"/&gt;","")</f>
        <v>&lt;vk kbd="30" vk="SEPARATOR"/&gt;</v>
      </c>
      <c r="AW94" s="15" t="str">
        <f>IF(X94&lt;&gt;"","&lt;vk kbd="""&amp;X$1&amp;""" vk="""&amp;X94&amp;""""&amp;IF(Scan2VKFlags!S94&lt;&gt;""," flags="""&amp;Scan2VKFlags!S94&amp;"""","")&amp;"/&gt;","")</f>
        <v>&lt;vk kbd="33" vk="SEPARATOR"/&gt;</v>
      </c>
      <c r="AX94" s="15" t="str">
        <f>IF(Y94&lt;&gt;"","&lt;vk kbd="""&amp;Y$1&amp;""" vk="""&amp;Y94&amp;""""&amp;IF(Scan2VKFlags!T94&lt;&gt;""," flags="""&amp;Scan2VKFlags!T94&amp;"""","")&amp;"/&gt;","")</f>
        <v>&lt;vk kbd="34" vk="SEPARATOR"/&gt;</v>
      </c>
      <c r="AY94" s="18" t="str">
        <f>IF(AA94&lt;&gt;"","&lt;vk kbd="""&amp;AA$1&amp;""" vk="""&amp;AA94&amp;""""&amp;IF(Scan2VKFlags!U94&lt;&gt;""," flags="""&amp;Scan2VKFlags!U94&amp;"""","")&amp;"/&gt;","")</f>
        <v>&lt;vk kbd="37" vk="RETURN"/&gt;</v>
      </c>
      <c r="AZ94" s="3" t="str">
        <f>IF(AC94&lt;&gt;"","&lt;vk kbd="""&amp;AC$1&amp;""" vk="""&amp;AC94&amp;""""&amp;IF(Scan2VKFlags!V94&lt;&gt;""," flags="""&amp;Scan2VKFlags!V94&amp;"""","")&amp;"/&gt;","")</f>
        <v>&lt;vk kbd="40" vk="_none_"/&gt;</v>
      </c>
      <c r="BA94" s="16" t="str">
        <f>IF(AD94&lt;&gt;"","&lt;vk kbd="""&amp;AD$1&amp;""" vk="""&amp;AD94&amp;""""&amp;IF(Scan2VKFlags!W94&lt;&gt;""," flags="""&amp;Scan2VKFlags!W94&amp;"""","")&amp;"/&gt;","")</f>
        <v>&lt;vk kbd="41" vk="_none_"/&gt;</v>
      </c>
      <c r="BB94" t="s">
        <v>854</v>
      </c>
    </row>
    <row r="95" spans="1:54" x14ac:dyDescent="0.25">
      <c r="A95">
        <f t="shared" si="11"/>
        <v>93</v>
      </c>
      <c r="B95" t="str">
        <f t="shared" si="8"/>
        <v>T5D</v>
      </c>
      <c r="C95" s="7" t="s">
        <v>91</v>
      </c>
      <c r="D95" s="12" t="str">
        <f>trimtext(SplitText($C95,",",0))</f>
        <v>EREOF</v>
      </c>
      <c r="E95" s="12" t="str">
        <f>IF(SplitText($C95,",",COLUMN(E:E)-COLUMN($D:$D))="",$D95,trimtext(SplitText($C95,",",COLUMN(E:E)-COLUMN($D:$D))))</f>
        <v>EREOF</v>
      </c>
      <c r="F95" s="12" t="str">
        <f>IF(SplitText($C95,",",COLUMN(F:F)-COLUMN($D:$D))="",$D95,trimtext(SplitText($C95,",",COLUMN(F:F)-COLUMN($D:$D))))</f>
        <v>EREOF</v>
      </c>
      <c r="G95" s="12" t="str">
        <f>IF(SplitText($C95,",",COLUMN(G:G)-COLUMN($D:$D))="",$D95,trimtext(SplitText($C95,",",COLUMN(G:G)-COLUMN($D:$D))))</f>
        <v>EREOF</v>
      </c>
      <c r="H95" s="12" t="str">
        <f>IF(SplitText($C95,",",COLUMN(H:H)-COLUMN($D:$D))="",$D95,trimtext(SplitText($C95,",",COLUMN(H:H)-COLUMN($D:$D))))</f>
        <v>EREOF</v>
      </c>
      <c r="I95" s="12" t="str">
        <f>IF(SplitText($C95,",",COLUMN(I:I)-COLUMN($D:$D))="",$D95,trimtext(SplitText($C95,",",COLUMN(I:I)-COLUMN($D:$D))))</f>
        <v>EREOF</v>
      </c>
      <c r="J95" s="9" t="s">
        <v>276</v>
      </c>
      <c r="K95" s="12" t="str">
        <f>trimtext(SplitText($J95,",",0))</f>
        <v>EREOF</v>
      </c>
      <c r="L95" s="12" t="str">
        <f>IF(SplitText($J95,",",COLUMN(L:L)-COLUMN($K:$K))="",$K95,trimtext(SplitText($J95,",",COLUMN(L:L)-COLUMN($K:$K))))</f>
        <v>EREOF</v>
      </c>
      <c r="M95" s="12" t="str">
        <f>IF(SplitText($J95,",",COLUMN(M:M)-COLUMN($K:$K))="",$K95,trimtext(SplitText($J95,",",COLUMN(M:M)-COLUMN($K:$K))))</f>
        <v>EREOF</v>
      </c>
      <c r="N95" s="12" t="str">
        <f>IF(SplitText($J95,",",COLUMN(N:N)-COLUMN($K:$K))="",$K95,trimtext(SplitText($J95,",",COLUMN(N:N)-COLUMN($K:$K))))</f>
        <v>EREOF</v>
      </c>
      <c r="O95" s="12" t="str">
        <f>IF(SplitText($J95,",",COLUMN(O:O)-COLUMN($K:$K))="",$K95,trimtext(SplitText($J95,",",COLUMN(O:O)-COLUMN($K:$K))))</f>
        <v>EREOF</v>
      </c>
      <c r="P95" s="12" t="str">
        <f>IF(SplitText($J95,",",COLUMN(P:P)-COLUMN($K:$K))="",$K95,trimtext(SplitText($J95,",",COLUMN(P:P)-COLUMN($K:$K))))</f>
        <v>EREOF</v>
      </c>
      <c r="Q95" s="12" t="str">
        <f>IF(SplitText($J95,",",COLUMN(Q:Q)-COLUMN($K:$K))="",$K95,trimtext(SplitText($J95,",",COLUMN(Q:Q)-COLUMN($K:$K))))</f>
        <v>EREOF</v>
      </c>
      <c r="R95" s="2" t="s">
        <v>435</v>
      </c>
      <c r="S95" s="12" t="str">
        <f>trimtext(SplitText($R95,",",0))</f>
        <v>F1</v>
      </c>
      <c r="T95" s="12" t="str">
        <f>IF(SplitText($R95,",",COLUMN(T:T)-COLUMN($S:$S))="",$S95,trimtext(SplitText($R95,",",COLUMN(T:T)-COLUMN($S:$S))))</f>
        <v>F1</v>
      </c>
      <c r="U95" s="12" t="str">
        <f>IF(SplitText($R95,",",COLUMN(U:U)-COLUMN($S:$S))="",$S95,trimtext(SplitText($R95,",",COLUMN(U:U)-COLUMN($S:$S))))</f>
        <v>EREOF</v>
      </c>
      <c r="V95" s="2" t="s">
        <v>598</v>
      </c>
      <c r="W95" s="12" t="str">
        <f>trimtext(SplitText($V95,",",0))</f>
        <v>F13</v>
      </c>
      <c r="X95" s="12" t="str">
        <f>IF(SplitText($V95,",",COLUMN(X:X)-COLUMN($W:$W))="",$W95,trimtext(SplitText($V95,",",COLUMN(X:X)-COLUMN($W:$W))))</f>
        <v>F13</v>
      </c>
      <c r="Y95" s="12" t="str">
        <f>IF(SplitText($V95,",",COLUMN(Y:Y)-COLUMN($W:$W))="",$W95,trimtext(SplitText($V95,",",COLUMN(Y:Y)-COLUMN($W:$W))))</f>
        <v>F13</v>
      </c>
      <c r="Z95" s="2" t="s">
        <v>718</v>
      </c>
      <c r="AA95" s="12" t="str">
        <f t="shared" si="9"/>
        <v>_none_</v>
      </c>
      <c r="AB95" s="2" t="s">
        <v>743</v>
      </c>
      <c r="AC95" s="12" t="str">
        <f>trimtext(SplitText($AB95,",",0))</f>
        <v>_none_</v>
      </c>
      <c r="AD95" s="12" t="str">
        <f>IF(SplitText($AB95,",",COLUMN(AD:AD)-COLUMN($AC:$AC))="",$AC95,trimtext(SplitText($AB95,",",COLUMN(AD:AD)-COLUMN($AC:$AC))))</f>
        <v>_none_</v>
      </c>
      <c r="AE95" s="18" t="str">
        <f t="shared" si="10"/>
        <v>&lt;xs:enumeration value="T5D"&gt;&lt;xs:annotation&gt;&lt;xs:documentation&gt;Typically EREOF for keyboard type 4, different values for different keyboard types&lt;/xs:documentation&gt;&lt;xs:appinfo&gt;&lt;default-vk&gt;</v>
      </c>
      <c r="AF95" s="15" t="str">
        <f>IF(D95&lt;&gt;"","&lt;vk kbd="""&amp;D$1&amp;""" vk="""&amp;D95&amp;""""&amp;IF(Scan2VKFlags!B95&lt;&gt;""," flags="""&amp;Scan2VKFlags!B95&amp;"""","")&amp;"/&gt;","")</f>
        <v>&lt;vk kbd="1" vk="EREOF"/&gt;</v>
      </c>
      <c r="AG95" s="15" t="str">
        <f>IF(E95&lt;&gt;"","&lt;vk kbd="""&amp;E$1&amp;""" vk="""&amp;E95&amp;""""&amp;IF(Scan2VKFlags!C95&lt;&gt;""," flags="""&amp;Scan2VKFlags!C95&amp;"""","")&amp;"/&gt;","")</f>
        <v>&lt;vk kbd="2" vk="EREOF"/&gt;</v>
      </c>
      <c r="AH95" s="15" t="str">
        <f>IF(F95&lt;&gt;"","&lt;vk kbd="""&amp;F$1&amp;""" vk="""&amp;F95&amp;""""&amp;IF(Scan2VKFlags!D95&lt;&gt;""," flags="""&amp;Scan2VKFlags!D95&amp;"""","")&amp;"/&gt;","")</f>
        <v>&lt;vk kbd="3" vk="EREOF"/&gt;</v>
      </c>
      <c r="AI95" s="15" t="str">
        <f>IF(G95&lt;&gt;"","&lt;vk kbd="""&amp;G$1&amp;""" vk="""&amp;G95&amp;""""&amp;IF(Scan2VKFlags!E95&lt;&gt;""," flags="""&amp;Scan2VKFlags!E95&amp;"""","")&amp;"/&gt;","")</f>
        <v>&lt;vk kbd="4" vk="EREOF"/&gt;</v>
      </c>
      <c r="AJ95" s="15" t="str">
        <f>IF(H95&lt;&gt;"","&lt;vk kbd="""&amp;H$1&amp;""" vk="""&amp;H95&amp;""""&amp;IF(Scan2VKFlags!F95&lt;&gt;""," flags="""&amp;Scan2VKFlags!F95&amp;"""","")&amp;"/&gt;","")</f>
        <v>&lt;vk kbd="5" vk="EREOF"/&gt;</v>
      </c>
      <c r="AK95" s="16" t="str">
        <f>IF(I95&lt;&gt;"","&lt;vk kbd="""&amp;I$1&amp;""" vk="""&amp;I95&amp;""""&amp;IF(Scan2VKFlags!G95&lt;&gt;""," flags="""&amp;Scan2VKFlags!G95&amp;"""","")&amp;"/&gt;","")</f>
        <v>&lt;vk kbd="6" vk="EREOF"/&gt;</v>
      </c>
      <c r="AL95" s="3" t="str">
        <f>IF(K95&lt;&gt;"","&lt;vk kbd="""&amp;K$1&amp;""" vk="""&amp;K95&amp;""""&amp;IF(Scan2VKFlags!H95&lt;&gt;""," flags="""&amp;Scan2VKFlags!H95&amp;"""","")&amp;"/&gt;","")</f>
        <v>&lt;vk kbd="7" vk="EREOF"/&gt;</v>
      </c>
      <c r="AM95" t="str">
        <f>IF(L95&lt;&gt;"","&lt;vk kbd="""&amp;L$1&amp;""" vk="""&amp;L95&amp;""""&amp;IF(Scan2VKFlags!I95&lt;&gt;""," flags="""&amp;Scan2VKFlags!I95&amp;"""","")&amp;"/&gt;","")</f>
        <v>&lt;vk kbd="8" vk="EREOF"/&gt;</v>
      </c>
      <c r="AN95" t="str">
        <f>IF(M95&lt;&gt;"","&lt;vk kbd="""&amp;M$1&amp;""" vk="""&amp;M95&amp;""""&amp;IF(Scan2VKFlags!J95&lt;&gt;""," flags="""&amp;Scan2VKFlags!J95&amp;"""","")&amp;"/&gt;","")</f>
        <v>&lt;vk kbd="16" vk="EREOF"/&gt;</v>
      </c>
      <c r="AO95" t="str">
        <f>IF(N95&lt;&gt;"","&lt;vk kbd="""&amp;N$1&amp;""" vk="""&amp;N95&amp;""""&amp;IF(Scan2VKFlags!K95&lt;&gt;""," flags="""&amp;Scan2VKFlags!K95&amp;"""","")&amp;"/&gt;","")</f>
        <v>&lt;vk kbd="10" vk="EREOF"/&gt;</v>
      </c>
      <c r="AP95" t="str">
        <f>IF(O95&lt;&gt;"","&lt;vk kbd="""&amp;O$1&amp;""" vk="""&amp;O95&amp;""""&amp;IF(Scan2VKFlags!L95&lt;&gt;""," flags="""&amp;Scan2VKFlags!L95&amp;"""","")&amp;"/&gt;","")</f>
        <v>&lt;vk kbd="11" vk="EREOF"/&gt;</v>
      </c>
      <c r="AQ95" t="str">
        <f>IF(P95&lt;&gt;"","&lt;vk kbd="""&amp;P$1&amp;""" vk="""&amp;P95&amp;""""&amp;IF(Scan2VKFlags!M95&lt;&gt;""," flags="""&amp;Scan2VKFlags!M95&amp;"""","")&amp;"/&gt;","")</f>
        <v>&lt;vk kbd="12" vk="EREOF"/&gt;</v>
      </c>
      <c r="AR95" s="16" t="str">
        <f>IF(Q95&lt;&gt;"","&lt;vk kbd="""&amp;Q$1&amp;""" vk="""&amp;Q95&amp;""""&amp;IF(Scan2VKFlags!N95&lt;&gt;""," flags="""&amp;Scan2VKFlags!N95&amp;"""","")&amp;"/&gt;","")</f>
        <v>&lt;vk kbd="13" vk="EREOF"/&gt;</v>
      </c>
      <c r="AS95" s="3" t="str">
        <f>IF(S95&lt;&gt;"","&lt;vk kbd="""&amp;S$1&amp;""" vk="""&amp;S95&amp;""""&amp;IF(Scan2VKFlags!O95&lt;&gt;""," flags="""&amp;Scan2VKFlags!O95&amp;"""","")&amp;"/&gt;","")</f>
        <v>&lt;vk kbd="20" vk="F1"/&gt;</v>
      </c>
      <c r="AT95" t="str">
        <f>IF(T95&lt;&gt;"","&lt;vk kbd="""&amp;T$1&amp;""" vk="""&amp;T95&amp;""""&amp;IF(Scan2VKFlags!P95&lt;&gt;""," flags="""&amp;Scan2VKFlags!P95&amp;"""","")&amp;"/&gt;","")</f>
        <v>&lt;vk kbd="21" vk="F1"/&gt;</v>
      </c>
      <c r="AU95" s="16" t="str">
        <f>IF(U95&lt;&gt;"","&lt;vk kbd="""&amp;U$1&amp;""" vk="""&amp;U95&amp;""""&amp;IF(Scan2VKFlags!Q95&lt;&gt;""," flags="""&amp;Scan2VKFlags!Q95&amp;"""","")&amp;"/&gt;","")</f>
        <v>&lt;vk kbd="22" vk="EREOF"/&gt;</v>
      </c>
      <c r="AV95" s="3" t="str">
        <f>IF(W95&lt;&gt;"","&lt;vk kbd="""&amp;W$1&amp;""" vk="""&amp;W95&amp;""""&amp;IF(Scan2VKFlags!R95&lt;&gt;""," flags="""&amp;Scan2VKFlags!R95&amp;"""","")&amp;"/&gt;","")</f>
        <v>&lt;vk kbd="30" vk="F13"/&gt;</v>
      </c>
      <c r="AW95" s="15" t="str">
        <f>IF(X95&lt;&gt;"","&lt;vk kbd="""&amp;X$1&amp;""" vk="""&amp;X95&amp;""""&amp;IF(Scan2VKFlags!S95&lt;&gt;""," flags="""&amp;Scan2VKFlags!S95&amp;"""","")&amp;"/&gt;","")</f>
        <v>&lt;vk kbd="33" vk="F13"/&gt;</v>
      </c>
      <c r="AX95" s="15" t="str">
        <f>IF(Y95&lt;&gt;"","&lt;vk kbd="""&amp;Y$1&amp;""" vk="""&amp;Y95&amp;""""&amp;IF(Scan2VKFlags!T95&lt;&gt;""," flags="""&amp;Scan2VKFlags!T95&amp;"""","")&amp;"/&gt;","")</f>
        <v>&lt;vk kbd="34" vk="F13"/&gt;</v>
      </c>
      <c r="AY95" s="18" t="str">
        <f>IF(AA95&lt;&gt;"","&lt;vk kbd="""&amp;AA$1&amp;""" vk="""&amp;AA95&amp;""""&amp;IF(Scan2VKFlags!U95&lt;&gt;""," flags="""&amp;Scan2VKFlags!U95&amp;"""","")&amp;"/&gt;","")</f>
        <v>&lt;vk kbd="37" vk="_none_"/&gt;</v>
      </c>
      <c r="AZ95" s="3" t="str">
        <f>IF(AC95&lt;&gt;"","&lt;vk kbd="""&amp;AC$1&amp;""" vk="""&amp;AC95&amp;""""&amp;IF(Scan2VKFlags!V95&lt;&gt;""," flags="""&amp;Scan2VKFlags!V95&amp;"""","")&amp;"/&gt;","")</f>
        <v>&lt;vk kbd="40" vk="_none_"/&gt;</v>
      </c>
      <c r="BA95" s="16" t="str">
        <f>IF(AD95&lt;&gt;"","&lt;vk kbd="""&amp;AD$1&amp;""" vk="""&amp;AD95&amp;""""&amp;IF(Scan2VKFlags!W95&lt;&gt;""," flags="""&amp;Scan2VKFlags!W95&amp;"""","")&amp;"/&gt;","")</f>
        <v>&lt;vk kbd="41" vk="_none_"/&gt;</v>
      </c>
      <c r="BB95" t="s">
        <v>854</v>
      </c>
    </row>
    <row r="96" spans="1:54" x14ac:dyDescent="0.25">
      <c r="A96">
        <f t="shared" si="11"/>
        <v>94</v>
      </c>
      <c r="B96" t="str">
        <f t="shared" si="8"/>
        <v>T5E</v>
      </c>
      <c r="C96" s="7" t="s">
        <v>92</v>
      </c>
      <c r="D96" s="12" t="str">
        <f>trimtext(SplitText($C96,",",0))</f>
        <v>OEM_BACKTAB</v>
      </c>
      <c r="E96" s="12" t="str">
        <f>IF(SplitText($C96,",",COLUMN(E:E)-COLUMN($D:$D))="",$D96,trimtext(SplitText($C96,",",COLUMN(E:E)-COLUMN($D:$D))))</f>
        <v>OEM_BACKTAB</v>
      </c>
      <c r="F96" s="12" t="str">
        <f>IF(SplitText($C96,",",COLUMN(F:F)-COLUMN($D:$D))="",$D96,trimtext(SplitText($C96,",",COLUMN(F:F)-COLUMN($D:$D))))</f>
        <v>OEM_BACKTAB</v>
      </c>
      <c r="G96" s="12" t="str">
        <f>IF(SplitText($C96,",",COLUMN(G:G)-COLUMN($D:$D))="",$D96,trimtext(SplitText($C96,",",COLUMN(G:G)-COLUMN($D:$D))))</f>
        <v>OEM_BACKTAB</v>
      </c>
      <c r="H96" s="12" t="str">
        <f>IF(SplitText($C96,",",COLUMN(H:H)-COLUMN($D:$D))="",$D96,trimtext(SplitText($C96,",",COLUMN(H:H)-COLUMN($D:$D))))</f>
        <v>OEM_BACKTAB</v>
      </c>
      <c r="I96" s="12" t="str">
        <f>IF(SplitText($C96,",",COLUMN(I:I)-COLUMN($D:$D))="",$D96,trimtext(SplitText($C96,",",COLUMN(I:I)-COLUMN($D:$D))))</f>
        <v>OEM_BACKTAB</v>
      </c>
      <c r="J96" s="9" t="s">
        <v>277</v>
      </c>
      <c r="K96" s="12" t="str">
        <f>trimtext(SplitText($J96,",",0))</f>
        <v>_none_</v>
      </c>
      <c r="L96" s="12" t="str">
        <f>IF(SplitText($J96,",",COLUMN(L:L)-COLUMN($K:$K))="",$K96,trimtext(SplitText($J96,",",COLUMN(L:L)-COLUMN($K:$K))))</f>
        <v>_none_</v>
      </c>
      <c r="M96" s="12" t="str">
        <f>IF(SplitText($J96,",",COLUMN(M:M)-COLUMN($K:$K))="",$K96,trimtext(SplitText($J96,",",COLUMN(M:M)-COLUMN($K:$K))))</f>
        <v>_none_</v>
      </c>
      <c r="N96" s="12" t="str">
        <f>IF(SplitText($J96,",",COLUMN(N:N)-COLUMN($K:$K))="",$K96,trimtext(SplitText($J96,",",COLUMN(N:N)-COLUMN($K:$K))))</f>
        <v>OEM_BACKTAB</v>
      </c>
      <c r="O96" s="12" t="str">
        <f>IF(SplitText($J96,",",COLUMN(O:O)-COLUMN($K:$K))="",$K96,trimtext(SplitText($J96,",",COLUMN(O:O)-COLUMN($K:$K))))</f>
        <v>OEM_BACKTAB</v>
      </c>
      <c r="P96" s="12" t="str">
        <f>IF(SplitText($J96,",",COLUMN(P:P)-COLUMN($K:$K))="",$K96,trimtext(SplitText($J96,",",COLUMN(P:P)-COLUMN($K:$K))))</f>
        <v>OEM_BACKTAB</v>
      </c>
      <c r="Q96" s="12" t="str">
        <f>IF(SplitText($J96,",",COLUMN(Q:Q)-COLUMN($K:$K))="",$K96,trimtext(SplitText($J96,",",COLUMN(Q:Q)-COLUMN($K:$K))))</f>
        <v>OEM_BAC</v>
      </c>
      <c r="R96" s="2" t="s">
        <v>436</v>
      </c>
      <c r="S96" s="12" t="str">
        <f>trimtext(SplitText($R96,",",0))</f>
        <v>F2</v>
      </c>
      <c r="T96" s="12" t="str">
        <f>IF(SplitText($R96,",",COLUMN(T:T)-COLUMN($S:$S))="",$S96,trimtext(SplitText($R96,",",COLUMN(T:T)-COLUMN($S:$S))))</f>
        <v>F2</v>
      </c>
      <c r="U96" s="12" t="str">
        <f>IF(SplitText($R96,",",COLUMN(U:U)-COLUMN($S:$S))="",$S96,trimtext(SplitText($R96,",",COLUMN(U:U)-COLUMN($S:$S))))</f>
        <v>_none_</v>
      </c>
      <c r="V96" s="2" t="s">
        <v>599</v>
      </c>
      <c r="W96" s="12" t="str">
        <f>trimtext(SplitText($V96,",",0))</f>
        <v>F14</v>
      </c>
      <c r="X96" s="12" t="str">
        <f>IF(SplitText($V96,",",COLUMN(X:X)-COLUMN($W:$W))="",$W96,trimtext(SplitText($V96,",",COLUMN(X:X)-COLUMN($W:$W))))</f>
        <v>F14</v>
      </c>
      <c r="Y96" s="12" t="str">
        <f>IF(SplitText($V96,",",COLUMN(Y:Y)-COLUMN($W:$W))="",$W96,trimtext(SplitText($V96,",",COLUMN(Y:Y)-COLUMN($W:$W))))</f>
        <v>F14</v>
      </c>
      <c r="Z96" s="2" t="s">
        <v>718</v>
      </c>
      <c r="AA96" s="12" t="str">
        <f t="shared" si="9"/>
        <v>_none_</v>
      </c>
      <c r="AB96" s="2" t="s">
        <v>743</v>
      </c>
      <c r="AC96" s="12" t="str">
        <f>trimtext(SplitText($AB96,",",0))</f>
        <v>_none_</v>
      </c>
      <c r="AD96" s="12" t="str">
        <f>IF(SplitText($AB96,",",COLUMN(AD:AD)-COLUMN($AC:$AC))="",$AC96,trimtext(SplitText($AB96,",",COLUMN(AD:AD)-COLUMN($AC:$AC))))</f>
        <v>_none_</v>
      </c>
      <c r="AE96" s="18" t="str">
        <f t="shared" si="10"/>
        <v>&lt;xs:enumeration value="T5E"&gt;&lt;xs:annotation&gt;&lt;xs:documentation&gt;Typically OEM_BACKTAB for keyboard type 4, different values for different keyboard types&lt;/xs:documentation&gt;&lt;xs:appinfo&gt;&lt;default-vk&gt;</v>
      </c>
      <c r="AF96" s="15" t="str">
        <f>IF(D96&lt;&gt;"","&lt;vk kbd="""&amp;D$1&amp;""" vk="""&amp;D96&amp;""""&amp;IF(Scan2VKFlags!B96&lt;&gt;""," flags="""&amp;Scan2VKFlags!B96&amp;"""","")&amp;"/&gt;","")</f>
        <v>&lt;vk kbd="1" vk="OEM_BACKTAB"/&gt;</v>
      </c>
      <c r="AG96" s="15" t="str">
        <f>IF(E96&lt;&gt;"","&lt;vk kbd="""&amp;E$1&amp;""" vk="""&amp;E96&amp;""""&amp;IF(Scan2VKFlags!C96&lt;&gt;""," flags="""&amp;Scan2VKFlags!C96&amp;"""","")&amp;"/&gt;","")</f>
        <v>&lt;vk kbd="2" vk="OEM_BACKTAB"/&gt;</v>
      </c>
      <c r="AH96" s="15" t="str">
        <f>IF(F96&lt;&gt;"","&lt;vk kbd="""&amp;F$1&amp;""" vk="""&amp;F96&amp;""""&amp;IF(Scan2VKFlags!D96&lt;&gt;""," flags="""&amp;Scan2VKFlags!D96&amp;"""","")&amp;"/&gt;","")</f>
        <v>&lt;vk kbd="3" vk="OEM_BACKTAB"/&gt;</v>
      </c>
      <c r="AI96" s="15" t="str">
        <f>IF(G96&lt;&gt;"","&lt;vk kbd="""&amp;G$1&amp;""" vk="""&amp;G96&amp;""""&amp;IF(Scan2VKFlags!E96&lt;&gt;""," flags="""&amp;Scan2VKFlags!E96&amp;"""","")&amp;"/&gt;","")</f>
        <v>&lt;vk kbd="4" vk="OEM_BACKTAB"/&gt;</v>
      </c>
      <c r="AJ96" s="15" t="str">
        <f>IF(H96&lt;&gt;"","&lt;vk kbd="""&amp;H$1&amp;""" vk="""&amp;H96&amp;""""&amp;IF(Scan2VKFlags!F96&lt;&gt;""," flags="""&amp;Scan2VKFlags!F96&amp;"""","")&amp;"/&gt;","")</f>
        <v>&lt;vk kbd="5" vk="OEM_BACKTAB"/&gt;</v>
      </c>
      <c r="AK96" s="16" t="str">
        <f>IF(I96&lt;&gt;"","&lt;vk kbd="""&amp;I$1&amp;""" vk="""&amp;I96&amp;""""&amp;IF(Scan2VKFlags!G96&lt;&gt;""," flags="""&amp;Scan2VKFlags!G96&amp;"""","")&amp;"/&gt;","")</f>
        <v>&lt;vk kbd="6" vk="OEM_BACKTAB"/&gt;</v>
      </c>
      <c r="AL96" s="3" t="str">
        <f>IF(K96&lt;&gt;"","&lt;vk kbd="""&amp;K$1&amp;""" vk="""&amp;K96&amp;""""&amp;IF(Scan2VKFlags!H96&lt;&gt;""," flags="""&amp;Scan2VKFlags!H96&amp;"""","")&amp;"/&gt;","")</f>
        <v>&lt;vk kbd="7" vk="_none_"/&gt;</v>
      </c>
      <c r="AM96" t="str">
        <f>IF(L96&lt;&gt;"","&lt;vk kbd="""&amp;L$1&amp;""" vk="""&amp;L96&amp;""""&amp;IF(Scan2VKFlags!I96&lt;&gt;""," flags="""&amp;Scan2VKFlags!I96&amp;"""","")&amp;"/&gt;","")</f>
        <v>&lt;vk kbd="8" vk="_none_"/&gt;</v>
      </c>
      <c r="AN96" t="str">
        <f>IF(M96&lt;&gt;"","&lt;vk kbd="""&amp;M$1&amp;""" vk="""&amp;M96&amp;""""&amp;IF(Scan2VKFlags!J96&lt;&gt;""," flags="""&amp;Scan2VKFlags!J96&amp;"""","")&amp;"/&gt;","")</f>
        <v>&lt;vk kbd="16" vk="_none_"/&gt;</v>
      </c>
      <c r="AO96" t="str">
        <f>IF(N96&lt;&gt;"","&lt;vk kbd="""&amp;N$1&amp;""" vk="""&amp;N96&amp;""""&amp;IF(Scan2VKFlags!K96&lt;&gt;""," flags="""&amp;Scan2VKFlags!K96&amp;"""","")&amp;"/&gt;","")</f>
        <v>&lt;vk kbd="10" vk="OEM_BACKTAB"/&gt;</v>
      </c>
      <c r="AP96" t="str">
        <f>IF(O96&lt;&gt;"","&lt;vk kbd="""&amp;O$1&amp;""" vk="""&amp;O96&amp;""""&amp;IF(Scan2VKFlags!L96&lt;&gt;""," flags="""&amp;Scan2VKFlags!L96&amp;"""","")&amp;"/&gt;","")</f>
        <v>&lt;vk kbd="11" vk="OEM_BACKTAB"/&gt;</v>
      </c>
      <c r="AQ96" t="str">
        <f>IF(P96&lt;&gt;"","&lt;vk kbd="""&amp;P$1&amp;""" vk="""&amp;P96&amp;""""&amp;IF(Scan2VKFlags!M96&lt;&gt;""," flags="""&amp;Scan2VKFlags!M96&amp;"""","")&amp;"/&gt;","")</f>
        <v>&lt;vk kbd="12" vk="OEM_BACKTAB"/&gt;</v>
      </c>
      <c r="AR96" s="16" t="str">
        <f>IF(Q96&lt;&gt;"","&lt;vk kbd="""&amp;Q$1&amp;""" vk="""&amp;Q96&amp;""""&amp;IF(Scan2VKFlags!N96&lt;&gt;""," flags="""&amp;Scan2VKFlags!N96&amp;"""","")&amp;"/&gt;","")</f>
        <v>&lt;vk kbd="13" vk="OEM_BAC"/&gt;</v>
      </c>
      <c r="AS96" s="3" t="str">
        <f>IF(S96&lt;&gt;"","&lt;vk kbd="""&amp;S$1&amp;""" vk="""&amp;S96&amp;""""&amp;IF(Scan2VKFlags!O96&lt;&gt;""," flags="""&amp;Scan2VKFlags!O96&amp;"""","")&amp;"/&gt;","")</f>
        <v>&lt;vk kbd="20" vk="F2"/&gt;</v>
      </c>
      <c r="AT96" t="str">
        <f>IF(T96&lt;&gt;"","&lt;vk kbd="""&amp;T$1&amp;""" vk="""&amp;T96&amp;""""&amp;IF(Scan2VKFlags!P96&lt;&gt;""," flags="""&amp;Scan2VKFlags!P96&amp;"""","")&amp;"/&gt;","")</f>
        <v>&lt;vk kbd="21" vk="F2"/&gt;</v>
      </c>
      <c r="AU96" s="16" t="str">
        <f>IF(U96&lt;&gt;"","&lt;vk kbd="""&amp;U$1&amp;""" vk="""&amp;U96&amp;""""&amp;IF(Scan2VKFlags!Q96&lt;&gt;""," flags="""&amp;Scan2VKFlags!Q96&amp;"""","")&amp;"/&gt;","")</f>
        <v>&lt;vk kbd="22" vk="_none_"/&gt;</v>
      </c>
      <c r="AV96" s="3" t="str">
        <f>IF(W96&lt;&gt;"","&lt;vk kbd="""&amp;W$1&amp;""" vk="""&amp;W96&amp;""""&amp;IF(Scan2VKFlags!R96&lt;&gt;""," flags="""&amp;Scan2VKFlags!R96&amp;"""","")&amp;"/&gt;","")</f>
        <v>&lt;vk kbd="30" vk="F14"/&gt;</v>
      </c>
      <c r="AW96" s="15" t="str">
        <f>IF(X96&lt;&gt;"","&lt;vk kbd="""&amp;X$1&amp;""" vk="""&amp;X96&amp;""""&amp;IF(Scan2VKFlags!S96&lt;&gt;""," flags="""&amp;Scan2VKFlags!S96&amp;"""","")&amp;"/&gt;","")</f>
        <v>&lt;vk kbd="33" vk="F14"/&gt;</v>
      </c>
      <c r="AX96" s="15" t="str">
        <f>IF(Y96&lt;&gt;"","&lt;vk kbd="""&amp;Y$1&amp;""" vk="""&amp;Y96&amp;""""&amp;IF(Scan2VKFlags!T96&lt;&gt;""," flags="""&amp;Scan2VKFlags!T96&amp;"""","")&amp;"/&gt;","")</f>
        <v>&lt;vk kbd="34" vk="F14"/&gt;</v>
      </c>
      <c r="AY96" s="18" t="str">
        <f>IF(AA96&lt;&gt;"","&lt;vk kbd="""&amp;AA$1&amp;""" vk="""&amp;AA96&amp;""""&amp;IF(Scan2VKFlags!U96&lt;&gt;""," flags="""&amp;Scan2VKFlags!U96&amp;"""","")&amp;"/&gt;","")</f>
        <v>&lt;vk kbd="37" vk="_none_"/&gt;</v>
      </c>
      <c r="AZ96" s="3" t="str">
        <f>IF(AC96&lt;&gt;"","&lt;vk kbd="""&amp;AC$1&amp;""" vk="""&amp;AC96&amp;""""&amp;IF(Scan2VKFlags!V96&lt;&gt;""," flags="""&amp;Scan2VKFlags!V96&amp;"""","")&amp;"/&gt;","")</f>
        <v>&lt;vk kbd="40" vk="_none_"/&gt;</v>
      </c>
      <c r="BA96" s="16" t="str">
        <f>IF(AD96&lt;&gt;"","&lt;vk kbd="""&amp;AD$1&amp;""" vk="""&amp;AD96&amp;""""&amp;IF(Scan2VKFlags!W96&lt;&gt;""," flags="""&amp;Scan2VKFlags!W96&amp;"""","")&amp;"/&gt;","")</f>
        <v>&lt;vk kbd="41" vk="_none_"/&gt;</v>
      </c>
      <c r="BB96" t="s">
        <v>854</v>
      </c>
    </row>
    <row r="97" spans="1:54" x14ac:dyDescent="0.25">
      <c r="A97">
        <f t="shared" si="11"/>
        <v>95</v>
      </c>
      <c r="B97" t="str">
        <f t="shared" si="8"/>
        <v>T5F</v>
      </c>
      <c r="C97" s="7" t="s">
        <v>93</v>
      </c>
      <c r="D97" s="12" t="str">
        <f>trimtext(SplitText($C97,",",0))</f>
        <v>OEM_AUTO</v>
      </c>
      <c r="E97" s="12" t="str">
        <f>IF(SplitText($C97,",",COLUMN(E:E)-COLUMN($D:$D))="",$D97,trimtext(SplitText($C97,",",COLUMN(E:E)-COLUMN($D:$D))))</f>
        <v>OEM_AUTO</v>
      </c>
      <c r="F97" s="12" t="str">
        <f>IF(SplitText($C97,",",COLUMN(F:F)-COLUMN($D:$D))="",$D97,trimtext(SplitText($C97,",",COLUMN(F:F)-COLUMN($D:$D))))</f>
        <v>OEM_AUTO</v>
      </c>
      <c r="G97" s="12" t="str">
        <f>IF(SplitText($C97,",",COLUMN(G:G)-COLUMN($D:$D))="",$D97,trimtext(SplitText($C97,",",COLUMN(G:G)-COLUMN($D:$D))))</f>
        <v>OEM_AUTO</v>
      </c>
      <c r="H97" s="12" t="str">
        <f>IF(SplitText($C97,",",COLUMN(H:H)-COLUMN($D:$D))="",$D97,trimtext(SplitText($C97,",",COLUMN(H:H)-COLUMN($D:$D))))</f>
        <v>OEM_AUTO</v>
      </c>
      <c r="I97" s="12" t="str">
        <f>IF(SplitText($C97,",",COLUMN(I:I)-COLUMN($D:$D))="",$D97,trimtext(SplitText($C97,",",COLUMN(I:I)-COLUMN($D:$D))))</f>
        <v>OEM_AUTO</v>
      </c>
      <c r="J97" s="9" t="s">
        <v>278</v>
      </c>
      <c r="K97" s="12" t="str">
        <f>trimtext(SplitText($J97,",",0))</f>
        <v>NONAME</v>
      </c>
      <c r="L97" s="12" t="str">
        <f>IF(SplitText($J97,",",COLUMN(L:L)-COLUMN($K:$K))="",$K97,trimtext(SplitText($J97,",",COLUMN(L:L)-COLUMN($K:$K))))</f>
        <v>NONAME</v>
      </c>
      <c r="M97" s="12" t="str">
        <f>IF(SplitText($J97,",",COLUMN(M:M)-COLUMN($K:$K))="",$K97,trimtext(SplitText($J97,",",COLUMN(M:M)-COLUMN($K:$K))))</f>
        <v>NONAME</v>
      </c>
      <c r="N97" s="12" t="str">
        <f>IF(SplitText($J97,",",COLUMN(N:N)-COLUMN($K:$K))="",$K97,trimtext(SplitText($J97,",",COLUMN(N:N)-COLUMN($K:$K))))</f>
        <v>OEM_AUTO</v>
      </c>
      <c r="O97" s="12" t="str">
        <f>IF(SplitText($J97,",",COLUMN(O:O)-COLUMN($K:$K))="",$K97,trimtext(SplitText($J97,",",COLUMN(O:O)-COLUMN($K:$K))))</f>
        <v>OEM_AUTO</v>
      </c>
      <c r="P97" s="12" t="str">
        <f>IF(SplitText($J97,",",COLUMN(P:P)-COLUMN($K:$K))="",$K97,trimtext(SplitText($J97,",",COLUMN(P:P)-COLUMN($K:$K))))</f>
        <v>OEM_AUTO</v>
      </c>
      <c r="Q97" s="12" t="str">
        <f>IF(SplitText($J97,",",COLUMN(Q:Q)-COLUMN($K:$K))="",$K97,trimtext(SplitText($J97,",",COLUMN(Q:Q)-COLUMN($K:$K))))</f>
        <v>OEM_AUTO</v>
      </c>
      <c r="R97" s="2" t="s">
        <v>437</v>
      </c>
      <c r="S97" s="12" t="str">
        <f>trimtext(SplitText($R97,",",0))</f>
        <v>F3</v>
      </c>
      <c r="T97" s="12" t="str">
        <f>IF(SplitText($R97,",",COLUMN(T:T)-COLUMN($S:$S))="",$S97,trimtext(SplitText($R97,",",COLUMN(T:T)-COLUMN($S:$S))))</f>
        <v>F3</v>
      </c>
      <c r="U97" s="12" t="str">
        <f>IF(SplitText($R97,",",COLUMN(U:U)-COLUMN($S:$S))="",$S97,trimtext(SplitText($R97,",",COLUMN(U:U)-COLUMN($S:$S))))</f>
        <v>NONAME</v>
      </c>
      <c r="V97" s="2" t="s">
        <v>600</v>
      </c>
      <c r="W97" s="12" t="str">
        <f>trimtext(SplitText($V97,",",0))</f>
        <v>F15</v>
      </c>
      <c r="X97" s="12" t="str">
        <f>IF(SplitText($V97,",",COLUMN(X:X)-COLUMN($W:$W))="",$W97,trimtext(SplitText($V97,",",COLUMN(X:X)-COLUMN($W:$W))))</f>
        <v>F15</v>
      </c>
      <c r="Y97" s="12" t="str">
        <f>IF(SplitText($V97,",",COLUMN(Y:Y)-COLUMN($W:$W))="",$W97,trimtext(SplitText($V97,",",COLUMN(Y:Y)-COLUMN($W:$W))))</f>
        <v>F15</v>
      </c>
      <c r="Z97" s="2" t="s">
        <v>718</v>
      </c>
      <c r="AA97" s="12" t="str">
        <f t="shared" si="9"/>
        <v>_none_</v>
      </c>
      <c r="AB97" s="2" t="s">
        <v>743</v>
      </c>
      <c r="AC97" s="12" t="str">
        <f>trimtext(SplitText($AB97,",",0))</f>
        <v>_none_</v>
      </c>
      <c r="AD97" s="12" t="str">
        <f>IF(SplitText($AB97,",",COLUMN(AD:AD)-COLUMN($AC:$AC))="",$AC97,trimtext(SplitText($AB97,",",COLUMN(AD:AD)-COLUMN($AC:$AC))))</f>
        <v>_none_</v>
      </c>
      <c r="AE97" s="18" t="str">
        <f t="shared" si="10"/>
        <v>&lt;xs:enumeration value="T5F"&gt;&lt;xs:annotation&gt;&lt;xs:documentation&gt;Typically OEM_AUTO for keyboard type 4, different values for different keyboard types&lt;/xs:documentation&gt;&lt;xs:appinfo&gt;&lt;default-vk&gt;</v>
      </c>
      <c r="AF97" s="15" t="str">
        <f>IF(D97&lt;&gt;"","&lt;vk kbd="""&amp;D$1&amp;""" vk="""&amp;D97&amp;""""&amp;IF(Scan2VKFlags!B97&lt;&gt;""," flags="""&amp;Scan2VKFlags!B97&amp;"""","")&amp;"/&gt;","")</f>
        <v>&lt;vk kbd="1" vk="OEM_AUTO"/&gt;</v>
      </c>
      <c r="AG97" s="15" t="str">
        <f>IF(E97&lt;&gt;"","&lt;vk kbd="""&amp;E$1&amp;""" vk="""&amp;E97&amp;""""&amp;IF(Scan2VKFlags!C97&lt;&gt;""," flags="""&amp;Scan2VKFlags!C97&amp;"""","")&amp;"/&gt;","")</f>
        <v>&lt;vk kbd="2" vk="OEM_AUTO"/&gt;</v>
      </c>
      <c r="AH97" s="15" t="str">
        <f>IF(F97&lt;&gt;"","&lt;vk kbd="""&amp;F$1&amp;""" vk="""&amp;F97&amp;""""&amp;IF(Scan2VKFlags!D97&lt;&gt;""," flags="""&amp;Scan2VKFlags!D97&amp;"""","")&amp;"/&gt;","")</f>
        <v>&lt;vk kbd="3" vk="OEM_AUTO"/&gt;</v>
      </c>
      <c r="AI97" s="15" t="str">
        <f>IF(G97&lt;&gt;"","&lt;vk kbd="""&amp;G$1&amp;""" vk="""&amp;G97&amp;""""&amp;IF(Scan2VKFlags!E97&lt;&gt;""," flags="""&amp;Scan2VKFlags!E97&amp;"""","")&amp;"/&gt;","")</f>
        <v>&lt;vk kbd="4" vk="OEM_AUTO"/&gt;</v>
      </c>
      <c r="AJ97" s="15" t="str">
        <f>IF(H97&lt;&gt;"","&lt;vk kbd="""&amp;H$1&amp;""" vk="""&amp;H97&amp;""""&amp;IF(Scan2VKFlags!F97&lt;&gt;""," flags="""&amp;Scan2VKFlags!F97&amp;"""","")&amp;"/&gt;","")</f>
        <v>&lt;vk kbd="5" vk="OEM_AUTO"/&gt;</v>
      </c>
      <c r="AK97" s="16" t="str">
        <f>IF(I97&lt;&gt;"","&lt;vk kbd="""&amp;I$1&amp;""" vk="""&amp;I97&amp;""""&amp;IF(Scan2VKFlags!G97&lt;&gt;""," flags="""&amp;Scan2VKFlags!G97&amp;"""","")&amp;"/&gt;","")</f>
        <v>&lt;vk kbd="6" vk="OEM_AUTO"/&gt;</v>
      </c>
      <c r="AL97" s="3" t="str">
        <f>IF(K97&lt;&gt;"","&lt;vk kbd="""&amp;K$1&amp;""" vk="""&amp;K97&amp;""""&amp;IF(Scan2VKFlags!H97&lt;&gt;""," flags="""&amp;Scan2VKFlags!H97&amp;"""","")&amp;"/&gt;","")</f>
        <v>&lt;vk kbd="7" vk="NONAME"/&gt;</v>
      </c>
      <c r="AM97" t="str">
        <f>IF(L97&lt;&gt;"","&lt;vk kbd="""&amp;L$1&amp;""" vk="""&amp;L97&amp;""""&amp;IF(Scan2VKFlags!I97&lt;&gt;""," flags="""&amp;Scan2VKFlags!I97&amp;"""","")&amp;"/&gt;","")</f>
        <v>&lt;vk kbd="8" vk="NONAME"/&gt;</v>
      </c>
      <c r="AN97" t="str">
        <f>IF(M97&lt;&gt;"","&lt;vk kbd="""&amp;M$1&amp;""" vk="""&amp;M97&amp;""""&amp;IF(Scan2VKFlags!J97&lt;&gt;""," flags="""&amp;Scan2VKFlags!J97&amp;"""","")&amp;"/&gt;","")</f>
        <v>&lt;vk kbd="16" vk="NONAME"/&gt;</v>
      </c>
      <c r="AO97" t="str">
        <f>IF(N97&lt;&gt;"","&lt;vk kbd="""&amp;N$1&amp;""" vk="""&amp;N97&amp;""""&amp;IF(Scan2VKFlags!K97&lt;&gt;""," flags="""&amp;Scan2VKFlags!K97&amp;"""","")&amp;"/&gt;","")</f>
        <v>&lt;vk kbd="10" vk="OEM_AUTO"/&gt;</v>
      </c>
      <c r="AP97" t="str">
        <f>IF(O97&lt;&gt;"","&lt;vk kbd="""&amp;O$1&amp;""" vk="""&amp;O97&amp;""""&amp;IF(Scan2VKFlags!L97&lt;&gt;""," flags="""&amp;Scan2VKFlags!L97&amp;"""","")&amp;"/&gt;","")</f>
        <v>&lt;vk kbd="11" vk="OEM_AUTO"/&gt;</v>
      </c>
      <c r="AQ97" t="str">
        <f>IF(P97&lt;&gt;"","&lt;vk kbd="""&amp;P$1&amp;""" vk="""&amp;P97&amp;""""&amp;IF(Scan2VKFlags!M97&lt;&gt;""," flags="""&amp;Scan2VKFlags!M97&amp;"""","")&amp;"/&gt;","")</f>
        <v>&lt;vk kbd="12" vk="OEM_AUTO"/&gt;</v>
      </c>
      <c r="AR97" s="16" t="str">
        <f>IF(Q97&lt;&gt;"","&lt;vk kbd="""&amp;Q$1&amp;""" vk="""&amp;Q97&amp;""""&amp;IF(Scan2VKFlags!N97&lt;&gt;""," flags="""&amp;Scan2VKFlags!N97&amp;"""","")&amp;"/&gt;","")</f>
        <v>&lt;vk kbd="13" vk="OEM_AUTO"/&gt;</v>
      </c>
      <c r="AS97" s="3" t="str">
        <f>IF(S97&lt;&gt;"","&lt;vk kbd="""&amp;S$1&amp;""" vk="""&amp;S97&amp;""""&amp;IF(Scan2VKFlags!O97&lt;&gt;""," flags="""&amp;Scan2VKFlags!O97&amp;"""","")&amp;"/&gt;","")</f>
        <v>&lt;vk kbd="20" vk="F3"/&gt;</v>
      </c>
      <c r="AT97" t="str">
        <f>IF(T97&lt;&gt;"","&lt;vk kbd="""&amp;T$1&amp;""" vk="""&amp;T97&amp;""""&amp;IF(Scan2VKFlags!P97&lt;&gt;""," flags="""&amp;Scan2VKFlags!P97&amp;"""","")&amp;"/&gt;","")</f>
        <v>&lt;vk kbd="21" vk="F3"/&gt;</v>
      </c>
      <c r="AU97" s="16" t="str">
        <f>IF(U97&lt;&gt;"","&lt;vk kbd="""&amp;U$1&amp;""" vk="""&amp;U97&amp;""""&amp;IF(Scan2VKFlags!Q97&lt;&gt;""," flags="""&amp;Scan2VKFlags!Q97&amp;"""","")&amp;"/&gt;","")</f>
        <v>&lt;vk kbd="22" vk="NONAME"/&gt;</v>
      </c>
      <c r="AV97" s="3" t="str">
        <f>IF(W97&lt;&gt;"","&lt;vk kbd="""&amp;W$1&amp;""" vk="""&amp;W97&amp;""""&amp;IF(Scan2VKFlags!R97&lt;&gt;""," flags="""&amp;Scan2VKFlags!R97&amp;"""","")&amp;"/&gt;","")</f>
        <v>&lt;vk kbd="30" vk="F15"/&gt;</v>
      </c>
      <c r="AW97" s="15" t="str">
        <f>IF(X97&lt;&gt;"","&lt;vk kbd="""&amp;X$1&amp;""" vk="""&amp;X97&amp;""""&amp;IF(Scan2VKFlags!S97&lt;&gt;""," flags="""&amp;Scan2VKFlags!S97&amp;"""","")&amp;"/&gt;","")</f>
        <v>&lt;vk kbd="33" vk="F15"/&gt;</v>
      </c>
      <c r="AX97" s="15" t="str">
        <f>IF(Y97&lt;&gt;"","&lt;vk kbd="""&amp;Y$1&amp;""" vk="""&amp;Y97&amp;""""&amp;IF(Scan2VKFlags!T97&lt;&gt;""," flags="""&amp;Scan2VKFlags!T97&amp;"""","")&amp;"/&gt;","")</f>
        <v>&lt;vk kbd="34" vk="F15"/&gt;</v>
      </c>
      <c r="AY97" s="18" t="str">
        <f>IF(AA97&lt;&gt;"","&lt;vk kbd="""&amp;AA$1&amp;""" vk="""&amp;AA97&amp;""""&amp;IF(Scan2VKFlags!U97&lt;&gt;""," flags="""&amp;Scan2VKFlags!U97&amp;"""","")&amp;"/&gt;","")</f>
        <v>&lt;vk kbd="37" vk="_none_"/&gt;</v>
      </c>
      <c r="AZ97" s="3" t="str">
        <f>IF(AC97&lt;&gt;"","&lt;vk kbd="""&amp;AC$1&amp;""" vk="""&amp;AC97&amp;""""&amp;IF(Scan2VKFlags!V97&lt;&gt;""," flags="""&amp;Scan2VKFlags!V97&amp;"""","")&amp;"/&gt;","")</f>
        <v>&lt;vk kbd="40" vk="_none_"/&gt;</v>
      </c>
      <c r="BA97" s="16" t="str">
        <f>IF(AD97&lt;&gt;"","&lt;vk kbd="""&amp;AD$1&amp;""" vk="""&amp;AD97&amp;""""&amp;IF(Scan2VKFlags!W97&lt;&gt;""," flags="""&amp;Scan2VKFlags!W97&amp;"""","")&amp;"/&gt;","")</f>
        <v>&lt;vk kbd="41" vk="_none_"/&gt;</v>
      </c>
      <c r="BB97" t="s">
        <v>854</v>
      </c>
    </row>
    <row r="98" spans="1:54" x14ac:dyDescent="0.25">
      <c r="A98">
        <f t="shared" si="11"/>
        <v>96</v>
      </c>
      <c r="B98" t="str">
        <f t="shared" si="8"/>
        <v>T60</v>
      </c>
      <c r="C98" s="7" t="s">
        <v>0</v>
      </c>
      <c r="D98" s="12" t="str">
        <f>trimtext(SplitText($C98,",",0))</f>
        <v>_none_</v>
      </c>
      <c r="E98" s="12" t="str">
        <f>IF(SplitText($C98,",",COLUMN(E:E)-COLUMN($D:$D))="",$D98,trimtext(SplitText($C98,",",COLUMN(E:E)-COLUMN($D:$D))))</f>
        <v>_none_</v>
      </c>
      <c r="F98" s="12" t="str">
        <f>IF(SplitText($C98,",",COLUMN(F:F)-COLUMN($D:$D))="",$D98,trimtext(SplitText($C98,",",COLUMN(F:F)-COLUMN($D:$D))))</f>
        <v>_none_</v>
      </c>
      <c r="G98" s="12" t="str">
        <f>IF(SplitText($C98,",",COLUMN(G:G)-COLUMN($D:$D))="",$D98,trimtext(SplitText($C98,",",COLUMN(G:G)-COLUMN($D:$D))))</f>
        <v>_none_</v>
      </c>
      <c r="H98" s="12" t="str">
        <f>IF(SplitText($C98,",",COLUMN(H:H)-COLUMN($D:$D))="",$D98,trimtext(SplitText($C98,",",COLUMN(H:H)-COLUMN($D:$D))))</f>
        <v>_none_</v>
      </c>
      <c r="I98" s="12" t="str">
        <f>IF(SplitText($C98,",",COLUMN(I:I)-COLUMN($D:$D))="",$D98,trimtext(SplitText($C98,",",COLUMN(I:I)-COLUMN($D:$D))))</f>
        <v>_none_</v>
      </c>
      <c r="J98" s="9" t="s">
        <v>185</v>
      </c>
      <c r="K98" s="12" t="str">
        <f>trimtext(SplitText($J98,",",0))</f>
        <v>_none_</v>
      </c>
      <c r="L98" s="12" t="str">
        <f>IF(SplitText($J98,",",COLUMN(L:L)-COLUMN($K:$K))="",$K98,trimtext(SplitText($J98,",",COLUMN(L:L)-COLUMN($K:$K))))</f>
        <v>_none_</v>
      </c>
      <c r="M98" s="12" t="str">
        <f>IF(SplitText($J98,",",COLUMN(M:M)-COLUMN($K:$K))="",$K98,trimtext(SplitText($J98,",",COLUMN(M:M)-COLUMN($K:$K))))</f>
        <v>_none_</v>
      </c>
      <c r="N98" s="12" t="str">
        <f>IF(SplitText($J98,",",COLUMN(N:N)-COLUMN($K:$K))="",$K98,trimtext(SplitText($J98,",",COLUMN(N:N)-COLUMN($K:$K))))</f>
        <v>_none_</v>
      </c>
      <c r="O98" s="12" t="str">
        <f>IF(SplitText($J98,",",COLUMN(O:O)-COLUMN($K:$K))="",$K98,trimtext(SplitText($J98,",",COLUMN(O:O)-COLUMN($K:$K))))</f>
        <v>_none_</v>
      </c>
      <c r="P98" s="12" t="str">
        <f>IF(SplitText($J98,",",COLUMN(P:P)-COLUMN($K:$K))="",$K98,trimtext(SplitText($J98,",",COLUMN(P:P)-COLUMN($K:$K))))</f>
        <v>_none_</v>
      </c>
      <c r="Q98" s="12" t="str">
        <f>IF(SplitText($J98,",",COLUMN(Q:Q)-COLUMN($K:$K))="",$K98,trimtext(SplitText($J98,",",COLUMN(Q:Q)-COLUMN($K:$K))))</f>
        <v>_none_</v>
      </c>
      <c r="R98" s="2" t="s">
        <v>438</v>
      </c>
      <c r="S98" s="12" t="str">
        <f>trimtext(SplitText($R98,",",0))</f>
        <v>F4</v>
      </c>
      <c r="T98" s="12" t="str">
        <f>IF(SplitText($R98,",",COLUMN(T:T)-COLUMN($S:$S))="",$S98,trimtext(SplitText($R98,",",COLUMN(T:T)-COLUMN($S:$S))))</f>
        <v>F4</v>
      </c>
      <c r="U98" s="12" t="str">
        <f>IF(SplitText($R98,",",COLUMN(U:U)-COLUMN($S:$S))="",$S98,trimtext(SplitText($R98,",",COLUMN(U:U)-COLUMN($S:$S))))</f>
        <v>_none_</v>
      </c>
      <c r="V98" s="2" t="s">
        <v>507</v>
      </c>
      <c r="W98" s="12" t="str">
        <f>trimtext(SplitText($V98,",",0))</f>
        <v>_none_</v>
      </c>
      <c r="X98" s="12" t="str">
        <f>IF(SplitText($V98,",",COLUMN(X:X)-COLUMN($W:$W))="",$W98,trimtext(SplitText($V98,",",COLUMN(X:X)-COLUMN($W:$W))))</f>
        <v>_none_</v>
      </c>
      <c r="Y98" s="12" t="str">
        <f>IF(SplitText($V98,",",COLUMN(Y:Y)-COLUMN($W:$W))="",$W98,trimtext(SplitText($V98,",",COLUMN(Y:Y)-COLUMN($W:$W))))</f>
        <v>_none_</v>
      </c>
      <c r="Z98" s="2" t="s">
        <v>719</v>
      </c>
      <c r="AA98" s="12" t="str">
        <f t="shared" si="9"/>
        <v>CANCEL</v>
      </c>
      <c r="AB98" s="2" t="s">
        <v>743</v>
      </c>
      <c r="AC98" s="12" t="str">
        <f>trimtext(SplitText($AB98,",",0))</f>
        <v>_none_</v>
      </c>
      <c r="AD98" s="12" t="str">
        <f>IF(SplitText($AB98,",",COLUMN(AD:AD)-COLUMN($AC:$AC))="",$AC98,trimtext(SplitText($AB98,",",COLUMN(AD:AD)-COLUMN($AC:$AC))))</f>
        <v>_none_</v>
      </c>
      <c r="AE98" s="18" t="str">
        <f t="shared" si="10"/>
        <v>&lt;xs:enumeration value="T60"&gt;&lt;xs:annotation&gt;&lt;xs:documentation&gt;Typically _none_ for keyboard type 4, different values for different keyboard types&lt;/xs:documentation&gt;&lt;xs:appinfo&gt;&lt;default-vk&gt;</v>
      </c>
      <c r="AF98" s="15" t="str">
        <f>IF(D98&lt;&gt;"","&lt;vk kbd="""&amp;D$1&amp;""" vk="""&amp;D98&amp;""""&amp;IF(Scan2VKFlags!B98&lt;&gt;""," flags="""&amp;Scan2VKFlags!B98&amp;"""","")&amp;"/&gt;","")</f>
        <v>&lt;vk kbd="1" vk="_none_"/&gt;</v>
      </c>
      <c r="AG98" s="15" t="str">
        <f>IF(E98&lt;&gt;"","&lt;vk kbd="""&amp;E$1&amp;""" vk="""&amp;E98&amp;""""&amp;IF(Scan2VKFlags!C98&lt;&gt;""," flags="""&amp;Scan2VKFlags!C98&amp;"""","")&amp;"/&gt;","")</f>
        <v>&lt;vk kbd="2" vk="_none_"/&gt;</v>
      </c>
      <c r="AH98" s="15" t="str">
        <f>IF(F98&lt;&gt;"","&lt;vk kbd="""&amp;F$1&amp;""" vk="""&amp;F98&amp;""""&amp;IF(Scan2VKFlags!D98&lt;&gt;""," flags="""&amp;Scan2VKFlags!D98&amp;"""","")&amp;"/&gt;","")</f>
        <v>&lt;vk kbd="3" vk="_none_"/&gt;</v>
      </c>
      <c r="AI98" s="15" t="str">
        <f>IF(G98&lt;&gt;"","&lt;vk kbd="""&amp;G$1&amp;""" vk="""&amp;G98&amp;""""&amp;IF(Scan2VKFlags!E98&lt;&gt;""," flags="""&amp;Scan2VKFlags!E98&amp;"""","")&amp;"/&gt;","")</f>
        <v>&lt;vk kbd="4" vk="_none_"/&gt;</v>
      </c>
      <c r="AJ98" s="15" t="str">
        <f>IF(H98&lt;&gt;"","&lt;vk kbd="""&amp;H$1&amp;""" vk="""&amp;H98&amp;""""&amp;IF(Scan2VKFlags!F98&lt;&gt;""," flags="""&amp;Scan2VKFlags!F98&amp;"""","")&amp;"/&gt;","")</f>
        <v>&lt;vk kbd="5" vk="_none_"/&gt;</v>
      </c>
      <c r="AK98" s="16" t="str">
        <f>IF(I98&lt;&gt;"","&lt;vk kbd="""&amp;I$1&amp;""" vk="""&amp;I98&amp;""""&amp;IF(Scan2VKFlags!G98&lt;&gt;""," flags="""&amp;Scan2VKFlags!G98&amp;"""","")&amp;"/&gt;","")</f>
        <v>&lt;vk kbd="6" vk="_none_"/&gt;</v>
      </c>
      <c r="AL98" s="3" t="str">
        <f>IF(K98&lt;&gt;"","&lt;vk kbd="""&amp;K$1&amp;""" vk="""&amp;K98&amp;""""&amp;IF(Scan2VKFlags!H98&lt;&gt;""," flags="""&amp;Scan2VKFlags!H98&amp;"""","")&amp;"/&gt;","")</f>
        <v>&lt;vk kbd="7" vk="_none_"/&gt;</v>
      </c>
      <c r="AM98" t="str">
        <f>IF(L98&lt;&gt;"","&lt;vk kbd="""&amp;L$1&amp;""" vk="""&amp;L98&amp;""""&amp;IF(Scan2VKFlags!I98&lt;&gt;""," flags="""&amp;Scan2VKFlags!I98&amp;"""","")&amp;"/&gt;","")</f>
        <v>&lt;vk kbd="8" vk="_none_"/&gt;</v>
      </c>
      <c r="AN98" t="str">
        <f>IF(M98&lt;&gt;"","&lt;vk kbd="""&amp;M$1&amp;""" vk="""&amp;M98&amp;""""&amp;IF(Scan2VKFlags!J98&lt;&gt;""," flags="""&amp;Scan2VKFlags!J98&amp;"""","")&amp;"/&gt;","")</f>
        <v>&lt;vk kbd="16" vk="_none_"/&gt;</v>
      </c>
      <c r="AO98" t="str">
        <f>IF(N98&lt;&gt;"","&lt;vk kbd="""&amp;N$1&amp;""" vk="""&amp;N98&amp;""""&amp;IF(Scan2VKFlags!K98&lt;&gt;""," flags="""&amp;Scan2VKFlags!K98&amp;"""","")&amp;"/&gt;","")</f>
        <v>&lt;vk kbd="10" vk="_none_"/&gt;</v>
      </c>
      <c r="AP98" t="str">
        <f>IF(O98&lt;&gt;"","&lt;vk kbd="""&amp;O$1&amp;""" vk="""&amp;O98&amp;""""&amp;IF(Scan2VKFlags!L98&lt;&gt;""," flags="""&amp;Scan2VKFlags!L98&amp;"""","")&amp;"/&gt;","")</f>
        <v>&lt;vk kbd="11" vk="_none_"/&gt;</v>
      </c>
      <c r="AQ98" t="str">
        <f>IF(P98&lt;&gt;"","&lt;vk kbd="""&amp;P$1&amp;""" vk="""&amp;P98&amp;""""&amp;IF(Scan2VKFlags!M98&lt;&gt;""," flags="""&amp;Scan2VKFlags!M98&amp;"""","")&amp;"/&gt;","")</f>
        <v>&lt;vk kbd="12" vk="_none_"/&gt;</v>
      </c>
      <c r="AR98" s="16" t="str">
        <f>IF(Q98&lt;&gt;"","&lt;vk kbd="""&amp;Q$1&amp;""" vk="""&amp;Q98&amp;""""&amp;IF(Scan2VKFlags!N98&lt;&gt;""," flags="""&amp;Scan2VKFlags!N98&amp;"""","")&amp;"/&gt;","")</f>
        <v>&lt;vk kbd="13" vk="_none_"/&gt;</v>
      </c>
      <c r="AS98" s="3" t="str">
        <f>IF(S98&lt;&gt;"","&lt;vk kbd="""&amp;S$1&amp;""" vk="""&amp;S98&amp;""""&amp;IF(Scan2VKFlags!O98&lt;&gt;""," flags="""&amp;Scan2VKFlags!O98&amp;"""","")&amp;"/&gt;","")</f>
        <v>&lt;vk kbd="20" vk="F4"/&gt;</v>
      </c>
      <c r="AT98" t="str">
        <f>IF(T98&lt;&gt;"","&lt;vk kbd="""&amp;T$1&amp;""" vk="""&amp;T98&amp;""""&amp;IF(Scan2VKFlags!P98&lt;&gt;""," flags="""&amp;Scan2VKFlags!P98&amp;"""","")&amp;"/&gt;","")</f>
        <v>&lt;vk kbd="21" vk="F4"/&gt;</v>
      </c>
      <c r="AU98" s="16" t="str">
        <f>IF(U98&lt;&gt;"","&lt;vk kbd="""&amp;U$1&amp;""" vk="""&amp;U98&amp;""""&amp;IF(Scan2VKFlags!Q98&lt;&gt;""," flags="""&amp;Scan2VKFlags!Q98&amp;"""","")&amp;"/&gt;","")</f>
        <v>&lt;vk kbd="22" vk="_none_"/&gt;</v>
      </c>
      <c r="AV98" s="3" t="str">
        <f>IF(W98&lt;&gt;"","&lt;vk kbd="""&amp;W$1&amp;""" vk="""&amp;W98&amp;""""&amp;IF(Scan2VKFlags!R98&lt;&gt;""," flags="""&amp;Scan2VKFlags!R98&amp;"""","")&amp;"/&gt;","")</f>
        <v>&lt;vk kbd="30" vk="_none_"/&gt;</v>
      </c>
      <c r="AW98" s="15" t="str">
        <f>IF(X98&lt;&gt;"","&lt;vk kbd="""&amp;X$1&amp;""" vk="""&amp;X98&amp;""""&amp;IF(Scan2VKFlags!S98&lt;&gt;""," flags="""&amp;Scan2VKFlags!S98&amp;"""","")&amp;"/&gt;","")</f>
        <v>&lt;vk kbd="33" vk="_none_"/&gt;</v>
      </c>
      <c r="AX98" s="15" t="str">
        <f>IF(Y98&lt;&gt;"","&lt;vk kbd="""&amp;Y$1&amp;""" vk="""&amp;Y98&amp;""""&amp;IF(Scan2VKFlags!T98&lt;&gt;""," flags="""&amp;Scan2VKFlags!T98&amp;"""","")&amp;"/&gt;","")</f>
        <v>&lt;vk kbd="34" vk="_none_"/&gt;</v>
      </c>
      <c r="AY98" s="18" t="str">
        <f>IF(AA98&lt;&gt;"","&lt;vk kbd="""&amp;AA$1&amp;""" vk="""&amp;AA98&amp;""""&amp;IF(Scan2VKFlags!U98&lt;&gt;""," flags="""&amp;Scan2VKFlags!U98&amp;"""","")&amp;"/&gt;","")</f>
        <v>&lt;vk kbd="37" vk="CANCEL"/&gt;</v>
      </c>
      <c r="AZ98" s="3" t="str">
        <f>IF(AC98&lt;&gt;"","&lt;vk kbd="""&amp;AC$1&amp;""" vk="""&amp;AC98&amp;""""&amp;IF(Scan2VKFlags!V98&lt;&gt;""," flags="""&amp;Scan2VKFlags!V98&amp;"""","")&amp;"/&gt;","")</f>
        <v>&lt;vk kbd="40" vk="_none_"/&gt;</v>
      </c>
      <c r="BA98" s="16" t="str">
        <f>IF(AD98&lt;&gt;"","&lt;vk kbd="""&amp;AD$1&amp;""" vk="""&amp;AD98&amp;""""&amp;IF(Scan2VKFlags!W98&lt;&gt;""," flags="""&amp;Scan2VKFlags!W98&amp;"""","")&amp;"/&gt;","")</f>
        <v>&lt;vk kbd="41" vk="_none_"/&gt;</v>
      </c>
      <c r="BB98" t="s">
        <v>854</v>
      </c>
    </row>
    <row r="99" spans="1:54" x14ac:dyDescent="0.25">
      <c r="A99">
        <f t="shared" si="11"/>
        <v>97</v>
      </c>
      <c r="B99" t="str">
        <f t="shared" si="8"/>
        <v>T61</v>
      </c>
      <c r="C99" s="7" t="s">
        <v>0</v>
      </c>
      <c r="D99" s="12" t="str">
        <f>trimtext(SplitText($C99,",",0))</f>
        <v>_none_</v>
      </c>
      <c r="E99" s="12" t="str">
        <f>IF(SplitText($C99,",",COLUMN(E:E)-COLUMN($D:$D))="",$D99,trimtext(SplitText($C99,",",COLUMN(E:E)-COLUMN($D:$D))))</f>
        <v>_none_</v>
      </c>
      <c r="F99" s="12" t="str">
        <f>IF(SplitText($C99,",",COLUMN(F:F)-COLUMN($D:$D))="",$D99,trimtext(SplitText($C99,",",COLUMN(F:F)-COLUMN($D:$D))))</f>
        <v>_none_</v>
      </c>
      <c r="G99" s="12" t="str">
        <f>IF(SplitText($C99,",",COLUMN(G:G)-COLUMN($D:$D))="",$D99,trimtext(SplitText($C99,",",COLUMN(G:G)-COLUMN($D:$D))))</f>
        <v>_none_</v>
      </c>
      <c r="H99" s="12" t="str">
        <f>IF(SplitText($C99,",",COLUMN(H:H)-COLUMN($D:$D))="",$D99,trimtext(SplitText($C99,",",COLUMN(H:H)-COLUMN($D:$D))))</f>
        <v>_none_</v>
      </c>
      <c r="I99" s="12" t="str">
        <f>IF(SplitText($C99,",",COLUMN(I:I)-COLUMN($D:$D))="",$D99,trimtext(SplitText($C99,",",COLUMN(I:I)-COLUMN($D:$D))))</f>
        <v>_none_</v>
      </c>
      <c r="J99" s="9" t="s">
        <v>279</v>
      </c>
      <c r="K99" s="12" t="str">
        <f>trimtext(SplitText($J99,",",0))</f>
        <v>_none_</v>
      </c>
      <c r="L99" s="12" t="str">
        <f>IF(SplitText($J99,",",COLUMN(L:L)-COLUMN($K:$K))="",$K99,trimtext(SplitText($J99,",",COLUMN(L:L)-COLUMN($K:$K))))</f>
        <v>_none_</v>
      </c>
      <c r="M99" s="12" t="str">
        <f>IF(SplitText($J99,",",COLUMN(M:M)-COLUMN($K:$K))="",$K99,trimtext(SplitText($J99,",",COLUMN(M:M)-COLUMN($K:$K))))</f>
        <v>_none_</v>
      </c>
      <c r="N99" s="12" t="str">
        <f>IF(SplitText($J99,",",COLUMN(N:N)-COLUMN($K:$K))="",$K99,trimtext(SplitText($J99,",",COLUMN(N:N)-COLUMN($K:$K))))</f>
        <v>ZOOM</v>
      </c>
      <c r="O99" s="12" t="str">
        <f>IF(SplitText($J99,",",COLUMN(O:O)-COLUMN($K:$K))="",$K99,trimtext(SplitText($J99,",",COLUMN(O:O)-COLUMN($K:$K))))</f>
        <v>ZOOM</v>
      </c>
      <c r="P99" s="12" t="str">
        <f>IF(SplitText($J99,",",COLUMN(P:P)-COLUMN($K:$K))="",$K99,trimtext(SplitText($J99,",",COLUMN(P:P)-COLUMN($K:$K))))</f>
        <v>ZOOM</v>
      </c>
      <c r="Q99" s="12" t="str">
        <f>IF(SplitText($J99,",",COLUMN(Q:Q)-COLUMN($K:$K))="",$K99,trimtext(SplitText($J99,",",COLUMN(Q:Q)-COLUMN($K:$K))))</f>
        <v>ZOOM</v>
      </c>
      <c r="R99" s="2" t="s">
        <v>439</v>
      </c>
      <c r="S99" s="12" t="str">
        <f>trimtext(SplitText($R99,",",0))</f>
        <v>F5</v>
      </c>
      <c r="T99" s="12" t="str">
        <f>IF(SplitText($R99,",",COLUMN(T:T)-COLUMN($S:$S))="",$S99,trimtext(SplitText($R99,",",COLUMN(T:T)-COLUMN($S:$S))))</f>
        <v>F5</v>
      </c>
      <c r="U99" s="12" t="str">
        <f>IF(SplitText($R99,",",COLUMN(U:U)-COLUMN($S:$S))="",$S99,trimtext(SplitText($R99,",",COLUMN(U:U)-COLUMN($S:$S))))</f>
        <v>_none_</v>
      </c>
      <c r="V99" s="2" t="s">
        <v>507</v>
      </c>
      <c r="W99" s="12" t="str">
        <f>trimtext(SplitText($V99,",",0))</f>
        <v>_none_</v>
      </c>
      <c r="X99" s="12" t="str">
        <f>IF(SplitText($V99,",",COLUMN(X:X)-COLUMN($W:$W))="",$W99,trimtext(SplitText($V99,",",COLUMN(X:X)-COLUMN($W:$W))))</f>
        <v>_none_</v>
      </c>
      <c r="Y99" s="12" t="str">
        <f>IF(SplitText($V99,",",COLUMN(Y:Y)-COLUMN($W:$W))="",$W99,trimtext(SplitText($V99,",",COLUMN(Y:Y)-COLUMN($W:$W))))</f>
        <v>_none_</v>
      </c>
      <c r="Z99" s="2" t="s">
        <v>720</v>
      </c>
      <c r="AA99" s="12" t="str">
        <f t="shared" si="9"/>
        <v>SNAPSHOT</v>
      </c>
      <c r="AB99" s="2" t="s">
        <v>743</v>
      </c>
      <c r="AC99" s="12" t="str">
        <f>trimtext(SplitText($AB99,",",0))</f>
        <v>_none_</v>
      </c>
      <c r="AD99" s="12" t="str">
        <f>IF(SplitText($AB99,",",COLUMN(AD:AD)-COLUMN($AC:$AC))="",$AC99,trimtext(SplitText($AB99,",",COLUMN(AD:AD)-COLUMN($AC:$AC))))</f>
        <v>_none_</v>
      </c>
      <c r="AE99" s="18" t="str">
        <f t="shared" si="10"/>
        <v>&lt;xs:enumeration value="T61"&gt;&lt;xs:annotation&gt;&lt;xs:documentation&gt;Typically _none_ for keyboard type 4, different values for different keyboard types&lt;/xs:documentation&gt;&lt;xs:appinfo&gt;&lt;default-vk&gt;</v>
      </c>
      <c r="AF99" s="15" t="str">
        <f>IF(D99&lt;&gt;"","&lt;vk kbd="""&amp;D$1&amp;""" vk="""&amp;D99&amp;""""&amp;IF(Scan2VKFlags!B99&lt;&gt;""," flags="""&amp;Scan2VKFlags!B99&amp;"""","")&amp;"/&gt;","")</f>
        <v>&lt;vk kbd="1" vk="_none_"/&gt;</v>
      </c>
      <c r="AG99" s="15" t="str">
        <f>IF(E99&lt;&gt;"","&lt;vk kbd="""&amp;E$1&amp;""" vk="""&amp;E99&amp;""""&amp;IF(Scan2VKFlags!C99&lt;&gt;""," flags="""&amp;Scan2VKFlags!C99&amp;"""","")&amp;"/&gt;","")</f>
        <v>&lt;vk kbd="2" vk="_none_"/&gt;</v>
      </c>
      <c r="AH99" s="15" t="str">
        <f>IF(F99&lt;&gt;"","&lt;vk kbd="""&amp;F$1&amp;""" vk="""&amp;F99&amp;""""&amp;IF(Scan2VKFlags!D99&lt;&gt;""," flags="""&amp;Scan2VKFlags!D99&amp;"""","")&amp;"/&gt;","")</f>
        <v>&lt;vk kbd="3" vk="_none_"/&gt;</v>
      </c>
      <c r="AI99" s="15" t="str">
        <f>IF(G99&lt;&gt;"","&lt;vk kbd="""&amp;G$1&amp;""" vk="""&amp;G99&amp;""""&amp;IF(Scan2VKFlags!E99&lt;&gt;""," flags="""&amp;Scan2VKFlags!E99&amp;"""","")&amp;"/&gt;","")</f>
        <v>&lt;vk kbd="4" vk="_none_"/&gt;</v>
      </c>
      <c r="AJ99" s="15" t="str">
        <f>IF(H99&lt;&gt;"","&lt;vk kbd="""&amp;H$1&amp;""" vk="""&amp;H99&amp;""""&amp;IF(Scan2VKFlags!F99&lt;&gt;""," flags="""&amp;Scan2VKFlags!F99&amp;"""","")&amp;"/&gt;","")</f>
        <v>&lt;vk kbd="5" vk="_none_"/&gt;</v>
      </c>
      <c r="AK99" s="16" t="str">
        <f>IF(I99&lt;&gt;"","&lt;vk kbd="""&amp;I$1&amp;""" vk="""&amp;I99&amp;""""&amp;IF(Scan2VKFlags!G99&lt;&gt;""," flags="""&amp;Scan2VKFlags!G99&amp;"""","")&amp;"/&gt;","")</f>
        <v>&lt;vk kbd="6" vk="_none_"/&gt;</v>
      </c>
      <c r="AL99" s="3" t="str">
        <f>IF(K99&lt;&gt;"","&lt;vk kbd="""&amp;K$1&amp;""" vk="""&amp;K99&amp;""""&amp;IF(Scan2VKFlags!H99&lt;&gt;""," flags="""&amp;Scan2VKFlags!H99&amp;"""","")&amp;"/&gt;","")</f>
        <v>&lt;vk kbd="7" vk="_none_"/&gt;</v>
      </c>
      <c r="AM99" t="str">
        <f>IF(L99&lt;&gt;"","&lt;vk kbd="""&amp;L$1&amp;""" vk="""&amp;L99&amp;""""&amp;IF(Scan2VKFlags!I99&lt;&gt;""," flags="""&amp;Scan2VKFlags!I99&amp;"""","")&amp;"/&gt;","")</f>
        <v>&lt;vk kbd="8" vk="_none_"/&gt;</v>
      </c>
      <c r="AN99" t="str">
        <f>IF(M99&lt;&gt;"","&lt;vk kbd="""&amp;M$1&amp;""" vk="""&amp;M99&amp;""""&amp;IF(Scan2VKFlags!J99&lt;&gt;""," flags="""&amp;Scan2VKFlags!J99&amp;"""","")&amp;"/&gt;","")</f>
        <v>&lt;vk kbd="16" vk="_none_"/&gt;</v>
      </c>
      <c r="AO99" t="str">
        <f>IF(N99&lt;&gt;"","&lt;vk kbd="""&amp;N$1&amp;""" vk="""&amp;N99&amp;""""&amp;IF(Scan2VKFlags!K99&lt;&gt;""," flags="""&amp;Scan2VKFlags!K99&amp;"""","")&amp;"/&gt;","")</f>
        <v>&lt;vk kbd="10" vk="ZOOM"/&gt;</v>
      </c>
      <c r="AP99" t="str">
        <f>IF(O99&lt;&gt;"","&lt;vk kbd="""&amp;O$1&amp;""" vk="""&amp;O99&amp;""""&amp;IF(Scan2VKFlags!L99&lt;&gt;""," flags="""&amp;Scan2VKFlags!L99&amp;"""","")&amp;"/&gt;","")</f>
        <v>&lt;vk kbd="11" vk="ZOOM"/&gt;</v>
      </c>
      <c r="AQ99" t="str">
        <f>IF(P99&lt;&gt;"","&lt;vk kbd="""&amp;P$1&amp;""" vk="""&amp;P99&amp;""""&amp;IF(Scan2VKFlags!M99&lt;&gt;""," flags="""&amp;Scan2VKFlags!M99&amp;"""","")&amp;"/&gt;","")</f>
        <v>&lt;vk kbd="12" vk="ZOOM"/&gt;</v>
      </c>
      <c r="AR99" s="16" t="str">
        <f>IF(Q99&lt;&gt;"","&lt;vk kbd="""&amp;Q$1&amp;""" vk="""&amp;Q99&amp;""""&amp;IF(Scan2VKFlags!N99&lt;&gt;""," flags="""&amp;Scan2VKFlags!N99&amp;"""","")&amp;"/&gt;","")</f>
        <v>&lt;vk kbd="13" vk="ZOOM"/&gt;</v>
      </c>
      <c r="AS99" s="3" t="str">
        <f>IF(S99&lt;&gt;"","&lt;vk kbd="""&amp;S$1&amp;""" vk="""&amp;S99&amp;""""&amp;IF(Scan2VKFlags!O99&lt;&gt;""," flags="""&amp;Scan2VKFlags!O99&amp;"""","")&amp;"/&gt;","")</f>
        <v>&lt;vk kbd="20" vk="F5"/&gt;</v>
      </c>
      <c r="AT99" t="str">
        <f>IF(T99&lt;&gt;"","&lt;vk kbd="""&amp;T$1&amp;""" vk="""&amp;T99&amp;""""&amp;IF(Scan2VKFlags!P99&lt;&gt;""," flags="""&amp;Scan2VKFlags!P99&amp;"""","")&amp;"/&gt;","")</f>
        <v>&lt;vk kbd="21" vk="F5"/&gt;</v>
      </c>
      <c r="AU99" s="16" t="str">
        <f>IF(U99&lt;&gt;"","&lt;vk kbd="""&amp;U$1&amp;""" vk="""&amp;U99&amp;""""&amp;IF(Scan2VKFlags!Q99&lt;&gt;""," flags="""&amp;Scan2VKFlags!Q99&amp;"""","")&amp;"/&gt;","")</f>
        <v>&lt;vk kbd="22" vk="_none_"/&gt;</v>
      </c>
      <c r="AV99" s="3" t="str">
        <f>IF(W99&lt;&gt;"","&lt;vk kbd="""&amp;W$1&amp;""" vk="""&amp;W99&amp;""""&amp;IF(Scan2VKFlags!R99&lt;&gt;""," flags="""&amp;Scan2VKFlags!R99&amp;"""","")&amp;"/&gt;","")</f>
        <v>&lt;vk kbd="30" vk="_none_"/&gt;</v>
      </c>
      <c r="AW99" s="15" t="str">
        <f>IF(X99&lt;&gt;"","&lt;vk kbd="""&amp;X$1&amp;""" vk="""&amp;X99&amp;""""&amp;IF(Scan2VKFlags!S99&lt;&gt;""," flags="""&amp;Scan2VKFlags!S99&amp;"""","")&amp;"/&gt;","")</f>
        <v>&lt;vk kbd="33" vk="_none_"/&gt;</v>
      </c>
      <c r="AX99" s="15" t="str">
        <f>IF(Y99&lt;&gt;"","&lt;vk kbd="""&amp;Y$1&amp;""" vk="""&amp;Y99&amp;""""&amp;IF(Scan2VKFlags!T99&lt;&gt;""," flags="""&amp;Scan2VKFlags!T99&amp;"""","")&amp;"/&gt;","")</f>
        <v>&lt;vk kbd="34" vk="_none_"/&gt;</v>
      </c>
      <c r="AY99" s="18" t="str">
        <f>IF(AA99&lt;&gt;"","&lt;vk kbd="""&amp;AA$1&amp;""" vk="""&amp;AA99&amp;""""&amp;IF(Scan2VKFlags!U99&lt;&gt;""," flags="""&amp;Scan2VKFlags!U99&amp;"""","")&amp;"/&gt;","")</f>
        <v>&lt;vk kbd="37" vk="SNAPSHOT"/&gt;</v>
      </c>
      <c r="AZ99" s="3" t="str">
        <f>IF(AC99&lt;&gt;"","&lt;vk kbd="""&amp;AC$1&amp;""" vk="""&amp;AC99&amp;""""&amp;IF(Scan2VKFlags!V99&lt;&gt;""," flags="""&amp;Scan2VKFlags!V99&amp;"""","")&amp;"/&gt;","")</f>
        <v>&lt;vk kbd="40" vk="_none_"/&gt;</v>
      </c>
      <c r="BA99" s="16" t="str">
        <f>IF(AD99&lt;&gt;"","&lt;vk kbd="""&amp;AD$1&amp;""" vk="""&amp;AD99&amp;""""&amp;IF(Scan2VKFlags!W99&lt;&gt;""," flags="""&amp;Scan2VKFlags!W99&amp;"""","")&amp;"/&gt;","")</f>
        <v>&lt;vk kbd="41" vk="_none_"/&gt;</v>
      </c>
      <c r="BB99" t="s">
        <v>854</v>
      </c>
    </row>
    <row r="100" spans="1:54" x14ac:dyDescent="0.25">
      <c r="A100">
        <f t="shared" si="11"/>
        <v>98</v>
      </c>
      <c r="B100" t="str">
        <f t="shared" si="8"/>
        <v>T62</v>
      </c>
      <c r="C100" s="7" t="s">
        <v>94</v>
      </c>
      <c r="D100" s="12" t="str">
        <f>trimtext(SplitText($C100,",",0))</f>
        <v>ZOOM</v>
      </c>
      <c r="E100" s="12" t="str">
        <f>IF(SplitText($C100,",",COLUMN(E:E)-COLUMN($D:$D))="",$D100,trimtext(SplitText($C100,",",COLUMN(E:E)-COLUMN($D:$D))))</f>
        <v>ZOOM</v>
      </c>
      <c r="F100" s="12" t="str">
        <f>IF(SplitText($C100,",",COLUMN(F:F)-COLUMN($D:$D))="",$D100,trimtext(SplitText($C100,",",COLUMN(F:F)-COLUMN($D:$D))))</f>
        <v>ZOOM</v>
      </c>
      <c r="G100" s="12" t="str">
        <f>IF(SplitText($C100,",",COLUMN(G:G)-COLUMN($D:$D))="",$D100,trimtext(SplitText($C100,",",COLUMN(G:G)-COLUMN($D:$D))))</f>
        <v>ZOOM</v>
      </c>
      <c r="H100" s="12" t="str">
        <f>IF(SplitText($C100,",",COLUMN(H:H)-COLUMN($D:$D))="",$D100,trimtext(SplitText($C100,",",COLUMN(H:H)-COLUMN($D:$D))))</f>
        <v>ZOOM</v>
      </c>
      <c r="I100" s="12" t="str">
        <f>IF(SplitText($C100,",",COLUMN(I:I)-COLUMN($D:$D))="",$D100,trimtext(SplitText($C100,",",COLUMN(I:I)-COLUMN($D:$D))))</f>
        <v>ZOOM</v>
      </c>
      <c r="J100" s="9" t="s">
        <v>280</v>
      </c>
      <c r="K100" s="12" t="str">
        <f>trimtext(SplitText($J100,",",0))</f>
        <v>_none_</v>
      </c>
      <c r="L100" s="12" t="str">
        <f>IF(SplitText($J100,",",COLUMN(L:L)-COLUMN($K:$K))="",$K100,trimtext(SplitText($J100,",",COLUMN(L:L)-COLUMN($K:$K))))</f>
        <v>_none_</v>
      </c>
      <c r="M100" s="12" t="str">
        <f>IF(SplitText($J100,",",COLUMN(M:M)-COLUMN($K:$K))="",$K100,trimtext(SplitText($J100,",",COLUMN(M:M)-COLUMN($K:$K))))</f>
        <v>_none_</v>
      </c>
      <c r="N100" s="12" t="str">
        <f>IF(SplitText($J100,",",COLUMN(N:N)-COLUMN($K:$K))="",$K100,trimtext(SplitText($J100,",",COLUMN(N:N)-COLUMN($K:$K))))</f>
        <v>HELP</v>
      </c>
      <c r="O100" s="12" t="str">
        <f>IF(SplitText($J100,",",COLUMN(O:O)-COLUMN($K:$K))="",$K100,trimtext(SplitText($J100,",",COLUMN(O:O)-COLUMN($K:$K))))</f>
        <v>HELP</v>
      </c>
      <c r="P100" s="12" t="str">
        <f>IF(SplitText($J100,",",COLUMN(P:P)-COLUMN($K:$K))="",$K100,trimtext(SplitText($J100,",",COLUMN(P:P)-COLUMN($K:$K))))</f>
        <v>HELP</v>
      </c>
      <c r="Q100" s="12" t="str">
        <f>IF(SplitText($J100,",",COLUMN(Q:Q)-COLUMN($K:$K))="",$K100,trimtext(SplitText($J100,",",COLUMN(Q:Q)-COLUMN($K:$K))))</f>
        <v>HELP</v>
      </c>
      <c r="R100" s="2" t="s">
        <v>440</v>
      </c>
      <c r="S100" s="12" t="str">
        <f>trimtext(SplitText($R100,",",0))</f>
        <v>F6</v>
      </c>
      <c r="T100" s="12" t="str">
        <f>IF(SplitText($R100,",",COLUMN(T:T)-COLUMN($S:$S))="",$S100,trimtext(SplitText($R100,",",COLUMN(T:T)-COLUMN($S:$S))))</f>
        <v>F6</v>
      </c>
      <c r="U100" s="12" t="str">
        <f>IF(SplitText($R100,",",COLUMN(U:U)-COLUMN($S:$S))="",$S100,trimtext(SplitText($R100,",",COLUMN(U:U)-COLUMN($S:$S))))</f>
        <v>_none_</v>
      </c>
      <c r="V100" s="2" t="s">
        <v>507</v>
      </c>
      <c r="W100" s="12" t="str">
        <f>trimtext(SplitText($V100,",",0))</f>
        <v>_none_</v>
      </c>
      <c r="X100" s="12" t="str">
        <f>IF(SplitText($V100,",",COLUMN(X:X)-COLUMN($W:$W))="",$W100,trimtext(SplitText($V100,",",COLUMN(X:X)-COLUMN($W:$W))))</f>
        <v>_none_</v>
      </c>
      <c r="Y100" s="12" t="str">
        <f>IF(SplitText($V100,",",COLUMN(Y:Y)-COLUMN($W:$W))="",$W100,trimtext(SplitText($V100,",",COLUMN(Y:Y)-COLUMN($W:$W))))</f>
        <v>_none_</v>
      </c>
      <c r="Z100" s="2" t="s">
        <v>721</v>
      </c>
      <c r="AA100" s="12" t="str">
        <f t="shared" si="9"/>
        <v>F1</v>
      </c>
      <c r="AB100" s="2" t="s">
        <v>743</v>
      </c>
      <c r="AC100" s="12" t="str">
        <f>trimtext(SplitText($AB100,",",0))</f>
        <v>_none_</v>
      </c>
      <c r="AD100" s="12" t="str">
        <f>IF(SplitText($AB100,",",COLUMN(AD:AD)-COLUMN($AC:$AC))="",$AC100,trimtext(SplitText($AB100,",",COLUMN(AD:AD)-COLUMN($AC:$AC))))</f>
        <v>_none_</v>
      </c>
      <c r="AE100" s="18" t="str">
        <f t="shared" si="10"/>
        <v>&lt;xs:enumeration value="T62"&gt;&lt;xs:annotation&gt;&lt;xs:documentation&gt;Typically ZOOM for keyboard type 4, different values for different keyboard types&lt;/xs:documentation&gt;&lt;xs:appinfo&gt;&lt;default-vk&gt;</v>
      </c>
      <c r="AF100" s="15" t="str">
        <f>IF(D100&lt;&gt;"","&lt;vk kbd="""&amp;D$1&amp;""" vk="""&amp;D100&amp;""""&amp;IF(Scan2VKFlags!B100&lt;&gt;""," flags="""&amp;Scan2VKFlags!B100&amp;"""","")&amp;"/&gt;","")</f>
        <v>&lt;vk kbd="1" vk="ZOOM"/&gt;</v>
      </c>
      <c r="AG100" s="15" t="str">
        <f>IF(E100&lt;&gt;"","&lt;vk kbd="""&amp;E$1&amp;""" vk="""&amp;E100&amp;""""&amp;IF(Scan2VKFlags!C100&lt;&gt;""," flags="""&amp;Scan2VKFlags!C100&amp;"""","")&amp;"/&gt;","")</f>
        <v>&lt;vk kbd="2" vk="ZOOM"/&gt;</v>
      </c>
      <c r="AH100" s="15" t="str">
        <f>IF(F100&lt;&gt;"","&lt;vk kbd="""&amp;F$1&amp;""" vk="""&amp;F100&amp;""""&amp;IF(Scan2VKFlags!D100&lt;&gt;""," flags="""&amp;Scan2VKFlags!D100&amp;"""","")&amp;"/&gt;","")</f>
        <v>&lt;vk kbd="3" vk="ZOOM"/&gt;</v>
      </c>
      <c r="AI100" s="15" t="str">
        <f>IF(G100&lt;&gt;"","&lt;vk kbd="""&amp;G$1&amp;""" vk="""&amp;G100&amp;""""&amp;IF(Scan2VKFlags!E100&lt;&gt;""," flags="""&amp;Scan2VKFlags!E100&amp;"""","")&amp;"/&gt;","")</f>
        <v>&lt;vk kbd="4" vk="ZOOM"/&gt;</v>
      </c>
      <c r="AJ100" s="15" t="str">
        <f>IF(H100&lt;&gt;"","&lt;vk kbd="""&amp;H$1&amp;""" vk="""&amp;H100&amp;""""&amp;IF(Scan2VKFlags!F100&lt;&gt;""," flags="""&amp;Scan2VKFlags!F100&amp;"""","")&amp;"/&gt;","")</f>
        <v>&lt;vk kbd="5" vk="ZOOM"/&gt;</v>
      </c>
      <c r="AK100" s="16" t="str">
        <f>IF(I100&lt;&gt;"","&lt;vk kbd="""&amp;I$1&amp;""" vk="""&amp;I100&amp;""""&amp;IF(Scan2VKFlags!G100&lt;&gt;""," flags="""&amp;Scan2VKFlags!G100&amp;"""","")&amp;"/&gt;","")</f>
        <v>&lt;vk kbd="6" vk="ZOOM"/&gt;</v>
      </c>
      <c r="AL100" s="3" t="str">
        <f>IF(K100&lt;&gt;"","&lt;vk kbd="""&amp;K$1&amp;""" vk="""&amp;K100&amp;""""&amp;IF(Scan2VKFlags!H100&lt;&gt;""," flags="""&amp;Scan2VKFlags!H100&amp;"""","")&amp;"/&gt;","")</f>
        <v>&lt;vk kbd="7" vk="_none_"/&gt;</v>
      </c>
      <c r="AM100" t="str">
        <f>IF(L100&lt;&gt;"","&lt;vk kbd="""&amp;L$1&amp;""" vk="""&amp;L100&amp;""""&amp;IF(Scan2VKFlags!I100&lt;&gt;""," flags="""&amp;Scan2VKFlags!I100&amp;"""","")&amp;"/&gt;","")</f>
        <v>&lt;vk kbd="8" vk="_none_"/&gt;</v>
      </c>
      <c r="AN100" t="str">
        <f>IF(M100&lt;&gt;"","&lt;vk kbd="""&amp;M$1&amp;""" vk="""&amp;M100&amp;""""&amp;IF(Scan2VKFlags!J100&lt;&gt;""," flags="""&amp;Scan2VKFlags!J100&amp;"""","")&amp;"/&gt;","")</f>
        <v>&lt;vk kbd="16" vk="_none_"/&gt;</v>
      </c>
      <c r="AO100" t="str">
        <f>IF(N100&lt;&gt;"","&lt;vk kbd="""&amp;N$1&amp;""" vk="""&amp;N100&amp;""""&amp;IF(Scan2VKFlags!K100&lt;&gt;""," flags="""&amp;Scan2VKFlags!K100&amp;"""","")&amp;"/&gt;","")</f>
        <v>&lt;vk kbd="10" vk="HELP"/&gt;</v>
      </c>
      <c r="AP100" t="str">
        <f>IF(O100&lt;&gt;"","&lt;vk kbd="""&amp;O$1&amp;""" vk="""&amp;O100&amp;""""&amp;IF(Scan2VKFlags!L100&lt;&gt;""," flags="""&amp;Scan2VKFlags!L100&amp;"""","")&amp;"/&gt;","")</f>
        <v>&lt;vk kbd="11" vk="HELP"/&gt;</v>
      </c>
      <c r="AQ100" t="str">
        <f>IF(P100&lt;&gt;"","&lt;vk kbd="""&amp;P$1&amp;""" vk="""&amp;P100&amp;""""&amp;IF(Scan2VKFlags!M100&lt;&gt;""," flags="""&amp;Scan2VKFlags!M100&amp;"""","")&amp;"/&gt;","")</f>
        <v>&lt;vk kbd="12" vk="HELP"/&gt;</v>
      </c>
      <c r="AR100" s="16" t="str">
        <f>IF(Q100&lt;&gt;"","&lt;vk kbd="""&amp;Q$1&amp;""" vk="""&amp;Q100&amp;""""&amp;IF(Scan2VKFlags!N100&lt;&gt;""," flags="""&amp;Scan2VKFlags!N100&amp;"""","")&amp;"/&gt;","")</f>
        <v>&lt;vk kbd="13" vk="HELP"/&gt;</v>
      </c>
      <c r="AS100" s="3" t="str">
        <f>IF(S100&lt;&gt;"","&lt;vk kbd="""&amp;S$1&amp;""" vk="""&amp;S100&amp;""""&amp;IF(Scan2VKFlags!O100&lt;&gt;""," flags="""&amp;Scan2VKFlags!O100&amp;"""","")&amp;"/&gt;","")</f>
        <v>&lt;vk kbd="20" vk="F6"/&gt;</v>
      </c>
      <c r="AT100" t="str">
        <f>IF(T100&lt;&gt;"","&lt;vk kbd="""&amp;T$1&amp;""" vk="""&amp;T100&amp;""""&amp;IF(Scan2VKFlags!P100&lt;&gt;""," flags="""&amp;Scan2VKFlags!P100&amp;"""","")&amp;"/&gt;","")</f>
        <v>&lt;vk kbd="21" vk="F6"/&gt;</v>
      </c>
      <c r="AU100" s="16" t="str">
        <f>IF(U100&lt;&gt;"","&lt;vk kbd="""&amp;U$1&amp;""" vk="""&amp;U100&amp;""""&amp;IF(Scan2VKFlags!Q100&lt;&gt;""," flags="""&amp;Scan2VKFlags!Q100&amp;"""","")&amp;"/&gt;","")</f>
        <v>&lt;vk kbd="22" vk="_none_"/&gt;</v>
      </c>
      <c r="AV100" s="3" t="str">
        <f>IF(W100&lt;&gt;"","&lt;vk kbd="""&amp;W$1&amp;""" vk="""&amp;W100&amp;""""&amp;IF(Scan2VKFlags!R100&lt;&gt;""," flags="""&amp;Scan2VKFlags!R100&amp;"""","")&amp;"/&gt;","")</f>
        <v>&lt;vk kbd="30" vk="_none_"/&gt;</v>
      </c>
      <c r="AW100" s="15" t="str">
        <f>IF(X100&lt;&gt;"","&lt;vk kbd="""&amp;X$1&amp;""" vk="""&amp;X100&amp;""""&amp;IF(Scan2VKFlags!S100&lt;&gt;""," flags="""&amp;Scan2VKFlags!S100&amp;"""","")&amp;"/&gt;","")</f>
        <v>&lt;vk kbd="33" vk="_none_"/&gt;</v>
      </c>
      <c r="AX100" s="15" t="str">
        <f>IF(Y100&lt;&gt;"","&lt;vk kbd="""&amp;Y$1&amp;""" vk="""&amp;Y100&amp;""""&amp;IF(Scan2VKFlags!T100&lt;&gt;""," flags="""&amp;Scan2VKFlags!T100&amp;"""","")&amp;"/&gt;","")</f>
        <v>&lt;vk kbd="34" vk="_none_"/&gt;</v>
      </c>
      <c r="AY100" s="18" t="str">
        <f>IF(AA100&lt;&gt;"","&lt;vk kbd="""&amp;AA$1&amp;""" vk="""&amp;AA100&amp;""""&amp;IF(Scan2VKFlags!U100&lt;&gt;""," flags="""&amp;Scan2VKFlags!U100&amp;"""","")&amp;"/&gt;","")</f>
        <v>&lt;vk kbd="37" vk="F1"/&gt;</v>
      </c>
      <c r="AZ100" s="3" t="str">
        <f>IF(AC100&lt;&gt;"","&lt;vk kbd="""&amp;AC$1&amp;""" vk="""&amp;AC100&amp;""""&amp;IF(Scan2VKFlags!V100&lt;&gt;""," flags="""&amp;Scan2VKFlags!V100&amp;"""","")&amp;"/&gt;","")</f>
        <v>&lt;vk kbd="40" vk="_none_"/&gt;</v>
      </c>
      <c r="BA100" s="16" t="str">
        <f>IF(AD100&lt;&gt;"","&lt;vk kbd="""&amp;AD$1&amp;""" vk="""&amp;AD100&amp;""""&amp;IF(Scan2VKFlags!W100&lt;&gt;""," flags="""&amp;Scan2VKFlags!W100&amp;"""","")&amp;"/&gt;","")</f>
        <v>&lt;vk kbd="41" vk="_none_"/&gt;</v>
      </c>
      <c r="BB100" t="s">
        <v>854</v>
      </c>
    </row>
    <row r="101" spans="1:54" x14ac:dyDescent="0.25">
      <c r="A101">
        <f t="shared" si="11"/>
        <v>99</v>
      </c>
      <c r="B101" t="str">
        <f t="shared" si="8"/>
        <v>T63</v>
      </c>
      <c r="C101" s="7" t="s">
        <v>95</v>
      </c>
      <c r="D101" s="12" t="str">
        <f>trimtext(SplitText($C101,",",0))</f>
        <v>HELP</v>
      </c>
      <c r="E101" s="12" t="str">
        <f>IF(SplitText($C101,",",COLUMN(E:E)-COLUMN($D:$D))="",$D101,trimtext(SplitText($C101,",",COLUMN(E:E)-COLUMN($D:$D))))</f>
        <v>HELP</v>
      </c>
      <c r="F101" s="12" t="str">
        <f>IF(SplitText($C101,",",COLUMN(F:F)-COLUMN($D:$D))="",$D101,trimtext(SplitText($C101,",",COLUMN(F:F)-COLUMN($D:$D))))</f>
        <v>HELP</v>
      </c>
      <c r="G101" s="12" t="str">
        <f>IF(SplitText($C101,",",COLUMN(G:G)-COLUMN($D:$D))="",$D101,trimtext(SplitText($C101,",",COLUMN(G:G)-COLUMN($D:$D))))</f>
        <v>HELP</v>
      </c>
      <c r="H101" s="12" t="str">
        <f>IF(SplitText($C101,",",COLUMN(H:H)-COLUMN($D:$D))="",$D101,trimtext(SplitText($C101,",",COLUMN(H:H)-COLUMN($D:$D))))</f>
        <v>HELP</v>
      </c>
      <c r="I101" s="12" t="str">
        <f>IF(SplitText($C101,",",COLUMN(I:I)-COLUMN($D:$D))="",$D101,trimtext(SplitText($C101,",",COLUMN(I:I)-COLUMN($D:$D))))</f>
        <v>HELP</v>
      </c>
      <c r="J101" s="9" t="s">
        <v>185</v>
      </c>
      <c r="K101" s="12" t="str">
        <f>trimtext(SplitText($J101,",",0))</f>
        <v>_none_</v>
      </c>
      <c r="L101" s="12" t="str">
        <f>IF(SplitText($J101,",",COLUMN(L:L)-COLUMN($K:$K))="",$K101,trimtext(SplitText($J101,",",COLUMN(L:L)-COLUMN($K:$K))))</f>
        <v>_none_</v>
      </c>
      <c r="M101" s="12" t="str">
        <f>IF(SplitText($J101,",",COLUMN(M:M)-COLUMN($K:$K))="",$K101,trimtext(SplitText($J101,",",COLUMN(M:M)-COLUMN($K:$K))))</f>
        <v>_none_</v>
      </c>
      <c r="N101" s="12" t="str">
        <f>IF(SplitText($J101,",",COLUMN(N:N)-COLUMN($K:$K))="",$K101,trimtext(SplitText($J101,",",COLUMN(N:N)-COLUMN($K:$K))))</f>
        <v>_none_</v>
      </c>
      <c r="O101" s="12" t="str">
        <f>IF(SplitText($J101,",",COLUMN(O:O)-COLUMN($K:$K))="",$K101,trimtext(SplitText($J101,",",COLUMN(O:O)-COLUMN($K:$K))))</f>
        <v>_none_</v>
      </c>
      <c r="P101" s="12" t="str">
        <f>IF(SplitText($J101,",",COLUMN(P:P)-COLUMN($K:$K))="",$K101,trimtext(SplitText($J101,",",COLUMN(P:P)-COLUMN($K:$K))))</f>
        <v>_none_</v>
      </c>
      <c r="Q101" s="12" t="str">
        <f>IF(SplitText($J101,",",COLUMN(Q:Q)-COLUMN($K:$K))="",$K101,trimtext(SplitText($J101,",",COLUMN(Q:Q)-COLUMN($K:$K))))</f>
        <v>_none_</v>
      </c>
      <c r="R101" s="2" t="s">
        <v>441</v>
      </c>
      <c r="S101" s="12" t="str">
        <f>trimtext(SplitText($R101,",",0))</f>
        <v>F7</v>
      </c>
      <c r="T101" s="12" t="str">
        <f>IF(SplitText($R101,",",COLUMN(T:T)-COLUMN($S:$S))="",$S101,trimtext(SplitText($R101,",",COLUMN(T:T)-COLUMN($S:$S))))</f>
        <v>F7</v>
      </c>
      <c r="U101" s="12" t="str">
        <f>IF(SplitText($R101,",",COLUMN(U:U)-COLUMN($S:$S))="",$S101,trimtext(SplitText($R101,",",COLUMN(U:U)-COLUMN($S:$S))))</f>
        <v>_none_</v>
      </c>
      <c r="V101" s="2" t="s">
        <v>507</v>
      </c>
      <c r="W101" s="12" t="str">
        <f>trimtext(SplitText($V101,",",0))</f>
        <v>_none_</v>
      </c>
      <c r="X101" s="12" t="str">
        <f>IF(SplitText($V101,",",COLUMN(X:X)-COLUMN($W:$W))="",$W101,trimtext(SplitText($V101,",",COLUMN(X:X)-COLUMN($W:$W))))</f>
        <v>_none_</v>
      </c>
      <c r="Y101" s="12" t="str">
        <f>IF(SplitText($V101,",",COLUMN(Y:Y)-COLUMN($W:$W))="",$W101,trimtext(SplitText($V101,",",COLUMN(Y:Y)-COLUMN($W:$W))))</f>
        <v>_none_</v>
      </c>
      <c r="Z101" s="2" t="s">
        <v>722</v>
      </c>
      <c r="AA101" s="12" t="str">
        <f t="shared" si="9"/>
        <v>F2</v>
      </c>
      <c r="AB101" s="2" t="s">
        <v>743</v>
      </c>
      <c r="AC101" s="12" t="str">
        <f>trimtext(SplitText($AB101,",",0))</f>
        <v>_none_</v>
      </c>
      <c r="AD101" s="12" t="str">
        <f>IF(SplitText($AB101,",",COLUMN(AD:AD)-COLUMN($AC:$AC))="",$AC101,trimtext(SplitText($AB101,",",COLUMN(AD:AD)-COLUMN($AC:$AC))))</f>
        <v>_none_</v>
      </c>
      <c r="AE101" s="18" t="str">
        <f t="shared" si="10"/>
        <v>&lt;xs:enumeration value="T63"&gt;&lt;xs:annotation&gt;&lt;xs:documentation&gt;Typically HELP for keyboard type 4, different values for different keyboard types&lt;/xs:documentation&gt;&lt;xs:appinfo&gt;&lt;default-vk&gt;</v>
      </c>
      <c r="AF101" s="15" t="str">
        <f>IF(D101&lt;&gt;"","&lt;vk kbd="""&amp;D$1&amp;""" vk="""&amp;D101&amp;""""&amp;IF(Scan2VKFlags!B101&lt;&gt;""," flags="""&amp;Scan2VKFlags!B101&amp;"""","")&amp;"/&gt;","")</f>
        <v>&lt;vk kbd="1" vk="HELP"/&gt;</v>
      </c>
      <c r="AG101" s="15" t="str">
        <f>IF(E101&lt;&gt;"","&lt;vk kbd="""&amp;E$1&amp;""" vk="""&amp;E101&amp;""""&amp;IF(Scan2VKFlags!C101&lt;&gt;""," flags="""&amp;Scan2VKFlags!C101&amp;"""","")&amp;"/&gt;","")</f>
        <v>&lt;vk kbd="2" vk="HELP"/&gt;</v>
      </c>
      <c r="AH101" s="15" t="str">
        <f>IF(F101&lt;&gt;"","&lt;vk kbd="""&amp;F$1&amp;""" vk="""&amp;F101&amp;""""&amp;IF(Scan2VKFlags!D101&lt;&gt;""," flags="""&amp;Scan2VKFlags!D101&amp;"""","")&amp;"/&gt;","")</f>
        <v>&lt;vk kbd="3" vk="HELP"/&gt;</v>
      </c>
      <c r="AI101" s="15" t="str">
        <f>IF(G101&lt;&gt;"","&lt;vk kbd="""&amp;G$1&amp;""" vk="""&amp;G101&amp;""""&amp;IF(Scan2VKFlags!E101&lt;&gt;""," flags="""&amp;Scan2VKFlags!E101&amp;"""","")&amp;"/&gt;","")</f>
        <v>&lt;vk kbd="4" vk="HELP"/&gt;</v>
      </c>
      <c r="AJ101" s="15" t="str">
        <f>IF(H101&lt;&gt;"","&lt;vk kbd="""&amp;H$1&amp;""" vk="""&amp;H101&amp;""""&amp;IF(Scan2VKFlags!F101&lt;&gt;""," flags="""&amp;Scan2VKFlags!F101&amp;"""","")&amp;"/&gt;","")</f>
        <v>&lt;vk kbd="5" vk="HELP"/&gt;</v>
      </c>
      <c r="AK101" s="16" t="str">
        <f>IF(I101&lt;&gt;"","&lt;vk kbd="""&amp;I$1&amp;""" vk="""&amp;I101&amp;""""&amp;IF(Scan2VKFlags!G101&lt;&gt;""," flags="""&amp;Scan2VKFlags!G101&amp;"""","")&amp;"/&gt;","")</f>
        <v>&lt;vk kbd="6" vk="HELP"/&gt;</v>
      </c>
      <c r="AL101" s="3" t="str">
        <f>IF(K101&lt;&gt;"","&lt;vk kbd="""&amp;K$1&amp;""" vk="""&amp;K101&amp;""""&amp;IF(Scan2VKFlags!H101&lt;&gt;""," flags="""&amp;Scan2VKFlags!H101&amp;"""","")&amp;"/&gt;","")</f>
        <v>&lt;vk kbd="7" vk="_none_"/&gt;</v>
      </c>
      <c r="AM101" t="str">
        <f>IF(L101&lt;&gt;"","&lt;vk kbd="""&amp;L$1&amp;""" vk="""&amp;L101&amp;""""&amp;IF(Scan2VKFlags!I101&lt;&gt;""," flags="""&amp;Scan2VKFlags!I101&amp;"""","")&amp;"/&gt;","")</f>
        <v>&lt;vk kbd="8" vk="_none_"/&gt;</v>
      </c>
      <c r="AN101" t="str">
        <f>IF(M101&lt;&gt;"","&lt;vk kbd="""&amp;M$1&amp;""" vk="""&amp;M101&amp;""""&amp;IF(Scan2VKFlags!J101&lt;&gt;""," flags="""&amp;Scan2VKFlags!J101&amp;"""","")&amp;"/&gt;","")</f>
        <v>&lt;vk kbd="16" vk="_none_"/&gt;</v>
      </c>
      <c r="AO101" t="str">
        <f>IF(N101&lt;&gt;"","&lt;vk kbd="""&amp;N$1&amp;""" vk="""&amp;N101&amp;""""&amp;IF(Scan2VKFlags!K101&lt;&gt;""," flags="""&amp;Scan2VKFlags!K101&amp;"""","")&amp;"/&gt;","")</f>
        <v>&lt;vk kbd="10" vk="_none_"/&gt;</v>
      </c>
      <c r="AP101" t="str">
        <f>IF(O101&lt;&gt;"","&lt;vk kbd="""&amp;O$1&amp;""" vk="""&amp;O101&amp;""""&amp;IF(Scan2VKFlags!L101&lt;&gt;""," flags="""&amp;Scan2VKFlags!L101&amp;"""","")&amp;"/&gt;","")</f>
        <v>&lt;vk kbd="11" vk="_none_"/&gt;</v>
      </c>
      <c r="AQ101" t="str">
        <f>IF(P101&lt;&gt;"","&lt;vk kbd="""&amp;P$1&amp;""" vk="""&amp;P101&amp;""""&amp;IF(Scan2VKFlags!M101&lt;&gt;""," flags="""&amp;Scan2VKFlags!M101&amp;"""","")&amp;"/&gt;","")</f>
        <v>&lt;vk kbd="12" vk="_none_"/&gt;</v>
      </c>
      <c r="AR101" s="16" t="str">
        <f>IF(Q101&lt;&gt;"","&lt;vk kbd="""&amp;Q$1&amp;""" vk="""&amp;Q101&amp;""""&amp;IF(Scan2VKFlags!N101&lt;&gt;""," flags="""&amp;Scan2VKFlags!N101&amp;"""","")&amp;"/&gt;","")</f>
        <v>&lt;vk kbd="13" vk="_none_"/&gt;</v>
      </c>
      <c r="AS101" s="3" t="str">
        <f>IF(S101&lt;&gt;"","&lt;vk kbd="""&amp;S$1&amp;""" vk="""&amp;S101&amp;""""&amp;IF(Scan2VKFlags!O101&lt;&gt;""," flags="""&amp;Scan2VKFlags!O101&amp;"""","")&amp;"/&gt;","")</f>
        <v>&lt;vk kbd="20" vk="F7"/&gt;</v>
      </c>
      <c r="AT101" t="str">
        <f>IF(T101&lt;&gt;"","&lt;vk kbd="""&amp;T$1&amp;""" vk="""&amp;T101&amp;""""&amp;IF(Scan2VKFlags!P101&lt;&gt;""," flags="""&amp;Scan2VKFlags!P101&amp;"""","")&amp;"/&gt;","")</f>
        <v>&lt;vk kbd="21" vk="F7"/&gt;</v>
      </c>
      <c r="AU101" s="16" t="str">
        <f>IF(U101&lt;&gt;"","&lt;vk kbd="""&amp;U$1&amp;""" vk="""&amp;U101&amp;""""&amp;IF(Scan2VKFlags!Q101&lt;&gt;""," flags="""&amp;Scan2VKFlags!Q101&amp;"""","")&amp;"/&gt;","")</f>
        <v>&lt;vk kbd="22" vk="_none_"/&gt;</v>
      </c>
      <c r="AV101" s="3" t="str">
        <f>IF(W101&lt;&gt;"","&lt;vk kbd="""&amp;W$1&amp;""" vk="""&amp;W101&amp;""""&amp;IF(Scan2VKFlags!R101&lt;&gt;""," flags="""&amp;Scan2VKFlags!R101&amp;"""","")&amp;"/&gt;","")</f>
        <v>&lt;vk kbd="30" vk="_none_"/&gt;</v>
      </c>
      <c r="AW101" s="15" t="str">
        <f>IF(X101&lt;&gt;"","&lt;vk kbd="""&amp;X$1&amp;""" vk="""&amp;X101&amp;""""&amp;IF(Scan2VKFlags!S101&lt;&gt;""," flags="""&amp;Scan2VKFlags!S101&amp;"""","")&amp;"/&gt;","")</f>
        <v>&lt;vk kbd="33" vk="_none_"/&gt;</v>
      </c>
      <c r="AX101" s="15" t="str">
        <f>IF(Y101&lt;&gt;"","&lt;vk kbd="""&amp;Y$1&amp;""" vk="""&amp;Y101&amp;""""&amp;IF(Scan2VKFlags!T101&lt;&gt;""," flags="""&amp;Scan2VKFlags!T101&amp;"""","")&amp;"/&gt;","")</f>
        <v>&lt;vk kbd="34" vk="_none_"/&gt;</v>
      </c>
      <c r="AY101" s="18" t="str">
        <f>IF(AA101&lt;&gt;"","&lt;vk kbd="""&amp;AA$1&amp;""" vk="""&amp;AA101&amp;""""&amp;IF(Scan2VKFlags!U101&lt;&gt;""," flags="""&amp;Scan2VKFlags!U101&amp;"""","")&amp;"/&gt;","")</f>
        <v>&lt;vk kbd="37" vk="F2"/&gt;</v>
      </c>
      <c r="AZ101" s="3" t="str">
        <f>IF(AC101&lt;&gt;"","&lt;vk kbd="""&amp;AC$1&amp;""" vk="""&amp;AC101&amp;""""&amp;IF(Scan2VKFlags!V101&lt;&gt;""," flags="""&amp;Scan2VKFlags!V101&amp;"""","")&amp;"/&gt;","")</f>
        <v>&lt;vk kbd="40" vk="_none_"/&gt;</v>
      </c>
      <c r="BA101" s="16" t="str">
        <f>IF(AD101&lt;&gt;"","&lt;vk kbd="""&amp;AD$1&amp;""" vk="""&amp;AD101&amp;""""&amp;IF(Scan2VKFlags!W101&lt;&gt;""," flags="""&amp;Scan2VKFlags!W101&amp;"""","")&amp;"/&gt;","")</f>
        <v>&lt;vk kbd="41" vk="_none_"/&gt;</v>
      </c>
      <c r="BB101" t="s">
        <v>854</v>
      </c>
    </row>
    <row r="102" spans="1:54" x14ac:dyDescent="0.25">
      <c r="A102">
        <f t="shared" si="11"/>
        <v>100</v>
      </c>
      <c r="B102" t="str">
        <f t="shared" si="8"/>
        <v>T64</v>
      </c>
      <c r="C102" s="7" t="s">
        <v>96</v>
      </c>
      <c r="D102" s="12" t="str">
        <f>trimtext(SplitText($C102,",",0))</f>
        <v>F13</v>
      </c>
      <c r="E102" s="12" t="str">
        <f>IF(SplitText($C102,",",COLUMN(E:E)-COLUMN($D:$D))="",$D102,trimtext(SplitText($C102,",",COLUMN(E:E)-COLUMN($D:$D))))</f>
        <v>F13</v>
      </c>
      <c r="F102" s="12" t="str">
        <f>IF(SplitText($C102,",",COLUMN(F:F)-COLUMN($D:$D))="",$D102,trimtext(SplitText($C102,",",COLUMN(F:F)-COLUMN($D:$D))))</f>
        <v>F13</v>
      </c>
      <c r="G102" s="12" t="str">
        <f>IF(SplitText($C102,",",COLUMN(G:G)-COLUMN($D:$D))="",$D102,trimtext(SplitText($C102,",",COLUMN(G:G)-COLUMN($D:$D))))</f>
        <v>F13</v>
      </c>
      <c r="H102" s="12" t="str">
        <f>IF(SplitText($C102,",",COLUMN(H:H)-COLUMN($D:$D))="",$D102,trimtext(SplitText($C102,",",COLUMN(H:H)-COLUMN($D:$D))))</f>
        <v>F13</v>
      </c>
      <c r="I102" s="12" t="str">
        <f>IF(SplitText($C102,",",COLUMN(I:I)-COLUMN($D:$D))="",$D102,trimtext(SplitText($C102,",",COLUMN(I:I)-COLUMN($D:$D))))</f>
        <v>F13</v>
      </c>
      <c r="J102" s="9" t="s">
        <v>281</v>
      </c>
      <c r="K102" s="12" t="str">
        <f>trimtext(SplitText($J102,",",0))</f>
        <v>F13</v>
      </c>
      <c r="L102" s="12" t="str">
        <f>IF(SplitText($J102,",",COLUMN(L:L)-COLUMN($K:$K))="",$K102,trimtext(SplitText($J102,",",COLUMN(L:L)-COLUMN($K:$K))))</f>
        <v>F13</v>
      </c>
      <c r="M102" s="12" t="str">
        <f>IF(SplitText($J102,",",COLUMN(M:M)-COLUMN($K:$K))="",$K102,trimtext(SplitText($J102,",",COLUMN(M:M)-COLUMN($K:$K))))</f>
        <v>F13</v>
      </c>
      <c r="N102" s="12" t="str">
        <f>IF(SplitText($J102,",",COLUMN(N:N)-COLUMN($K:$K))="",$K102,trimtext(SplitText($J102,",",COLUMN(N:N)-COLUMN($K:$K))))</f>
        <v>F13</v>
      </c>
      <c r="O102" s="12" t="str">
        <f>IF(SplitText($J102,",",COLUMN(O:O)-COLUMN($K:$K))="",$K102,trimtext(SplitText($J102,",",COLUMN(O:O)-COLUMN($K:$K))))</f>
        <v>F13</v>
      </c>
      <c r="P102" s="12" t="str">
        <f>IF(SplitText($J102,",",COLUMN(P:P)-COLUMN($K:$K))="",$K102,trimtext(SplitText($J102,",",COLUMN(P:P)-COLUMN($K:$K))))</f>
        <v>F13</v>
      </c>
      <c r="Q102" s="12" t="str">
        <f>IF(SplitText($J102,",",COLUMN(Q:Q)-COLUMN($K:$K))="",$K102,trimtext(SplitText($J102,",",COLUMN(Q:Q)-COLUMN($K:$K))))</f>
        <v>F13</v>
      </c>
      <c r="R102" s="2" t="s">
        <v>442</v>
      </c>
      <c r="S102" s="12" t="str">
        <f>trimtext(SplitText($R102,",",0))</f>
        <v>F8</v>
      </c>
      <c r="T102" s="12" t="str">
        <f>IF(SplitText($R102,",",COLUMN(T:T)-COLUMN($S:$S))="",$S102,trimtext(SplitText($R102,",",COLUMN(T:T)-COLUMN($S:$S))))</f>
        <v>F8</v>
      </c>
      <c r="U102" s="12" t="str">
        <f>IF(SplitText($R102,",",COLUMN(U:U)-COLUMN($S:$S))="",$S102,trimtext(SplitText($R102,",",COLUMN(U:U)-COLUMN($S:$S))))</f>
        <v>F13</v>
      </c>
      <c r="V102" s="2" t="s">
        <v>601</v>
      </c>
      <c r="W102" s="12" t="str">
        <f>trimtext(SplitText($V102,",",0))</f>
        <v>_none_</v>
      </c>
      <c r="X102" s="12" t="str">
        <f>IF(SplitText($V102,",",COLUMN(X:X)-COLUMN($W:$W))="",$W102,trimtext(SplitText($V102,",",COLUMN(X:X)-COLUMN($W:$W))))</f>
        <v>_none_</v>
      </c>
      <c r="Y102" s="12" t="str">
        <f>IF(SplitText($V102,",",COLUMN(Y:Y)-COLUMN($W:$W))="",$W102,trimtext(SplitText($V102,",",COLUMN(Y:Y)-COLUMN($W:$W))))</f>
        <v>F13</v>
      </c>
      <c r="Z102" s="2" t="s">
        <v>723</v>
      </c>
      <c r="AA102" s="12" t="str">
        <f t="shared" si="9"/>
        <v>F3</v>
      </c>
      <c r="AB102" s="2" t="s">
        <v>743</v>
      </c>
      <c r="AC102" s="12" t="str">
        <f>trimtext(SplitText($AB102,",",0))</f>
        <v>_none_</v>
      </c>
      <c r="AD102" s="12" t="str">
        <f>IF(SplitText($AB102,",",COLUMN(AD:AD)-COLUMN($AC:$AC))="",$AC102,trimtext(SplitText($AB102,",",COLUMN(AD:AD)-COLUMN($AC:$AC))))</f>
        <v>_none_</v>
      </c>
      <c r="AE102" s="18" t="str">
        <f t="shared" si="10"/>
        <v>&lt;xs:enumeration value="T64"&gt;&lt;xs:annotation&gt;&lt;xs:documentation&gt;Typically F13 for keyboard type 4, different values for different keyboard types&lt;/xs:documentation&gt;&lt;xs:appinfo&gt;&lt;default-vk&gt;</v>
      </c>
      <c r="AF102" s="15" t="str">
        <f>IF(D102&lt;&gt;"","&lt;vk kbd="""&amp;D$1&amp;""" vk="""&amp;D102&amp;""""&amp;IF(Scan2VKFlags!B102&lt;&gt;""," flags="""&amp;Scan2VKFlags!B102&amp;"""","")&amp;"/&gt;","")</f>
        <v>&lt;vk kbd="1" vk="F13"/&gt;</v>
      </c>
      <c r="AG102" s="15" t="str">
        <f>IF(E102&lt;&gt;"","&lt;vk kbd="""&amp;E$1&amp;""" vk="""&amp;E102&amp;""""&amp;IF(Scan2VKFlags!C102&lt;&gt;""," flags="""&amp;Scan2VKFlags!C102&amp;"""","")&amp;"/&gt;","")</f>
        <v>&lt;vk kbd="2" vk="F13"/&gt;</v>
      </c>
      <c r="AH102" s="15" t="str">
        <f>IF(F102&lt;&gt;"","&lt;vk kbd="""&amp;F$1&amp;""" vk="""&amp;F102&amp;""""&amp;IF(Scan2VKFlags!D102&lt;&gt;""," flags="""&amp;Scan2VKFlags!D102&amp;"""","")&amp;"/&gt;","")</f>
        <v>&lt;vk kbd="3" vk="F13"/&gt;</v>
      </c>
      <c r="AI102" s="15" t="str">
        <f>IF(G102&lt;&gt;"","&lt;vk kbd="""&amp;G$1&amp;""" vk="""&amp;G102&amp;""""&amp;IF(Scan2VKFlags!E102&lt;&gt;""," flags="""&amp;Scan2VKFlags!E102&amp;"""","")&amp;"/&gt;","")</f>
        <v>&lt;vk kbd="4" vk="F13"/&gt;</v>
      </c>
      <c r="AJ102" s="15" t="str">
        <f>IF(H102&lt;&gt;"","&lt;vk kbd="""&amp;H$1&amp;""" vk="""&amp;H102&amp;""""&amp;IF(Scan2VKFlags!F102&lt;&gt;""," flags="""&amp;Scan2VKFlags!F102&amp;"""","")&amp;"/&gt;","")</f>
        <v>&lt;vk kbd="5" vk="F13"/&gt;</v>
      </c>
      <c r="AK102" s="16" t="str">
        <f>IF(I102&lt;&gt;"","&lt;vk kbd="""&amp;I$1&amp;""" vk="""&amp;I102&amp;""""&amp;IF(Scan2VKFlags!G102&lt;&gt;""," flags="""&amp;Scan2VKFlags!G102&amp;"""","")&amp;"/&gt;","")</f>
        <v>&lt;vk kbd="6" vk="F13"/&gt;</v>
      </c>
      <c r="AL102" s="3" t="str">
        <f>IF(K102&lt;&gt;"","&lt;vk kbd="""&amp;K$1&amp;""" vk="""&amp;K102&amp;""""&amp;IF(Scan2VKFlags!H102&lt;&gt;""," flags="""&amp;Scan2VKFlags!H102&amp;"""","")&amp;"/&gt;","")</f>
        <v>&lt;vk kbd="7" vk="F13"/&gt;</v>
      </c>
      <c r="AM102" t="str">
        <f>IF(L102&lt;&gt;"","&lt;vk kbd="""&amp;L$1&amp;""" vk="""&amp;L102&amp;""""&amp;IF(Scan2VKFlags!I102&lt;&gt;""," flags="""&amp;Scan2VKFlags!I102&amp;"""","")&amp;"/&gt;","")</f>
        <v>&lt;vk kbd="8" vk="F13"/&gt;</v>
      </c>
      <c r="AN102" t="str">
        <f>IF(M102&lt;&gt;"","&lt;vk kbd="""&amp;M$1&amp;""" vk="""&amp;M102&amp;""""&amp;IF(Scan2VKFlags!J102&lt;&gt;""," flags="""&amp;Scan2VKFlags!J102&amp;"""","")&amp;"/&gt;","")</f>
        <v>&lt;vk kbd="16" vk="F13"/&gt;</v>
      </c>
      <c r="AO102" t="str">
        <f>IF(N102&lt;&gt;"","&lt;vk kbd="""&amp;N$1&amp;""" vk="""&amp;N102&amp;""""&amp;IF(Scan2VKFlags!K102&lt;&gt;""," flags="""&amp;Scan2VKFlags!K102&amp;"""","")&amp;"/&gt;","")</f>
        <v>&lt;vk kbd="10" vk="F13"/&gt;</v>
      </c>
      <c r="AP102" t="str">
        <f>IF(O102&lt;&gt;"","&lt;vk kbd="""&amp;O$1&amp;""" vk="""&amp;O102&amp;""""&amp;IF(Scan2VKFlags!L102&lt;&gt;""," flags="""&amp;Scan2VKFlags!L102&amp;"""","")&amp;"/&gt;","")</f>
        <v>&lt;vk kbd="11" vk="F13"/&gt;</v>
      </c>
      <c r="AQ102" t="str">
        <f>IF(P102&lt;&gt;"","&lt;vk kbd="""&amp;P$1&amp;""" vk="""&amp;P102&amp;""""&amp;IF(Scan2VKFlags!M102&lt;&gt;""," flags="""&amp;Scan2VKFlags!M102&amp;"""","")&amp;"/&gt;","")</f>
        <v>&lt;vk kbd="12" vk="F13"/&gt;</v>
      </c>
      <c r="AR102" s="16" t="str">
        <f>IF(Q102&lt;&gt;"","&lt;vk kbd="""&amp;Q$1&amp;""" vk="""&amp;Q102&amp;""""&amp;IF(Scan2VKFlags!N102&lt;&gt;""," flags="""&amp;Scan2VKFlags!N102&amp;"""","")&amp;"/&gt;","")</f>
        <v>&lt;vk kbd="13" vk="F13"/&gt;</v>
      </c>
      <c r="AS102" s="3" t="str">
        <f>IF(S102&lt;&gt;"","&lt;vk kbd="""&amp;S$1&amp;""" vk="""&amp;S102&amp;""""&amp;IF(Scan2VKFlags!O102&lt;&gt;""," flags="""&amp;Scan2VKFlags!O102&amp;"""","")&amp;"/&gt;","")</f>
        <v>&lt;vk kbd="20" vk="F8"/&gt;</v>
      </c>
      <c r="AT102" t="str">
        <f>IF(T102&lt;&gt;"","&lt;vk kbd="""&amp;T$1&amp;""" vk="""&amp;T102&amp;""""&amp;IF(Scan2VKFlags!P102&lt;&gt;""," flags="""&amp;Scan2VKFlags!P102&amp;"""","")&amp;"/&gt;","")</f>
        <v>&lt;vk kbd="21" vk="F8"/&gt;</v>
      </c>
      <c r="AU102" s="16" t="str">
        <f>IF(U102&lt;&gt;"","&lt;vk kbd="""&amp;U$1&amp;""" vk="""&amp;U102&amp;""""&amp;IF(Scan2VKFlags!Q102&lt;&gt;""," flags="""&amp;Scan2VKFlags!Q102&amp;"""","")&amp;"/&gt;","")</f>
        <v>&lt;vk kbd="22" vk="F13"/&gt;</v>
      </c>
      <c r="AV102" s="3" t="str">
        <f>IF(W102&lt;&gt;"","&lt;vk kbd="""&amp;W$1&amp;""" vk="""&amp;W102&amp;""""&amp;IF(Scan2VKFlags!R102&lt;&gt;""," flags="""&amp;Scan2VKFlags!R102&amp;"""","")&amp;"/&gt;","")</f>
        <v>&lt;vk kbd="30" vk="_none_"/&gt;</v>
      </c>
      <c r="AW102" s="15" t="str">
        <f>IF(X102&lt;&gt;"","&lt;vk kbd="""&amp;X$1&amp;""" vk="""&amp;X102&amp;""""&amp;IF(Scan2VKFlags!S102&lt;&gt;""," flags="""&amp;Scan2VKFlags!S102&amp;"""","")&amp;"/&gt;","")</f>
        <v>&lt;vk kbd="33" vk="_none_"/&gt;</v>
      </c>
      <c r="AX102" s="15" t="str">
        <f>IF(Y102&lt;&gt;"","&lt;vk kbd="""&amp;Y$1&amp;""" vk="""&amp;Y102&amp;""""&amp;IF(Scan2VKFlags!T102&lt;&gt;""," flags="""&amp;Scan2VKFlags!T102&amp;"""","")&amp;"/&gt;","")</f>
        <v>&lt;vk kbd="34" vk="F13"/&gt;</v>
      </c>
      <c r="AY102" s="18" t="str">
        <f>IF(AA102&lt;&gt;"","&lt;vk kbd="""&amp;AA$1&amp;""" vk="""&amp;AA102&amp;""""&amp;IF(Scan2VKFlags!U102&lt;&gt;""," flags="""&amp;Scan2VKFlags!U102&amp;"""","")&amp;"/&gt;","")</f>
        <v>&lt;vk kbd="37" vk="F3"/&gt;</v>
      </c>
      <c r="AZ102" s="3" t="str">
        <f>IF(AC102&lt;&gt;"","&lt;vk kbd="""&amp;AC$1&amp;""" vk="""&amp;AC102&amp;""""&amp;IF(Scan2VKFlags!V102&lt;&gt;""," flags="""&amp;Scan2VKFlags!V102&amp;"""","")&amp;"/&gt;","")</f>
        <v>&lt;vk kbd="40" vk="_none_"/&gt;</v>
      </c>
      <c r="BA102" s="16" t="str">
        <f>IF(AD102&lt;&gt;"","&lt;vk kbd="""&amp;AD$1&amp;""" vk="""&amp;AD102&amp;""""&amp;IF(Scan2VKFlags!W102&lt;&gt;""," flags="""&amp;Scan2VKFlags!W102&amp;"""","")&amp;"/&gt;","")</f>
        <v>&lt;vk kbd="41" vk="_none_"/&gt;</v>
      </c>
      <c r="BB102" t="s">
        <v>854</v>
      </c>
    </row>
    <row r="103" spans="1:54" x14ac:dyDescent="0.25">
      <c r="A103">
        <f t="shared" si="11"/>
        <v>101</v>
      </c>
      <c r="B103" t="str">
        <f t="shared" si="8"/>
        <v>T65</v>
      </c>
      <c r="C103" s="7" t="s">
        <v>97</v>
      </c>
      <c r="D103" s="12" t="str">
        <f>trimtext(SplitText($C103,",",0))</f>
        <v>F14</v>
      </c>
      <c r="E103" s="12" t="str">
        <f>IF(SplitText($C103,",",COLUMN(E:E)-COLUMN($D:$D))="",$D103,trimtext(SplitText($C103,",",COLUMN(E:E)-COLUMN($D:$D))))</f>
        <v>F14</v>
      </c>
      <c r="F103" s="12" t="str">
        <f>IF(SplitText($C103,",",COLUMN(F:F)-COLUMN($D:$D))="",$D103,trimtext(SplitText($C103,",",COLUMN(F:F)-COLUMN($D:$D))))</f>
        <v>F14</v>
      </c>
      <c r="G103" s="12" t="str">
        <f>IF(SplitText($C103,",",COLUMN(G:G)-COLUMN($D:$D))="",$D103,trimtext(SplitText($C103,",",COLUMN(G:G)-COLUMN($D:$D))))</f>
        <v>F14</v>
      </c>
      <c r="H103" s="12" t="str">
        <f>IF(SplitText($C103,",",COLUMN(H:H)-COLUMN($D:$D))="",$D103,trimtext(SplitText($C103,",",COLUMN(H:H)-COLUMN($D:$D))))</f>
        <v>F14</v>
      </c>
      <c r="I103" s="12" t="str">
        <f>IF(SplitText($C103,",",COLUMN(I:I)-COLUMN($D:$D))="",$D103,trimtext(SplitText($C103,",",COLUMN(I:I)-COLUMN($D:$D))))</f>
        <v>F14</v>
      </c>
      <c r="J103" s="9" t="s">
        <v>282</v>
      </c>
      <c r="K103" s="12" t="str">
        <f>trimtext(SplitText($J103,",",0))</f>
        <v>F14</v>
      </c>
      <c r="L103" s="12" t="str">
        <f>IF(SplitText($J103,",",COLUMN(L:L)-COLUMN($K:$K))="",$K103,trimtext(SplitText($J103,",",COLUMN(L:L)-COLUMN($K:$K))))</f>
        <v>F14</v>
      </c>
      <c r="M103" s="12" t="str">
        <f>IF(SplitText($J103,",",COLUMN(M:M)-COLUMN($K:$K))="",$K103,trimtext(SplitText($J103,",",COLUMN(M:M)-COLUMN($K:$K))))</f>
        <v>F14</v>
      </c>
      <c r="N103" s="12" t="str">
        <f>IF(SplitText($J103,",",COLUMN(N:N)-COLUMN($K:$K))="",$K103,trimtext(SplitText($J103,",",COLUMN(N:N)-COLUMN($K:$K))))</f>
        <v>F14</v>
      </c>
      <c r="O103" s="12" t="str">
        <f>IF(SplitText($J103,",",COLUMN(O:O)-COLUMN($K:$K))="",$K103,trimtext(SplitText($J103,",",COLUMN(O:O)-COLUMN($K:$K))))</f>
        <v>F14</v>
      </c>
      <c r="P103" s="12" t="str">
        <f>IF(SplitText($J103,",",COLUMN(P:P)-COLUMN($K:$K))="",$K103,trimtext(SplitText($J103,",",COLUMN(P:P)-COLUMN($K:$K))))</f>
        <v>F14</v>
      </c>
      <c r="Q103" s="12" t="str">
        <f>IF(SplitText($J103,",",COLUMN(Q:Q)-COLUMN($K:$K))="",$K103,trimtext(SplitText($J103,",",COLUMN(Q:Q)-COLUMN($K:$K))))</f>
        <v>F14</v>
      </c>
      <c r="R103" s="2" t="s">
        <v>443</v>
      </c>
      <c r="S103" s="12" t="str">
        <f>trimtext(SplitText($R103,",",0))</f>
        <v>F9</v>
      </c>
      <c r="T103" s="12" t="str">
        <f>IF(SplitText($R103,",",COLUMN(T:T)-COLUMN($S:$S))="",$S103,trimtext(SplitText($R103,",",COLUMN(T:T)-COLUMN($S:$S))))</f>
        <v>F9</v>
      </c>
      <c r="U103" s="12" t="str">
        <f>IF(SplitText($R103,",",COLUMN(U:U)-COLUMN($S:$S))="",$S103,trimtext(SplitText($R103,",",COLUMN(U:U)-COLUMN($S:$S))))</f>
        <v>F14</v>
      </c>
      <c r="V103" s="2" t="s">
        <v>602</v>
      </c>
      <c r="W103" s="12" t="str">
        <f>trimtext(SplitText($V103,",",0))</f>
        <v>_none_</v>
      </c>
      <c r="X103" s="12" t="str">
        <f>IF(SplitText($V103,",",COLUMN(X:X)-COLUMN($W:$W))="",$W103,trimtext(SplitText($V103,",",COLUMN(X:X)-COLUMN($W:$W))))</f>
        <v>_none_</v>
      </c>
      <c r="Y103" s="12" t="str">
        <f>IF(SplitText($V103,",",COLUMN(Y:Y)-COLUMN($W:$W))="",$W103,trimtext(SplitText($V103,",",COLUMN(Y:Y)-COLUMN($W:$W))))</f>
        <v>F14</v>
      </c>
      <c r="Z103" s="2" t="s">
        <v>724</v>
      </c>
      <c r="AA103" s="12" t="str">
        <f t="shared" si="9"/>
        <v>F4</v>
      </c>
      <c r="AB103" s="2" t="s">
        <v>743</v>
      </c>
      <c r="AC103" s="12" t="str">
        <f>trimtext(SplitText($AB103,",",0))</f>
        <v>_none_</v>
      </c>
      <c r="AD103" s="12" t="str">
        <f>IF(SplitText($AB103,",",COLUMN(AD:AD)-COLUMN($AC:$AC))="",$AC103,trimtext(SplitText($AB103,",",COLUMN(AD:AD)-COLUMN($AC:$AC))))</f>
        <v>_none_</v>
      </c>
      <c r="AE103" s="18" t="str">
        <f t="shared" si="10"/>
        <v>&lt;xs:enumeration value="T65"&gt;&lt;xs:annotation&gt;&lt;xs:documentation&gt;Typically F14 for keyboard type 4, different values for different keyboard types&lt;/xs:documentation&gt;&lt;xs:appinfo&gt;&lt;default-vk&gt;</v>
      </c>
      <c r="AF103" s="15" t="str">
        <f>IF(D103&lt;&gt;"","&lt;vk kbd="""&amp;D$1&amp;""" vk="""&amp;D103&amp;""""&amp;IF(Scan2VKFlags!B103&lt;&gt;""," flags="""&amp;Scan2VKFlags!B103&amp;"""","")&amp;"/&gt;","")</f>
        <v>&lt;vk kbd="1" vk="F14"/&gt;</v>
      </c>
      <c r="AG103" s="15" t="str">
        <f>IF(E103&lt;&gt;"","&lt;vk kbd="""&amp;E$1&amp;""" vk="""&amp;E103&amp;""""&amp;IF(Scan2VKFlags!C103&lt;&gt;""," flags="""&amp;Scan2VKFlags!C103&amp;"""","")&amp;"/&gt;","")</f>
        <v>&lt;vk kbd="2" vk="F14"/&gt;</v>
      </c>
      <c r="AH103" s="15" t="str">
        <f>IF(F103&lt;&gt;"","&lt;vk kbd="""&amp;F$1&amp;""" vk="""&amp;F103&amp;""""&amp;IF(Scan2VKFlags!D103&lt;&gt;""," flags="""&amp;Scan2VKFlags!D103&amp;"""","")&amp;"/&gt;","")</f>
        <v>&lt;vk kbd="3" vk="F14"/&gt;</v>
      </c>
      <c r="AI103" s="15" t="str">
        <f>IF(G103&lt;&gt;"","&lt;vk kbd="""&amp;G$1&amp;""" vk="""&amp;G103&amp;""""&amp;IF(Scan2VKFlags!E103&lt;&gt;""," flags="""&amp;Scan2VKFlags!E103&amp;"""","")&amp;"/&gt;","")</f>
        <v>&lt;vk kbd="4" vk="F14"/&gt;</v>
      </c>
      <c r="AJ103" s="15" t="str">
        <f>IF(H103&lt;&gt;"","&lt;vk kbd="""&amp;H$1&amp;""" vk="""&amp;H103&amp;""""&amp;IF(Scan2VKFlags!F103&lt;&gt;""," flags="""&amp;Scan2VKFlags!F103&amp;"""","")&amp;"/&gt;","")</f>
        <v>&lt;vk kbd="5" vk="F14"/&gt;</v>
      </c>
      <c r="AK103" s="16" t="str">
        <f>IF(I103&lt;&gt;"","&lt;vk kbd="""&amp;I$1&amp;""" vk="""&amp;I103&amp;""""&amp;IF(Scan2VKFlags!G103&lt;&gt;""," flags="""&amp;Scan2VKFlags!G103&amp;"""","")&amp;"/&gt;","")</f>
        <v>&lt;vk kbd="6" vk="F14"/&gt;</v>
      </c>
      <c r="AL103" s="3" t="str">
        <f>IF(K103&lt;&gt;"","&lt;vk kbd="""&amp;K$1&amp;""" vk="""&amp;K103&amp;""""&amp;IF(Scan2VKFlags!H103&lt;&gt;""," flags="""&amp;Scan2VKFlags!H103&amp;"""","")&amp;"/&gt;","")</f>
        <v>&lt;vk kbd="7" vk="F14"/&gt;</v>
      </c>
      <c r="AM103" t="str">
        <f>IF(L103&lt;&gt;"","&lt;vk kbd="""&amp;L$1&amp;""" vk="""&amp;L103&amp;""""&amp;IF(Scan2VKFlags!I103&lt;&gt;""," flags="""&amp;Scan2VKFlags!I103&amp;"""","")&amp;"/&gt;","")</f>
        <v>&lt;vk kbd="8" vk="F14"/&gt;</v>
      </c>
      <c r="AN103" t="str">
        <f>IF(M103&lt;&gt;"","&lt;vk kbd="""&amp;M$1&amp;""" vk="""&amp;M103&amp;""""&amp;IF(Scan2VKFlags!J103&lt;&gt;""," flags="""&amp;Scan2VKFlags!J103&amp;"""","")&amp;"/&gt;","")</f>
        <v>&lt;vk kbd="16" vk="F14"/&gt;</v>
      </c>
      <c r="AO103" t="str">
        <f>IF(N103&lt;&gt;"","&lt;vk kbd="""&amp;N$1&amp;""" vk="""&amp;N103&amp;""""&amp;IF(Scan2VKFlags!K103&lt;&gt;""," flags="""&amp;Scan2VKFlags!K103&amp;"""","")&amp;"/&gt;","")</f>
        <v>&lt;vk kbd="10" vk="F14"/&gt;</v>
      </c>
      <c r="AP103" t="str">
        <f>IF(O103&lt;&gt;"","&lt;vk kbd="""&amp;O$1&amp;""" vk="""&amp;O103&amp;""""&amp;IF(Scan2VKFlags!L103&lt;&gt;""," flags="""&amp;Scan2VKFlags!L103&amp;"""","")&amp;"/&gt;","")</f>
        <v>&lt;vk kbd="11" vk="F14"/&gt;</v>
      </c>
      <c r="AQ103" t="str">
        <f>IF(P103&lt;&gt;"","&lt;vk kbd="""&amp;P$1&amp;""" vk="""&amp;P103&amp;""""&amp;IF(Scan2VKFlags!M103&lt;&gt;""," flags="""&amp;Scan2VKFlags!M103&amp;"""","")&amp;"/&gt;","")</f>
        <v>&lt;vk kbd="12" vk="F14"/&gt;</v>
      </c>
      <c r="AR103" s="16" t="str">
        <f>IF(Q103&lt;&gt;"","&lt;vk kbd="""&amp;Q$1&amp;""" vk="""&amp;Q103&amp;""""&amp;IF(Scan2VKFlags!N103&lt;&gt;""," flags="""&amp;Scan2VKFlags!N103&amp;"""","")&amp;"/&gt;","")</f>
        <v>&lt;vk kbd="13" vk="F14"/&gt;</v>
      </c>
      <c r="AS103" s="3" t="str">
        <f>IF(S103&lt;&gt;"","&lt;vk kbd="""&amp;S$1&amp;""" vk="""&amp;S103&amp;""""&amp;IF(Scan2VKFlags!O103&lt;&gt;""," flags="""&amp;Scan2VKFlags!O103&amp;"""","")&amp;"/&gt;","")</f>
        <v>&lt;vk kbd="20" vk="F9"/&gt;</v>
      </c>
      <c r="AT103" t="str">
        <f>IF(T103&lt;&gt;"","&lt;vk kbd="""&amp;T$1&amp;""" vk="""&amp;T103&amp;""""&amp;IF(Scan2VKFlags!P103&lt;&gt;""," flags="""&amp;Scan2VKFlags!P103&amp;"""","")&amp;"/&gt;","")</f>
        <v>&lt;vk kbd="21" vk="F9"/&gt;</v>
      </c>
      <c r="AU103" s="16" t="str">
        <f>IF(U103&lt;&gt;"","&lt;vk kbd="""&amp;U$1&amp;""" vk="""&amp;U103&amp;""""&amp;IF(Scan2VKFlags!Q103&lt;&gt;""," flags="""&amp;Scan2VKFlags!Q103&amp;"""","")&amp;"/&gt;","")</f>
        <v>&lt;vk kbd="22" vk="F14"/&gt;</v>
      </c>
      <c r="AV103" s="3" t="str">
        <f>IF(W103&lt;&gt;"","&lt;vk kbd="""&amp;W$1&amp;""" vk="""&amp;W103&amp;""""&amp;IF(Scan2VKFlags!R103&lt;&gt;""," flags="""&amp;Scan2VKFlags!R103&amp;"""","")&amp;"/&gt;","")</f>
        <v>&lt;vk kbd="30" vk="_none_"/&gt;</v>
      </c>
      <c r="AW103" s="15" t="str">
        <f>IF(X103&lt;&gt;"","&lt;vk kbd="""&amp;X$1&amp;""" vk="""&amp;X103&amp;""""&amp;IF(Scan2VKFlags!S103&lt;&gt;""," flags="""&amp;Scan2VKFlags!S103&amp;"""","")&amp;"/&gt;","")</f>
        <v>&lt;vk kbd="33" vk="_none_"/&gt;</v>
      </c>
      <c r="AX103" s="15" t="str">
        <f>IF(Y103&lt;&gt;"","&lt;vk kbd="""&amp;Y$1&amp;""" vk="""&amp;Y103&amp;""""&amp;IF(Scan2VKFlags!T103&lt;&gt;""," flags="""&amp;Scan2VKFlags!T103&amp;"""","")&amp;"/&gt;","")</f>
        <v>&lt;vk kbd="34" vk="F14"/&gt;</v>
      </c>
      <c r="AY103" s="18" t="str">
        <f>IF(AA103&lt;&gt;"","&lt;vk kbd="""&amp;AA$1&amp;""" vk="""&amp;AA103&amp;""""&amp;IF(Scan2VKFlags!U103&lt;&gt;""," flags="""&amp;Scan2VKFlags!U103&amp;"""","")&amp;"/&gt;","")</f>
        <v>&lt;vk kbd="37" vk="F4"/&gt;</v>
      </c>
      <c r="AZ103" s="3" t="str">
        <f>IF(AC103&lt;&gt;"","&lt;vk kbd="""&amp;AC$1&amp;""" vk="""&amp;AC103&amp;""""&amp;IF(Scan2VKFlags!V103&lt;&gt;""," flags="""&amp;Scan2VKFlags!V103&amp;"""","")&amp;"/&gt;","")</f>
        <v>&lt;vk kbd="40" vk="_none_"/&gt;</v>
      </c>
      <c r="BA103" s="16" t="str">
        <f>IF(AD103&lt;&gt;"","&lt;vk kbd="""&amp;AD$1&amp;""" vk="""&amp;AD103&amp;""""&amp;IF(Scan2VKFlags!W103&lt;&gt;""," flags="""&amp;Scan2VKFlags!W103&amp;"""","")&amp;"/&gt;","")</f>
        <v>&lt;vk kbd="41" vk="_none_"/&gt;</v>
      </c>
      <c r="BB103" t="s">
        <v>854</v>
      </c>
    </row>
    <row r="104" spans="1:54" x14ac:dyDescent="0.25">
      <c r="A104">
        <f t="shared" si="11"/>
        <v>102</v>
      </c>
      <c r="B104" t="str">
        <f t="shared" si="8"/>
        <v>T66</v>
      </c>
      <c r="C104" s="7" t="s">
        <v>98</v>
      </c>
      <c r="D104" s="12" t="str">
        <f>trimtext(SplitText($C104,",",0))</f>
        <v>F15</v>
      </c>
      <c r="E104" s="12" t="str">
        <f>IF(SplitText($C104,",",COLUMN(E:E)-COLUMN($D:$D))="",$D104,trimtext(SplitText($C104,",",COLUMN(E:E)-COLUMN($D:$D))))</f>
        <v>F15</v>
      </c>
      <c r="F104" s="12" t="str">
        <f>IF(SplitText($C104,",",COLUMN(F:F)-COLUMN($D:$D))="",$D104,trimtext(SplitText($C104,",",COLUMN(F:F)-COLUMN($D:$D))))</f>
        <v>F15</v>
      </c>
      <c r="G104" s="12" t="str">
        <f>IF(SplitText($C104,",",COLUMN(G:G)-COLUMN($D:$D))="",$D104,trimtext(SplitText($C104,",",COLUMN(G:G)-COLUMN($D:$D))))</f>
        <v>F15</v>
      </c>
      <c r="H104" s="12" t="str">
        <f>IF(SplitText($C104,",",COLUMN(H:H)-COLUMN($D:$D))="",$D104,trimtext(SplitText($C104,",",COLUMN(H:H)-COLUMN($D:$D))))</f>
        <v>F15</v>
      </c>
      <c r="I104" s="12" t="str">
        <f>IF(SplitText($C104,",",COLUMN(I:I)-COLUMN($D:$D))="",$D104,trimtext(SplitText($C104,",",COLUMN(I:I)-COLUMN($D:$D))))</f>
        <v>F15</v>
      </c>
      <c r="J104" s="9" t="s">
        <v>283</v>
      </c>
      <c r="K104" s="12" t="str">
        <f>trimtext(SplitText($J104,",",0))</f>
        <v>F15</v>
      </c>
      <c r="L104" s="12" t="str">
        <f>IF(SplitText($J104,",",COLUMN(L:L)-COLUMN($K:$K))="",$K104,trimtext(SplitText($J104,",",COLUMN(L:L)-COLUMN($K:$K))))</f>
        <v>F15</v>
      </c>
      <c r="M104" s="12" t="str">
        <f>IF(SplitText($J104,",",COLUMN(M:M)-COLUMN($K:$K))="",$K104,trimtext(SplitText($J104,",",COLUMN(M:M)-COLUMN($K:$K))))</f>
        <v>F15</v>
      </c>
      <c r="N104" s="12" t="str">
        <f>IF(SplitText($J104,",",COLUMN(N:N)-COLUMN($K:$K))="",$K104,trimtext(SplitText($J104,",",COLUMN(N:N)-COLUMN($K:$K))))</f>
        <v>F15</v>
      </c>
      <c r="O104" s="12" t="str">
        <f>IF(SplitText($J104,",",COLUMN(O:O)-COLUMN($K:$K))="",$K104,trimtext(SplitText($J104,",",COLUMN(O:O)-COLUMN($K:$K))))</f>
        <v>F15</v>
      </c>
      <c r="P104" s="12" t="str">
        <f>IF(SplitText($J104,",",COLUMN(P:P)-COLUMN($K:$K))="",$K104,trimtext(SplitText($J104,",",COLUMN(P:P)-COLUMN($K:$K))))</f>
        <v>F15</v>
      </c>
      <c r="Q104" s="12" t="str">
        <f>IF(SplitText($J104,",",COLUMN(Q:Q)-COLUMN($K:$K))="",$K104,trimtext(SplitText($J104,",",COLUMN(Q:Q)-COLUMN($K:$K))))</f>
        <v>F15</v>
      </c>
      <c r="R104" s="2" t="s">
        <v>444</v>
      </c>
      <c r="S104" s="12" t="str">
        <f>trimtext(SplitText($R104,",",0))</f>
        <v>F10</v>
      </c>
      <c r="T104" s="12" t="str">
        <f>IF(SplitText($R104,",",COLUMN(T:T)-COLUMN($S:$S))="",$S104,trimtext(SplitText($R104,",",COLUMN(T:T)-COLUMN($S:$S))))</f>
        <v>F10</v>
      </c>
      <c r="U104" s="12" t="str">
        <f>IF(SplitText($R104,",",COLUMN(U:U)-COLUMN($S:$S))="",$S104,trimtext(SplitText($R104,",",COLUMN(U:U)-COLUMN($S:$S))))</f>
        <v>F15</v>
      </c>
      <c r="V104" s="2" t="s">
        <v>603</v>
      </c>
      <c r="W104" s="12" t="str">
        <f>trimtext(SplitText($V104,",",0))</f>
        <v>_none_</v>
      </c>
      <c r="X104" s="12" t="str">
        <f>IF(SplitText($V104,",",COLUMN(X:X)-COLUMN($W:$W))="",$W104,trimtext(SplitText($V104,",",COLUMN(X:X)-COLUMN($W:$W))))</f>
        <v>_none_</v>
      </c>
      <c r="Y104" s="12" t="str">
        <f>IF(SplitText($V104,",",COLUMN(Y:Y)-COLUMN($W:$W))="",$W104,trimtext(SplitText($V104,",",COLUMN(Y:Y)-COLUMN($W:$W))))</f>
        <v>F15</v>
      </c>
      <c r="Z104" s="2" t="s">
        <v>725</v>
      </c>
      <c r="AA104" s="12" t="str">
        <f t="shared" si="9"/>
        <v>F5</v>
      </c>
      <c r="AB104" s="2" t="s">
        <v>743</v>
      </c>
      <c r="AC104" s="12" t="str">
        <f>trimtext(SplitText($AB104,",",0))</f>
        <v>_none_</v>
      </c>
      <c r="AD104" s="12" t="str">
        <f>IF(SplitText($AB104,",",COLUMN(AD:AD)-COLUMN($AC:$AC))="",$AC104,trimtext(SplitText($AB104,",",COLUMN(AD:AD)-COLUMN($AC:$AC))))</f>
        <v>_none_</v>
      </c>
      <c r="AE104" s="18" t="str">
        <f t="shared" si="10"/>
        <v>&lt;xs:enumeration value="T66"&gt;&lt;xs:annotation&gt;&lt;xs:documentation&gt;Typically F15 for keyboard type 4, different values for different keyboard types&lt;/xs:documentation&gt;&lt;xs:appinfo&gt;&lt;default-vk&gt;</v>
      </c>
      <c r="AF104" s="15" t="str">
        <f>IF(D104&lt;&gt;"","&lt;vk kbd="""&amp;D$1&amp;""" vk="""&amp;D104&amp;""""&amp;IF(Scan2VKFlags!B104&lt;&gt;""," flags="""&amp;Scan2VKFlags!B104&amp;"""","")&amp;"/&gt;","")</f>
        <v>&lt;vk kbd="1" vk="F15"/&gt;</v>
      </c>
      <c r="AG104" s="15" t="str">
        <f>IF(E104&lt;&gt;"","&lt;vk kbd="""&amp;E$1&amp;""" vk="""&amp;E104&amp;""""&amp;IF(Scan2VKFlags!C104&lt;&gt;""," flags="""&amp;Scan2VKFlags!C104&amp;"""","")&amp;"/&gt;","")</f>
        <v>&lt;vk kbd="2" vk="F15"/&gt;</v>
      </c>
      <c r="AH104" s="15" t="str">
        <f>IF(F104&lt;&gt;"","&lt;vk kbd="""&amp;F$1&amp;""" vk="""&amp;F104&amp;""""&amp;IF(Scan2VKFlags!D104&lt;&gt;""," flags="""&amp;Scan2VKFlags!D104&amp;"""","")&amp;"/&gt;","")</f>
        <v>&lt;vk kbd="3" vk="F15"/&gt;</v>
      </c>
      <c r="AI104" s="15" t="str">
        <f>IF(G104&lt;&gt;"","&lt;vk kbd="""&amp;G$1&amp;""" vk="""&amp;G104&amp;""""&amp;IF(Scan2VKFlags!E104&lt;&gt;""," flags="""&amp;Scan2VKFlags!E104&amp;"""","")&amp;"/&gt;","")</f>
        <v>&lt;vk kbd="4" vk="F15"/&gt;</v>
      </c>
      <c r="AJ104" s="15" t="str">
        <f>IF(H104&lt;&gt;"","&lt;vk kbd="""&amp;H$1&amp;""" vk="""&amp;H104&amp;""""&amp;IF(Scan2VKFlags!F104&lt;&gt;""," flags="""&amp;Scan2VKFlags!F104&amp;"""","")&amp;"/&gt;","")</f>
        <v>&lt;vk kbd="5" vk="F15"/&gt;</v>
      </c>
      <c r="AK104" s="16" t="str">
        <f>IF(I104&lt;&gt;"","&lt;vk kbd="""&amp;I$1&amp;""" vk="""&amp;I104&amp;""""&amp;IF(Scan2VKFlags!G104&lt;&gt;""," flags="""&amp;Scan2VKFlags!G104&amp;"""","")&amp;"/&gt;","")</f>
        <v>&lt;vk kbd="6" vk="F15"/&gt;</v>
      </c>
      <c r="AL104" s="3" t="str">
        <f>IF(K104&lt;&gt;"","&lt;vk kbd="""&amp;K$1&amp;""" vk="""&amp;K104&amp;""""&amp;IF(Scan2VKFlags!H104&lt;&gt;""," flags="""&amp;Scan2VKFlags!H104&amp;"""","")&amp;"/&gt;","")</f>
        <v>&lt;vk kbd="7" vk="F15"/&gt;</v>
      </c>
      <c r="AM104" t="str">
        <f>IF(L104&lt;&gt;"","&lt;vk kbd="""&amp;L$1&amp;""" vk="""&amp;L104&amp;""""&amp;IF(Scan2VKFlags!I104&lt;&gt;""," flags="""&amp;Scan2VKFlags!I104&amp;"""","")&amp;"/&gt;","")</f>
        <v>&lt;vk kbd="8" vk="F15"/&gt;</v>
      </c>
      <c r="AN104" t="str">
        <f>IF(M104&lt;&gt;"","&lt;vk kbd="""&amp;M$1&amp;""" vk="""&amp;M104&amp;""""&amp;IF(Scan2VKFlags!J104&lt;&gt;""," flags="""&amp;Scan2VKFlags!J104&amp;"""","")&amp;"/&gt;","")</f>
        <v>&lt;vk kbd="16" vk="F15"/&gt;</v>
      </c>
      <c r="AO104" t="str">
        <f>IF(N104&lt;&gt;"","&lt;vk kbd="""&amp;N$1&amp;""" vk="""&amp;N104&amp;""""&amp;IF(Scan2VKFlags!K104&lt;&gt;""," flags="""&amp;Scan2VKFlags!K104&amp;"""","")&amp;"/&gt;","")</f>
        <v>&lt;vk kbd="10" vk="F15"/&gt;</v>
      </c>
      <c r="AP104" t="str">
        <f>IF(O104&lt;&gt;"","&lt;vk kbd="""&amp;O$1&amp;""" vk="""&amp;O104&amp;""""&amp;IF(Scan2VKFlags!L104&lt;&gt;""," flags="""&amp;Scan2VKFlags!L104&amp;"""","")&amp;"/&gt;","")</f>
        <v>&lt;vk kbd="11" vk="F15"/&gt;</v>
      </c>
      <c r="AQ104" t="str">
        <f>IF(P104&lt;&gt;"","&lt;vk kbd="""&amp;P$1&amp;""" vk="""&amp;P104&amp;""""&amp;IF(Scan2VKFlags!M104&lt;&gt;""," flags="""&amp;Scan2VKFlags!M104&amp;"""","")&amp;"/&gt;","")</f>
        <v>&lt;vk kbd="12" vk="F15"/&gt;</v>
      </c>
      <c r="AR104" s="16" t="str">
        <f>IF(Q104&lt;&gt;"","&lt;vk kbd="""&amp;Q$1&amp;""" vk="""&amp;Q104&amp;""""&amp;IF(Scan2VKFlags!N104&lt;&gt;""," flags="""&amp;Scan2VKFlags!N104&amp;"""","")&amp;"/&gt;","")</f>
        <v>&lt;vk kbd="13" vk="F15"/&gt;</v>
      </c>
      <c r="AS104" s="3" t="str">
        <f>IF(S104&lt;&gt;"","&lt;vk kbd="""&amp;S$1&amp;""" vk="""&amp;S104&amp;""""&amp;IF(Scan2VKFlags!O104&lt;&gt;""," flags="""&amp;Scan2VKFlags!O104&amp;"""","")&amp;"/&gt;","")</f>
        <v>&lt;vk kbd="20" vk="F10"/&gt;</v>
      </c>
      <c r="AT104" t="str">
        <f>IF(T104&lt;&gt;"","&lt;vk kbd="""&amp;T$1&amp;""" vk="""&amp;T104&amp;""""&amp;IF(Scan2VKFlags!P104&lt;&gt;""," flags="""&amp;Scan2VKFlags!P104&amp;"""","")&amp;"/&gt;","")</f>
        <v>&lt;vk kbd="21" vk="F10"/&gt;</v>
      </c>
      <c r="AU104" s="16" t="str">
        <f>IF(U104&lt;&gt;"","&lt;vk kbd="""&amp;U$1&amp;""" vk="""&amp;U104&amp;""""&amp;IF(Scan2VKFlags!Q104&lt;&gt;""," flags="""&amp;Scan2VKFlags!Q104&amp;"""","")&amp;"/&gt;","")</f>
        <v>&lt;vk kbd="22" vk="F15"/&gt;</v>
      </c>
      <c r="AV104" s="3" t="str">
        <f>IF(W104&lt;&gt;"","&lt;vk kbd="""&amp;W$1&amp;""" vk="""&amp;W104&amp;""""&amp;IF(Scan2VKFlags!R104&lt;&gt;""," flags="""&amp;Scan2VKFlags!R104&amp;"""","")&amp;"/&gt;","")</f>
        <v>&lt;vk kbd="30" vk="_none_"/&gt;</v>
      </c>
      <c r="AW104" s="15" t="str">
        <f>IF(X104&lt;&gt;"","&lt;vk kbd="""&amp;X$1&amp;""" vk="""&amp;X104&amp;""""&amp;IF(Scan2VKFlags!S104&lt;&gt;""," flags="""&amp;Scan2VKFlags!S104&amp;"""","")&amp;"/&gt;","")</f>
        <v>&lt;vk kbd="33" vk="_none_"/&gt;</v>
      </c>
      <c r="AX104" s="15" t="str">
        <f>IF(Y104&lt;&gt;"","&lt;vk kbd="""&amp;Y$1&amp;""" vk="""&amp;Y104&amp;""""&amp;IF(Scan2VKFlags!T104&lt;&gt;""," flags="""&amp;Scan2VKFlags!T104&amp;"""","")&amp;"/&gt;","")</f>
        <v>&lt;vk kbd="34" vk="F15"/&gt;</v>
      </c>
      <c r="AY104" s="18" t="str">
        <f>IF(AA104&lt;&gt;"","&lt;vk kbd="""&amp;AA$1&amp;""" vk="""&amp;AA104&amp;""""&amp;IF(Scan2VKFlags!U104&lt;&gt;""," flags="""&amp;Scan2VKFlags!U104&amp;"""","")&amp;"/&gt;","")</f>
        <v>&lt;vk kbd="37" vk="F5"/&gt;</v>
      </c>
      <c r="AZ104" s="3" t="str">
        <f>IF(AC104&lt;&gt;"","&lt;vk kbd="""&amp;AC$1&amp;""" vk="""&amp;AC104&amp;""""&amp;IF(Scan2VKFlags!V104&lt;&gt;""," flags="""&amp;Scan2VKFlags!V104&amp;"""","")&amp;"/&gt;","")</f>
        <v>&lt;vk kbd="40" vk="_none_"/&gt;</v>
      </c>
      <c r="BA104" s="16" t="str">
        <f>IF(AD104&lt;&gt;"","&lt;vk kbd="""&amp;AD$1&amp;""" vk="""&amp;AD104&amp;""""&amp;IF(Scan2VKFlags!W104&lt;&gt;""," flags="""&amp;Scan2VKFlags!W104&amp;"""","")&amp;"/&gt;","")</f>
        <v>&lt;vk kbd="41" vk="_none_"/&gt;</v>
      </c>
      <c r="BB104" t="s">
        <v>854</v>
      </c>
    </row>
    <row r="105" spans="1:54" x14ac:dyDescent="0.25">
      <c r="A105">
        <f t="shared" si="11"/>
        <v>103</v>
      </c>
      <c r="B105" t="str">
        <f t="shared" si="8"/>
        <v>T67</v>
      </c>
      <c r="C105" s="7" t="s">
        <v>99</v>
      </c>
      <c r="D105" s="12" t="str">
        <f>trimtext(SplitText($C105,",",0))</f>
        <v>F16</v>
      </c>
      <c r="E105" s="12" t="str">
        <f>IF(SplitText($C105,",",COLUMN(E:E)-COLUMN($D:$D))="",$D105,trimtext(SplitText($C105,",",COLUMN(E:E)-COLUMN($D:$D))))</f>
        <v>F16</v>
      </c>
      <c r="F105" s="12" t="str">
        <f>IF(SplitText($C105,",",COLUMN(F:F)-COLUMN($D:$D))="",$D105,trimtext(SplitText($C105,",",COLUMN(F:F)-COLUMN($D:$D))))</f>
        <v>F16</v>
      </c>
      <c r="G105" s="12" t="str">
        <f>IF(SplitText($C105,",",COLUMN(G:G)-COLUMN($D:$D))="",$D105,trimtext(SplitText($C105,",",COLUMN(G:G)-COLUMN($D:$D))))</f>
        <v>F16</v>
      </c>
      <c r="H105" s="12" t="str">
        <f>IF(SplitText($C105,",",COLUMN(H:H)-COLUMN($D:$D))="",$D105,trimtext(SplitText($C105,",",COLUMN(H:H)-COLUMN($D:$D))))</f>
        <v>F16</v>
      </c>
      <c r="I105" s="12" t="str">
        <f>IF(SplitText($C105,",",COLUMN(I:I)-COLUMN($D:$D))="",$D105,trimtext(SplitText($C105,",",COLUMN(I:I)-COLUMN($D:$D))))</f>
        <v>F16</v>
      </c>
      <c r="J105" s="9" t="s">
        <v>284</v>
      </c>
      <c r="K105" s="12" t="str">
        <f>trimtext(SplitText($J105,",",0))</f>
        <v>F16</v>
      </c>
      <c r="L105" s="12" t="str">
        <f>IF(SplitText($J105,",",COLUMN(L:L)-COLUMN($K:$K))="",$K105,trimtext(SplitText($J105,",",COLUMN(L:L)-COLUMN($K:$K))))</f>
        <v>F16</v>
      </c>
      <c r="M105" s="12" t="str">
        <f>IF(SplitText($J105,",",COLUMN(M:M)-COLUMN($K:$K))="",$K105,trimtext(SplitText($J105,",",COLUMN(M:M)-COLUMN($K:$K))))</f>
        <v>F16</v>
      </c>
      <c r="N105" s="12" t="str">
        <f>IF(SplitText($J105,",",COLUMN(N:N)-COLUMN($K:$K))="",$K105,trimtext(SplitText($J105,",",COLUMN(N:N)-COLUMN($K:$K))))</f>
        <v>F16</v>
      </c>
      <c r="O105" s="12" t="str">
        <f>IF(SplitText($J105,",",COLUMN(O:O)-COLUMN($K:$K))="",$K105,trimtext(SplitText($J105,",",COLUMN(O:O)-COLUMN($K:$K))))</f>
        <v>F16</v>
      </c>
      <c r="P105" s="12" t="str">
        <f>IF(SplitText($J105,",",COLUMN(P:P)-COLUMN($K:$K))="",$K105,trimtext(SplitText($J105,",",COLUMN(P:P)-COLUMN($K:$K))))</f>
        <v>F16</v>
      </c>
      <c r="Q105" s="12" t="str">
        <f>IF(SplitText($J105,",",COLUMN(Q:Q)-COLUMN($K:$K))="",$K105,trimtext(SplitText($J105,",",COLUMN(Q:Q)-COLUMN($K:$K))))</f>
        <v>F16</v>
      </c>
      <c r="R105" s="2" t="s">
        <v>445</v>
      </c>
      <c r="S105" s="12" t="str">
        <f>trimtext(SplitText($R105,",",0))</f>
        <v>_none_</v>
      </c>
      <c r="T105" s="12" t="str">
        <f>IF(SplitText($R105,",",COLUMN(T:T)-COLUMN($S:$S))="",$S105,trimtext(SplitText($R105,",",COLUMN(T:T)-COLUMN($S:$S))))</f>
        <v>OEM_LOYA</v>
      </c>
      <c r="U105" s="12" t="str">
        <f>IF(SplitText($R105,",",COLUMN(U:U)-COLUMN($S:$S))="",$S105,trimtext(SplitText($R105,",",COLUMN(U:U)-COLUMN($S:$S))))</f>
        <v>F16</v>
      </c>
      <c r="V105" s="2" t="s">
        <v>604</v>
      </c>
      <c r="W105" s="12" t="str">
        <f>trimtext(SplitText($V105,",",0))</f>
        <v>_none_</v>
      </c>
      <c r="X105" s="12" t="str">
        <f>IF(SplitText($V105,",",COLUMN(X:X)-COLUMN($W:$W))="",$W105,trimtext(SplitText($V105,",",COLUMN(X:X)-COLUMN($W:$W))))</f>
        <v>_none_</v>
      </c>
      <c r="Y105" s="12" t="str">
        <f>IF(SplitText($V105,",",COLUMN(Y:Y)-COLUMN($W:$W))="",$W105,trimtext(SplitText($V105,",",COLUMN(Y:Y)-COLUMN($W:$W))))</f>
        <v>F16</v>
      </c>
      <c r="Z105" s="2" t="s">
        <v>726</v>
      </c>
      <c r="AA105" s="12" t="str">
        <f t="shared" si="9"/>
        <v>F6</v>
      </c>
      <c r="AB105" s="2" t="s">
        <v>743</v>
      </c>
      <c r="AC105" s="12" t="str">
        <f>trimtext(SplitText($AB105,",",0))</f>
        <v>_none_</v>
      </c>
      <c r="AD105" s="12" t="str">
        <f>IF(SplitText($AB105,",",COLUMN(AD:AD)-COLUMN($AC:$AC))="",$AC105,trimtext(SplitText($AB105,",",COLUMN(AD:AD)-COLUMN($AC:$AC))))</f>
        <v>_none_</v>
      </c>
      <c r="AE105" s="18" t="str">
        <f t="shared" si="10"/>
        <v>&lt;xs:enumeration value="T67"&gt;&lt;xs:annotation&gt;&lt;xs:documentation&gt;Typically F16 for keyboard type 4, different values for different keyboard types&lt;/xs:documentation&gt;&lt;xs:appinfo&gt;&lt;default-vk&gt;</v>
      </c>
      <c r="AF105" s="15" t="str">
        <f>IF(D105&lt;&gt;"","&lt;vk kbd="""&amp;D$1&amp;""" vk="""&amp;D105&amp;""""&amp;IF(Scan2VKFlags!B105&lt;&gt;""," flags="""&amp;Scan2VKFlags!B105&amp;"""","")&amp;"/&gt;","")</f>
        <v>&lt;vk kbd="1" vk="F16"/&gt;</v>
      </c>
      <c r="AG105" s="15" t="str">
        <f>IF(E105&lt;&gt;"","&lt;vk kbd="""&amp;E$1&amp;""" vk="""&amp;E105&amp;""""&amp;IF(Scan2VKFlags!C105&lt;&gt;""," flags="""&amp;Scan2VKFlags!C105&amp;"""","")&amp;"/&gt;","")</f>
        <v>&lt;vk kbd="2" vk="F16"/&gt;</v>
      </c>
      <c r="AH105" s="15" t="str">
        <f>IF(F105&lt;&gt;"","&lt;vk kbd="""&amp;F$1&amp;""" vk="""&amp;F105&amp;""""&amp;IF(Scan2VKFlags!D105&lt;&gt;""," flags="""&amp;Scan2VKFlags!D105&amp;"""","")&amp;"/&gt;","")</f>
        <v>&lt;vk kbd="3" vk="F16"/&gt;</v>
      </c>
      <c r="AI105" s="15" t="str">
        <f>IF(G105&lt;&gt;"","&lt;vk kbd="""&amp;G$1&amp;""" vk="""&amp;G105&amp;""""&amp;IF(Scan2VKFlags!E105&lt;&gt;""," flags="""&amp;Scan2VKFlags!E105&amp;"""","")&amp;"/&gt;","")</f>
        <v>&lt;vk kbd="4" vk="F16"/&gt;</v>
      </c>
      <c r="AJ105" s="15" t="str">
        <f>IF(H105&lt;&gt;"","&lt;vk kbd="""&amp;H$1&amp;""" vk="""&amp;H105&amp;""""&amp;IF(Scan2VKFlags!F105&lt;&gt;""," flags="""&amp;Scan2VKFlags!F105&amp;"""","")&amp;"/&gt;","")</f>
        <v>&lt;vk kbd="5" vk="F16"/&gt;</v>
      </c>
      <c r="AK105" s="16" t="str">
        <f>IF(I105&lt;&gt;"","&lt;vk kbd="""&amp;I$1&amp;""" vk="""&amp;I105&amp;""""&amp;IF(Scan2VKFlags!G105&lt;&gt;""," flags="""&amp;Scan2VKFlags!G105&amp;"""","")&amp;"/&gt;","")</f>
        <v>&lt;vk kbd="6" vk="F16"/&gt;</v>
      </c>
      <c r="AL105" s="3" t="str">
        <f>IF(K105&lt;&gt;"","&lt;vk kbd="""&amp;K$1&amp;""" vk="""&amp;K105&amp;""""&amp;IF(Scan2VKFlags!H105&lt;&gt;""," flags="""&amp;Scan2VKFlags!H105&amp;"""","")&amp;"/&gt;","")</f>
        <v>&lt;vk kbd="7" vk="F16"/&gt;</v>
      </c>
      <c r="AM105" t="str">
        <f>IF(L105&lt;&gt;"","&lt;vk kbd="""&amp;L$1&amp;""" vk="""&amp;L105&amp;""""&amp;IF(Scan2VKFlags!I105&lt;&gt;""," flags="""&amp;Scan2VKFlags!I105&amp;"""","")&amp;"/&gt;","")</f>
        <v>&lt;vk kbd="8" vk="F16"/&gt;</v>
      </c>
      <c r="AN105" t="str">
        <f>IF(M105&lt;&gt;"","&lt;vk kbd="""&amp;M$1&amp;""" vk="""&amp;M105&amp;""""&amp;IF(Scan2VKFlags!J105&lt;&gt;""," flags="""&amp;Scan2VKFlags!J105&amp;"""","")&amp;"/&gt;","")</f>
        <v>&lt;vk kbd="16" vk="F16"/&gt;</v>
      </c>
      <c r="AO105" t="str">
        <f>IF(N105&lt;&gt;"","&lt;vk kbd="""&amp;N$1&amp;""" vk="""&amp;N105&amp;""""&amp;IF(Scan2VKFlags!K105&lt;&gt;""," flags="""&amp;Scan2VKFlags!K105&amp;"""","")&amp;"/&gt;","")</f>
        <v>&lt;vk kbd="10" vk="F16"/&gt;</v>
      </c>
      <c r="AP105" t="str">
        <f>IF(O105&lt;&gt;"","&lt;vk kbd="""&amp;O$1&amp;""" vk="""&amp;O105&amp;""""&amp;IF(Scan2VKFlags!L105&lt;&gt;""," flags="""&amp;Scan2VKFlags!L105&amp;"""","")&amp;"/&gt;","")</f>
        <v>&lt;vk kbd="11" vk="F16"/&gt;</v>
      </c>
      <c r="AQ105" t="str">
        <f>IF(P105&lt;&gt;"","&lt;vk kbd="""&amp;P$1&amp;""" vk="""&amp;P105&amp;""""&amp;IF(Scan2VKFlags!M105&lt;&gt;""," flags="""&amp;Scan2VKFlags!M105&amp;"""","")&amp;"/&gt;","")</f>
        <v>&lt;vk kbd="12" vk="F16"/&gt;</v>
      </c>
      <c r="AR105" s="16" t="str">
        <f>IF(Q105&lt;&gt;"","&lt;vk kbd="""&amp;Q$1&amp;""" vk="""&amp;Q105&amp;""""&amp;IF(Scan2VKFlags!N105&lt;&gt;""," flags="""&amp;Scan2VKFlags!N105&amp;"""","")&amp;"/&gt;","")</f>
        <v>&lt;vk kbd="13" vk="F16"/&gt;</v>
      </c>
      <c r="AS105" s="3" t="str">
        <f>IF(S105&lt;&gt;"","&lt;vk kbd="""&amp;S$1&amp;""" vk="""&amp;S105&amp;""""&amp;IF(Scan2VKFlags!O105&lt;&gt;""," flags="""&amp;Scan2VKFlags!O105&amp;"""","")&amp;"/&gt;","")</f>
        <v>&lt;vk kbd="20" vk="_none_"/&gt;</v>
      </c>
      <c r="AT105" t="str">
        <f>IF(T105&lt;&gt;"","&lt;vk kbd="""&amp;T$1&amp;""" vk="""&amp;T105&amp;""""&amp;IF(Scan2VKFlags!P105&lt;&gt;""," flags="""&amp;Scan2VKFlags!P105&amp;"""","")&amp;"/&gt;","")</f>
        <v>&lt;vk kbd="21" vk="OEM_LOYA"/&gt;</v>
      </c>
      <c r="AU105" s="16" t="str">
        <f>IF(U105&lt;&gt;"","&lt;vk kbd="""&amp;U$1&amp;""" vk="""&amp;U105&amp;""""&amp;IF(Scan2VKFlags!Q105&lt;&gt;""," flags="""&amp;Scan2VKFlags!Q105&amp;"""","")&amp;"/&gt;","")</f>
        <v>&lt;vk kbd="22" vk="F16"/&gt;</v>
      </c>
      <c r="AV105" s="3" t="str">
        <f>IF(W105&lt;&gt;"","&lt;vk kbd="""&amp;W$1&amp;""" vk="""&amp;W105&amp;""""&amp;IF(Scan2VKFlags!R105&lt;&gt;""," flags="""&amp;Scan2VKFlags!R105&amp;"""","")&amp;"/&gt;","")</f>
        <v>&lt;vk kbd="30" vk="_none_"/&gt;</v>
      </c>
      <c r="AW105" s="15" t="str">
        <f>IF(X105&lt;&gt;"","&lt;vk kbd="""&amp;X$1&amp;""" vk="""&amp;X105&amp;""""&amp;IF(Scan2VKFlags!S105&lt;&gt;""," flags="""&amp;Scan2VKFlags!S105&amp;"""","")&amp;"/&gt;","")</f>
        <v>&lt;vk kbd="33" vk="_none_"/&gt;</v>
      </c>
      <c r="AX105" s="15" t="str">
        <f>IF(Y105&lt;&gt;"","&lt;vk kbd="""&amp;Y$1&amp;""" vk="""&amp;Y105&amp;""""&amp;IF(Scan2VKFlags!T105&lt;&gt;""," flags="""&amp;Scan2VKFlags!T105&amp;"""","")&amp;"/&gt;","")</f>
        <v>&lt;vk kbd="34" vk="F16"/&gt;</v>
      </c>
      <c r="AY105" s="18" t="str">
        <f>IF(AA105&lt;&gt;"","&lt;vk kbd="""&amp;AA$1&amp;""" vk="""&amp;AA105&amp;""""&amp;IF(Scan2VKFlags!U105&lt;&gt;""," flags="""&amp;Scan2VKFlags!U105&amp;"""","")&amp;"/&gt;","")</f>
        <v>&lt;vk kbd="37" vk="F6"/&gt;</v>
      </c>
      <c r="AZ105" s="3" t="str">
        <f>IF(AC105&lt;&gt;"","&lt;vk kbd="""&amp;AC$1&amp;""" vk="""&amp;AC105&amp;""""&amp;IF(Scan2VKFlags!V105&lt;&gt;""," flags="""&amp;Scan2VKFlags!V105&amp;"""","")&amp;"/&gt;","")</f>
        <v>&lt;vk kbd="40" vk="_none_"/&gt;</v>
      </c>
      <c r="BA105" s="16" t="str">
        <f>IF(AD105&lt;&gt;"","&lt;vk kbd="""&amp;AD$1&amp;""" vk="""&amp;AD105&amp;""""&amp;IF(Scan2VKFlags!W105&lt;&gt;""," flags="""&amp;Scan2VKFlags!W105&amp;"""","")&amp;"/&gt;","")</f>
        <v>&lt;vk kbd="41" vk="_none_"/&gt;</v>
      </c>
      <c r="BB105" t="s">
        <v>854</v>
      </c>
    </row>
    <row r="106" spans="1:54" x14ac:dyDescent="0.25">
      <c r="A106">
        <f t="shared" si="11"/>
        <v>104</v>
      </c>
      <c r="B106" t="str">
        <f t="shared" si="8"/>
        <v>T68</v>
      </c>
      <c r="C106" s="7" t="s">
        <v>100</v>
      </c>
      <c r="D106" s="12" t="str">
        <f>trimtext(SplitText($C106,",",0))</f>
        <v>F17</v>
      </c>
      <c r="E106" s="12" t="str">
        <f>IF(SplitText($C106,",",COLUMN(E:E)-COLUMN($D:$D))="",$D106,trimtext(SplitText($C106,",",COLUMN(E:E)-COLUMN($D:$D))))</f>
        <v>F17</v>
      </c>
      <c r="F106" s="12" t="str">
        <f>IF(SplitText($C106,",",COLUMN(F:F)-COLUMN($D:$D))="",$D106,trimtext(SplitText($C106,",",COLUMN(F:F)-COLUMN($D:$D))))</f>
        <v>F17</v>
      </c>
      <c r="G106" s="12" t="str">
        <f>IF(SplitText($C106,",",COLUMN(G:G)-COLUMN($D:$D))="",$D106,trimtext(SplitText($C106,",",COLUMN(G:G)-COLUMN($D:$D))))</f>
        <v>F17</v>
      </c>
      <c r="H106" s="12" t="str">
        <f>IF(SplitText($C106,",",COLUMN(H:H)-COLUMN($D:$D))="",$D106,trimtext(SplitText($C106,",",COLUMN(H:H)-COLUMN($D:$D))))</f>
        <v>F17</v>
      </c>
      <c r="I106" s="12" t="str">
        <f>IF(SplitText($C106,",",COLUMN(I:I)-COLUMN($D:$D))="",$D106,trimtext(SplitText($C106,",",COLUMN(I:I)-COLUMN($D:$D))))</f>
        <v>F17</v>
      </c>
      <c r="J106" s="9" t="s">
        <v>285</v>
      </c>
      <c r="K106" s="12" t="str">
        <f>trimtext(SplitText($J106,",",0))</f>
        <v>F17</v>
      </c>
      <c r="L106" s="12" t="str">
        <f>IF(SplitText($J106,",",COLUMN(L:L)-COLUMN($K:$K))="",$K106,trimtext(SplitText($J106,",",COLUMN(L:L)-COLUMN($K:$K))))</f>
        <v>F17</v>
      </c>
      <c r="M106" s="12" t="str">
        <f>IF(SplitText($J106,",",COLUMN(M:M)-COLUMN($K:$K))="",$K106,trimtext(SplitText($J106,",",COLUMN(M:M)-COLUMN($K:$K))))</f>
        <v>F17</v>
      </c>
      <c r="N106" s="12" t="str">
        <f>IF(SplitText($J106,",",COLUMN(N:N)-COLUMN($K:$K))="",$K106,trimtext(SplitText($J106,",",COLUMN(N:N)-COLUMN($K:$K))))</f>
        <v>F17</v>
      </c>
      <c r="O106" s="12" t="str">
        <f>IF(SplitText($J106,",",COLUMN(O:O)-COLUMN($K:$K))="",$K106,trimtext(SplitText($J106,",",COLUMN(O:O)-COLUMN($K:$K))))</f>
        <v>F17</v>
      </c>
      <c r="P106" s="12" t="str">
        <f>IF(SplitText($J106,",",COLUMN(P:P)-COLUMN($K:$K))="",$K106,trimtext(SplitText($J106,",",COLUMN(P:P)-COLUMN($K:$K))))</f>
        <v>F17</v>
      </c>
      <c r="Q106" s="12" t="str">
        <f>IF(SplitText($J106,",",COLUMN(Q:Q)-COLUMN($K:$K))="",$K106,trimtext(SplitText($J106,",",COLUMN(Q:Q)-COLUMN($K:$K))))</f>
        <v>F17</v>
      </c>
      <c r="R106" s="2" t="s">
        <v>446</v>
      </c>
      <c r="S106" s="12" t="str">
        <f>trimtext(SplitText($R106,",",0))</f>
        <v>_none_</v>
      </c>
      <c r="T106" s="12" t="str">
        <f>IF(SplitText($R106,",",COLUMN(T:T)-COLUMN($S:$S))="",$S106,trimtext(SplitText($R106,",",COLUMN(T:T)-COLUMN($S:$S))))</f>
        <v>OEM_ROYA</v>
      </c>
      <c r="U106" s="12" t="str">
        <f>IF(SplitText($R106,",",COLUMN(U:U)-COLUMN($S:$S))="",$S106,trimtext(SplitText($R106,",",COLUMN(U:U)-COLUMN($S:$S))))</f>
        <v>F17</v>
      </c>
      <c r="V106" s="2" t="s">
        <v>605</v>
      </c>
      <c r="W106" s="12" t="str">
        <f>trimtext(SplitText($V106,",",0))</f>
        <v>_none_</v>
      </c>
      <c r="X106" s="12" t="str">
        <f>IF(SplitText($V106,",",COLUMN(X:X)-COLUMN($W:$W))="",$W106,trimtext(SplitText($V106,",",COLUMN(X:X)-COLUMN($W:$W))))</f>
        <v>_none_</v>
      </c>
      <c r="Y106" s="12" t="str">
        <f>IF(SplitText($V106,",",COLUMN(Y:Y)-COLUMN($W:$W))="",$W106,trimtext(SplitText($V106,",",COLUMN(Y:Y)-COLUMN($W:$W))))</f>
        <v>F17</v>
      </c>
      <c r="Z106" s="2" t="s">
        <v>727</v>
      </c>
      <c r="AA106" s="12" t="str">
        <f t="shared" si="9"/>
        <v>F7</v>
      </c>
      <c r="AB106" s="2" t="s">
        <v>743</v>
      </c>
      <c r="AC106" s="12" t="str">
        <f>trimtext(SplitText($AB106,",",0))</f>
        <v>_none_</v>
      </c>
      <c r="AD106" s="12" t="str">
        <f>IF(SplitText($AB106,",",COLUMN(AD:AD)-COLUMN($AC:$AC))="",$AC106,trimtext(SplitText($AB106,",",COLUMN(AD:AD)-COLUMN($AC:$AC))))</f>
        <v>_none_</v>
      </c>
      <c r="AE106" s="18" t="str">
        <f t="shared" si="10"/>
        <v>&lt;xs:enumeration value="T68"&gt;&lt;xs:annotation&gt;&lt;xs:documentation&gt;Typically F17 for keyboard type 4, different values for different keyboard types&lt;/xs:documentation&gt;&lt;xs:appinfo&gt;&lt;default-vk&gt;</v>
      </c>
      <c r="AF106" s="15" t="str">
        <f>IF(D106&lt;&gt;"","&lt;vk kbd="""&amp;D$1&amp;""" vk="""&amp;D106&amp;""""&amp;IF(Scan2VKFlags!B106&lt;&gt;""," flags="""&amp;Scan2VKFlags!B106&amp;"""","")&amp;"/&gt;","")</f>
        <v>&lt;vk kbd="1" vk="F17"/&gt;</v>
      </c>
      <c r="AG106" s="15" t="str">
        <f>IF(E106&lt;&gt;"","&lt;vk kbd="""&amp;E$1&amp;""" vk="""&amp;E106&amp;""""&amp;IF(Scan2VKFlags!C106&lt;&gt;""," flags="""&amp;Scan2VKFlags!C106&amp;"""","")&amp;"/&gt;","")</f>
        <v>&lt;vk kbd="2" vk="F17"/&gt;</v>
      </c>
      <c r="AH106" s="15" t="str">
        <f>IF(F106&lt;&gt;"","&lt;vk kbd="""&amp;F$1&amp;""" vk="""&amp;F106&amp;""""&amp;IF(Scan2VKFlags!D106&lt;&gt;""," flags="""&amp;Scan2VKFlags!D106&amp;"""","")&amp;"/&gt;","")</f>
        <v>&lt;vk kbd="3" vk="F17"/&gt;</v>
      </c>
      <c r="AI106" s="15" t="str">
        <f>IF(G106&lt;&gt;"","&lt;vk kbd="""&amp;G$1&amp;""" vk="""&amp;G106&amp;""""&amp;IF(Scan2VKFlags!E106&lt;&gt;""," flags="""&amp;Scan2VKFlags!E106&amp;"""","")&amp;"/&gt;","")</f>
        <v>&lt;vk kbd="4" vk="F17"/&gt;</v>
      </c>
      <c r="AJ106" s="15" t="str">
        <f>IF(H106&lt;&gt;"","&lt;vk kbd="""&amp;H$1&amp;""" vk="""&amp;H106&amp;""""&amp;IF(Scan2VKFlags!F106&lt;&gt;""," flags="""&amp;Scan2VKFlags!F106&amp;"""","")&amp;"/&gt;","")</f>
        <v>&lt;vk kbd="5" vk="F17"/&gt;</v>
      </c>
      <c r="AK106" s="16" t="str">
        <f>IF(I106&lt;&gt;"","&lt;vk kbd="""&amp;I$1&amp;""" vk="""&amp;I106&amp;""""&amp;IF(Scan2VKFlags!G106&lt;&gt;""," flags="""&amp;Scan2VKFlags!G106&amp;"""","")&amp;"/&gt;","")</f>
        <v>&lt;vk kbd="6" vk="F17"/&gt;</v>
      </c>
      <c r="AL106" s="3" t="str">
        <f>IF(K106&lt;&gt;"","&lt;vk kbd="""&amp;K$1&amp;""" vk="""&amp;K106&amp;""""&amp;IF(Scan2VKFlags!H106&lt;&gt;""," flags="""&amp;Scan2VKFlags!H106&amp;"""","")&amp;"/&gt;","")</f>
        <v>&lt;vk kbd="7" vk="F17"/&gt;</v>
      </c>
      <c r="AM106" t="str">
        <f>IF(L106&lt;&gt;"","&lt;vk kbd="""&amp;L$1&amp;""" vk="""&amp;L106&amp;""""&amp;IF(Scan2VKFlags!I106&lt;&gt;""," flags="""&amp;Scan2VKFlags!I106&amp;"""","")&amp;"/&gt;","")</f>
        <v>&lt;vk kbd="8" vk="F17"/&gt;</v>
      </c>
      <c r="AN106" t="str">
        <f>IF(M106&lt;&gt;"","&lt;vk kbd="""&amp;M$1&amp;""" vk="""&amp;M106&amp;""""&amp;IF(Scan2VKFlags!J106&lt;&gt;""," flags="""&amp;Scan2VKFlags!J106&amp;"""","")&amp;"/&gt;","")</f>
        <v>&lt;vk kbd="16" vk="F17"/&gt;</v>
      </c>
      <c r="AO106" t="str">
        <f>IF(N106&lt;&gt;"","&lt;vk kbd="""&amp;N$1&amp;""" vk="""&amp;N106&amp;""""&amp;IF(Scan2VKFlags!K106&lt;&gt;""," flags="""&amp;Scan2VKFlags!K106&amp;"""","")&amp;"/&gt;","")</f>
        <v>&lt;vk kbd="10" vk="F17"/&gt;</v>
      </c>
      <c r="AP106" t="str">
        <f>IF(O106&lt;&gt;"","&lt;vk kbd="""&amp;O$1&amp;""" vk="""&amp;O106&amp;""""&amp;IF(Scan2VKFlags!L106&lt;&gt;""," flags="""&amp;Scan2VKFlags!L106&amp;"""","")&amp;"/&gt;","")</f>
        <v>&lt;vk kbd="11" vk="F17"/&gt;</v>
      </c>
      <c r="AQ106" t="str">
        <f>IF(P106&lt;&gt;"","&lt;vk kbd="""&amp;P$1&amp;""" vk="""&amp;P106&amp;""""&amp;IF(Scan2VKFlags!M106&lt;&gt;""," flags="""&amp;Scan2VKFlags!M106&amp;"""","")&amp;"/&gt;","")</f>
        <v>&lt;vk kbd="12" vk="F17"/&gt;</v>
      </c>
      <c r="AR106" s="16" t="str">
        <f>IF(Q106&lt;&gt;"","&lt;vk kbd="""&amp;Q$1&amp;""" vk="""&amp;Q106&amp;""""&amp;IF(Scan2VKFlags!N106&lt;&gt;""," flags="""&amp;Scan2VKFlags!N106&amp;"""","")&amp;"/&gt;","")</f>
        <v>&lt;vk kbd="13" vk="F17"/&gt;</v>
      </c>
      <c r="AS106" s="3" t="str">
        <f>IF(S106&lt;&gt;"","&lt;vk kbd="""&amp;S$1&amp;""" vk="""&amp;S106&amp;""""&amp;IF(Scan2VKFlags!O106&lt;&gt;""," flags="""&amp;Scan2VKFlags!O106&amp;"""","")&amp;"/&gt;","")</f>
        <v>&lt;vk kbd="20" vk="_none_"/&gt;</v>
      </c>
      <c r="AT106" t="str">
        <f>IF(T106&lt;&gt;"","&lt;vk kbd="""&amp;T$1&amp;""" vk="""&amp;T106&amp;""""&amp;IF(Scan2VKFlags!P106&lt;&gt;""," flags="""&amp;Scan2VKFlags!P106&amp;"""","")&amp;"/&gt;","")</f>
        <v>&lt;vk kbd="21" vk="OEM_ROYA"/&gt;</v>
      </c>
      <c r="AU106" s="16" t="str">
        <f>IF(U106&lt;&gt;"","&lt;vk kbd="""&amp;U$1&amp;""" vk="""&amp;U106&amp;""""&amp;IF(Scan2VKFlags!Q106&lt;&gt;""," flags="""&amp;Scan2VKFlags!Q106&amp;"""","")&amp;"/&gt;","")</f>
        <v>&lt;vk kbd="22" vk="F17"/&gt;</v>
      </c>
      <c r="AV106" s="3" t="str">
        <f>IF(W106&lt;&gt;"","&lt;vk kbd="""&amp;W$1&amp;""" vk="""&amp;W106&amp;""""&amp;IF(Scan2VKFlags!R106&lt;&gt;""," flags="""&amp;Scan2VKFlags!R106&amp;"""","")&amp;"/&gt;","")</f>
        <v>&lt;vk kbd="30" vk="_none_"/&gt;</v>
      </c>
      <c r="AW106" s="15" t="str">
        <f>IF(X106&lt;&gt;"","&lt;vk kbd="""&amp;X$1&amp;""" vk="""&amp;X106&amp;""""&amp;IF(Scan2VKFlags!S106&lt;&gt;""," flags="""&amp;Scan2VKFlags!S106&amp;"""","")&amp;"/&gt;","")</f>
        <v>&lt;vk kbd="33" vk="_none_"/&gt;</v>
      </c>
      <c r="AX106" s="15" t="str">
        <f>IF(Y106&lt;&gt;"","&lt;vk kbd="""&amp;Y$1&amp;""" vk="""&amp;Y106&amp;""""&amp;IF(Scan2VKFlags!T106&lt;&gt;""," flags="""&amp;Scan2VKFlags!T106&amp;"""","")&amp;"/&gt;","")</f>
        <v>&lt;vk kbd="34" vk="F17"/&gt;</v>
      </c>
      <c r="AY106" s="18" t="str">
        <f>IF(AA106&lt;&gt;"","&lt;vk kbd="""&amp;AA$1&amp;""" vk="""&amp;AA106&amp;""""&amp;IF(Scan2VKFlags!U106&lt;&gt;""," flags="""&amp;Scan2VKFlags!U106&amp;"""","")&amp;"/&gt;","")</f>
        <v>&lt;vk kbd="37" vk="F7"/&gt;</v>
      </c>
      <c r="AZ106" s="3" t="str">
        <f>IF(AC106&lt;&gt;"","&lt;vk kbd="""&amp;AC$1&amp;""" vk="""&amp;AC106&amp;""""&amp;IF(Scan2VKFlags!V106&lt;&gt;""," flags="""&amp;Scan2VKFlags!V106&amp;"""","")&amp;"/&gt;","")</f>
        <v>&lt;vk kbd="40" vk="_none_"/&gt;</v>
      </c>
      <c r="BA106" s="16" t="str">
        <f>IF(AD106&lt;&gt;"","&lt;vk kbd="""&amp;AD$1&amp;""" vk="""&amp;AD106&amp;""""&amp;IF(Scan2VKFlags!W106&lt;&gt;""," flags="""&amp;Scan2VKFlags!W106&amp;"""","")&amp;"/&gt;","")</f>
        <v>&lt;vk kbd="41" vk="_none_"/&gt;</v>
      </c>
      <c r="BB106" t="s">
        <v>854</v>
      </c>
    </row>
    <row r="107" spans="1:54" x14ac:dyDescent="0.25">
      <c r="A107">
        <f t="shared" si="11"/>
        <v>105</v>
      </c>
      <c r="B107" t="str">
        <f t="shared" si="8"/>
        <v>T69</v>
      </c>
      <c r="C107" s="7" t="s">
        <v>101</v>
      </c>
      <c r="D107" s="12" t="str">
        <f>trimtext(SplitText($C107,",",0))</f>
        <v>F18</v>
      </c>
      <c r="E107" s="12" t="str">
        <f>IF(SplitText($C107,",",COLUMN(E:E)-COLUMN($D:$D))="",$D107,trimtext(SplitText($C107,",",COLUMN(E:E)-COLUMN($D:$D))))</f>
        <v>F18</v>
      </c>
      <c r="F107" s="12" t="str">
        <f>IF(SplitText($C107,",",COLUMN(F:F)-COLUMN($D:$D))="",$D107,trimtext(SplitText($C107,",",COLUMN(F:F)-COLUMN($D:$D))))</f>
        <v>F18</v>
      </c>
      <c r="G107" s="12" t="str">
        <f>IF(SplitText($C107,",",COLUMN(G:G)-COLUMN($D:$D))="",$D107,trimtext(SplitText($C107,",",COLUMN(G:G)-COLUMN($D:$D))))</f>
        <v>F18</v>
      </c>
      <c r="H107" s="12" t="str">
        <f>IF(SplitText($C107,",",COLUMN(H:H)-COLUMN($D:$D))="",$D107,trimtext(SplitText($C107,",",COLUMN(H:H)-COLUMN($D:$D))))</f>
        <v>F18</v>
      </c>
      <c r="I107" s="12" t="str">
        <f>IF(SplitText($C107,",",COLUMN(I:I)-COLUMN($D:$D))="",$D107,trimtext(SplitText($C107,",",COLUMN(I:I)-COLUMN($D:$D))))</f>
        <v>F18</v>
      </c>
      <c r="J107" s="9" t="s">
        <v>286</v>
      </c>
      <c r="K107" s="12" t="str">
        <f>trimtext(SplitText($J107,",",0))</f>
        <v>F18</v>
      </c>
      <c r="L107" s="12" t="str">
        <f>IF(SplitText($J107,",",COLUMN(L:L)-COLUMN($K:$K))="",$K107,trimtext(SplitText($J107,",",COLUMN(L:L)-COLUMN($K:$K))))</f>
        <v>F18</v>
      </c>
      <c r="M107" s="12" t="str">
        <f>IF(SplitText($J107,",",COLUMN(M:M)-COLUMN($K:$K))="",$K107,trimtext(SplitText($J107,",",COLUMN(M:M)-COLUMN($K:$K))))</f>
        <v>F18</v>
      </c>
      <c r="N107" s="12" t="str">
        <f>IF(SplitText($J107,",",COLUMN(N:N)-COLUMN($K:$K))="",$K107,trimtext(SplitText($J107,",",COLUMN(N:N)-COLUMN($K:$K))))</f>
        <v>F18</v>
      </c>
      <c r="O107" s="12" t="str">
        <f>IF(SplitText($J107,",",COLUMN(O:O)-COLUMN($K:$K))="",$K107,trimtext(SplitText($J107,",",COLUMN(O:O)-COLUMN($K:$K))))</f>
        <v>F18</v>
      </c>
      <c r="P107" s="12" t="str">
        <f>IF(SplitText($J107,",",COLUMN(P:P)-COLUMN($K:$K))="",$K107,trimtext(SplitText($J107,",",COLUMN(P:P)-COLUMN($K:$K))))</f>
        <v>F18</v>
      </c>
      <c r="Q107" s="12" t="str">
        <f>IF(SplitText($J107,",",COLUMN(Q:Q)-COLUMN($K:$K))="",$K107,trimtext(SplitText($J107,",",COLUMN(Q:Q)-COLUMN($K:$K))))</f>
        <v>F18</v>
      </c>
      <c r="R107" s="2" t="s">
        <v>447</v>
      </c>
      <c r="S107" s="12" t="str">
        <f>trimtext(SplitText($R107,",",0))</f>
        <v>F11</v>
      </c>
      <c r="T107" s="12" t="str">
        <f>IF(SplitText($R107,",",COLUMN(T:T)-COLUMN($S:$S))="",$S107,trimtext(SplitText($R107,",",COLUMN(T:T)-COLUMN($S:$S))))</f>
        <v>F11</v>
      </c>
      <c r="U107" s="12" t="str">
        <f>IF(SplitText($R107,",",COLUMN(U:U)-COLUMN($S:$S))="",$S107,trimtext(SplitText($R107,",",COLUMN(U:U)-COLUMN($S:$S))))</f>
        <v>F18</v>
      </c>
      <c r="V107" s="2" t="s">
        <v>606</v>
      </c>
      <c r="W107" s="12" t="str">
        <f>trimtext(SplitText($V107,",",0))</f>
        <v>_none_</v>
      </c>
      <c r="X107" s="12" t="str">
        <f>IF(SplitText($V107,",",COLUMN(X:X)-COLUMN($W:$W))="",$W107,trimtext(SplitText($V107,",",COLUMN(X:X)-COLUMN($W:$W))))</f>
        <v>_none_</v>
      </c>
      <c r="Y107" s="12" t="str">
        <f>IF(SplitText($V107,",",COLUMN(Y:Y)-COLUMN($W:$W))="",$W107,trimtext(SplitText($V107,",",COLUMN(Y:Y)-COLUMN($W:$W))))</f>
        <v>F18</v>
      </c>
      <c r="Z107" s="2" t="s">
        <v>728</v>
      </c>
      <c r="AA107" s="12" t="str">
        <f t="shared" si="9"/>
        <v>F8</v>
      </c>
      <c r="AB107" s="2" t="s">
        <v>743</v>
      </c>
      <c r="AC107" s="12" t="str">
        <f>trimtext(SplitText($AB107,",",0))</f>
        <v>_none_</v>
      </c>
      <c r="AD107" s="12" t="str">
        <f>IF(SplitText($AB107,",",COLUMN(AD:AD)-COLUMN($AC:$AC))="",$AC107,trimtext(SplitText($AB107,",",COLUMN(AD:AD)-COLUMN($AC:$AC))))</f>
        <v>_none_</v>
      </c>
      <c r="AE107" s="18" t="str">
        <f t="shared" si="10"/>
        <v>&lt;xs:enumeration value="T69"&gt;&lt;xs:annotation&gt;&lt;xs:documentation&gt;Typically F18 for keyboard type 4, different values for different keyboard types&lt;/xs:documentation&gt;&lt;xs:appinfo&gt;&lt;default-vk&gt;</v>
      </c>
      <c r="AF107" s="15" t="str">
        <f>IF(D107&lt;&gt;"","&lt;vk kbd="""&amp;D$1&amp;""" vk="""&amp;D107&amp;""""&amp;IF(Scan2VKFlags!B107&lt;&gt;""," flags="""&amp;Scan2VKFlags!B107&amp;"""","")&amp;"/&gt;","")</f>
        <v>&lt;vk kbd="1" vk="F18"/&gt;</v>
      </c>
      <c r="AG107" s="15" t="str">
        <f>IF(E107&lt;&gt;"","&lt;vk kbd="""&amp;E$1&amp;""" vk="""&amp;E107&amp;""""&amp;IF(Scan2VKFlags!C107&lt;&gt;""," flags="""&amp;Scan2VKFlags!C107&amp;"""","")&amp;"/&gt;","")</f>
        <v>&lt;vk kbd="2" vk="F18"/&gt;</v>
      </c>
      <c r="AH107" s="15" t="str">
        <f>IF(F107&lt;&gt;"","&lt;vk kbd="""&amp;F$1&amp;""" vk="""&amp;F107&amp;""""&amp;IF(Scan2VKFlags!D107&lt;&gt;""," flags="""&amp;Scan2VKFlags!D107&amp;"""","")&amp;"/&gt;","")</f>
        <v>&lt;vk kbd="3" vk="F18"/&gt;</v>
      </c>
      <c r="AI107" s="15" t="str">
        <f>IF(G107&lt;&gt;"","&lt;vk kbd="""&amp;G$1&amp;""" vk="""&amp;G107&amp;""""&amp;IF(Scan2VKFlags!E107&lt;&gt;""," flags="""&amp;Scan2VKFlags!E107&amp;"""","")&amp;"/&gt;","")</f>
        <v>&lt;vk kbd="4" vk="F18"/&gt;</v>
      </c>
      <c r="AJ107" s="15" t="str">
        <f>IF(H107&lt;&gt;"","&lt;vk kbd="""&amp;H$1&amp;""" vk="""&amp;H107&amp;""""&amp;IF(Scan2VKFlags!F107&lt;&gt;""," flags="""&amp;Scan2VKFlags!F107&amp;"""","")&amp;"/&gt;","")</f>
        <v>&lt;vk kbd="5" vk="F18"/&gt;</v>
      </c>
      <c r="AK107" s="16" t="str">
        <f>IF(I107&lt;&gt;"","&lt;vk kbd="""&amp;I$1&amp;""" vk="""&amp;I107&amp;""""&amp;IF(Scan2VKFlags!G107&lt;&gt;""," flags="""&amp;Scan2VKFlags!G107&amp;"""","")&amp;"/&gt;","")</f>
        <v>&lt;vk kbd="6" vk="F18"/&gt;</v>
      </c>
      <c r="AL107" s="3" t="str">
        <f>IF(K107&lt;&gt;"","&lt;vk kbd="""&amp;K$1&amp;""" vk="""&amp;K107&amp;""""&amp;IF(Scan2VKFlags!H107&lt;&gt;""," flags="""&amp;Scan2VKFlags!H107&amp;"""","")&amp;"/&gt;","")</f>
        <v>&lt;vk kbd="7" vk="F18"/&gt;</v>
      </c>
      <c r="AM107" t="str">
        <f>IF(L107&lt;&gt;"","&lt;vk kbd="""&amp;L$1&amp;""" vk="""&amp;L107&amp;""""&amp;IF(Scan2VKFlags!I107&lt;&gt;""," flags="""&amp;Scan2VKFlags!I107&amp;"""","")&amp;"/&gt;","")</f>
        <v>&lt;vk kbd="8" vk="F18"/&gt;</v>
      </c>
      <c r="AN107" t="str">
        <f>IF(M107&lt;&gt;"","&lt;vk kbd="""&amp;M$1&amp;""" vk="""&amp;M107&amp;""""&amp;IF(Scan2VKFlags!J107&lt;&gt;""," flags="""&amp;Scan2VKFlags!J107&amp;"""","")&amp;"/&gt;","")</f>
        <v>&lt;vk kbd="16" vk="F18"/&gt;</v>
      </c>
      <c r="AO107" t="str">
        <f>IF(N107&lt;&gt;"","&lt;vk kbd="""&amp;N$1&amp;""" vk="""&amp;N107&amp;""""&amp;IF(Scan2VKFlags!K107&lt;&gt;""," flags="""&amp;Scan2VKFlags!K107&amp;"""","")&amp;"/&gt;","")</f>
        <v>&lt;vk kbd="10" vk="F18"/&gt;</v>
      </c>
      <c r="AP107" t="str">
        <f>IF(O107&lt;&gt;"","&lt;vk kbd="""&amp;O$1&amp;""" vk="""&amp;O107&amp;""""&amp;IF(Scan2VKFlags!L107&lt;&gt;""," flags="""&amp;Scan2VKFlags!L107&amp;"""","")&amp;"/&gt;","")</f>
        <v>&lt;vk kbd="11" vk="F18"/&gt;</v>
      </c>
      <c r="AQ107" t="str">
        <f>IF(P107&lt;&gt;"","&lt;vk kbd="""&amp;P$1&amp;""" vk="""&amp;P107&amp;""""&amp;IF(Scan2VKFlags!M107&lt;&gt;""," flags="""&amp;Scan2VKFlags!M107&amp;"""","")&amp;"/&gt;","")</f>
        <v>&lt;vk kbd="12" vk="F18"/&gt;</v>
      </c>
      <c r="AR107" s="16" t="str">
        <f>IF(Q107&lt;&gt;"","&lt;vk kbd="""&amp;Q$1&amp;""" vk="""&amp;Q107&amp;""""&amp;IF(Scan2VKFlags!N107&lt;&gt;""," flags="""&amp;Scan2VKFlags!N107&amp;"""","")&amp;"/&gt;","")</f>
        <v>&lt;vk kbd="13" vk="F18"/&gt;</v>
      </c>
      <c r="AS107" s="3" t="str">
        <f>IF(S107&lt;&gt;"","&lt;vk kbd="""&amp;S$1&amp;""" vk="""&amp;S107&amp;""""&amp;IF(Scan2VKFlags!O107&lt;&gt;""," flags="""&amp;Scan2VKFlags!O107&amp;"""","")&amp;"/&gt;","")</f>
        <v>&lt;vk kbd="20" vk="F11"/&gt;</v>
      </c>
      <c r="AT107" t="str">
        <f>IF(T107&lt;&gt;"","&lt;vk kbd="""&amp;T$1&amp;""" vk="""&amp;T107&amp;""""&amp;IF(Scan2VKFlags!P107&lt;&gt;""," flags="""&amp;Scan2VKFlags!P107&amp;"""","")&amp;"/&gt;","")</f>
        <v>&lt;vk kbd="21" vk="F11"/&gt;</v>
      </c>
      <c r="AU107" s="16" t="str">
        <f>IF(U107&lt;&gt;"","&lt;vk kbd="""&amp;U$1&amp;""" vk="""&amp;U107&amp;""""&amp;IF(Scan2VKFlags!Q107&lt;&gt;""," flags="""&amp;Scan2VKFlags!Q107&amp;"""","")&amp;"/&gt;","")</f>
        <v>&lt;vk kbd="22" vk="F18"/&gt;</v>
      </c>
      <c r="AV107" s="3" t="str">
        <f>IF(W107&lt;&gt;"","&lt;vk kbd="""&amp;W$1&amp;""" vk="""&amp;W107&amp;""""&amp;IF(Scan2VKFlags!R107&lt;&gt;""," flags="""&amp;Scan2VKFlags!R107&amp;"""","")&amp;"/&gt;","")</f>
        <v>&lt;vk kbd="30" vk="_none_"/&gt;</v>
      </c>
      <c r="AW107" s="15" t="str">
        <f>IF(X107&lt;&gt;"","&lt;vk kbd="""&amp;X$1&amp;""" vk="""&amp;X107&amp;""""&amp;IF(Scan2VKFlags!S107&lt;&gt;""," flags="""&amp;Scan2VKFlags!S107&amp;"""","")&amp;"/&gt;","")</f>
        <v>&lt;vk kbd="33" vk="_none_"/&gt;</v>
      </c>
      <c r="AX107" s="15" t="str">
        <f>IF(Y107&lt;&gt;"","&lt;vk kbd="""&amp;Y$1&amp;""" vk="""&amp;Y107&amp;""""&amp;IF(Scan2VKFlags!T107&lt;&gt;""," flags="""&amp;Scan2VKFlags!T107&amp;"""","")&amp;"/&gt;","")</f>
        <v>&lt;vk kbd="34" vk="F18"/&gt;</v>
      </c>
      <c r="AY107" s="18" t="str">
        <f>IF(AA107&lt;&gt;"","&lt;vk kbd="""&amp;AA$1&amp;""" vk="""&amp;AA107&amp;""""&amp;IF(Scan2VKFlags!U107&lt;&gt;""," flags="""&amp;Scan2VKFlags!U107&amp;"""","")&amp;"/&gt;","")</f>
        <v>&lt;vk kbd="37" vk="F8"/&gt;</v>
      </c>
      <c r="AZ107" s="3" t="str">
        <f>IF(AC107&lt;&gt;"","&lt;vk kbd="""&amp;AC$1&amp;""" vk="""&amp;AC107&amp;""""&amp;IF(Scan2VKFlags!V107&lt;&gt;""," flags="""&amp;Scan2VKFlags!V107&amp;"""","")&amp;"/&gt;","")</f>
        <v>&lt;vk kbd="40" vk="_none_"/&gt;</v>
      </c>
      <c r="BA107" s="16" t="str">
        <f>IF(AD107&lt;&gt;"","&lt;vk kbd="""&amp;AD$1&amp;""" vk="""&amp;AD107&amp;""""&amp;IF(Scan2VKFlags!W107&lt;&gt;""," flags="""&amp;Scan2VKFlags!W107&amp;"""","")&amp;"/&gt;","")</f>
        <v>&lt;vk kbd="41" vk="_none_"/&gt;</v>
      </c>
      <c r="BB107" t="s">
        <v>854</v>
      </c>
    </row>
    <row r="108" spans="1:54" x14ac:dyDescent="0.25">
      <c r="A108">
        <f t="shared" si="11"/>
        <v>106</v>
      </c>
      <c r="B108" t="str">
        <f t="shared" si="8"/>
        <v>T6A</v>
      </c>
      <c r="C108" s="7" t="s">
        <v>102</v>
      </c>
      <c r="D108" s="12" t="str">
        <f>trimtext(SplitText($C108,",",0))</f>
        <v>F19</v>
      </c>
      <c r="E108" s="12" t="str">
        <f>IF(SplitText($C108,",",COLUMN(E:E)-COLUMN($D:$D))="",$D108,trimtext(SplitText($C108,",",COLUMN(E:E)-COLUMN($D:$D))))</f>
        <v>F19</v>
      </c>
      <c r="F108" s="12" t="str">
        <f>IF(SplitText($C108,",",COLUMN(F:F)-COLUMN($D:$D))="",$D108,trimtext(SplitText($C108,",",COLUMN(F:F)-COLUMN($D:$D))))</f>
        <v>F19</v>
      </c>
      <c r="G108" s="12" t="str">
        <f>IF(SplitText($C108,",",COLUMN(G:G)-COLUMN($D:$D))="",$D108,trimtext(SplitText($C108,",",COLUMN(G:G)-COLUMN($D:$D))))</f>
        <v>F19</v>
      </c>
      <c r="H108" s="12" t="str">
        <f>IF(SplitText($C108,",",COLUMN(H:H)-COLUMN($D:$D))="",$D108,trimtext(SplitText($C108,",",COLUMN(H:H)-COLUMN($D:$D))))</f>
        <v>F19</v>
      </c>
      <c r="I108" s="12" t="str">
        <f>IF(SplitText($C108,",",COLUMN(I:I)-COLUMN($D:$D))="",$D108,trimtext(SplitText($C108,",",COLUMN(I:I)-COLUMN($D:$D))))</f>
        <v>F19</v>
      </c>
      <c r="J108" s="9" t="s">
        <v>287</v>
      </c>
      <c r="K108" s="12" t="str">
        <f>trimtext(SplitText($J108,",",0))</f>
        <v>F19</v>
      </c>
      <c r="L108" s="12" t="str">
        <f>IF(SplitText($J108,",",COLUMN(L:L)-COLUMN($K:$K))="",$K108,trimtext(SplitText($J108,",",COLUMN(L:L)-COLUMN($K:$K))))</f>
        <v>F19</v>
      </c>
      <c r="M108" s="12" t="str">
        <f>IF(SplitText($J108,",",COLUMN(M:M)-COLUMN($K:$K))="",$K108,trimtext(SplitText($J108,",",COLUMN(M:M)-COLUMN($K:$K))))</f>
        <v>F19</v>
      </c>
      <c r="N108" s="12" t="str">
        <f>IF(SplitText($J108,",",COLUMN(N:N)-COLUMN($K:$K))="",$K108,trimtext(SplitText($J108,",",COLUMN(N:N)-COLUMN($K:$K))))</f>
        <v>F19</v>
      </c>
      <c r="O108" s="12" t="str">
        <f>IF(SplitText($J108,",",COLUMN(O:O)-COLUMN($K:$K))="",$K108,trimtext(SplitText($J108,",",COLUMN(O:O)-COLUMN($K:$K))))</f>
        <v>F19</v>
      </c>
      <c r="P108" s="12" t="str">
        <f>IF(SplitText($J108,",",COLUMN(P:P)-COLUMN($K:$K))="",$K108,trimtext(SplitText($J108,",",COLUMN(P:P)-COLUMN($K:$K))))</f>
        <v>F19</v>
      </c>
      <c r="Q108" s="12" t="str">
        <f>IF(SplitText($J108,",",COLUMN(Q:Q)-COLUMN($K:$K))="",$K108,trimtext(SplitText($J108,",",COLUMN(Q:Q)-COLUMN($K:$K))))</f>
        <v>F19</v>
      </c>
      <c r="R108" s="2" t="s">
        <v>448</v>
      </c>
      <c r="S108" s="12" t="str">
        <f>trimtext(SplitText($R108,",",0))</f>
        <v>_none_</v>
      </c>
      <c r="T108" s="12" t="str">
        <f>IF(SplitText($R108,",",COLUMN(T:T)-COLUMN($S:$S))="",$S108,trimtext(SplitText($R108,",",COLUMN(T:T)-COLUMN($S:$S))))</f>
        <v>DBE_ALPHANUMERIC</v>
      </c>
      <c r="U108" s="12" t="str">
        <f>IF(SplitText($R108,",",COLUMN(U:U)-COLUMN($S:$S))="",$S108,trimtext(SplitText($R108,",",COLUMN(U:U)-COLUMN($S:$S))))</f>
        <v>F19</v>
      </c>
      <c r="V108" s="2" t="s">
        <v>607</v>
      </c>
      <c r="W108" s="12" t="str">
        <f>trimtext(SplitText($V108,",",0))</f>
        <v>_none_</v>
      </c>
      <c r="X108" s="12" t="str">
        <f>IF(SplitText($V108,",",COLUMN(X:X)-COLUMN($W:$W))="",$W108,trimtext(SplitText($V108,",",COLUMN(X:X)-COLUMN($W:$W))))</f>
        <v>_none_</v>
      </c>
      <c r="Y108" s="12" t="str">
        <f>IF(SplitText($V108,",",COLUMN(Y:Y)-COLUMN($W:$W))="",$W108,trimtext(SplitText($V108,",",COLUMN(Y:Y)-COLUMN($W:$W))))</f>
        <v>F19</v>
      </c>
      <c r="Z108" s="2" t="s">
        <v>729</v>
      </c>
      <c r="AA108" s="12" t="str">
        <f t="shared" si="9"/>
        <v>F9</v>
      </c>
      <c r="AB108" s="2" t="s">
        <v>743</v>
      </c>
      <c r="AC108" s="12" t="str">
        <f>trimtext(SplitText($AB108,",",0))</f>
        <v>_none_</v>
      </c>
      <c r="AD108" s="12" t="str">
        <f>IF(SplitText($AB108,",",COLUMN(AD:AD)-COLUMN($AC:$AC))="",$AC108,trimtext(SplitText($AB108,",",COLUMN(AD:AD)-COLUMN($AC:$AC))))</f>
        <v>_none_</v>
      </c>
      <c r="AE108" s="18" t="str">
        <f t="shared" si="10"/>
        <v>&lt;xs:enumeration value="T6A"&gt;&lt;xs:annotation&gt;&lt;xs:documentation&gt;Typically F19 for keyboard type 4, different values for different keyboard types&lt;/xs:documentation&gt;&lt;xs:appinfo&gt;&lt;default-vk&gt;</v>
      </c>
      <c r="AF108" s="15" t="str">
        <f>IF(D108&lt;&gt;"","&lt;vk kbd="""&amp;D$1&amp;""" vk="""&amp;D108&amp;""""&amp;IF(Scan2VKFlags!B108&lt;&gt;""," flags="""&amp;Scan2VKFlags!B108&amp;"""","")&amp;"/&gt;","")</f>
        <v>&lt;vk kbd="1" vk="F19"/&gt;</v>
      </c>
      <c r="AG108" s="15" t="str">
        <f>IF(E108&lt;&gt;"","&lt;vk kbd="""&amp;E$1&amp;""" vk="""&amp;E108&amp;""""&amp;IF(Scan2VKFlags!C108&lt;&gt;""," flags="""&amp;Scan2VKFlags!C108&amp;"""","")&amp;"/&gt;","")</f>
        <v>&lt;vk kbd="2" vk="F19"/&gt;</v>
      </c>
      <c r="AH108" s="15" t="str">
        <f>IF(F108&lt;&gt;"","&lt;vk kbd="""&amp;F$1&amp;""" vk="""&amp;F108&amp;""""&amp;IF(Scan2VKFlags!D108&lt;&gt;""," flags="""&amp;Scan2VKFlags!D108&amp;"""","")&amp;"/&gt;","")</f>
        <v>&lt;vk kbd="3" vk="F19"/&gt;</v>
      </c>
      <c r="AI108" s="15" t="str">
        <f>IF(G108&lt;&gt;"","&lt;vk kbd="""&amp;G$1&amp;""" vk="""&amp;G108&amp;""""&amp;IF(Scan2VKFlags!E108&lt;&gt;""," flags="""&amp;Scan2VKFlags!E108&amp;"""","")&amp;"/&gt;","")</f>
        <v>&lt;vk kbd="4" vk="F19"/&gt;</v>
      </c>
      <c r="AJ108" s="15" t="str">
        <f>IF(H108&lt;&gt;"","&lt;vk kbd="""&amp;H$1&amp;""" vk="""&amp;H108&amp;""""&amp;IF(Scan2VKFlags!F108&lt;&gt;""," flags="""&amp;Scan2VKFlags!F108&amp;"""","")&amp;"/&gt;","")</f>
        <v>&lt;vk kbd="5" vk="F19"/&gt;</v>
      </c>
      <c r="AK108" s="16" t="str">
        <f>IF(I108&lt;&gt;"","&lt;vk kbd="""&amp;I$1&amp;""" vk="""&amp;I108&amp;""""&amp;IF(Scan2VKFlags!G108&lt;&gt;""," flags="""&amp;Scan2VKFlags!G108&amp;"""","")&amp;"/&gt;","")</f>
        <v>&lt;vk kbd="6" vk="F19"/&gt;</v>
      </c>
      <c r="AL108" s="3" t="str">
        <f>IF(K108&lt;&gt;"","&lt;vk kbd="""&amp;K$1&amp;""" vk="""&amp;K108&amp;""""&amp;IF(Scan2VKFlags!H108&lt;&gt;""," flags="""&amp;Scan2VKFlags!H108&amp;"""","")&amp;"/&gt;","")</f>
        <v>&lt;vk kbd="7" vk="F19"/&gt;</v>
      </c>
      <c r="AM108" t="str">
        <f>IF(L108&lt;&gt;"","&lt;vk kbd="""&amp;L$1&amp;""" vk="""&amp;L108&amp;""""&amp;IF(Scan2VKFlags!I108&lt;&gt;""," flags="""&amp;Scan2VKFlags!I108&amp;"""","")&amp;"/&gt;","")</f>
        <v>&lt;vk kbd="8" vk="F19"/&gt;</v>
      </c>
      <c r="AN108" t="str">
        <f>IF(M108&lt;&gt;"","&lt;vk kbd="""&amp;M$1&amp;""" vk="""&amp;M108&amp;""""&amp;IF(Scan2VKFlags!J108&lt;&gt;""," flags="""&amp;Scan2VKFlags!J108&amp;"""","")&amp;"/&gt;","")</f>
        <v>&lt;vk kbd="16" vk="F19"/&gt;</v>
      </c>
      <c r="AO108" t="str">
        <f>IF(N108&lt;&gt;"","&lt;vk kbd="""&amp;N$1&amp;""" vk="""&amp;N108&amp;""""&amp;IF(Scan2VKFlags!K108&lt;&gt;""," flags="""&amp;Scan2VKFlags!K108&amp;"""","")&amp;"/&gt;","")</f>
        <v>&lt;vk kbd="10" vk="F19"/&gt;</v>
      </c>
      <c r="AP108" t="str">
        <f>IF(O108&lt;&gt;"","&lt;vk kbd="""&amp;O$1&amp;""" vk="""&amp;O108&amp;""""&amp;IF(Scan2VKFlags!L108&lt;&gt;""," flags="""&amp;Scan2VKFlags!L108&amp;"""","")&amp;"/&gt;","")</f>
        <v>&lt;vk kbd="11" vk="F19"/&gt;</v>
      </c>
      <c r="AQ108" t="str">
        <f>IF(P108&lt;&gt;"","&lt;vk kbd="""&amp;P$1&amp;""" vk="""&amp;P108&amp;""""&amp;IF(Scan2VKFlags!M108&lt;&gt;""," flags="""&amp;Scan2VKFlags!M108&amp;"""","")&amp;"/&gt;","")</f>
        <v>&lt;vk kbd="12" vk="F19"/&gt;</v>
      </c>
      <c r="AR108" s="16" t="str">
        <f>IF(Q108&lt;&gt;"","&lt;vk kbd="""&amp;Q$1&amp;""" vk="""&amp;Q108&amp;""""&amp;IF(Scan2VKFlags!N108&lt;&gt;""," flags="""&amp;Scan2VKFlags!N108&amp;"""","")&amp;"/&gt;","")</f>
        <v>&lt;vk kbd="13" vk="F19"/&gt;</v>
      </c>
      <c r="AS108" s="3" t="str">
        <f>IF(S108&lt;&gt;"","&lt;vk kbd="""&amp;S$1&amp;""" vk="""&amp;S108&amp;""""&amp;IF(Scan2VKFlags!O108&lt;&gt;""," flags="""&amp;Scan2VKFlags!O108&amp;"""","")&amp;"/&gt;","")</f>
        <v>&lt;vk kbd="20" vk="_none_"/&gt;</v>
      </c>
      <c r="AT108" t="str">
        <f>IF(T108&lt;&gt;"","&lt;vk kbd="""&amp;T$1&amp;""" vk="""&amp;T108&amp;""""&amp;IF(Scan2VKFlags!P108&lt;&gt;""," flags="""&amp;Scan2VKFlags!P108&amp;"""","")&amp;"/&gt;","")</f>
        <v>&lt;vk kbd="21" vk="DBE_ALPHANUMERIC"/&gt;</v>
      </c>
      <c r="AU108" s="16" t="str">
        <f>IF(U108&lt;&gt;"","&lt;vk kbd="""&amp;U$1&amp;""" vk="""&amp;U108&amp;""""&amp;IF(Scan2VKFlags!Q108&lt;&gt;""," flags="""&amp;Scan2VKFlags!Q108&amp;"""","")&amp;"/&gt;","")</f>
        <v>&lt;vk kbd="22" vk="F19"/&gt;</v>
      </c>
      <c r="AV108" s="3" t="str">
        <f>IF(W108&lt;&gt;"","&lt;vk kbd="""&amp;W$1&amp;""" vk="""&amp;W108&amp;""""&amp;IF(Scan2VKFlags!R108&lt;&gt;""," flags="""&amp;Scan2VKFlags!R108&amp;"""","")&amp;"/&gt;","")</f>
        <v>&lt;vk kbd="30" vk="_none_"/&gt;</v>
      </c>
      <c r="AW108" s="15" t="str">
        <f>IF(X108&lt;&gt;"","&lt;vk kbd="""&amp;X$1&amp;""" vk="""&amp;X108&amp;""""&amp;IF(Scan2VKFlags!S108&lt;&gt;""," flags="""&amp;Scan2VKFlags!S108&amp;"""","")&amp;"/&gt;","")</f>
        <v>&lt;vk kbd="33" vk="_none_"/&gt;</v>
      </c>
      <c r="AX108" s="15" t="str">
        <f>IF(Y108&lt;&gt;"","&lt;vk kbd="""&amp;Y$1&amp;""" vk="""&amp;Y108&amp;""""&amp;IF(Scan2VKFlags!T108&lt;&gt;""," flags="""&amp;Scan2VKFlags!T108&amp;"""","")&amp;"/&gt;","")</f>
        <v>&lt;vk kbd="34" vk="F19"/&gt;</v>
      </c>
      <c r="AY108" s="18" t="str">
        <f>IF(AA108&lt;&gt;"","&lt;vk kbd="""&amp;AA$1&amp;""" vk="""&amp;AA108&amp;""""&amp;IF(Scan2VKFlags!U108&lt;&gt;""," flags="""&amp;Scan2VKFlags!U108&amp;"""","")&amp;"/&gt;","")</f>
        <v>&lt;vk kbd="37" vk="F9"/&gt;</v>
      </c>
      <c r="AZ108" s="3" t="str">
        <f>IF(AC108&lt;&gt;"","&lt;vk kbd="""&amp;AC$1&amp;""" vk="""&amp;AC108&amp;""""&amp;IF(Scan2VKFlags!V108&lt;&gt;""," flags="""&amp;Scan2VKFlags!V108&amp;"""","")&amp;"/&gt;","")</f>
        <v>&lt;vk kbd="40" vk="_none_"/&gt;</v>
      </c>
      <c r="BA108" s="16" t="str">
        <f>IF(AD108&lt;&gt;"","&lt;vk kbd="""&amp;AD$1&amp;""" vk="""&amp;AD108&amp;""""&amp;IF(Scan2VKFlags!W108&lt;&gt;""," flags="""&amp;Scan2VKFlags!W108&amp;"""","")&amp;"/&gt;","")</f>
        <v>&lt;vk kbd="41" vk="_none_"/&gt;</v>
      </c>
      <c r="BB108" t="s">
        <v>854</v>
      </c>
    </row>
    <row r="109" spans="1:54" x14ac:dyDescent="0.25">
      <c r="A109">
        <f t="shared" si="11"/>
        <v>107</v>
      </c>
      <c r="B109" t="str">
        <f t="shared" si="8"/>
        <v>T6B</v>
      </c>
      <c r="C109" s="7" t="s">
        <v>103</v>
      </c>
      <c r="D109" s="12" t="str">
        <f>trimtext(SplitText($C109,",",0))</f>
        <v>F20</v>
      </c>
      <c r="E109" s="12" t="str">
        <f>IF(SplitText($C109,",",COLUMN(E:E)-COLUMN($D:$D))="",$D109,trimtext(SplitText($C109,",",COLUMN(E:E)-COLUMN($D:$D))))</f>
        <v>F20</v>
      </c>
      <c r="F109" s="12" t="str">
        <f>IF(SplitText($C109,",",COLUMN(F:F)-COLUMN($D:$D))="",$D109,trimtext(SplitText($C109,",",COLUMN(F:F)-COLUMN($D:$D))))</f>
        <v>F20</v>
      </c>
      <c r="G109" s="12" t="str">
        <f>IF(SplitText($C109,",",COLUMN(G:G)-COLUMN($D:$D))="",$D109,trimtext(SplitText($C109,",",COLUMN(G:G)-COLUMN($D:$D))))</f>
        <v>F20</v>
      </c>
      <c r="H109" s="12" t="str">
        <f>IF(SplitText($C109,",",COLUMN(H:H)-COLUMN($D:$D))="",$D109,trimtext(SplitText($C109,",",COLUMN(H:H)-COLUMN($D:$D))))</f>
        <v>F20</v>
      </c>
      <c r="I109" s="12" t="str">
        <f>IF(SplitText($C109,",",COLUMN(I:I)-COLUMN($D:$D))="",$D109,trimtext(SplitText($C109,",",COLUMN(I:I)-COLUMN($D:$D))))</f>
        <v>F20</v>
      </c>
      <c r="J109" s="9" t="s">
        <v>288</v>
      </c>
      <c r="K109" s="12" t="str">
        <f>trimtext(SplitText($J109,",",0))</f>
        <v>F20</v>
      </c>
      <c r="L109" s="12" t="str">
        <f>IF(SplitText($J109,",",COLUMN(L:L)-COLUMN($K:$K))="",$K109,trimtext(SplitText($J109,",",COLUMN(L:L)-COLUMN($K:$K))))</f>
        <v>F20</v>
      </c>
      <c r="M109" s="12" t="str">
        <f>IF(SplitText($J109,",",COLUMN(M:M)-COLUMN($K:$K))="",$K109,trimtext(SplitText($J109,",",COLUMN(M:M)-COLUMN($K:$K))))</f>
        <v>F20</v>
      </c>
      <c r="N109" s="12" t="str">
        <f>IF(SplitText($J109,",",COLUMN(N:N)-COLUMN($K:$K))="",$K109,trimtext(SplitText($J109,",",COLUMN(N:N)-COLUMN($K:$K))))</f>
        <v>F20</v>
      </c>
      <c r="O109" s="12" t="str">
        <f>IF(SplitText($J109,",",COLUMN(O:O)-COLUMN($K:$K))="",$K109,trimtext(SplitText($J109,",",COLUMN(O:O)-COLUMN($K:$K))))</f>
        <v>F20</v>
      </c>
      <c r="P109" s="12" t="str">
        <f>IF(SplitText($J109,",",COLUMN(P:P)-COLUMN($K:$K))="",$K109,trimtext(SplitText($J109,",",COLUMN(P:P)-COLUMN($K:$K))))</f>
        <v>F20</v>
      </c>
      <c r="Q109" s="12" t="str">
        <f>IF(SplitText($J109,",",COLUMN(Q:Q)-COLUMN($K:$K))="",$K109,trimtext(SplitText($J109,",",COLUMN(Q:Q)-COLUMN($K:$K))))</f>
        <v>F20</v>
      </c>
      <c r="R109" s="2" t="s">
        <v>449</v>
      </c>
      <c r="S109" s="12" t="str">
        <f>trimtext(SplitText($R109,",",0))</f>
        <v>OEM_JISHO</v>
      </c>
      <c r="T109" s="12" t="str">
        <f>IF(SplitText($R109,",",COLUMN(T:T)-COLUMN($S:$S))="",$S109,trimtext(SplitText($R109,",",COLUMN(T:T)-COLUMN($S:$S))))</f>
        <v>OEM_JISHO</v>
      </c>
      <c r="U109" s="12" t="str">
        <f>IF(SplitText($R109,",",COLUMN(U:U)-COLUMN($S:$S))="",$S109,trimtext(SplitText($R109,",",COLUMN(U:U)-COLUMN($S:$S))))</f>
        <v>F20</v>
      </c>
      <c r="V109" s="2" t="s">
        <v>608</v>
      </c>
      <c r="W109" s="12" t="str">
        <f>trimtext(SplitText($V109,",",0))</f>
        <v>_none_</v>
      </c>
      <c r="X109" s="12" t="str">
        <f>IF(SplitText($V109,",",COLUMN(X:X)-COLUMN($W:$W))="",$W109,trimtext(SplitText($V109,",",COLUMN(X:X)-COLUMN($W:$W))))</f>
        <v>_none_</v>
      </c>
      <c r="Y109" s="12" t="str">
        <f>IF(SplitText($V109,",",COLUMN(Y:Y)-COLUMN($W:$W))="",$W109,trimtext(SplitText($V109,",",COLUMN(Y:Y)-COLUMN($W:$W))))</f>
        <v>F20</v>
      </c>
      <c r="Z109" s="2" t="s">
        <v>730</v>
      </c>
      <c r="AA109" s="12" t="str">
        <f t="shared" si="9"/>
        <v>F10</v>
      </c>
      <c r="AB109" s="2" t="s">
        <v>743</v>
      </c>
      <c r="AC109" s="12" t="str">
        <f>trimtext(SplitText($AB109,",",0))</f>
        <v>_none_</v>
      </c>
      <c r="AD109" s="12" t="str">
        <f>IF(SplitText($AB109,",",COLUMN(AD:AD)-COLUMN($AC:$AC))="",$AC109,trimtext(SplitText($AB109,",",COLUMN(AD:AD)-COLUMN($AC:$AC))))</f>
        <v>_none_</v>
      </c>
      <c r="AE109" s="18" t="str">
        <f t="shared" si="10"/>
        <v>&lt;xs:enumeration value="T6B"&gt;&lt;xs:annotation&gt;&lt;xs:documentation&gt;Typically F20 for keyboard type 4, different values for different keyboard types&lt;/xs:documentation&gt;&lt;xs:appinfo&gt;&lt;default-vk&gt;</v>
      </c>
      <c r="AF109" s="15" t="str">
        <f>IF(D109&lt;&gt;"","&lt;vk kbd="""&amp;D$1&amp;""" vk="""&amp;D109&amp;""""&amp;IF(Scan2VKFlags!B109&lt;&gt;""," flags="""&amp;Scan2VKFlags!B109&amp;"""","")&amp;"/&gt;","")</f>
        <v>&lt;vk kbd="1" vk="F20"/&gt;</v>
      </c>
      <c r="AG109" s="15" t="str">
        <f>IF(E109&lt;&gt;"","&lt;vk kbd="""&amp;E$1&amp;""" vk="""&amp;E109&amp;""""&amp;IF(Scan2VKFlags!C109&lt;&gt;""," flags="""&amp;Scan2VKFlags!C109&amp;"""","")&amp;"/&gt;","")</f>
        <v>&lt;vk kbd="2" vk="F20"/&gt;</v>
      </c>
      <c r="AH109" s="15" t="str">
        <f>IF(F109&lt;&gt;"","&lt;vk kbd="""&amp;F$1&amp;""" vk="""&amp;F109&amp;""""&amp;IF(Scan2VKFlags!D109&lt;&gt;""," flags="""&amp;Scan2VKFlags!D109&amp;"""","")&amp;"/&gt;","")</f>
        <v>&lt;vk kbd="3" vk="F20"/&gt;</v>
      </c>
      <c r="AI109" s="15" t="str">
        <f>IF(G109&lt;&gt;"","&lt;vk kbd="""&amp;G$1&amp;""" vk="""&amp;G109&amp;""""&amp;IF(Scan2VKFlags!E109&lt;&gt;""," flags="""&amp;Scan2VKFlags!E109&amp;"""","")&amp;"/&gt;","")</f>
        <v>&lt;vk kbd="4" vk="F20"/&gt;</v>
      </c>
      <c r="AJ109" s="15" t="str">
        <f>IF(H109&lt;&gt;"","&lt;vk kbd="""&amp;H$1&amp;""" vk="""&amp;H109&amp;""""&amp;IF(Scan2VKFlags!F109&lt;&gt;""," flags="""&amp;Scan2VKFlags!F109&amp;"""","")&amp;"/&gt;","")</f>
        <v>&lt;vk kbd="5" vk="F20"/&gt;</v>
      </c>
      <c r="AK109" s="16" t="str">
        <f>IF(I109&lt;&gt;"","&lt;vk kbd="""&amp;I$1&amp;""" vk="""&amp;I109&amp;""""&amp;IF(Scan2VKFlags!G109&lt;&gt;""," flags="""&amp;Scan2VKFlags!G109&amp;"""","")&amp;"/&gt;","")</f>
        <v>&lt;vk kbd="6" vk="F20"/&gt;</v>
      </c>
      <c r="AL109" s="3" t="str">
        <f>IF(K109&lt;&gt;"","&lt;vk kbd="""&amp;K$1&amp;""" vk="""&amp;K109&amp;""""&amp;IF(Scan2VKFlags!H109&lt;&gt;""," flags="""&amp;Scan2VKFlags!H109&amp;"""","")&amp;"/&gt;","")</f>
        <v>&lt;vk kbd="7" vk="F20"/&gt;</v>
      </c>
      <c r="AM109" t="str">
        <f>IF(L109&lt;&gt;"","&lt;vk kbd="""&amp;L$1&amp;""" vk="""&amp;L109&amp;""""&amp;IF(Scan2VKFlags!I109&lt;&gt;""," flags="""&amp;Scan2VKFlags!I109&amp;"""","")&amp;"/&gt;","")</f>
        <v>&lt;vk kbd="8" vk="F20"/&gt;</v>
      </c>
      <c r="AN109" t="str">
        <f>IF(M109&lt;&gt;"","&lt;vk kbd="""&amp;M$1&amp;""" vk="""&amp;M109&amp;""""&amp;IF(Scan2VKFlags!J109&lt;&gt;""," flags="""&amp;Scan2VKFlags!J109&amp;"""","")&amp;"/&gt;","")</f>
        <v>&lt;vk kbd="16" vk="F20"/&gt;</v>
      </c>
      <c r="AO109" t="str">
        <f>IF(N109&lt;&gt;"","&lt;vk kbd="""&amp;N$1&amp;""" vk="""&amp;N109&amp;""""&amp;IF(Scan2VKFlags!K109&lt;&gt;""," flags="""&amp;Scan2VKFlags!K109&amp;"""","")&amp;"/&gt;","")</f>
        <v>&lt;vk kbd="10" vk="F20"/&gt;</v>
      </c>
      <c r="AP109" t="str">
        <f>IF(O109&lt;&gt;"","&lt;vk kbd="""&amp;O$1&amp;""" vk="""&amp;O109&amp;""""&amp;IF(Scan2VKFlags!L109&lt;&gt;""," flags="""&amp;Scan2VKFlags!L109&amp;"""","")&amp;"/&gt;","")</f>
        <v>&lt;vk kbd="11" vk="F20"/&gt;</v>
      </c>
      <c r="AQ109" t="str">
        <f>IF(P109&lt;&gt;"","&lt;vk kbd="""&amp;P$1&amp;""" vk="""&amp;P109&amp;""""&amp;IF(Scan2VKFlags!M109&lt;&gt;""," flags="""&amp;Scan2VKFlags!M109&amp;"""","")&amp;"/&gt;","")</f>
        <v>&lt;vk kbd="12" vk="F20"/&gt;</v>
      </c>
      <c r="AR109" s="16" t="str">
        <f>IF(Q109&lt;&gt;"","&lt;vk kbd="""&amp;Q$1&amp;""" vk="""&amp;Q109&amp;""""&amp;IF(Scan2VKFlags!N109&lt;&gt;""," flags="""&amp;Scan2VKFlags!N109&amp;"""","")&amp;"/&gt;","")</f>
        <v>&lt;vk kbd="13" vk="F20"/&gt;</v>
      </c>
      <c r="AS109" s="3" t="str">
        <f>IF(S109&lt;&gt;"","&lt;vk kbd="""&amp;S$1&amp;""" vk="""&amp;S109&amp;""""&amp;IF(Scan2VKFlags!O109&lt;&gt;""," flags="""&amp;Scan2VKFlags!O109&amp;"""","")&amp;"/&gt;","")</f>
        <v>&lt;vk kbd="20" vk="OEM_JISHO"/&gt;</v>
      </c>
      <c r="AT109" t="str">
        <f>IF(T109&lt;&gt;"","&lt;vk kbd="""&amp;T$1&amp;""" vk="""&amp;T109&amp;""""&amp;IF(Scan2VKFlags!P109&lt;&gt;""," flags="""&amp;Scan2VKFlags!P109&amp;"""","")&amp;"/&gt;","")</f>
        <v>&lt;vk kbd="21" vk="OEM_JISHO"/&gt;</v>
      </c>
      <c r="AU109" s="16" t="str">
        <f>IF(U109&lt;&gt;"","&lt;vk kbd="""&amp;U$1&amp;""" vk="""&amp;U109&amp;""""&amp;IF(Scan2VKFlags!Q109&lt;&gt;""," flags="""&amp;Scan2VKFlags!Q109&amp;"""","")&amp;"/&gt;","")</f>
        <v>&lt;vk kbd="22" vk="F20"/&gt;</v>
      </c>
      <c r="AV109" s="3" t="str">
        <f>IF(W109&lt;&gt;"","&lt;vk kbd="""&amp;W$1&amp;""" vk="""&amp;W109&amp;""""&amp;IF(Scan2VKFlags!R109&lt;&gt;""," flags="""&amp;Scan2VKFlags!R109&amp;"""","")&amp;"/&gt;","")</f>
        <v>&lt;vk kbd="30" vk="_none_"/&gt;</v>
      </c>
      <c r="AW109" s="15" t="str">
        <f>IF(X109&lt;&gt;"","&lt;vk kbd="""&amp;X$1&amp;""" vk="""&amp;X109&amp;""""&amp;IF(Scan2VKFlags!S109&lt;&gt;""," flags="""&amp;Scan2VKFlags!S109&amp;"""","")&amp;"/&gt;","")</f>
        <v>&lt;vk kbd="33" vk="_none_"/&gt;</v>
      </c>
      <c r="AX109" s="15" t="str">
        <f>IF(Y109&lt;&gt;"","&lt;vk kbd="""&amp;Y$1&amp;""" vk="""&amp;Y109&amp;""""&amp;IF(Scan2VKFlags!T109&lt;&gt;""," flags="""&amp;Scan2VKFlags!T109&amp;"""","")&amp;"/&gt;","")</f>
        <v>&lt;vk kbd="34" vk="F20"/&gt;</v>
      </c>
      <c r="AY109" s="18" t="str">
        <f>IF(AA109&lt;&gt;"","&lt;vk kbd="""&amp;AA$1&amp;""" vk="""&amp;AA109&amp;""""&amp;IF(Scan2VKFlags!U109&lt;&gt;""," flags="""&amp;Scan2VKFlags!U109&amp;"""","")&amp;"/&gt;","")</f>
        <v>&lt;vk kbd="37" vk="F10"/&gt;</v>
      </c>
      <c r="AZ109" s="3" t="str">
        <f>IF(AC109&lt;&gt;"","&lt;vk kbd="""&amp;AC$1&amp;""" vk="""&amp;AC109&amp;""""&amp;IF(Scan2VKFlags!V109&lt;&gt;""," flags="""&amp;Scan2VKFlags!V109&amp;"""","")&amp;"/&gt;","")</f>
        <v>&lt;vk kbd="40" vk="_none_"/&gt;</v>
      </c>
      <c r="BA109" s="16" t="str">
        <f>IF(AD109&lt;&gt;"","&lt;vk kbd="""&amp;AD$1&amp;""" vk="""&amp;AD109&amp;""""&amp;IF(Scan2VKFlags!W109&lt;&gt;""," flags="""&amp;Scan2VKFlags!W109&amp;"""","")&amp;"/&gt;","")</f>
        <v>&lt;vk kbd="41" vk="_none_"/&gt;</v>
      </c>
      <c r="BB109" t="s">
        <v>854</v>
      </c>
    </row>
    <row r="110" spans="1:54" x14ac:dyDescent="0.25">
      <c r="A110">
        <f t="shared" si="11"/>
        <v>108</v>
      </c>
      <c r="B110" t="str">
        <f t="shared" si="8"/>
        <v>T6C</v>
      </c>
      <c r="C110" s="7" t="s">
        <v>104</v>
      </c>
      <c r="D110" s="12" t="str">
        <f>trimtext(SplitText($C110,",",0))</f>
        <v>F21</v>
      </c>
      <c r="E110" s="12" t="str">
        <f>IF(SplitText($C110,",",COLUMN(E:E)-COLUMN($D:$D))="",$D110,trimtext(SplitText($C110,",",COLUMN(E:E)-COLUMN($D:$D))))</f>
        <v>F21</v>
      </c>
      <c r="F110" s="12" t="str">
        <f>IF(SplitText($C110,",",COLUMN(F:F)-COLUMN($D:$D))="",$D110,trimtext(SplitText($C110,",",COLUMN(F:F)-COLUMN($D:$D))))</f>
        <v>F21</v>
      </c>
      <c r="G110" s="12" t="str">
        <f>IF(SplitText($C110,",",COLUMN(G:G)-COLUMN($D:$D))="",$D110,trimtext(SplitText($C110,",",COLUMN(G:G)-COLUMN($D:$D))))</f>
        <v>F21</v>
      </c>
      <c r="H110" s="12" t="str">
        <f>IF(SplitText($C110,",",COLUMN(H:H)-COLUMN($D:$D))="",$D110,trimtext(SplitText($C110,",",COLUMN(H:H)-COLUMN($D:$D))))</f>
        <v>F21</v>
      </c>
      <c r="I110" s="12" t="str">
        <f>IF(SplitText($C110,",",COLUMN(I:I)-COLUMN($D:$D))="",$D110,trimtext(SplitText($C110,",",COLUMN(I:I)-COLUMN($D:$D))))</f>
        <v>F21</v>
      </c>
      <c r="J110" s="9" t="s">
        <v>289</v>
      </c>
      <c r="K110" s="12" t="str">
        <f>trimtext(SplitText($J110,",",0))</f>
        <v>F21</v>
      </c>
      <c r="L110" s="12" t="str">
        <f>IF(SplitText($J110,",",COLUMN(L:L)-COLUMN($K:$K))="",$K110,trimtext(SplitText($J110,",",COLUMN(L:L)-COLUMN($K:$K))))</f>
        <v>F21</v>
      </c>
      <c r="M110" s="12" t="str">
        <f>IF(SplitText($J110,",",COLUMN(M:M)-COLUMN($K:$K))="",$K110,trimtext(SplitText($J110,",",COLUMN(M:M)-COLUMN($K:$K))))</f>
        <v>F21</v>
      </c>
      <c r="N110" s="12" t="str">
        <f>IF(SplitText($J110,",",COLUMN(N:N)-COLUMN($K:$K))="",$K110,trimtext(SplitText($J110,",",COLUMN(N:N)-COLUMN($K:$K))))</f>
        <v>F21</v>
      </c>
      <c r="O110" s="12" t="str">
        <f>IF(SplitText($J110,",",COLUMN(O:O)-COLUMN($K:$K))="",$K110,trimtext(SplitText($J110,",",COLUMN(O:O)-COLUMN($K:$K))))</f>
        <v>F21</v>
      </c>
      <c r="P110" s="12" t="str">
        <f>IF(SplitText($J110,",",COLUMN(P:P)-COLUMN($K:$K))="",$K110,trimtext(SplitText($J110,",",COLUMN(P:P)-COLUMN($K:$K))))</f>
        <v>F21</v>
      </c>
      <c r="Q110" s="12" t="str">
        <f>IF(SplitText($J110,",",COLUMN(Q:Q)-COLUMN($K:$K))="",$K110,trimtext(SplitText($J110,",",COLUMN(Q:Q)-COLUMN($K:$K))))</f>
        <v>F21</v>
      </c>
      <c r="R110" s="2" t="s">
        <v>450</v>
      </c>
      <c r="S110" s="12" t="str">
        <f>trimtext(SplitText($R110,",",0))</f>
        <v>OEM_MASSHOU</v>
      </c>
      <c r="T110" s="12" t="str">
        <f>IF(SplitText($R110,",",COLUMN(T:T)-COLUMN($S:$S))="",$S110,trimtext(SplitText($R110,",",COLUMN(T:T)-COLUMN($S:$S))))</f>
        <v>OEM_MASSHOU</v>
      </c>
      <c r="U110" s="12" t="str">
        <f>IF(SplitText($R110,",",COLUMN(U:U)-COLUMN($S:$S))="",$S110,trimtext(SplitText($R110,",",COLUMN(U:U)-COLUMN($S:$S))))</f>
        <v>F21</v>
      </c>
      <c r="V110" s="2" t="s">
        <v>609</v>
      </c>
      <c r="W110" s="12" t="str">
        <f>trimtext(SplitText($V110,",",0))</f>
        <v>_none_</v>
      </c>
      <c r="X110" s="12" t="str">
        <f>IF(SplitText($V110,",",COLUMN(X:X)-COLUMN($W:$W))="",$W110,trimtext(SplitText($V110,",",COLUMN(X:X)-COLUMN($W:$W))))</f>
        <v>_none_</v>
      </c>
      <c r="Y110" s="12" t="str">
        <f>IF(SplitText($V110,",",COLUMN(Y:Y)-COLUMN($W:$W))="",$W110,trimtext(SplitText($V110,",",COLUMN(Y:Y)-COLUMN($W:$W))))</f>
        <v>F21</v>
      </c>
      <c r="Z110" s="2" t="s">
        <v>718</v>
      </c>
      <c r="AA110" s="12" t="str">
        <f t="shared" si="9"/>
        <v>_none_</v>
      </c>
      <c r="AB110" s="2" t="s">
        <v>743</v>
      </c>
      <c r="AC110" s="12" t="str">
        <f>trimtext(SplitText($AB110,",",0))</f>
        <v>_none_</v>
      </c>
      <c r="AD110" s="12" t="str">
        <f>IF(SplitText($AB110,",",COLUMN(AD:AD)-COLUMN($AC:$AC))="",$AC110,trimtext(SplitText($AB110,",",COLUMN(AD:AD)-COLUMN($AC:$AC))))</f>
        <v>_none_</v>
      </c>
      <c r="AE110" s="18" t="str">
        <f t="shared" si="10"/>
        <v>&lt;xs:enumeration value="T6C"&gt;&lt;xs:annotation&gt;&lt;xs:documentation&gt;Typically F21 for keyboard type 4, different values for different keyboard types&lt;/xs:documentation&gt;&lt;xs:appinfo&gt;&lt;default-vk&gt;</v>
      </c>
      <c r="AF110" s="15" t="str">
        <f>IF(D110&lt;&gt;"","&lt;vk kbd="""&amp;D$1&amp;""" vk="""&amp;D110&amp;""""&amp;IF(Scan2VKFlags!B110&lt;&gt;""," flags="""&amp;Scan2VKFlags!B110&amp;"""","")&amp;"/&gt;","")</f>
        <v>&lt;vk kbd="1" vk="F21"/&gt;</v>
      </c>
      <c r="AG110" s="15" t="str">
        <f>IF(E110&lt;&gt;"","&lt;vk kbd="""&amp;E$1&amp;""" vk="""&amp;E110&amp;""""&amp;IF(Scan2VKFlags!C110&lt;&gt;""," flags="""&amp;Scan2VKFlags!C110&amp;"""","")&amp;"/&gt;","")</f>
        <v>&lt;vk kbd="2" vk="F21"/&gt;</v>
      </c>
      <c r="AH110" s="15" t="str">
        <f>IF(F110&lt;&gt;"","&lt;vk kbd="""&amp;F$1&amp;""" vk="""&amp;F110&amp;""""&amp;IF(Scan2VKFlags!D110&lt;&gt;""," flags="""&amp;Scan2VKFlags!D110&amp;"""","")&amp;"/&gt;","")</f>
        <v>&lt;vk kbd="3" vk="F21"/&gt;</v>
      </c>
      <c r="AI110" s="15" t="str">
        <f>IF(G110&lt;&gt;"","&lt;vk kbd="""&amp;G$1&amp;""" vk="""&amp;G110&amp;""""&amp;IF(Scan2VKFlags!E110&lt;&gt;""," flags="""&amp;Scan2VKFlags!E110&amp;"""","")&amp;"/&gt;","")</f>
        <v>&lt;vk kbd="4" vk="F21"/&gt;</v>
      </c>
      <c r="AJ110" s="15" t="str">
        <f>IF(H110&lt;&gt;"","&lt;vk kbd="""&amp;H$1&amp;""" vk="""&amp;H110&amp;""""&amp;IF(Scan2VKFlags!F110&lt;&gt;""," flags="""&amp;Scan2VKFlags!F110&amp;"""","")&amp;"/&gt;","")</f>
        <v>&lt;vk kbd="5" vk="F21"/&gt;</v>
      </c>
      <c r="AK110" s="16" t="str">
        <f>IF(I110&lt;&gt;"","&lt;vk kbd="""&amp;I$1&amp;""" vk="""&amp;I110&amp;""""&amp;IF(Scan2VKFlags!G110&lt;&gt;""," flags="""&amp;Scan2VKFlags!G110&amp;"""","")&amp;"/&gt;","")</f>
        <v>&lt;vk kbd="6" vk="F21"/&gt;</v>
      </c>
      <c r="AL110" s="3" t="str">
        <f>IF(K110&lt;&gt;"","&lt;vk kbd="""&amp;K$1&amp;""" vk="""&amp;K110&amp;""""&amp;IF(Scan2VKFlags!H110&lt;&gt;""," flags="""&amp;Scan2VKFlags!H110&amp;"""","")&amp;"/&gt;","")</f>
        <v>&lt;vk kbd="7" vk="F21"/&gt;</v>
      </c>
      <c r="AM110" t="str">
        <f>IF(L110&lt;&gt;"","&lt;vk kbd="""&amp;L$1&amp;""" vk="""&amp;L110&amp;""""&amp;IF(Scan2VKFlags!I110&lt;&gt;""," flags="""&amp;Scan2VKFlags!I110&amp;"""","")&amp;"/&gt;","")</f>
        <v>&lt;vk kbd="8" vk="F21"/&gt;</v>
      </c>
      <c r="AN110" t="str">
        <f>IF(M110&lt;&gt;"","&lt;vk kbd="""&amp;M$1&amp;""" vk="""&amp;M110&amp;""""&amp;IF(Scan2VKFlags!J110&lt;&gt;""," flags="""&amp;Scan2VKFlags!J110&amp;"""","")&amp;"/&gt;","")</f>
        <v>&lt;vk kbd="16" vk="F21"/&gt;</v>
      </c>
      <c r="AO110" t="str">
        <f>IF(N110&lt;&gt;"","&lt;vk kbd="""&amp;N$1&amp;""" vk="""&amp;N110&amp;""""&amp;IF(Scan2VKFlags!K110&lt;&gt;""," flags="""&amp;Scan2VKFlags!K110&amp;"""","")&amp;"/&gt;","")</f>
        <v>&lt;vk kbd="10" vk="F21"/&gt;</v>
      </c>
      <c r="AP110" t="str">
        <f>IF(O110&lt;&gt;"","&lt;vk kbd="""&amp;O$1&amp;""" vk="""&amp;O110&amp;""""&amp;IF(Scan2VKFlags!L110&lt;&gt;""," flags="""&amp;Scan2VKFlags!L110&amp;"""","")&amp;"/&gt;","")</f>
        <v>&lt;vk kbd="11" vk="F21"/&gt;</v>
      </c>
      <c r="AQ110" t="str">
        <f>IF(P110&lt;&gt;"","&lt;vk kbd="""&amp;P$1&amp;""" vk="""&amp;P110&amp;""""&amp;IF(Scan2VKFlags!M110&lt;&gt;""," flags="""&amp;Scan2VKFlags!M110&amp;"""","")&amp;"/&gt;","")</f>
        <v>&lt;vk kbd="12" vk="F21"/&gt;</v>
      </c>
      <c r="AR110" s="16" t="str">
        <f>IF(Q110&lt;&gt;"","&lt;vk kbd="""&amp;Q$1&amp;""" vk="""&amp;Q110&amp;""""&amp;IF(Scan2VKFlags!N110&lt;&gt;""," flags="""&amp;Scan2VKFlags!N110&amp;"""","")&amp;"/&gt;","")</f>
        <v>&lt;vk kbd="13" vk="F21"/&gt;</v>
      </c>
      <c r="AS110" s="3" t="str">
        <f>IF(S110&lt;&gt;"","&lt;vk kbd="""&amp;S$1&amp;""" vk="""&amp;S110&amp;""""&amp;IF(Scan2VKFlags!O110&lt;&gt;""," flags="""&amp;Scan2VKFlags!O110&amp;"""","")&amp;"/&gt;","")</f>
        <v>&lt;vk kbd="20" vk="OEM_MASSHOU"/&gt;</v>
      </c>
      <c r="AT110" t="str">
        <f>IF(T110&lt;&gt;"","&lt;vk kbd="""&amp;T$1&amp;""" vk="""&amp;T110&amp;""""&amp;IF(Scan2VKFlags!P110&lt;&gt;""," flags="""&amp;Scan2VKFlags!P110&amp;"""","")&amp;"/&gt;","")</f>
        <v>&lt;vk kbd="21" vk="OEM_MASSHOU"/&gt;</v>
      </c>
      <c r="AU110" s="16" t="str">
        <f>IF(U110&lt;&gt;"","&lt;vk kbd="""&amp;U$1&amp;""" vk="""&amp;U110&amp;""""&amp;IF(Scan2VKFlags!Q110&lt;&gt;""," flags="""&amp;Scan2VKFlags!Q110&amp;"""","")&amp;"/&gt;","")</f>
        <v>&lt;vk kbd="22" vk="F21"/&gt;</v>
      </c>
      <c r="AV110" s="3" t="str">
        <f>IF(W110&lt;&gt;"","&lt;vk kbd="""&amp;W$1&amp;""" vk="""&amp;W110&amp;""""&amp;IF(Scan2VKFlags!R110&lt;&gt;""," flags="""&amp;Scan2VKFlags!R110&amp;"""","")&amp;"/&gt;","")</f>
        <v>&lt;vk kbd="30" vk="_none_"/&gt;</v>
      </c>
      <c r="AW110" s="15" t="str">
        <f>IF(X110&lt;&gt;"","&lt;vk kbd="""&amp;X$1&amp;""" vk="""&amp;X110&amp;""""&amp;IF(Scan2VKFlags!S110&lt;&gt;""," flags="""&amp;Scan2VKFlags!S110&amp;"""","")&amp;"/&gt;","")</f>
        <v>&lt;vk kbd="33" vk="_none_"/&gt;</v>
      </c>
      <c r="AX110" s="15" t="str">
        <f>IF(Y110&lt;&gt;"","&lt;vk kbd="""&amp;Y$1&amp;""" vk="""&amp;Y110&amp;""""&amp;IF(Scan2VKFlags!T110&lt;&gt;""," flags="""&amp;Scan2VKFlags!T110&amp;"""","")&amp;"/&gt;","")</f>
        <v>&lt;vk kbd="34" vk="F21"/&gt;</v>
      </c>
      <c r="AY110" s="18" t="str">
        <f>IF(AA110&lt;&gt;"","&lt;vk kbd="""&amp;AA$1&amp;""" vk="""&amp;AA110&amp;""""&amp;IF(Scan2VKFlags!U110&lt;&gt;""," flags="""&amp;Scan2VKFlags!U110&amp;"""","")&amp;"/&gt;","")</f>
        <v>&lt;vk kbd="37" vk="_none_"/&gt;</v>
      </c>
      <c r="AZ110" s="3" t="str">
        <f>IF(AC110&lt;&gt;"","&lt;vk kbd="""&amp;AC$1&amp;""" vk="""&amp;AC110&amp;""""&amp;IF(Scan2VKFlags!V110&lt;&gt;""," flags="""&amp;Scan2VKFlags!V110&amp;"""","")&amp;"/&gt;","")</f>
        <v>&lt;vk kbd="40" vk="_none_"/&gt;</v>
      </c>
      <c r="BA110" s="16" t="str">
        <f>IF(AD110&lt;&gt;"","&lt;vk kbd="""&amp;AD$1&amp;""" vk="""&amp;AD110&amp;""""&amp;IF(Scan2VKFlags!W110&lt;&gt;""," flags="""&amp;Scan2VKFlags!W110&amp;"""","")&amp;"/&gt;","")</f>
        <v>&lt;vk kbd="41" vk="_none_"/&gt;</v>
      </c>
      <c r="BB110" t="s">
        <v>854</v>
      </c>
    </row>
    <row r="111" spans="1:54" x14ac:dyDescent="0.25">
      <c r="A111">
        <f t="shared" si="11"/>
        <v>109</v>
      </c>
      <c r="B111" t="str">
        <f t="shared" si="8"/>
        <v>T6D</v>
      </c>
      <c r="C111" s="7" t="s">
        <v>105</v>
      </c>
      <c r="D111" s="12" t="str">
        <f>trimtext(SplitText($C111,",",0))</f>
        <v>F22</v>
      </c>
      <c r="E111" s="12" t="str">
        <f>IF(SplitText($C111,",",COLUMN(E:E)-COLUMN($D:$D))="",$D111,trimtext(SplitText($C111,",",COLUMN(E:E)-COLUMN($D:$D))))</f>
        <v>F22</v>
      </c>
      <c r="F111" s="12" t="str">
        <f>IF(SplitText($C111,",",COLUMN(F:F)-COLUMN($D:$D))="",$D111,trimtext(SplitText($C111,",",COLUMN(F:F)-COLUMN($D:$D))))</f>
        <v>F22</v>
      </c>
      <c r="G111" s="12" t="str">
        <f>IF(SplitText($C111,",",COLUMN(G:G)-COLUMN($D:$D))="",$D111,trimtext(SplitText($C111,",",COLUMN(G:G)-COLUMN($D:$D))))</f>
        <v>F22</v>
      </c>
      <c r="H111" s="12" t="str">
        <f>IF(SplitText($C111,",",COLUMN(H:H)-COLUMN($D:$D))="",$D111,trimtext(SplitText($C111,",",COLUMN(H:H)-COLUMN($D:$D))))</f>
        <v>F22</v>
      </c>
      <c r="I111" s="12" t="str">
        <f>IF(SplitText($C111,",",COLUMN(I:I)-COLUMN($D:$D))="",$D111,trimtext(SplitText($C111,",",COLUMN(I:I)-COLUMN($D:$D))))</f>
        <v>F22</v>
      </c>
      <c r="J111" s="9" t="s">
        <v>290</v>
      </c>
      <c r="K111" s="12" t="str">
        <f>trimtext(SplitText($J111,",",0))</f>
        <v>F22</v>
      </c>
      <c r="L111" s="12" t="str">
        <f>IF(SplitText($J111,",",COLUMN(L:L)-COLUMN($K:$K))="",$K111,trimtext(SplitText($J111,",",COLUMN(L:L)-COLUMN($K:$K))))</f>
        <v>F22</v>
      </c>
      <c r="M111" s="12" t="str">
        <f>IF(SplitText($J111,",",COLUMN(M:M)-COLUMN($K:$K))="",$K111,trimtext(SplitText($J111,",",COLUMN(M:M)-COLUMN($K:$K))))</f>
        <v>F22</v>
      </c>
      <c r="N111" s="12" t="str">
        <f>IF(SplitText($J111,",",COLUMN(N:N)-COLUMN($K:$K))="",$K111,trimtext(SplitText($J111,",",COLUMN(N:N)-COLUMN($K:$K))))</f>
        <v>F22</v>
      </c>
      <c r="O111" s="12" t="str">
        <f>IF(SplitText($J111,",",COLUMN(O:O)-COLUMN($K:$K))="",$K111,trimtext(SplitText($J111,",",COLUMN(O:O)-COLUMN($K:$K))))</f>
        <v>F22</v>
      </c>
      <c r="P111" s="12" t="str">
        <f>IF(SplitText($J111,",",COLUMN(P:P)-COLUMN($K:$K))="",$K111,trimtext(SplitText($J111,",",COLUMN(P:P)-COLUMN($K:$K))))</f>
        <v>F22</v>
      </c>
      <c r="Q111" s="12" t="str">
        <f>IF(SplitText($J111,",",COLUMN(Q:Q)-COLUMN($K:$K))="",$K111,trimtext(SplitText($J111,",",COLUMN(Q:Q)-COLUMN($K:$K))))</f>
        <v>F22</v>
      </c>
      <c r="R111" s="2" t="s">
        <v>451</v>
      </c>
      <c r="S111" s="12" t="str">
        <f>trimtext(SplitText($R111,",",0))</f>
        <v>_none_</v>
      </c>
      <c r="T111" s="12" t="str">
        <f>IF(SplitText($R111,",",COLUMN(T:T)-COLUMN($S:$S))="",$S111,trimtext(SplitText($R111,",",COLUMN(T:T)-COLUMN($S:$S))))</f>
        <v>_none_</v>
      </c>
      <c r="U111" s="12" t="str">
        <f>IF(SplitText($R111,",",COLUMN(U:U)-COLUMN($S:$S))="",$S111,trimtext(SplitText($R111,",",COLUMN(U:U)-COLUMN($S:$S))))</f>
        <v>F22</v>
      </c>
      <c r="V111" s="2" t="s">
        <v>451</v>
      </c>
      <c r="W111" s="12" t="str">
        <f>trimtext(SplitText($V111,",",0))</f>
        <v>_none_</v>
      </c>
      <c r="X111" s="12" t="str">
        <f>IF(SplitText($V111,",",COLUMN(X:X)-COLUMN($W:$W))="",$W111,trimtext(SplitText($V111,",",COLUMN(X:X)-COLUMN($W:$W))))</f>
        <v>_none_</v>
      </c>
      <c r="Y111" s="12" t="str">
        <f>IF(SplitText($V111,",",COLUMN(Y:Y)-COLUMN($W:$W))="",$W111,trimtext(SplitText($V111,",",COLUMN(Y:Y)-COLUMN($W:$W))))</f>
        <v>F22</v>
      </c>
      <c r="Z111" s="2" t="s">
        <v>718</v>
      </c>
      <c r="AA111" s="12" t="str">
        <f t="shared" si="9"/>
        <v>_none_</v>
      </c>
      <c r="AB111" s="2" t="s">
        <v>743</v>
      </c>
      <c r="AC111" s="12" t="str">
        <f>trimtext(SplitText($AB111,",",0))</f>
        <v>_none_</v>
      </c>
      <c r="AD111" s="12" t="str">
        <f>IF(SplitText($AB111,",",COLUMN(AD:AD)-COLUMN($AC:$AC))="",$AC111,trimtext(SplitText($AB111,",",COLUMN(AD:AD)-COLUMN($AC:$AC))))</f>
        <v>_none_</v>
      </c>
      <c r="AE111" s="18" t="str">
        <f t="shared" si="10"/>
        <v>&lt;xs:enumeration value="T6D"&gt;&lt;xs:annotation&gt;&lt;xs:documentation&gt;Typically F22 for keyboard type 4, different values for different keyboard types&lt;/xs:documentation&gt;&lt;xs:appinfo&gt;&lt;default-vk&gt;</v>
      </c>
      <c r="AF111" s="15" t="str">
        <f>IF(D111&lt;&gt;"","&lt;vk kbd="""&amp;D$1&amp;""" vk="""&amp;D111&amp;""""&amp;IF(Scan2VKFlags!B111&lt;&gt;""," flags="""&amp;Scan2VKFlags!B111&amp;"""","")&amp;"/&gt;","")</f>
        <v>&lt;vk kbd="1" vk="F22"/&gt;</v>
      </c>
      <c r="AG111" s="15" t="str">
        <f>IF(E111&lt;&gt;"","&lt;vk kbd="""&amp;E$1&amp;""" vk="""&amp;E111&amp;""""&amp;IF(Scan2VKFlags!C111&lt;&gt;""," flags="""&amp;Scan2VKFlags!C111&amp;"""","")&amp;"/&gt;","")</f>
        <v>&lt;vk kbd="2" vk="F22"/&gt;</v>
      </c>
      <c r="AH111" s="15" t="str">
        <f>IF(F111&lt;&gt;"","&lt;vk kbd="""&amp;F$1&amp;""" vk="""&amp;F111&amp;""""&amp;IF(Scan2VKFlags!D111&lt;&gt;""," flags="""&amp;Scan2VKFlags!D111&amp;"""","")&amp;"/&gt;","")</f>
        <v>&lt;vk kbd="3" vk="F22"/&gt;</v>
      </c>
      <c r="AI111" s="15" t="str">
        <f>IF(G111&lt;&gt;"","&lt;vk kbd="""&amp;G$1&amp;""" vk="""&amp;G111&amp;""""&amp;IF(Scan2VKFlags!E111&lt;&gt;""," flags="""&amp;Scan2VKFlags!E111&amp;"""","")&amp;"/&gt;","")</f>
        <v>&lt;vk kbd="4" vk="F22"/&gt;</v>
      </c>
      <c r="AJ111" s="15" t="str">
        <f>IF(H111&lt;&gt;"","&lt;vk kbd="""&amp;H$1&amp;""" vk="""&amp;H111&amp;""""&amp;IF(Scan2VKFlags!F111&lt;&gt;""," flags="""&amp;Scan2VKFlags!F111&amp;"""","")&amp;"/&gt;","")</f>
        <v>&lt;vk kbd="5" vk="F22"/&gt;</v>
      </c>
      <c r="AK111" s="16" t="str">
        <f>IF(I111&lt;&gt;"","&lt;vk kbd="""&amp;I$1&amp;""" vk="""&amp;I111&amp;""""&amp;IF(Scan2VKFlags!G111&lt;&gt;""," flags="""&amp;Scan2VKFlags!G111&amp;"""","")&amp;"/&gt;","")</f>
        <v>&lt;vk kbd="6" vk="F22"/&gt;</v>
      </c>
      <c r="AL111" s="3" t="str">
        <f>IF(K111&lt;&gt;"","&lt;vk kbd="""&amp;K$1&amp;""" vk="""&amp;K111&amp;""""&amp;IF(Scan2VKFlags!H111&lt;&gt;""," flags="""&amp;Scan2VKFlags!H111&amp;"""","")&amp;"/&gt;","")</f>
        <v>&lt;vk kbd="7" vk="F22"/&gt;</v>
      </c>
      <c r="AM111" t="str">
        <f>IF(L111&lt;&gt;"","&lt;vk kbd="""&amp;L$1&amp;""" vk="""&amp;L111&amp;""""&amp;IF(Scan2VKFlags!I111&lt;&gt;""," flags="""&amp;Scan2VKFlags!I111&amp;"""","")&amp;"/&gt;","")</f>
        <v>&lt;vk kbd="8" vk="F22"/&gt;</v>
      </c>
      <c r="AN111" t="str">
        <f>IF(M111&lt;&gt;"","&lt;vk kbd="""&amp;M$1&amp;""" vk="""&amp;M111&amp;""""&amp;IF(Scan2VKFlags!J111&lt;&gt;""," flags="""&amp;Scan2VKFlags!J111&amp;"""","")&amp;"/&gt;","")</f>
        <v>&lt;vk kbd="16" vk="F22"/&gt;</v>
      </c>
      <c r="AO111" t="str">
        <f>IF(N111&lt;&gt;"","&lt;vk kbd="""&amp;N$1&amp;""" vk="""&amp;N111&amp;""""&amp;IF(Scan2VKFlags!K111&lt;&gt;""," flags="""&amp;Scan2VKFlags!K111&amp;"""","")&amp;"/&gt;","")</f>
        <v>&lt;vk kbd="10" vk="F22"/&gt;</v>
      </c>
      <c r="AP111" t="str">
        <f>IF(O111&lt;&gt;"","&lt;vk kbd="""&amp;O$1&amp;""" vk="""&amp;O111&amp;""""&amp;IF(Scan2VKFlags!L111&lt;&gt;""," flags="""&amp;Scan2VKFlags!L111&amp;"""","")&amp;"/&gt;","")</f>
        <v>&lt;vk kbd="11" vk="F22"/&gt;</v>
      </c>
      <c r="AQ111" t="str">
        <f>IF(P111&lt;&gt;"","&lt;vk kbd="""&amp;P$1&amp;""" vk="""&amp;P111&amp;""""&amp;IF(Scan2VKFlags!M111&lt;&gt;""," flags="""&amp;Scan2VKFlags!M111&amp;"""","")&amp;"/&gt;","")</f>
        <v>&lt;vk kbd="12" vk="F22"/&gt;</v>
      </c>
      <c r="AR111" s="16" t="str">
        <f>IF(Q111&lt;&gt;"","&lt;vk kbd="""&amp;Q$1&amp;""" vk="""&amp;Q111&amp;""""&amp;IF(Scan2VKFlags!N111&lt;&gt;""," flags="""&amp;Scan2VKFlags!N111&amp;"""","")&amp;"/&gt;","")</f>
        <v>&lt;vk kbd="13" vk="F22"/&gt;</v>
      </c>
      <c r="AS111" s="3" t="str">
        <f>IF(S111&lt;&gt;"","&lt;vk kbd="""&amp;S$1&amp;""" vk="""&amp;S111&amp;""""&amp;IF(Scan2VKFlags!O111&lt;&gt;""," flags="""&amp;Scan2VKFlags!O111&amp;"""","")&amp;"/&gt;","")</f>
        <v>&lt;vk kbd="20" vk="_none_"/&gt;</v>
      </c>
      <c r="AT111" t="str">
        <f>IF(T111&lt;&gt;"","&lt;vk kbd="""&amp;T$1&amp;""" vk="""&amp;T111&amp;""""&amp;IF(Scan2VKFlags!P111&lt;&gt;""," flags="""&amp;Scan2VKFlags!P111&amp;"""","")&amp;"/&gt;","")</f>
        <v>&lt;vk kbd="21" vk="_none_"/&gt;</v>
      </c>
      <c r="AU111" s="16" t="str">
        <f>IF(U111&lt;&gt;"","&lt;vk kbd="""&amp;U$1&amp;""" vk="""&amp;U111&amp;""""&amp;IF(Scan2VKFlags!Q111&lt;&gt;""," flags="""&amp;Scan2VKFlags!Q111&amp;"""","")&amp;"/&gt;","")</f>
        <v>&lt;vk kbd="22" vk="F22"/&gt;</v>
      </c>
      <c r="AV111" s="3" t="str">
        <f>IF(W111&lt;&gt;"","&lt;vk kbd="""&amp;W$1&amp;""" vk="""&amp;W111&amp;""""&amp;IF(Scan2VKFlags!R111&lt;&gt;""," flags="""&amp;Scan2VKFlags!R111&amp;"""","")&amp;"/&gt;","")</f>
        <v>&lt;vk kbd="30" vk="_none_"/&gt;</v>
      </c>
      <c r="AW111" s="15" t="str">
        <f>IF(X111&lt;&gt;"","&lt;vk kbd="""&amp;X$1&amp;""" vk="""&amp;X111&amp;""""&amp;IF(Scan2VKFlags!S111&lt;&gt;""," flags="""&amp;Scan2VKFlags!S111&amp;"""","")&amp;"/&gt;","")</f>
        <v>&lt;vk kbd="33" vk="_none_"/&gt;</v>
      </c>
      <c r="AX111" s="15" t="str">
        <f>IF(Y111&lt;&gt;"","&lt;vk kbd="""&amp;Y$1&amp;""" vk="""&amp;Y111&amp;""""&amp;IF(Scan2VKFlags!T111&lt;&gt;""," flags="""&amp;Scan2VKFlags!T111&amp;"""","")&amp;"/&gt;","")</f>
        <v>&lt;vk kbd="34" vk="F22"/&gt;</v>
      </c>
      <c r="AY111" s="18" t="str">
        <f>IF(AA111&lt;&gt;"","&lt;vk kbd="""&amp;AA$1&amp;""" vk="""&amp;AA111&amp;""""&amp;IF(Scan2VKFlags!U111&lt;&gt;""," flags="""&amp;Scan2VKFlags!U111&amp;"""","")&amp;"/&gt;","")</f>
        <v>&lt;vk kbd="37" vk="_none_"/&gt;</v>
      </c>
      <c r="AZ111" s="3" t="str">
        <f>IF(AC111&lt;&gt;"","&lt;vk kbd="""&amp;AC$1&amp;""" vk="""&amp;AC111&amp;""""&amp;IF(Scan2VKFlags!V111&lt;&gt;""," flags="""&amp;Scan2VKFlags!V111&amp;"""","")&amp;"/&gt;","")</f>
        <v>&lt;vk kbd="40" vk="_none_"/&gt;</v>
      </c>
      <c r="BA111" s="16" t="str">
        <f>IF(AD111&lt;&gt;"","&lt;vk kbd="""&amp;AD$1&amp;""" vk="""&amp;AD111&amp;""""&amp;IF(Scan2VKFlags!W111&lt;&gt;""," flags="""&amp;Scan2VKFlags!W111&amp;"""","")&amp;"/&gt;","")</f>
        <v>&lt;vk kbd="41" vk="_none_"/&gt;</v>
      </c>
      <c r="BB111" t="s">
        <v>854</v>
      </c>
    </row>
    <row r="112" spans="1:54" x14ac:dyDescent="0.25">
      <c r="A112">
        <f t="shared" si="11"/>
        <v>110</v>
      </c>
      <c r="B112" t="str">
        <f t="shared" si="8"/>
        <v>T6E</v>
      </c>
      <c r="C112" s="7" t="s">
        <v>106</v>
      </c>
      <c r="D112" s="12" t="str">
        <f>trimtext(SplitText($C112,",",0))</f>
        <v>F23</v>
      </c>
      <c r="E112" s="12" t="str">
        <f>IF(SplitText($C112,",",COLUMN(E:E)-COLUMN($D:$D))="",$D112,trimtext(SplitText($C112,",",COLUMN(E:E)-COLUMN($D:$D))))</f>
        <v>F23</v>
      </c>
      <c r="F112" s="12" t="str">
        <f>IF(SplitText($C112,",",COLUMN(F:F)-COLUMN($D:$D))="",$D112,trimtext(SplitText($C112,",",COLUMN(F:F)-COLUMN($D:$D))))</f>
        <v>F23</v>
      </c>
      <c r="G112" s="12" t="str">
        <f>IF(SplitText($C112,",",COLUMN(G:G)-COLUMN($D:$D))="",$D112,trimtext(SplitText($C112,",",COLUMN(G:G)-COLUMN($D:$D))))</f>
        <v>F23</v>
      </c>
      <c r="H112" s="12" t="str">
        <f>IF(SplitText($C112,",",COLUMN(H:H)-COLUMN($D:$D))="",$D112,trimtext(SplitText($C112,",",COLUMN(H:H)-COLUMN($D:$D))))</f>
        <v>F23</v>
      </c>
      <c r="I112" s="12" t="str">
        <f>IF(SplitText($C112,",",COLUMN(I:I)-COLUMN($D:$D))="",$D112,trimtext(SplitText($C112,",",COLUMN(I:I)-COLUMN($D:$D))))</f>
        <v>F23</v>
      </c>
      <c r="J112" s="9" t="s">
        <v>291</v>
      </c>
      <c r="K112" s="12" t="str">
        <f>trimtext(SplitText($J112,",",0))</f>
        <v>F23</v>
      </c>
      <c r="L112" s="12" t="str">
        <f>IF(SplitText($J112,",",COLUMN(L:L)-COLUMN($K:$K))="",$K112,trimtext(SplitText($J112,",",COLUMN(L:L)-COLUMN($K:$K))))</f>
        <v>F23</v>
      </c>
      <c r="M112" s="12" t="str">
        <f>IF(SplitText($J112,",",COLUMN(M:M)-COLUMN($K:$K))="",$K112,trimtext(SplitText($J112,",",COLUMN(M:M)-COLUMN($K:$K))))</f>
        <v>F23</v>
      </c>
      <c r="N112" s="12" t="str">
        <f>IF(SplitText($J112,",",COLUMN(N:N)-COLUMN($K:$K))="",$K112,trimtext(SplitText($J112,",",COLUMN(N:N)-COLUMN($K:$K))))</f>
        <v>F23</v>
      </c>
      <c r="O112" s="12" t="str">
        <f>IF(SplitText($J112,",",COLUMN(O:O)-COLUMN($K:$K))="",$K112,trimtext(SplitText($J112,",",COLUMN(O:O)-COLUMN($K:$K))))</f>
        <v>F23</v>
      </c>
      <c r="P112" s="12" t="str">
        <f>IF(SplitText($J112,",",COLUMN(P:P)-COLUMN($K:$K))="",$K112,trimtext(SplitText($J112,",",COLUMN(P:P)-COLUMN($K:$K))))</f>
        <v>F23</v>
      </c>
      <c r="Q112" s="12" t="str">
        <f>IF(SplitText($J112,",",COLUMN(Q:Q)-COLUMN($K:$K))="",$K112,trimtext(SplitText($J112,",",COLUMN(Q:Q)-COLUMN($K:$K))))</f>
        <v>F23</v>
      </c>
      <c r="R112" s="2" t="s">
        <v>452</v>
      </c>
      <c r="S112" s="12" t="str">
        <f>trimtext(SplitText($R112,",",0))</f>
        <v>PRIOR</v>
      </c>
      <c r="T112" s="12" t="str">
        <f>IF(SplitText($R112,",",COLUMN(T:T)-COLUMN($S:$S))="",$S112,trimtext(SplitText($R112,",",COLUMN(T:T)-COLUMN($S:$S))))</f>
        <v>PRIOR</v>
      </c>
      <c r="U112" s="12" t="str">
        <f>IF(SplitText($R112,",",COLUMN(U:U)-COLUMN($S:$S))="",$S112,trimtext(SplitText($R112,",",COLUMN(U:U)-COLUMN($S:$S))))</f>
        <v>F23</v>
      </c>
      <c r="V112" s="2" t="s">
        <v>610</v>
      </c>
      <c r="W112" s="12" t="str">
        <f>trimtext(SplitText($V112,",",0))</f>
        <v>_none_</v>
      </c>
      <c r="X112" s="12" t="str">
        <f>IF(SplitText($V112,",",COLUMN(X:X)-COLUMN($W:$W))="",$W112,trimtext(SplitText($V112,",",COLUMN(X:X)-COLUMN($W:$W))))</f>
        <v>_none_</v>
      </c>
      <c r="Y112" s="12" t="str">
        <f>IF(SplitText($V112,",",COLUMN(Y:Y)-COLUMN($W:$W))="",$W112,trimtext(SplitText($V112,",",COLUMN(Y:Y)-COLUMN($W:$W))))</f>
        <v>F23</v>
      </c>
      <c r="Z112" s="2" t="s">
        <v>718</v>
      </c>
      <c r="AA112" s="12" t="str">
        <f t="shared" si="9"/>
        <v>_none_</v>
      </c>
      <c r="AB112" s="2" t="s">
        <v>743</v>
      </c>
      <c r="AC112" s="12" t="str">
        <f>trimtext(SplitText($AB112,",",0))</f>
        <v>_none_</v>
      </c>
      <c r="AD112" s="12" t="str">
        <f>IF(SplitText($AB112,",",COLUMN(AD:AD)-COLUMN($AC:$AC))="",$AC112,trimtext(SplitText($AB112,",",COLUMN(AD:AD)-COLUMN($AC:$AC))))</f>
        <v>_none_</v>
      </c>
      <c r="AE112" s="18" t="str">
        <f t="shared" si="10"/>
        <v>&lt;xs:enumeration value="T6E"&gt;&lt;xs:annotation&gt;&lt;xs:documentation&gt;Typically F23 for keyboard type 4, different values for different keyboard types&lt;/xs:documentation&gt;&lt;xs:appinfo&gt;&lt;default-vk&gt;</v>
      </c>
      <c r="AF112" s="15" t="str">
        <f>IF(D112&lt;&gt;"","&lt;vk kbd="""&amp;D$1&amp;""" vk="""&amp;D112&amp;""""&amp;IF(Scan2VKFlags!B112&lt;&gt;""," flags="""&amp;Scan2VKFlags!B112&amp;"""","")&amp;"/&gt;","")</f>
        <v>&lt;vk kbd="1" vk="F23"/&gt;</v>
      </c>
      <c r="AG112" s="15" t="str">
        <f>IF(E112&lt;&gt;"","&lt;vk kbd="""&amp;E$1&amp;""" vk="""&amp;E112&amp;""""&amp;IF(Scan2VKFlags!C112&lt;&gt;""," flags="""&amp;Scan2VKFlags!C112&amp;"""","")&amp;"/&gt;","")</f>
        <v>&lt;vk kbd="2" vk="F23"/&gt;</v>
      </c>
      <c r="AH112" s="15" t="str">
        <f>IF(F112&lt;&gt;"","&lt;vk kbd="""&amp;F$1&amp;""" vk="""&amp;F112&amp;""""&amp;IF(Scan2VKFlags!D112&lt;&gt;""," flags="""&amp;Scan2VKFlags!D112&amp;"""","")&amp;"/&gt;","")</f>
        <v>&lt;vk kbd="3" vk="F23"/&gt;</v>
      </c>
      <c r="AI112" s="15" t="str">
        <f>IF(G112&lt;&gt;"","&lt;vk kbd="""&amp;G$1&amp;""" vk="""&amp;G112&amp;""""&amp;IF(Scan2VKFlags!E112&lt;&gt;""," flags="""&amp;Scan2VKFlags!E112&amp;"""","")&amp;"/&gt;","")</f>
        <v>&lt;vk kbd="4" vk="F23"/&gt;</v>
      </c>
      <c r="AJ112" s="15" t="str">
        <f>IF(H112&lt;&gt;"","&lt;vk kbd="""&amp;H$1&amp;""" vk="""&amp;H112&amp;""""&amp;IF(Scan2VKFlags!F112&lt;&gt;""," flags="""&amp;Scan2VKFlags!F112&amp;"""","")&amp;"/&gt;","")</f>
        <v>&lt;vk kbd="5" vk="F23"/&gt;</v>
      </c>
      <c r="AK112" s="16" t="str">
        <f>IF(I112&lt;&gt;"","&lt;vk kbd="""&amp;I$1&amp;""" vk="""&amp;I112&amp;""""&amp;IF(Scan2VKFlags!G112&lt;&gt;""," flags="""&amp;Scan2VKFlags!G112&amp;"""","")&amp;"/&gt;","")</f>
        <v>&lt;vk kbd="6" vk="F23"/&gt;</v>
      </c>
      <c r="AL112" s="3" t="str">
        <f>IF(K112&lt;&gt;"","&lt;vk kbd="""&amp;K$1&amp;""" vk="""&amp;K112&amp;""""&amp;IF(Scan2VKFlags!H112&lt;&gt;""," flags="""&amp;Scan2VKFlags!H112&amp;"""","")&amp;"/&gt;","")</f>
        <v>&lt;vk kbd="7" vk="F23"/&gt;</v>
      </c>
      <c r="AM112" t="str">
        <f>IF(L112&lt;&gt;"","&lt;vk kbd="""&amp;L$1&amp;""" vk="""&amp;L112&amp;""""&amp;IF(Scan2VKFlags!I112&lt;&gt;""," flags="""&amp;Scan2VKFlags!I112&amp;"""","")&amp;"/&gt;","")</f>
        <v>&lt;vk kbd="8" vk="F23"/&gt;</v>
      </c>
      <c r="AN112" t="str">
        <f>IF(M112&lt;&gt;"","&lt;vk kbd="""&amp;M$1&amp;""" vk="""&amp;M112&amp;""""&amp;IF(Scan2VKFlags!J112&lt;&gt;""," flags="""&amp;Scan2VKFlags!J112&amp;"""","")&amp;"/&gt;","")</f>
        <v>&lt;vk kbd="16" vk="F23"/&gt;</v>
      </c>
      <c r="AO112" t="str">
        <f>IF(N112&lt;&gt;"","&lt;vk kbd="""&amp;N$1&amp;""" vk="""&amp;N112&amp;""""&amp;IF(Scan2VKFlags!K112&lt;&gt;""," flags="""&amp;Scan2VKFlags!K112&amp;"""","")&amp;"/&gt;","")</f>
        <v>&lt;vk kbd="10" vk="F23"/&gt;</v>
      </c>
      <c r="AP112" t="str">
        <f>IF(O112&lt;&gt;"","&lt;vk kbd="""&amp;O$1&amp;""" vk="""&amp;O112&amp;""""&amp;IF(Scan2VKFlags!L112&lt;&gt;""," flags="""&amp;Scan2VKFlags!L112&amp;"""","")&amp;"/&gt;","")</f>
        <v>&lt;vk kbd="11" vk="F23"/&gt;</v>
      </c>
      <c r="AQ112" t="str">
        <f>IF(P112&lt;&gt;"","&lt;vk kbd="""&amp;P$1&amp;""" vk="""&amp;P112&amp;""""&amp;IF(Scan2VKFlags!M112&lt;&gt;""," flags="""&amp;Scan2VKFlags!M112&amp;"""","")&amp;"/&gt;","")</f>
        <v>&lt;vk kbd="12" vk="F23"/&gt;</v>
      </c>
      <c r="AR112" s="16" t="str">
        <f>IF(Q112&lt;&gt;"","&lt;vk kbd="""&amp;Q$1&amp;""" vk="""&amp;Q112&amp;""""&amp;IF(Scan2VKFlags!N112&lt;&gt;""," flags="""&amp;Scan2VKFlags!N112&amp;"""","")&amp;"/&gt;","")</f>
        <v>&lt;vk kbd="13" vk="F23"/&gt;</v>
      </c>
      <c r="AS112" s="3" t="str">
        <f>IF(S112&lt;&gt;"","&lt;vk kbd="""&amp;S$1&amp;""" vk="""&amp;S112&amp;""""&amp;IF(Scan2VKFlags!O112&lt;&gt;""," flags="""&amp;Scan2VKFlags!O112&amp;"""","")&amp;"/&gt;","")</f>
        <v>&lt;vk kbd="20" vk="PRIOR"/&gt;</v>
      </c>
      <c r="AT112" t="str">
        <f>IF(T112&lt;&gt;"","&lt;vk kbd="""&amp;T$1&amp;""" vk="""&amp;T112&amp;""""&amp;IF(Scan2VKFlags!P112&lt;&gt;""," flags="""&amp;Scan2VKFlags!P112&amp;"""","")&amp;"/&gt;","")</f>
        <v>&lt;vk kbd="21" vk="PRIOR"/&gt;</v>
      </c>
      <c r="AU112" s="16" t="str">
        <f>IF(U112&lt;&gt;"","&lt;vk kbd="""&amp;U$1&amp;""" vk="""&amp;U112&amp;""""&amp;IF(Scan2VKFlags!Q112&lt;&gt;""," flags="""&amp;Scan2VKFlags!Q112&amp;"""","")&amp;"/&gt;","")</f>
        <v>&lt;vk kbd="22" vk="F23"/&gt;</v>
      </c>
      <c r="AV112" s="3" t="str">
        <f>IF(W112&lt;&gt;"","&lt;vk kbd="""&amp;W$1&amp;""" vk="""&amp;W112&amp;""""&amp;IF(Scan2VKFlags!R112&lt;&gt;""," flags="""&amp;Scan2VKFlags!R112&amp;"""","")&amp;"/&gt;","")</f>
        <v>&lt;vk kbd="30" vk="_none_"/&gt;</v>
      </c>
      <c r="AW112" s="15" t="str">
        <f>IF(X112&lt;&gt;"","&lt;vk kbd="""&amp;X$1&amp;""" vk="""&amp;X112&amp;""""&amp;IF(Scan2VKFlags!S112&lt;&gt;""," flags="""&amp;Scan2VKFlags!S112&amp;"""","")&amp;"/&gt;","")</f>
        <v>&lt;vk kbd="33" vk="_none_"/&gt;</v>
      </c>
      <c r="AX112" s="15" t="str">
        <f>IF(Y112&lt;&gt;"","&lt;vk kbd="""&amp;Y$1&amp;""" vk="""&amp;Y112&amp;""""&amp;IF(Scan2VKFlags!T112&lt;&gt;""," flags="""&amp;Scan2VKFlags!T112&amp;"""","")&amp;"/&gt;","")</f>
        <v>&lt;vk kbd="34" vk="F23"/&gt;</v>
      </c>
      <c r="AY112" s="18" t="str">
        <f>IF(AA112&lt;&gt;"","&lt;vk kbd="""&amp;AA$1&amp;""" vk="""&amp;AA112&amp;""""&amp;IF(Scan2VKFlags!U112&lt;&gt;""," flags="""&amp;Scan2VKFlags!U112&amp;"""","")&amp;"/&gt;","")</f>
        <v>&lt;vk kbd="37" vk="_none_"/&gt;</v>
      </c>
      <c r="AZ112" s="3" t="str">
        <f>IF(AC112&lt;&gt;"","&lt;vk kbd="""&amp;AC$1&amp;""" vk="""&amp;AC112&amp;""""&amp;IF(Scan2VKFlags!V112&lt;&gt;""," flags="""&amp;Scan2VKFlags!V112&amp;"""","")&amp;"/&gt;","")</f>
        <v>&lt;vk kbd="40" vk="_none_"/&gt;</v>
      </c>
      <c r="BA112" s="16" t="str">
        <f>IF(AD112&lt;&gt;"","&lt;vk kbd="""&amp;AD$1&amp;""" vk="""&amp;AD112&amp;""""&amp;IF(Scan2VKFlags!W112&lt;&gt;""," flags="""&amp;Scan2VKFlags!W112&amp;"""","")&amp;"/&gt;","")</f>
        <v>&lt;vk kbd="41" vk="_none_"/&gt;</v>
      </c>
      <c r="BB112" t="s">
        <v>854</v>
      </c>
    </row>
    <row r="113" spans="1:54" x14ac:dyDescent="0.25">
      <c r="A113">
        <f t="shared" si="11"/>
        <v>111</v>
      </c>
      <c r="B113" t="str">
        <f t="shared" si="8"/>
        <v>T6F</v>
      </c>
      <c r="C113" s="7" t="s">
        <v>107</v>
      </c>
      <c r="D113" s="12" t="str">
        <f>trimtext(SplitText($C113,",",0))</f>
        <v>OEM_PA3</v>
      </c>
      <c r="E113" s="12" t="str">
        <f>IF(SplitText($C113,",",COLUMN(E:E)-COLUMN($D:$D))="",$D113,trimtext(SplitText($C113,",",COLUMN(E:E)-COLUMN($D:$D))))</f>
        <v>OEM_PA3</v>
      </c>
      <c r="F113" s="12" t="str">
        <f>IF(SplitText($C113,",",COLUMN(F:F)-COLUMN($D:$D))="",$D113,trimtext(SplitText($C113,",",COLUMN(F:F)-COLUMN($D:$D))))</f>
        <v>OEM_PA3</v>
      </c>
      <c r="G113" s="12" t="str">
        <f>IF(SplitText($C113,",",COLUMN(G:G)-COLUMN($D:$D))="",$D113,trimtext(SplitText($C113,",",COLUMN(G:G)-COLUMN($D:$D))))</f>
        <v>OEM_PA3</v>
      </c>
      <c r="H113" s="12" t="str">
        <f>IF(SplitText($C113,",",COLUMN(H:H)-COLUMN($D:$D))="",$D113,trimtext(SplitText($C113,",",COLUMN(H:H)-COLUMN($D:$D))))</f>
        <v>OEM_PA3</v>
      </c>
      <c r="I113" s="12" t="str">
        <f>IF(SplitText($C113,",",COLUMN(I:I)-COLUMN($D:$D))="",$D113,trimtext(SplitText($C113,",",COLUMN(I:I)-COLUMN($D:$D))))</f>
        <v>OEM_PA3</v>
      </c>
      <c r="J113" s="9" t="s">
        <v>292</v>
      </c>
      <c r="K113" s="12" t="str">
        <f>trimtext(SplitText($J113,",",0))</f>
        <v>_none_</v>
      </c>
      <c r="L113" s="12" t="str">
        <f>IF(SplitText($J113,",",COLUMN(L:L)-COLUMN($K:$K))="",$K113,trimtext(SplitText($J113,",",COLUMN(L:L)-COLUMN($K:$K))))</f>
        <v>_none_</v>
      </c>
      <c r="M113" s="12" t="str">
        <f>IF(SplitText($J113,",",COLUMN(M:M)-COLUMN($K:$K))="",$K113,trimtext(SplitText($J113,",",COLUMN(M:M)-COLUMN($K:$K))))</f>
        <v>_none_</v>
      </c>
      <c r="N113" s="12" t="str">
        <f>IF(SplitText($J113,",",COLUMN(N:N)-COLUMN($K:$K))="",$K113,trimtext(SplitText($J113,",",COLUMN(N:N)-COLUMN($K:$K))))</f>
        <v>OEM_PA3</v>
      </c>
      <c r="O113" s="12" t="str">
        <f>IF(SplitText($J113,",",COLUMN(O:O)-COLUMN($K:$K))="",$K113,trimtext(SplitText($J113,",",COLUMN(O:O)-COLUMN($K:$K))))</f>
        <v>OEM_PA3</v>
      </c>
      <c r="P113" s="12" t="str">
        <f>IF(SplitText($J113,",",COLUMN(P:P)-COLUMN($K:$K))="",$K113,trimtext(SplitText($J113,",",COLUMN(P:P)-COLUMN($K:$K))))</f>
        <v>OEM_PA3</v>
      </c>
      <c r="Q113" s="12" t="str">
        <f>IF(SplitText($J113,",",COLUMN(Q:Q)-COLUMN($K:$K))="",$K113,trimtext(SplitText($J113,",",COLUMN(Q:Q)-COLUMN($K:$K))))</f>
        <v>OEM_PA3</v>
      </c>
      <c r="R113" s="2" t="s">
        <v>453</v>
      </c>
      <c r="S113" s="12" t="str">
        <f>trimtext(SplitText($R113,",",0))</f>
        <v>_none_</v>
      </c>
      <c r="T113" s="12" t="str">
        <f>IF(SplitText($R113,",",COLUMN(T:T)-COLUMN($S:$S))="",$S113,trimtext(SplitText($R113,",",COLUMN(T:T)-COLUMN($S:$S))))</f>
        <v>DBE_KATAKANA</v>
      </c>
      <c r="U113" s="12" t="str">
        <f>IF(SplitText($R113,",",COLUMN(U:U)-COLUMN($S:$S))="",$S113,trimtext(SplitText($R113,",",COLUMN(U:U)-COLUMN($S:$S))))</f>
        <v>_none_</v>
      </c>
      <c r="V113" s="2" t="s">
        <v>507</v>
      </c>
      <c r="W113" s="12" t="str">
        <f>trimtext(SplitText($V113,",",0))</f>
        <v>_none_</v>
      </c>
      <c r="X113" s="12" t="str">
        <f>IF(SplitText($V113,",",COLUMN(X:X)-COLUMN($W:$W))="",$W113,trimtext(SplitText($V113,",",COLUMN(X:X)-COLUMN($W:$W))))</f>
        <v>_none_</v>
      </c>
      <c r="Y113" s="12" t="str">
        <f>IF(SplitText($V113,",",COLUMN(Y:Y)-COLUMN($W:$W))="",$W113,trimtext(SplitText($V113,",",COLUMN(Y:Y)-COLUMN($W:$W))))</f>
        <v>_none_</v>
      </c>
      <c r="Z113" s="2" t="s">
        <v>718</v>
      </c>
      <c r="AA113" s="12" t="str">
        <f t="shared" si="9"/>
        <v>_none_</v>
      </c>
      <c r="AB113" s="2" t="s">
        <v>743</v>
      </c>
      <c r="AC113" s="12" t="str">
        <f>trimtext(SplitText($AB113,",",0))</f>
        <v>_none_</v>
      </c>
      <c r="AD113" s="12" t="str">
        <f>IF(SplitText($AB113,",",COLUMN(AD:AD)-COLUMN($AC:$AC))="",$AC113,trimtext(SplitText($AB113,",",COLUMN(AD:AD)-COLUMN($AC:$AC))))</f>
        <v>_none_</v>
      </c>
      <c r="AE113" s="18" t="str">
        <f t="shared" si="10"/>
        <v>&lt;xs:enumeration value="T6F"&gt;&lt;xs:annotation&gt;&lt;xs:documentation&gt;Typically OEM_PA3 for keyboard type 4, different values for different keyboard types&lt;/xs:documentation&gt;&lt;xs:appinfo&gt;&lt;default-vk&gt;</v>
      </c>
      <c r="AF113" s="15" t="str">
        <f>IF(D113&lt;&gt;"","&lt;vk kbd="""&amp;D$1&amp;""" vk="""&amp;D113&amp;""""&amp;IF(Scan2VKFlags!B113&lt;&gt;""," flags="""&amp;Scan2VKFlags!B113&amp;"""","")&amp;"/&gt;","")</f>
        <v>&lt;vk kbd="1" vk="OEM_PA3"/&gt;</v>
      </c>
      <c r="AG113" s="15" t="str">
        <f>IF(E113&lt;&gt;"","&lt;vk kbd="""&amp;E$1&amp;""" vk="""&amp;E113&amp;""""&amp;IF(Scan2VKFlags!C113&lt;&gt;""," flags="""&amp;Scan2VKFlags!C113&amp;"""","")&amp;"/&gt;","")</f>
        <v>&lt;vk kbd="2" vk="OEM_PA3"/&gt;</v>
      </c>
      <c r="AH113" s="15" t="str">
        <f>IF(F113&lt;&gt;"","&lt;vk kbd="""&amp;F$1&amp;""" vk="""&amp;F113&amp;""""&amp;IF(Scan2VKFlags!D113&lt;&gt;""," flags="""&amp;Scan2VKFlags!D113&amp;"""","")&amp;"/&gt;","")</f>
        <v>&lt;vk kbd="3" vk="OEM_PA3"/&gt;</v>
      </c>
      <c r="AI113" s="15" t="str">
        <f>IF(G113&lt;&gt;"","&lt;vk kbd="""&amp;G$1&amp;""" vk="""&amp;G113&amp;""""&amp;IF(Scan2VKFlags!E113&lt;&gt;""," flags="""&amp;Scan2VKFlags!E113&amp;"""","")&amp;"/&gt;","")</f>
        <v>&lt;vk kbd="4" vk="OEM_PA3"/&gt;</v>
      </c>
      <c r="AJ113" s="15" t="str">
        <f>IF(H113&lt;&gt;"","&lt;vk kbd="""&amp;H$1&amp;""" vk="""&amp;H113&amp;""""&amp;IF(Scan2VKFlags!F113&lt;&gt;""," flags="""&amp;Scan2VKFlags!F113&amp;"""","")&amp;"/&gt;","")</f>
        <v>&lt;vk kbd="5" vk="OEM_PA3"/&gt;</v>
      </c>
      <c r="AK113" s="16" t="str">
        <f>IF(I113&lt;&gt;"","&lt;vk kbd="""&amp;I$1&amp;""" vk="""&amp;I113&amp;""""&amp;IF(Scan2VKFlags!G113&lt;&gt;""," flags="""&amp;Scan2VKFlags!G113&amp;"""","")&amp;"/&gt;","")</f>
        <v>&lt;vk kbd="6" vk="OEM_PA3"/&gt;</v>
      </c>
      <c r="AL113" s="3" t="str">
        <f>IF(K113&lt;&gt;"","&lt;vk kbd="""&amp;K$1&amp;""" vk="""&amp;K113&amp;""""&amp;IF(Scan2VKFlags!H113&lt;&gt;""," flags="""&amp;Scan2VKFlags!H113&amp;"""","")&amp;"/&gt;","")</f>
        <v>&lt;vk kbd="7" vk="_none_"/&gt;</v>
      </c>
      <c r="AM113" t="str">
        <f>IF(L113&lt;&gt;"","&lt;vk kbd="""&amp;L$1&amp;""" vk="""&amp;L113&amp;""""&amp;IF(Scan2VKFlags!I113&lt;&gt;""," flags="""&amp;Scan2VKFlags!I113&amp;"""","")&amp;"/&gt;","")</f>
        <v>&lt;vk kbd="8" vk="_none_"/&gt;</v>
      </c>
      <c r="AN113" t="str">
        <f>IF(M113&lt;&gt;"","&lt;vk kbd="""&amp;M$1&amp;""" vk="""&amp;M113&amp;""""&amp;IF(Scan2VKFlags!J113&lt;&gt;""," flags="""&amp;Scan2VKFlags!J113&amp;"""","")&amp;"/&gt;","")</f>
        <v>&lt;vk kbd="16" vk="_none_"/&gt;</v>
      </c>
      <c r="AO113" t="str">
        <f>IF(N113&lt;&gt;"","&lt;vk kbd="""&amp;N$1&amp;""" vk="""&amp;N113&amp;""""&amp;IF(Scan2VKFlags!K113&lt;&gt;""," flags="""&amp;Scan2VKFlags!K113&amp;"""","")&amp;"/&gt;","")</f>
        <v>&lt;vk kbd="10" vk="OEM_PA3"/&gt;</v>
      </c>
      <c r="AP113" t="str">
        <f>IF(O113&lt;&gt;"","&lt;vk kbd="""&amp;O$1&amp;""" vk="""&amp;O113&amp;""""&amp;IF(Scan2VKFlags!L113&lt;&gt;""," flags="""&amp;Scan2VKFlags!L113&amp;"""","")&amp;"/&gt;","")</f>
        <v>&lt;vk kbd="11" vk="OEM_PA3"/&gt;</v>
      </c>
      <c r="AQ113" t="str">
        <f>IF(P113&lt;&gt;"","&lt;vk kbd="""&amp;P$1&amp;""" vk="""&amp;P113&amp;""""&amp;IF(Scan2VKFlags!M113&lt;&gt;""," flags="""&amp;Scan2VKFlags!M113&amp;"""","")&amp;"/&gt;","")</f>
        <v>&lt;vk kbd="12" vk="OEM_PA3"/&gt;</v>
      </c>
      <c r="AR113" s="16" t="str">
        <f>IF(Q113&lt;&gt;"","&lt;vk kbd="""&amp;Q$1&amp;""" vk="""&amp;Q113&amp;""""&amp;IF(Scan2VKFlags!N113&lt;&gt;""," flags="""&amp;Scan2VKFlags!N113&amp;"""","")&amp;"/&gt;","")</f>
        <v>&lt;vk kbd="13" vk="OEM_PA3"/&gt;</v>
      </c>
      <c r="AS113" s="3" t="str">
        <f>IF(S113&lt;&gt;"","&lt;vk kbd="""&amp;S$1&amp;""" vk="""&amp;S113&amp;""""&amp;IF(Scan2VKFlags!O113&lt;&gt;""," flags="""&amp;Scan2VKFlags!O113&amp;"""","")&amp;"/&gt;","")</f>
        <v>&lt;vk kbd="20" vk="_none_"/&gt;</v>
      </c>
      <c r="AT113" t="str">
        <f>IF(T113&lt;&gt;"","&lt;vk kbd="""&amp;T$1&amp;""" vk="""&amp;T113&amp;""""&amp;IF(Scan2VKFlags!P113&lt;&gt;""," flags="""&amp;Scan2VKFlags!P113&amp;"""","")&amp;"/&gt;","")</f>
        <v>&lt;vk kbd="21" vk="DBE_KATAKANA"/&gt;</v>
      </c>
      <c r="AU113" s="16" t="str">
        <f>IF(U113&lt;&gt;"","&lt;vk kbd="""&amp;U$1&amp;""" vk="""&amp;U113&amp;""""&amp;IF(Scan2VKFlags!Q113&lt;&gt;""," flags="""&amp;Scan2VKFlags!Q113&amp;"""","")&amp;"/&gt;","")</f>
        <v>&lt;vk kbd="22" vk="_none_"/&gt;</v>
      </c>
      <c r="AV113" s="3" t="str">
        <f>IF(W113&lt;&gt;"","&lt;vk kbd="""&amp;W$1&amp;""" vk="""&amp;W113&amp;""""&amp;IF(Scan2VKFlags!R113&lt;&gt;""," flags="""&amp;Scan2VKFlags!R113&amp;"""","")&amp;"/&gt;","")</f>
        <v>&lt;vk kbd="30" vk="_none_"/&gt;</v>
      </c>
      <c r="AW113" s="15" t="str">
        <f>IF(X113&lt;&gt;"","&lt;vk kbd="""&amp;X$1&amp;""" vk="""&amp;X113&amp;""""&amp;IF(Scan2VKFlags!S113&lt;&gt;""," flags="""&amp;Scan2VKFlags!S113&amp;"""","")&amp;"/&gt;","")</f>
        <v>&lt;vk kbd="33" vk="_none_"/&gt;</v>
      </c>
      <c r="AX113" s="15" t="str">
        <f>IF(Y113&lt;&gt;"","&lt;vk kbd="""&amp;Y$1&amp;""" vk="""&amp;Y113&amp;""""&amp;IF(Scan2VKFlags!T113&lt;&gt;""," flags="""&amp;Scan2VKFlags!T113&amp;"""","")&amp;"/&gt;","")</f>
        <v>&lt;vk kbd="34" vk="_none_"/&gt;</v>
      </c>
      <c r="AY113" s="18" t="str">
        <f>IF(AA113&lt;&gt;"","&lt;vk kbd="""&amp;AA$1&amp;""" vk="""&amp;AA113&amp;""""&amp;IF(Scan2VKFlags!U113&lt;&gt;""," flags="""&amp;Scan2VKFlags!U113&amp;"""","")&amp;"/&gt;","")</f>
        <v>&lt;vk kbd="37" vk="_none_"/&gt;</v>
      </c>
      <c r="AZ113" s="3" t="str">
        <f>IF(AC113&lt;&gt;"","&lt;vk kbd="""&amp;AC$1&amp;""" vk="""&amp;AC113&amp;""""&amp;IF(Scan2VKFlags!V113&lt;&gt;""," flags="""&amp;Scan2VKFlags!V113&amp;"""","")&amp;"/&gt;","")</f>
        <v>&lt;vk kbd="40" vk="_none_"/&gt;</v>
      </c>
      <c r="BA113" s="16" t="str">
        <f>IF(AD113&lt;&gt;"","&lt;vk kbd="""&amp;AD$1&amp;""" vk="""&amp;AD113&amp;""""&amp;IF(Scan2VKFlags!W113&lt;&gt;""," flags="""&amp;Scan2VKFlags!W113&amp;"""","")&amp;"/&gt;","")</f>
        <v>&lt;vk kbd="41" vk="_none_"/&gt;</v>
      </c>
      <c r="BB113" t="s">
        <v>854</v>
      </c>
    </row>
    <row r="114" spans="1:54" x14ac:dyDescent="0.25">
      <c r="A114">
        <f t="shared" si="11"/>
        <v>112</v>
      </c>
      <c r="B114" t="str">
        <f t="shared" si="8"/>
        <v>T70</v>
      </c>
      <c r="C114" s="7" t="s">
        <v>0</v>
      </c>
      <c r="D114" s="12" t="str">
        <f>trimtext(SplitText($C114,",",0))</f>
        <v>_none_</v>
      </c>
      <c r="E114" s="12" t="str">
        <f>IF(SplitText($C114,",",COLUMN(E:E)-COLUMN($D:$D))="",$D114,trimtext(SplitText($C114,",",COLUMN(E:E)-COLUMN($D:$D))))</f>
        <v>_none_</v>
      </c>
      <c r="F114" s="12" t="str">
        <f>IF(SplitText($C114,",",COLUMN(F:F)-COLUMN($D:$D))="",$D114,trimtext(SplitText($C114,",",COLUMN(F:F)-COLUMN($D:$D))))</f>
        <v>_none_</v>
      </c>
      <c r="G114" s="12" t="str">
        <f>IF(SplitText($C114,",",COLUMN(G:G)-COLUMN($D:$D))="",$D114,trimtext(SplitText($C114,",",COLUMN(G:G)-COLUMN($D:$D))))</f>
        <v>_none_</v>
      </c>
      <c r="H114" s="12" t="str">
        <f>IF(SplitText($C114,",",COLUMN(H:H)-COLUMN($D:$D))="",$D114,trimtext(SplitText($C114,",",COLUMN(H:H)-COLUMN($D:$D))))</f>
        <v>_none_</v>
      </c>
      <c r="I114" s="12" t="str">
        <f>IF(SplitText($C114,",",COLUMN(I:I)-COLUMN($D:$D))="",$D114,trimtext(SplitText($C114,",",COLUMN(I:I)-COLUMN($D:$D))))</f>
        <v>_none_</v>
      </c>
      <c r="J114" s="9" t="s">
        <v>293</v>
      </c>
      <c r="K114" s="12" t="str">
        <f>trimtext(SplitText($J114,",",0))</f>
        <v>DBE_KATAKANA</v>
      </c>
      <c r="L114" s="12" t="str">
        <f>IF(SplitText($J114,",",COLUMN(L:L)-COLUMN($K:$K))="",$K114,trimtext(SplitText($J114,",",COLUMN(L:L)-COLUMN($K:$K))))</f>
        <v>DBE_HIRAGANA</v>
      </c>
      <c r="M114" s="12" t="str">
        <f>IF(SplitText($J114,",",COLUMN(M:M)-COLUMN($K:$K))="",$K114,trimtext(SplitText($J114,",",COLUMN(M:M)-COLUMN($K:$K))))</f>
        <v>_none_</v>
      </c>
      <c r="N114" s="12" t="str">
        <f>IF(SplitText($J114,",",COLUMN(N:N)-COLUMN($K:$K))="",$K114,trimtext(SplitText($J114,",",COLUMN(N:N)-COLUMN($K:$K))))</f>
        <v>_none_</v>
      </c>
      <c r="O114" s="12" t="str">
        <f>IF(SplitText($J114,",",COLUMN(O:O)-COLUMN($K:$K))="",$K114,trimtext(SplitText($J114,",",COLUMN(O:O)-COLUMN($K:$K))))</f>
        <v>_none_</v>
      </c>
      <c r="P114" s="12" t="str">
        <f>IF(SplitText($J114,",",COLUMN(P:P)-COLUMN($K:$K))="",$K114,trimtext(SplitText($J114,",",COLUMN(P:P)-COLUMN($K:$K))))</f>
        <v>_none_</v>
      </c>
      <c r="Q114" s="12" t="str">
        <f>IF(SplitText($J114,",",COLUMN(Q:Q)-COLUMN($K:$K))="",$K114,trimtext(SplitText($J114,",",COLUMN(Q:Q)-COLUMN($K:$K))))</f>
        <v>_none_</v>
      </c>
      <c r="R114" s="2" t="s">
        <v>454</v>
      </c>
      <c r="S114" s="12" t="str">
        <f>trimtext(SplitText($R114,",",0))</f>
        <v>NEXT</v>
      </c>
      <c r="T114" s="12" t="str">
        <f>IF(SplitText($R114,",",COLUMN(T:T)-COLUMN($S:$S))="",$S114,trimtext(SplitText($R114,",",COLUMN(T:T)-COLUMN($S:$S))))</f>
        <v>NEXT</v>
      </c>
      <c r="U114" s="12" t="str">
        <f>IF(SplitText($R114,",",COLUMN(U:U)-COLUMN($S:$S))="",$S114,trimtext(SplitText($R114,",",COLUMN(U:U)-COLUMN($S:$S))))</f>
        <v>DBE_HIRAGA</v>
      </c>
      <c r="V114" s="24" t="s">
        <v>611</v>
      </c>
      <c r="W114" s="12" t="str">
        <f>trimtext(SplitText($V114,",",0))</f>
        <v>KANA</v>
      </c>
      <c r="X114" s="12" t="str">
        <f>IF(SplitText($V114,",",COLUMN(X:X)-COLUMN($W:$W))="",$W114,trimtext(SplitText($V114,",",COLUMN(X:X)-COLUMN($W:$W))))</f>
        <v>KANA</v>
      </c>
      <c r="Y114" s="12" t="str">
        <f>IF(SplitText($V114,",",COLUMN(Y:Y)-COLUMN($W:$W))="",$W114,trimtext(SplitText($V114,",",COLUMN(Y:Y)-COLUMN($W:$W))))</f>
        <v>DBE_HIRAGANA</v>
      </c>
      <c r="Z114" s="2" t="s">
        <v>731</v>
      </c>
      <c r="AA114" s="12" t="str">
        <f t="shared" si="9"/>
        <v>LSHIFT</v>
      </c>
      <c r="AB114" s="2" t="s">
        <v>830</v>
      </c>
      <c r="AC114" s="12" t="str">
        <f>trimtext(SplitText($AB114,",",0))</f>
        <v>DBE_HIRAGANA</v>
      </c>
      <c r="AD114" s="12" t="str">
        <f>IF(SplitText($AB114,",",COLUMN(AD:AD)-COLUMN($AC:$AC))="",$AC114,trimtext(SplitText($AB114,",",COLUMN(AD:AD)-COLUMN($AC:$AC))))</f>
        <v>DBE_HIRAGANA</v>
      </c>
      <c r="AE114" s="18" t="str">
        <f t="shared" si="10"/>
        <v>&lt;xs:enumeration value="T70"&gt;&lt;xs:annotation&gt;&lt;xs:documentation&gt;Typically _none_ for keyboard type 4, different values for different keyboard types&lt;/xs:documentation&gt;&lt;xs:appinfo&gt;&lt;default-vk&gt;</v>
      </c>
      <c r="AF114" s="15" t="str">
        <f>IF(D114&lt;&gt;"","&lt;vk kbd="""&amp;D$1&amp;""" vk="""&amp;D114&amp;""""&amp;IF(Scan2VKFlags!B114&lt;&gt;""," flags="""&amp;Scan2VKFlags!B114&amp;"""","")&amp;"/&gt;","")</f>
        <v>&lt;vk kbd="1" vk="_none_"/&gt;</v>
      </c>
      <c r="AG114" s="15" t="str">
        <f>IF(E114&lt;&gt;"","&lt;vk kbd="""&amp;E$1&amp;""" vk="""&amp;E114&amp;""""&amp;IF(Scan2VKFlags!C114&lt;&gt;""," flags="""&amp;Scan2VKFlags!C114&amp;"""","")&amp;"/&gt;","")</f>
        <v>&lt;vk kbd="2" vk="_none_"/&gt;</v>
      </c>
      <c r="AH114" s="15" t="str">
        <f>IF(F114&lt;&gt;"","&lt;vk kbd="""&amp;F$1&amp;""" vk="""&amp;F114&amp;""""&amp;IF(Scan2VKFlags!D114&lt;&gt;""," flags="""&amp;Scan2VKFlags!D114&amp;"""","")&amp;"/&gt;","")</f>
        <v>&lt;vk kbd="3" vk="_none_"/&gt;</v>
      </c>
      <c r="AI114" s="15" t="str">
        <f>IF(G114&lt;&gt;"","&lt;vk kbd="""&amp;G$1&amp;""" vk="""&amp;G114&amp;""""&amp;IF(Scan2VKFlags!E114&lt;&gt;""," flags="""&amp;Scan2VKFlags!E114&amp;"""","")&amp;"/&gt;","")</f>
        <v>&lt;vk kbd="4" vk="_none_"/&gt;</v>
      </c>
      <c r="AJ114" s="15" t="str">
        <f>IF(H114&lt;&gt;"","&lt;vk kbd="""&amp;H$1&amp;""" vk="""&amp;H114&amp;""""&amp;IF(Scan2VKFlags!F114&lt;&gt;""," flags="""&amp;Scan2VKFlags!F114&amp;"""","")&amp;"/&gt;","")</f>
        <v>&lt;vk kbd="5" vk="_none_"/&gt;</v>
      </c>
      <c r="AK114" s="16" t="str">
        <f>IF(I114&lt;&gt;"","&lt;vk kbd="""&amp;I$1&amp;""" vk="""&amp;I114&amp;""""&amp;IF(Scan2VKFlags!G114&lt;&gt;""," flags="""&amp;Scan2VKFlags!G114&amp;"""","")&amp;"/&gt;","")</f>
        <v>&lt;vk kbd="6" vk="_none_"/&gt;</v>
      </c>
      <c r="AL114" s="3" t="str">
        <f>IF(K114&lt;&gt;"","&lt;vk kbd="""&amp;K$1&amp;""" vk="""&amp;K114&amp;""""&amp;IF(Scan2VKFlags!H114&lt;&gt;""," flags="""&amp;Scan2VKFlags!H114&amp;"""","")&amp;"/&gt;","")</f>
        <v>&lt;vk kbd="7" vk="DBE_KATAKANA"/&gt;</v>
      </c>
      <c r="AM114" t="str">
        <f>IF(L114&lt;&gt;"","&lt;vk kbd="""&amp;L$1&amp;""" vk="""&amp;L114&amp;""""&amp;IF(Scan2VKFlags!I114&lt;&gt;""," flags="""&amp;Scan2VKFlags!I114&amp;"""","")&amp;"/&gt;","")</f>
        <v>&lt;vk kbd="8" vk="DBE_HIRAGANA"/&gt;</v>
      </c>
      <c r="AN114" t="str">
        <f>IF(M114&lt;&gt;"","&lt;vk kbd="""&amp;M$1&amp;""" vk="""&amp;M114&amp;""""&amp;IF(Scan2VKFlags!J114&lt;&gt;""," flags="""&amp;Scan2VKFlags!J114&amp;"""","")&amp;"/&gt;","")</f>
        <v>&lt;vk kbd="16" vk="_none_"/&gt;</v>
      </c>
      <c r="AO114" t="str">
        <f>IF(N114&lt;&gt;"","&lt;vk kbd="""&amp;N$1&amp;""" vk="""&amp;N114&amp;""""&amp;IF(Scan2VKFlags!K114&lt;&gt;""," flags="""&amp;Scan2VKFlags!K114&amp;"""","")&amp;"/&gt;","")</f>
        <v>&lt;vk kbd="10" vk="_none_"/&gt;</v>
      </c>
      <c r="AP114" t="str">
        <f>IF(O114&lt;&gt;"","&lt;vk kbd="""&amp;O$1&amp;""" vk="""&amp;O114&amp;""""&amp;IF(Scan2VKFlags!L114&lt;&gt;""," flags="""&amp;Scan2VKFlags!L114&amp;"""","")&amp;"/&gt;","")</f>
        <v>&lt;vk kbd="11" vk="_none_"/&gt;</v>
      </c>
      <c r="AQ114" t="str">
        <f>IF(P114&lt;&gt;"","&lt;vk kbd="""&amp;P$1&amp;""" vk="""&amp;P114&amp;""""&amp;IF(Scan2VKFlags!M114&lt;&gt;""," flags="""&amp;Scan2VKFlags!M114&amp;"""","")&amp;"/&gt;","")</f>
        <v>&lt;vk kbd="12" vk="_none_"/&gt;</v>
      </c>
      <c r="AR114" s="16" t="str">
        <f>IF(Q114&lt;&gt;"","&lt;vk kbd="""&amp;Q$1&amp;""" vk="""&amp;Q114&amp;""""&amp;IF(Scan2VKFlags!N114&lt;&gt;""," flags="""&amp;Scan2VKFlags!N114&amp;"""","")&amp;"/&gt;","")</f>
        <v>&lt;vk kbd="13" vk="_none_"/&gt;</v>
      </c>
      <c r="AS114" s="3" t="str">
        <f>IF(S114&lt;&gt;"","&lt;vk kbd="""&amp;S$1&amp;""" vk="""&amp;S114&amp;""""&amp;IF(Scan2VKFlags!O114&lt;&gt;""," flags="""&amp;Scan2VKFlags!O114&amp;"""","")&amp;"/&gt;","")</f>
        <v>&lt;vk kbd="20" vk="NEXT"/&gt;</v>
      </c>
      <c r="AT114" t="str">
        <f>IF(T114&lt;&gt;"","&lt;vk kbd="""&amp;T$1&amp;""" vk="""&amp;T114&amp;""""&amp;IF(Scan2VKFlags!P114&lt;&gt;""," flags="""&amp;Scan2VKFlags!P114&amp;"""","")&amp;"/&gt;","")</f>
        <v>&lt;vk kbd="21" vk="NEXT"/&gt;</v>
      </c>
      <c r="AU114" s="16" t="str">
        <f>IF(U114&lt;&gt;"","&lt;vk kbd="""&amp;U$1&amp;""" vk="""&amp;U114&amp;""""&amp;IF(Scan2VKFlags!Q114&lt;&gt;""," flags="""&amp;Scan2VKFlags!Q114&amp;"""","")&amp;"/&gt;","")</f>
        <v>&lt;vk kbd="22" vk="DBE_HIRAGA"/&gt;</v>
      </c>
      <c r="AV114" s="3" t="str">
        <f>IF(W114&lt;&gt;"","&lt;vk kbd="""&amp;W$1&amp;""" vk="""&amp;W114&amp;""""&amp;IF(Scan2VKFlags!R114&lt;&gt;""," flags="""&amp;Scan2VKFlags!R114&amp;"""","")&amp;"/&gt;","")</f>
        <v>&lt;vk kbd="30" vk="KANA"/&gt;</v>
      </c>
      <c r="AW114" s="15" t="str">
        <f>IF(X114&lt;&gt;"","&lt;vk kbd="""&amp;X$1&amp;""" vk="""&amp;X114&amp;""""&amp;IF(Scan2VKFlags!S114&lt;&gt;""," flags="""&amp;Scan2VKFlags!S114&amp;"""","")&amp;"/&gt;","")</f>
        <v>&lt;vk kbd="33" vk="KANA"/&gt;</v>
      </c>
      <c r="AX114" s="15" t="str">
        <f>IF(Y114&lt;&gt;"","&lt;vk kbd="""&amp;Y$1&amp;""" vk="""&amp;Y114&amp;""""&amp;IF(Scan2VKFlags!T114&lt;&gt;""," flags="""&amp;Scan2VKFlags!T114&amp;"""","")&amp;"/&gt;","")</f>
        <v>&lt;vk kbd="34" vk="DBE_HIRAGANA"/&gt;</v>
      </c>
      <c r="AY114" s="18" t="str">
        <f>IF(AA114&lt;&gt;"","&lt;vk kbd="""&amp;AA$1&amp;""" vk="""&amp;AA114&amp;""""&amp;IF(Scan2VKFlags!U114&lt;&gt;""," flags="""&amp;Scan2VKFlags!U114&amp;"""","")&amp;"/&gt;","")</f>
        <v>&lt;vk kbd="37" vk="LSHIFT"/&gt;</v>
      </c>
      <c r="AZ114" s="3" t="str">
        <f>IF(AC114&lt;&gt;"","&lt;vk kbd="""&amp;AC$1&amp;""" vk="""&amp;AC114&amp;""""&amp;IF(Scan2VKFlags!V114&lt;&gt;""," flags="""&amp;Scan2VKFlags!V114&amp;"""","")&amp;"/&gt;","")</f>
        <v>&lt;vk kbd="40" vk="DBE_HIRAGANA"/&gt;</v>
      </c>
      <c r="BA114" s="16" t="str">
        <f>IF(AD114&lt;&gt;"","&lt;vk kbd="""&amp;AD$1&amp;""" vk="""&amp;AD114&amp;""""&amp;IF(Scan2VKFlags!W114&lt;&gt;""," flags="""&amp;Scan2VKFlags!W114&amp;"""","")&amp;"/&gt;","")</f>
        <v>&lt;vk kbd="41" vk="DBE_HIRAGANA"/&gt;</v>
      </c>
      <c r="BB114" t="s">
        <v>854</v>
      </c>
    </row>
    <row r="115" spans="1:54" x14ac:dyDescent="0.25">
      <c r="A115">
        <f t="shared" si="11"/>
        <v>113</v>
      </c>
      <c r="B115" t="str">
        <f t="shared" si="8"/>
        <v>T71</v>
      </c>
      <c r="C115" s="7" t="s">
        <v>108</v>
      </c>
      <c r="D115" s="12" t="str">
        <f>trimtext(SplitText($C115,",",0))</f>
        <v>OEM_RESET</v>
      </c>
      <c r="E115" s="12" t="str">
        <f>IF(SplitText($C115,",",COLUMN(E:E)-COLUMN($D:$D))="",$D115,trimtext(SplitText($C115,",",COLUMN(E:E)-COLUMN($D:$D))))</f>
        <v>OEM_RESET</v>
      </c>
      <c r="F115" s="12" t="str">
        <f>IF(SplitText($C115,",",COLUMN(F:F)-COLUMN($D:$D))="",$D115,trimtext(SplitText($C115,",",COLUMN(F:F)-COLUMN($D:$D))))</f>
        <v>OEM_RESET</v>
      </c>
      <c r="G115" s="12" t="str">
        <f>IF(SplitText($C115,",",COLUMN(G:G)-COLUMN($D:$D))="",$D115,trimtext(SplitText($C115,",",COLUMN(G:G)-COLUMN($D:$D))))</f>
        <v>OEM_RESET</v>
      </c>
      <c r="H115" s="12" t="str">
        <f>IF(SplitText($C115,",",COLUMN(H:H)-COLUMN($D:$D))="",$D115,trimtext(SplitText($C115,",",COLUMN(H:H)-COLUMN($D:$D))))</f>
        <v>OEM_RESET</v>
      </c>
      <c r="I115" s="12" t="str">
        <f>IF(SplitText($C115,",",COLUMN(I:I)-COLUMN($D:$D))="",$D115,trimtext(SplitText($C115,",",COLUMN(I:I)-COLUMN($D:$D))))</f>
        <v>OEM_RESET</v>
      </c>
      <c r="J115" s="9" t="s">
        <v>294</v>
      </c>
      <c r="K115" s="12" t="str">
        <f>trimtext(SplitText($J115,",",0))</f>
        <v>_none_</v>
      </c>
      <c r="L115" s="12" t="str">
        <f>IF(SplitText($J115,",",COLUMN(L:L)-COLUMN($K:$K))="",$K115,trimtext(SplitText($J115,",",COLUMN(L:L)-COLUMN($K:$K))))</f>
        <v>_none_</v>
      </c>
      <c r="M115" s="12" t="str">
        <f>IF(SplitText($J115,",",COLUMN(M:M)-COLUMN($K:$K))="",$K115,trimtext(SplitText($J115,",",COLUMN(M:M)-COLUMN($K:$K))))</f>
        <v>_none_</v>
      </c>
      <c r="N115" s="12" t="str">
        <f>IF(SplitText($J115,",",COLUMN(N:N)-COLUMN($K:$K))="",$K115,trimtext(SplitText($J115,",",COLUMN(N:N)-COLUMN($K:$K))))</f>
        <v>OEM_RESET</v>
      </c>
      <c r="O115" s="12" t="str">
        <f>IF(SplitText($J115,",",COLUMN(O:O)-COLUMN($K:$K))="",$K115,trimtext(SplitText($J115,",",COLUMN(O:O)-COLUMN($K:$K))))</f>
        <v>OEM_RESET</v>
      </c>
      <c r="P115" s="12" t="str">
        <f>IF(SplitText($J115,",",COLUMN(P:P)-COLUMN($K:$K))="",$K115,trimtext(SplitText($J115,",",COLUMN(P:P)-COLUMN($K:$K))))</f>
        <v>OEM_RESET</v>
      </c>
      <c r="Q115" s="12" t="str">
        <f>IF(SplitText($J115,",",COLUMN(Q:Q)-COLUMN($K:$K))="",$K115,trimtext(SplitText($J115,",",COLUMN(Q:Q)-COLUMN($K:$K))))</f>
        <v>OEM_RESET</v>
      </c>
      <c r="R115" s="2" t="s">
        <v>342</v>
      </c>
      <c r="S115" s="12" t="str">
        <f>trimtext(SplitText($R115,",",0))</f>
        <v>_none_</v>
      </c>
      <c r="T115" s="12" t="str">
        <f>IF(SplitText($R115,",",COLUMN(T:T)-COLUMN($S:$S))="",$S115,trimtext(SplitText($R115,",",COLUMN(T:T)-COLUMN($S:$S))))</f>
        <v>_none_</v>
      </c>
      <c r="U115" s="12" t="str">
        <f>IF(SplitText($R115,",",COLUMN(U:U)-COLUMN($S:$S))="",$S115,trimtext(SplitText($R115,",",COLUMN(U:U)-COLUMN($S:$S))))</f>
        <v>_none_</v>
      </c>
      <c r="V115" s="2" t="s">
        <v>507</v>
      </c>
      <c r="W115" s="12" t="str">
        <f>trimtext(SplitText($V115,",",0))</f>
        <v>_none_</v>
      </c>
      <c r="X115" s="12" t="str">
        <f>IF(SplitText($V115,",",COLUMN(X:X)-COLUMN($W:$W))="",$W115,trimtext(SplitText($V115,",",COLUMN(X:X)-COLUMN($W:$W))))</f>
        <v>_none_</v>
      </c>
      <c r="Y115" s="12" t="str">
        <f>IF(SplitText($V115,",",COLUMN(Y:Y)-COLUMN($W:$W))="",$W115,trimtext(SplitText($V115,",",COLUMN(Y:Y)-COLUMN($W:$W))))</f>
        <v>_none_</v>
      </c>
      <c r="Z115" s="2" t="s">
        <v>732</v>
      </c>
      <c r="AA115" s="12" t="str">
        <f t="shared" si="9"/>
        <v>CAPITAL</v>
      </c>
      <c r="AB115" s="2" t="s">
        <v>743</v>
      </c>
      <c r="AC115" s="12" t="str">
        <f>trimtext(SplitText($AB115,",",0))</f>
        <v>_none_</v>
      </c>
      <c r="AD115" s="12" t="str">
        <f>IF(SplitText($AB115,",",COLUMN(AD:AD)-COLUMN($AC:$AC))="",$AC115,trimtext(SplitText($AB115,",",COLUMN(AD:AD)-COLUMN($AC:$AC))))</f>
        <v>_none_</v>
      </c>
      <c r="AE115" s="18" t="str">
        <f t="shared" si="10"/>
        <v>&lt;xs:enumeration value="T71"&gt;&lt;xs:annotation&gt;&lt;xs:documentation&gt;Typically OEM_RESET for keyboard type 4, different values for different keyboard types&lt;/xs:documentation&gt;&lt;xs:appinfo&gt;&lt;default-vk&gt;</v>
      </c>
      <c r="AF115" s="15" t="str">
        <f>IF(D115&lt;&gt;"","&lt;vk kbd="""&amp;D$1&amp;""" vk="""&amp;D115&amp;""""&amp;IF(Scan2VKFlags!B115&lt;&gt;""," flags="""&amp;Scan2VKFlags!B115&amp;"""","")&amp;"/&gt;","")</f>
        <v>&lt;vk kbd="1" vk="OEM_RESET"/&gt;</v>
      </c>
      <c r="AG115" s="15" t="str">
        <f>IF(E115&lt;&gt;"","&lt;vk kbd="""&amp;E$1&amp;""" vk="""&amp;E115&amp;""""&amp;IF(Scan2VKFlags!C115&lt;&gt;""," flags="""&amp;Scan2VKFlags!C115&amp;"""","")&amp;"/&gt;","")</f>
        <v>&lt;vk kbd="2" vk="OEM_RESET"/&gt;</v>
      </c>
      <c r="AH115" s="15" t="str">
        <f>IF(F115&lt;&gt;"","&lt;vk kbd="""&amp;F$1&amp;""" vk="""&amp;F115&amp;""""&amp;IF(Scan2VKFlags!D115&lt;&gt;""," flags="""&amp;Scan2VKFlags!D115&amp;"""","")&amp;"/&gt;","")</f>
        <v>&lt;vk kbd="3" vk="OEM_RESET"/&gt;</v>
      </c>
      <c r="AI115" s="15" t="str">
        <f>IF(G115&lt;&gt;"","&lt;vk kbd="""&amp;G$1&amp;""" vk="""&amp;G115&amp;""""&amp;IF(Scan2VKFlags!E115&lt;&gt;""," flags="""&amp;Scan2VKFlags!E115&amp;"""","")&amp;"/&gt;","")</f>
        <v>&lt;vk kbd="4" vk="OEM_RESET"/&gt;</v>
      </c>
      <c r="AJ115" s="15" t="str">
        <f>IF(H115&lt;&gt;"","&lt;vk kbd="""&amp;H$1&amp;""" vk="""&amp;H115&amp;""""&amp;IF(Scan2VKFlags!F115&lt;&gt;""," flags="""&amp;Scan2VKFlags!F115&amp;"""","")&amp;"/&gt;","")</f>
        <v>&lt;vk kbd="5" vk="OEM_RESET"/&gt;</v>
      </c>
      <c r="AK115" s="16" t="str">
        <f>IF(I115&lt;&gt;"","&lt;vk kbd="""&amp;I$1&amp;""" vk="""&amp;I115&amp;""""&amp;IF(Scan2VKFlags!G115&lt;&gt;""," flags="""&amp;Scan2VKFlags!G115&amp;"""","")&amp;"/&gt;","")</f>
        <v>&lt;vk kbd="6" vk="OEM_RESET"/&gt;</v>
      </c>
      <c r="AL115" s="3" t="str">
        <f>IF(K115&lt;&gt;"","&lt;vk kbd="""&amp;K$1&amp;""" vk="""&amp;K115&amp;""""&amp;IF(Scan2VKFlags!H115&lt;&gt;""," flags="""&amp;Scan2VKFlags!H115&amp;"""","")&amp;"/&gt;","")</f>
        <v>&lt;vk kbd="7" vk="_none_"/&gt;</v>
      </c>
      <c r="AM115" t="str">
        <f>IF(L115&lt;&gt;"","&lt;vk kbd="""&amp;L$1&amp;""" vk="""&amp;L115&amp;""""&amp;IF(Scan2VKFlags!I115&lt;&gt;""," flags="""&amp;Scan2VKFlags!I115&amp;"""","")&amp;"/&gt;","")</f>
        <v>&lt;vk kbd="8" vk="_none_"/&gt;</v>
      </c>
      <c r="AN115" t="str">
        <f>IF(M115&lt;&gt;"","&lt;vk kbd="""&amp;M$1&amp;""" vk="""&amp;M115&amp;""""&amp;IF(Scan2VKFlags!J115&lt;&gt;""," flags="""&amp;Scan2VKFlags!J115&amp;"""","")&amp;"/&gt;","")</f>
        <v>&lt;vk kbd="16" vk="_none_"/&gt;</v>
      </c>
      <c r="AO115" t="str">
        <f>IF(N115&lt;&gt;"","&lt;vk kbd="""&amp;N$1&amp;""" vk="""&amp;N115&amp;""""&amp;IF(Scan2VKFlags!K115&lt;&gt;""," flags="""&amp;Scan2VKFlags!K115&amp;"""","")&amp;"/&gt;","")</f>
        <v>&lt;vk kbd="10" vk="OEM_RESET"/&gt;</v>
      </c>
      <c r="AP115" t="str">
        <f>IF(O115&lt;&gt;"","&lt;vk kbd="""&amp;O$1&amp;""" vk="""&amp;O115&amp;""""&amp;IF(Scan2VKFlags!L115&lt;&gt;""," flags="""&amp;Scan2VKFlags!L115&amp;"""","")&amp;"/&gt;","")</f>
        <v>&lt;vk kbd="11" vk="OEM_RESET"/&gt;</v>
      </c>
      <c r="AQ115" t="str">
        <f>IF(P115&lt;&gt;"","&lt;vk kbd="""&amp;P$1&amp;""" vk="""&amp;P115&amp;""""&amp;IF(Scan2VKFlags!M115&lt;&gt;""," flags="""&amp;Scan2VKFlags!M115&amp;"""","")&amp;"/&gt;","")</f>
        <v>&lt;vk kbd="12" vk="OEM_RESET"/&gt;</v>
      </c>
      <c r="AR115" s="16" t="str">
        <f>IF(Q115&lt;&gt;"","&lt;vk kbd="""&amp;Q$1&amp;""" vk="""&amp;Q115&amp;""""&amp;IF(Scan2VKFlags!N115&lt;&gt;""," flags="""&amp;Scan2VKFlags!N115&amp;"""","")&amp;"/&gt;","")</f>
        <v>&lt;vk kbd="13" vk="OEM_RESET"/&gt;</v>
      </c>
      <c r="AS115" s="3" t="str">
        <f>IF(S115&lt;&gt;"","&lt;vk kbd="""&amp;S$1&amp;""" vk="""&amp;S115&amp;""""&amp;IF(Scan2VKFlags!O115&lt;&gt;""," flags="""&amp;Scan2VKFlags!O115&amp;"""","")&amp;"/&gt;","")</f>
        <v>&lt;vk kbd="20" vk="_none_"/&gt;</v>
      </c>
      <c r="AT115" t="str">
        <f>IF(T115&lt;&gt;"","&lt;vk kbd="""&amp;T$1&amp;""" vk="""&amp;T115&amp;""""&amp;IF(Scan2VKFlags!P115&lt;&gt;""," flags="""&amp;Scan2VKFlags!P115&amp;"""","")&amp;"/&gt;","")</f>
        <v>&lt;vk kbd="21" vk="_none_"/&gt;</v>
      </c>
      <c r="AU115" s="16" t="str">
        <f>IF(U115&lt;&gt;"","&lt;vk kbd="""&amp;U$1&amp;""" vk="""&amp;U115&amp;""""&amp;IF(Scan2VKFlags!Q115&lt;&gt;""," flags="""&amp;Scan2VKFlags!Q115&amp;"""","")&amp;"/&gt;","")</f>
        <v>&lt;vk kbd="22" vk="_none_"/&gt;</v>
      </c>
      <c r="AV115" s="3" t="str">
        <f>IF(W115&lt;&gt;"","&lt;vk kbd="""&amp;W$1&amp;""" vk="""&amp;W115&amp;""""&amp;IF(Scan2VKFlags!R115&lt;&gt;""," flags="""&amp;Scan2VKFlags!R115&amp;"""","")&amp;"/&gt;","")</f>
        <v>&lt;vk kbd="30" vk="_none_"/&gt;</v>
      </c>
      <c r="AW115" s="15" t="str">
        <f>IF(X115&lt;&gt;"","&lt;vk kbd="""&amp;X$1&amp;""" vk="""&amp;X115&amp;""""&amp;IF(Scan2VKFlags!S115&lt;&gt;""," flags="""&amp;Scan2VKFlags!S115&amp;"""","")&amp;"/&gt;","")</f>
        <v>&lt;vk kbd="33" vk="_none_"/&gt;</v>
      </c>
      <c r="AX115" s="15" t="str">
        <f>IF(Y115&lt;&gt;"","&lt;vk kbd="""&amp;Y$1&amp;""" vk="""&amp;Y115&amp;""""&amp;IF(Scan2VKFlags!T115&lt;&gt;""," flags="""&amp;Scan2VKFlags!T115&amp;"""","")&amp;"/&gt;","")</f>
        <v>&lt;vk kbd="34" vk="_none_"/&gt;</v>
      </c>
      <c r="AY115" s="18" t="str">
        <f>IF(AA115&lt;&gt;"","&lt;vk kbd="""&amp;AA$1&amp;""" vk="""&amp;AA115&amp;""""&amp;IF(Scan2VKFlags!U115&lt;&gt;""," flags="""&amp;Scan2VKFlags!U115&amp;"""","")&amp;"/&gt;","")</f>
        <v>&lt;vk kbd="37" vk="CAPITAL"/&gt;</v>
      </c>
      <c r="AZ115" s="3" t="str">
        <f>IF(AC115&lt;&gt;"","&lt;vk kbd="""&amp;AC$1&amp;""" vk="""&amp;AC115&amp;""""&amp;IF(Scan2VKFlags!V115&lt;&gt;""," flags="""&amp;Scan2VKFlags!V115&amp;"""","")&amp;"/&gt;","")</f>
        <v>&lt;vk kbd="40" vk="_none_"/&gt;</v>
      </c>
      <c r="BA115" s="16" t="str">
        <f>IF(AD115&lt;&gt;"","&lt;vk kbd="""&amp;AD$1&amp;""" vk="""&amp;AD115&amp;""""&amp;IF(Scan2VKFlags!W115&lt;&gt;""," flags="""&amp;Scan2VKFlags!W115&amp;"""","")&amp;"/&gt;","")</f>
        <v>&lt;vk kbd="41" vk="_none_"/&gt;</v>
      </c>
      <c r="BB115" t="s">
        <v>854</v>
      </c>
    </row>
    <row r="116" spans="1:54" x14ac:dyDescent="0.25">
      <c r="A116">
        <f t="shared" si="11"/>
        <v>114</v>
      </c>
      <c r="B116" t="str">
        <f t="shared" si="8"/>
        <v>T72</v>
      </c>
      <c r="C116" s="7" t="s">
        <v>0</v>
      </c>
      <c r="D116" s="12" t="str">
        <f>trimtext(SplitText($C116,",",0))</f>
        <v>_none_</v>
      </c>
      <c r="E116" s="12" t="str">
        <f>IF(SplitText($C116,",",COLUMN(E:E)-COLUMN($D:$D))="",$D116,trimtext(SplitText($C116,",",COLUMN(E:E)-COLUMN($D:$D))))</f>
        <v>_none_</v>
      </c>
      <c r="F116" s="12" t="str">
        <f>IF(SplitText($C116,",",COLUMN(F:F)-COLUMN($D:$D))="",$D116,trimtext(SplitText($C116,",",COLUMN(F:F)-COLUMN($D:$D))))</f>
        <v>_none_</v>
      </c>
      <c r="G116" s="12" t="str">
        <f>IF(SplitText($C116,",",COLUMN(G:G)-COLUMN($D:$D))="",$D116,trimtext(SplitText($C116,",",COLUMN(G:G)-COLUMN($D:$D))))</f>
        <v>_none_</v>
      </c>
      <c r="H116" s="12" t="str">
        <f>IF(SplitText($C116,",",COLUMN(H:H)-COLUMN($D:$D))="",$D116,trimtext(SplitText($C116,",",COLUMN(H:H)-COLUMN($D:$D))))</f>
        <v>_none_</v>
      </c>
      <c r="I116" s="12" t="str">
        <f>IF(SplitText($C116,",",COLUMN(I:I)-COLUMN($D:$D))="",$D116,trimtext(SplitText($C116,",",COLUMN(I:I)-COLUMN($D:$D))))</f>
        <v>_none_</v>
      </c>
      <c r="J116" s="9" t="s">
        <v>185</v>
      </c>
      <c r="K116" s="12" t="str">
        <f>trimtext(SplitText($J116,",",0))</f>
        <v>_none_</v>
      </c>
      <c r="L116" s="12" t="str">
        <f>IF(SplitText($J116,",",COLUMN(L:L)-COLUMN($K:$K))="",$K116,trimtext(SplitText($J116,",",COLUMN(L:L)-COLUMN($K:$K))))</f>
        <v>_none_</v>
      </c>
      <c r="M116" s="12" t="str">
        <f>IF(SplitText($J116,",",COLUMN(M:M)-COLUMN($K:$K))="",$K116,trimtext(SplitText($J116,",",COLUMN(M:M)-COLUMN($K:$K))))</f>
        <v>_none_</v>
      </c>
      <c r="N116" s="12" t="str">
        <f>IF(SplitText($J116,",",COLUMN(N:N)-COLUMN($K:$K))="",$K116,trimtext(SplitText($J116,",",COLUMN(N:N)-COLUMN($K:$K))))</f>
        <v>_none_</v>
      </c>
      <c r="O116" s="12" t="str">
        <f>IF(SplitText($J116,",",COLUMN(O:O)-COLUMN($K:$K))="",$K116,trimtext(SplitText($J116,",",COLUMN(O:O)-COLUMN($K:$K))))</f>
        <v>_none_</v>
      </c>
      <c r="P116" s="12" t="str">
        <f>IF(SplitText($J116,",",COLUMN(P:P)-COLUMN($K:$K))="",$K116,trimtext(SplitText($J116,",",COLUMN(P:P)-COLUMN($K:$K))))</f>
        <v>_none_</v>
      </c>
      <c r="Q116" s="12" t="str">
        <f>IF(SplitText($J116,",",COLUMN(Q:Q)-COLUMN($K:$K))="",$K116,trimtext(SplitText($J116,",",COLUMN(Q:Q)-COLUMN($K:$K))))</f>
        <v>_none_</v>
      </c>
      <c r="R116" s="2" t="s">
        <v>455</v>
      </c>
      <c r="S116" s="12" t="str">
        <f>trimtext(SplitText($R116,",",0))</f>
        <v>CANCEL</v>
      </c>
      <c r="T116" s="12" t="str">
        <f>IF(SplitText($R116,",",COLUMN(T:T)-COLUMN($S:$S))="",$S116,trimtext(SplitText($R116,",",COLUMN(T:T)-COLUMN($S:$S))))</f>
        <v>CANCEL</v>
      </c>
      <c r="U116" s="12" t="str">
        <f>IF(SplitText($R116,",",COLUMN(U:U)-COLUMN($S:$S))="",$S116,trimtext(SplitText($R116,",",COLUMN(U:U)-COLUMN($S:$S))))</f>
        <v>_none_</v>
      </c>
      <c r="V116" s="2" t="s">
        <v>507</v>
      </c>
      <c r="W116" s="12" t="str">
        <f>trimtext(SplitText($V116,",",0))</f>
        <v>_none_</v>
      </c>
      <c r="X116" s="12" t="str">
        <f>IF(SplitText($V116,",",COLUMN(X:X)-COLUMN($W:$W))="",$W116,trimtext(SplitText($V116,",",COLUMN(X:X)-COLUMN($W:$W))))</f>
        <v>_none_</v>
      </c>
      <c r="Y116" s="12" t="str">
        <f>IF(SplitText($V116,",",COLUMN(Y:Y)-COLUMN($W:$W))="",$W116,trimtext(SplitText($V116,",",COLUMN(Y:Y)-COLUMN($W:$W))))</f>
        <v>_none_</v>
      </c>
      <c r="Z116" s="2" t="s">
        <v>733</v>
      </c>
      <c r="AA116" s="12" t="str">
        <f t="shared" si="9"/>
        <v>KANA</v>
      </c>
      <c r="AB116" s="2" t="s">
        <v>743</v>
      </c>
      <c r="AC116" s="12" t="str">
        <f>trimtext(SplitText($AB116,",",0))</f>
        <v>_none_</v>
      </c>
      <c r="AD116" s="12" t="str">
        <f>IF(SplitText($AB116,",",COLUMN(AD:AD)-COLUMN($AC:$AC))="",$AC116,trimtext(SplitText($AB116,",",COLUMN(AD:AD)-COLUMN($AC:$AC))))</f>
        <v>_none_</v>
      </c>
      <c r="AE116" s="18" t="str">
        <f t="shared" si="10"/>
        <v>&lt;xs:enumeration value="T72"&gt;&lt;xs:annotation&gt;&lt;xs:documentation&gt;Typically _none_ for keyboard type 4, different values for different keyboard types&lt;/xs:documentation&gt;&lt;xs:appinfo&gt;&lt;default-vk&gt;</v>
      </c>
      <c r="AF116" s="15" t="str">
        <f>IF(D116&lt;&gt;"","&lt;vk kbd="""&amp;D$1&amp;""" vk="""&amp;D116&amp;""""&amp;IF(Scan2VKFlags!B116&lt;&gt;""," flags="""&amp;Scan2VKFlags!B116&amp;"""","")&amp;"/&gt;","")</f>
        <v>&lt;vk kbd="1" vk="_none_"/&gt;</v>
      </c>
      <c r="AG116" s="15" t="str">
        <f>IF(E116&lt;&gt;"","&lt;vk kbd="""&amp;E$1&amp;""" vk="""&amp;E116&amp;""""&amp;IF(Scan2VKFlags!C116&lt;&gt;""," flags="""&amp;Scan2VKFlags!C116&amp;"""","")&amp;"/&gt;","")</f>
        <v>&lt;vk kbd="2" vk="_none_"/&gt;</v>
      </c>
      <c r="AH116" s="15" t="str">
        <f>IF(F116&lt;&gt;"","&lt;vk kbd="""&amp;F$1&amp;""" vk="""&amp;F116&amp;""""&amp;IF(Scan2VKFlags!D116&lt;&gt;""," flags="""&amp;Scan2VKFlags!D116&amp;"""","")&amp;"/&gt;","")</f>
        <v>&lt;vk kbd="3" vk="_none_"/&gt;</v>
      </c>
      <c r="AI116" s="15" t="str">
        <f>IF(G116&lt;&gt;"","&lt;vk kbd="""&amp;G$1&amp;""" vk="""&amp;G116&amp;""""&amp;IF(Scan2VKFlags!E116&lt;&gt;""," flags="""&amp;Scan2VKFlags!E116&amp;"""","")&amp;"/&gt;","")</f>
        <v>&lt;vk kbd="4" vk="_none_"/&gt;</v>
      </c>
      <c r="AJ116" s="15" t="str">
        <f>IF(H116&lt;&gt;"","&lt;vk kbd="""&amp;H$1&amp;""" vk="""&amp;H116&amp;""""&amp;IF(Scan2VKFlags!F116&lt;&gt;""," flags="""&amp;Scan2VKFlags!F116&amp;"""","")&amp;"/&gt;","")</f>
        <v>&lt;vk kbd="5" vk="_none_"/&gt;</v>
      </c>
      <c r="AK116" s="16" t="str">
        <f>IF(I116&lt;&gt;"","&lt;vk kbd="""&amp;I$1&amp;""" vk="""&amp;I116&amp;""""&amp;IF(Scan2VKFlags!G116&lt;&gt;""," flags="""&amp;Scan2VKFlags!G116&amp;"""","")&amp;"/&gt;","")</f>
        <v>&lt;vk kbd="6" vk="_none_"/&gt;</v>
      </c>
      <c r="AL116" s="3" t="str">
        <f>IF(K116&lt;&gt;"","&lt;vk kbd="""&amp;K$1&amp;""" vk="""&amp;K116&amp;""""&amp;IF(Scan2VKFlags!H116&lt;&gt;""," flags="""&amp;Scan2VKFlags!H116&amp;"""","")&amp;"/&gt;","")</f>
        <v>&lt;vk kbd="7" vk="_none_"/&gt;</v>
      </c>
      <c r="AM116" t="str">
        <f>IF(L116&lt;&gt;"","&lt;vk kbd="""&amp;L$1&amp;""" vk="""&amp;L116&amp;""""&amp;IF(Scan2VKFlags!I116&lt;&gt;""," flags="""&amp;Scan2VKFlags!I116&amp;"""","")&amp;"/&gt;","")</f>
        <v>&lt;vk kbd="8" vk="_none_"/&gt;</v>
      </c>
      <c r="AN116" t="str">
        <f>IF(M116&lt;&gt;"","&lt;vk kbd="""&amp;M$1&amp;""" vk="""&amp;M116&amp;""""&amp;IF(Scan2VKFlags!J116&lt;&gt;""," flags="""&amp;Scan2VKFlags!J116&amp;"""","")&amp;"/&gt;","")</f>
        <v>&lt;vk kbd="16" vk="_none_"/&gt;</v>
      </c>
      <c r="AO116" t="str">
        <f>IF(N116&lt;&gt;"","&lt;vk kbd="""&amp;N$1&amp;""" vk="""&amp;N116&amp;""""&amp;IF(Scan2VKFlags!K116&lt;&gt;""," flags="""&amp;Scan2VKFlags!K116&amp;"""","")&amp;"/&gt;","")</f>
        <v>&lt;vk kbd="10" vk="_none_"/&gt;</v>
      </c>
      <c r="AP116" t="str">
        <f>IF(O116&lt;&gt;"","&lt;vk kbd="""&amp;O$1&amp;""" vk="""&amp;O116&amp;""""&amp;IF(Scan2VKFlags!L116&lt;&gt;""," flags="""&amp;Scan2VKFlags!L116&amp;"""","")&amp;"/&gt;","")</f>
        <v>&lt;vk kbd="11" vk="_none_"/&gt;</v>
      </c>
      <c r="AQ116" t="str">
        <f>IF(P116&lt;&gt;"","&lt;vk kbd="""&amp;P$1&amp;""" vk="""&amp;P116&amp;""""&amp;IF(Scan2VKFlags!M116&lt;&gt;""," flags="""&amp;Scan2VKFlags!M116&amp;"""","")&amp;"/&gt;","")</f>
        <v>&lt;vk kbd="12" vk="_none_"/&gt;</v>
      </c>
      <c r="AR116" s="16" t="str">
        <f>IF(Q116&lt;&gt;"","&lt;vk kbd="""&amp;Q$1&amp;""" vk="""&amp;Q116&amp;""""&amp;IF(Scan2VKFlags!N116&lt;&gt;""," flags="""&amp;Scan2VKFlags!N116&amp;"""","")&amp;"/&gt;","")</f>
        <v>&lt;vk kbd="13" vk="_none_"/&gt;</v>
      </c>
      <c r="AS116" s="3" t="str">
        <f>IF(S116&lt;&gt;"","&lt;vk kbd="""&amp;S$1&amp;""" vk="""&amp;S116&amp;""""&amp;IF(Scan2VKFlags!O116&lt;&gt;""," flags="""&amp;Scan2VKFlags!O116&amp;"""","")&amp;"/&gt;","")</f>
        <v>&lt;vk kbd="20" vk="CANCEL"/&gt;</v>
      </c>
      <c r="AT116" t="str">
        <f>IF(T116&lt;&gt;"","&lt;vk kbd="""&amp;T$1&amp;""" vk="""&amp;T116&amp;""""&amp;IF(Scan2VKFlags!P116&lt;&gt;""," flags="""&amp;Scan2VKFlags!P116&amp;"""","")&amp;"/&gt;","")</f>
        <v>&lt;vk kbd="21" vk="CANCEL"/&gt;</v>
      </c>
      <c r="AU116" s="16" t="str">
        <f>IF(U116&lt;&gt;"","&lt;vk kbd="""&amp;U$1&amp;""" vk="""&amp;U116&amp;""""&amp;IF(Scan2VKFlags!Q116&lt;&gt;""," flags="""&amp;Scan2VKFlags!Q116&amp;"""","")&amp;"/&gt;","")</f>
        <v>&lt;vk kbd="22" vk="_none_"/&gt;</v>
      </c>
      <c r="AV116" s="3" t="str">
        <f>IF(W116&lt;&gt;"","&lt;vk kbd="""&amp;W$1&amp;""" vk="""&amp;W116&amp;""""&amp;IF(Scan2VKFlags!R116&lt;&gt;""," flags="""&amp;Scan2VKFlags!R116&amp;"""","")&amp;"/&gt;","")</f>
        <v>&lt;vk kbd="30" vk="_none_"/&gt;</v>
      </c>
      <c r="AW116" s="15" t="str">
        <f>IF(X116&lt;&gt;"","&lt;vk kbd="""&amp;X$1&amp;""" vk="""&amp;X116&amp;""""&amp;IF(Scan2VKFlags!S116&lt;&gt;""," flags="""&amp;Scan2VKFlags!S116&amp;"""","")&amp;"/&gt;","")</f>
        <v>&lt;vk kbd="33" vk="_none_"/&gt;</v>
      </c>
      <c r="AX116" s="15" t="str">
        <f>IF(Y116&lt;&gt;"","&lt;vk kbd="""&amp;Y$1&amp;""" vk="""&amp;Y116&amp;""""&amp;IF(Scan2VKFlags!T116&lt;&gt;""," flags="""&amp;Scan2VKFlags!T116&amp;"""","")&amp;"/&gt;","")</f>
        <v>&lt;vk kbd="34" vk="_none_"/&gt;</v>
      </c>
      <c r="AY116" s="18" t="str">
        <f>IF(AA116&lt;&gt;"","&lt;vk kbd="""&amp;AA$1&amp;""" vk="""&amp;AA116&amp;""""&amp;IF(Scan2VKFlags!U116&lt;&gt;""," flags="""&amp;Scan2VKFlags!U116&amp;"""","")&amp;"/&gt;","")</f>
        <v>&lt;vk kbd="37" vk="KANA"/&gt;</v>
      </c>
      <c r="AZ116" s="3" t="str">
        <f>IF(AC116&lt;&gt;"","&lt;vk kbd="""&amp;AC$1&amp;""" vk="""&amp;AC116&amp;""""&amp;IF(Scan2VKFlags!V116&lt;&gt;""," flags="""&amp;Scan2VKFlags!V116&amp;"""","")&amp;"/&gt;","")</f>
        <v>&lt;vk kbd="40" vk="_none_"/&gt;</v>
      </c>
      <c r="BA116" s="16" t="str">
        <f>IF(AD116&lt;&gt;"","&lt;vk kbd="""&amp;AD$1&amp;""" vk="""&amp;AD116&amp;""""&amp;IF(Scan2VKFlags!W116&lt;&gt;""," flags="""&amp;Scan2VKFlags!W116&amp;"""","")&amp;"/&gt;","")</f>
        <v>&lt;vk kbd="41" vk="_none_"/&gt;</v>
      </c>
      <c r="BB116" t="s">
        <v>854</v>
      </c>
    </row>
    <row r="117" spans="1:54" x14ac:dyDescent="0.25">
      <c r="A117">
        <f t="shared" si="11"/>
        <v>115</v>
      </c>
      <c r="B117" t="str">
        <f t="shared" si="8"/>
        <v>T73</v>
      </c>
      <c r="C117" s="7" t="s">
        <v>109</v>
      </c>
      <c r="D117" s="12" t="str">
        <f>trimtext(SplitText($C117,",",0))</f>
        <v>ABNT_C1</v>
      </c>
      <c r="E117" s="12" t="str">
        <f>IF(SplitText($C117,",",COLUMN(E:E)-COLUMN($D:$D))="",$D117,trimtext(SplitText($C117,",",COLUMN(E:E)-COLUMN($D:$D))))</f>
        <v>ABNT_C1</v>
      </c>
      <c r="F117" s="12" t="str">
        <f>IF(SplitText($C117,",",COLUMN(F:F)-COLUMN($D:$D))="",$D117,trimtext(SplitText($C117,",",COLUMN(F:F)-COLUMN($D:$D))))</f>
        <v>ABNT_C1</v>
      </c>
      <c r="G117" s="12" t="str">
        <f>IF(SplitText($C117,",",COLUMN(G:G)-COLUMN($D:$D))="",$D117,trimtext(SplitText($C117,",",COLUMN(G:G)-COLUMN($D:$D))))</f>
        <v>ABNT_C1</v>
      </c>
      <c r="H117" s="12" t="str">
        <f>IF(SplitText($C117,",",COLUMN(H:H)-COLUMN($D:$D))="",$D117,trimtext(SplitText($C117,",",COLUMN(H:H)-COLUMN($D:$D))))</f>
        <v>ABNT_C1</v>
      </c>
      <c r="I117" s="12" t="str">
        <f>IF(SplitText($C117,",",COLUMN(I:I)-COLUMN($D:$D))="",$D117,trimtext(SplitText($C117,",",COLUMN(I:I)-COLUMN($D:$D))))</f>
        <v>ABNT_C1</v>
      </c>
      <c r="J117" s="9" t="s">
        <v>295</v>
      </c>
      <c r="K117" s="12" t="str">
        <f>trimtext(SplitText($J117,",",0))</f>
        <v>OEM_102</v>
      </c>
      <c r="L117" s="12" t="str">
        <f>IF(SplitText($J117,",",COLUMN(L:L)-COLUMN($K:$K))="",$K117,trimtext(SplitText($J117,",",COLUMN(L:L)-COLUMN($K:$K))))</f>
        <v>OEM_102</v>
      </c>
      <c r="M117" s="12" t="str">
        <f>IF(SplitText($J117,",",COLUMN(M:M)-COLUMN($K:$K))="",$K117,trimtext(SplitText($J117,",",COLUMN(M:M)-COLUMN($K:$K))))</f>
        <v>_none_</v>
      </c>
      <c r="N117" s="12" t="str">
        <f>IF(SplitText($J117,",",COLUMN(N:N)-COLUMN($K:$K))="",$K117,trimtext(SplitText($J117,",",COLUMN(N:N)-COLUMN($K:$K))))</f>
        <v>ABNT_C1</v>
      </c>
      <c r="O117" s="12" t="str">
        <f>IF(SplitText($J117,",",COLUMN(O:O)-COLUMN($K:$K))="",$K117,trimtext(SplitText($J117,",",COLUMN(O:O)-COLUMN($K:$K))))</f>
        <v>ABNT_C1</v>
      </c>
      <c r="P117" s="12" t="str">
        <f>IF(SplitText($J117,",",COLUMN(P:P)-COLUMN($K:$K))="",$K117,trimtext(SplitText($J117,",",COLUMN(P:P)-COLUMN($K:$K))))</f>
        <v>ABNT_C1</v>
      </c>
      <c r="Q117" s="12" t="str">
        <f>IF(SplitText($J117,",",COLUMN(Q:Q)-COLUMN($K:$K))="",$K117,trimtext(SplitText($J117,",",COLUMN(Q:Q)-COLUMN($K:$K))))</f>
        <v>ABNT_C1</v>
      </c>
      <c r="R117" s="2" t="s">
        <v>456</v>
      </c>
      <c r="S117" s="12" t="str">
        <f>trimtext(SplitText($R117,",",0))</f>
        <v>EXECUTE</v>
      </c>
      <c r="T117" s="12" t="str">
        <f>IF(SplitText($R117,",",COLUMN(T:T)-COLUMN($S:$S))="",$S117,trimtext(SplitText($R117,",",COLUMN(T:T)-COLUMN($S:$S))))</f>
        <v>EXECUTE</v>
      </c>
      <c r="U117" s="12" t="str">
        <f>IF(SplitText($R117,",",COLUMN(U:U)-COLUMN($S:$S))="",$S117,trimtext(SplitText($R117,",",COLUMN(U:U)-COLUMN($S:$S))))</f>
        <v>OEM_102</v>
      </c>
      <c r="V117" s="2" t="s">
        <v>612</v>
      </c>
      <c r="W117" s="12" t="str">
        <f>trimtext(SplitText($V117,",",0))</f>
        <v>OEM_8</v>
      </c>
      <c r="X117" s="12" t="str">
        <f>IF(SplitText($V117,",",COLUMN(X:X)-COLUMN($W:$W))="",$W117,trimtext(SplitText($V117,",",COLUMN(X:X)-COLUMN($W:$W))))</f>
        <v>OEM_8</v>
      </c>
      <c r="Y117" s="12" t="str">
        <f>IF(SplitText($V117,",",COLUMN(Y:Y)-COLUMN($W:$W))="",$W117,trimtext(SplitText($V117,",",COLUMN(Y:Y)-COLUMN($W:$W))))</f>
        <v>_none_</v>
      </c>
      <c r="Z117" s="2" t="s">
        <v>734</v>
      </c>
      <c r="AA117" s="12" t="str">
        <f t="shared" si="9"/>
        <v>LMENU</v>
      </c>
      <c r="AB117" s="2" t="s">
        <v>831</v>
      </c>
      <c r="AC117" s="12" t="str">
        <f>trimtext(SplitText($AB117,",",0))</f>
        <v>OEM_102</v>
      </c>
      <c r="AD117" s="12" t="str">
        <f>IF(SplitText($AB117,",",COLUMN(AD:AD)-COLUMN($AC:$AC))="",$AC117,trimtext(SplitText($AB117,",",COLUMN(AD:AD)-COLUMN($AC:$AC))))</f>
        <v>_none_</v>
      </c>
      <c r="AE117" s="18" t="str">
        <f t="shared" si="10"/>
        <v>&lt;xs:enumeration value="T73"&gt;&lt;xs:annotation&gt;&lt;xs:documentation&gt;Typically ABNT_C1 for keyboard type 4, different values for different keyboard types&lt;/xs:documentation&gt;&lt;xs:appinfo&gt;&lt;default-vk&gt;</v>
      </c>
      <c r="AF117" s="15" t="str">
        <f>IF(D117&lt;&gt;"","&lt;vk kbd="""&amp;D$1&amp;""" vk="""&amp;D117&amp;""""&amp;IF(Scan2VKFlags!B117&lt;&gt;""," flags="""&amp;Scan2VKFlags!B117&amp;"""","")&amp;"/&gt;","")</f>
        <v>&lt;vk kbd="1" vk="ABNT_C1"/&gt;</v>
      </c>
      <c r="AG117" s="15" t="str">
        <f>IF(E117&lt;&gt;"","&lt;vk kbd="""&amp;E$1&amp;""" vk="""&amp;E117&amp;""""&amp;IF(Scan2VKFlags!C117&lt;&gt;""," flags="""&amp;Scan2VKFlags!C117&amp;"""","")&amp;"/&gt;","")</f>
        <v>&lt;vk kbd="2" vk="ABNT_C1"/&gt;</v>
      </c>
      <c r="AH117" s="15" t="str">
        <f>IF(F117&lt;&gt;"","&lt;vk kbd="""&amp;F$1&amp;""" vk="""&amp;F117&amp;""""&amp;IF(Scan2VKFlags!D117&lt;&gt;""," flags="""&amp;Scan2VKFlags!D117&amp;"""","")&amp;"/&gt;","")</f>
        <v>&lt;vk kbd="3" vk="ABNT_C1"/&gt;</v>
      </c>
      <c r="AI117" s="15" t="str">
        <f>IF(G117&lt;&gt;"","&lt;vk kbd="""&amp;G$1&amp;""" vk="""&amp;G117&amp;""""&amp;IF(Scan2VKFlags!E117&lt;&gt;""," flags="""&amp;Scan2VKFlags!E117&amp;"""","")&amp;"/&gt;","")</f>
        <v>&lt;vk kbd="4" vk="ABNT_C1"/&gt;</v>
      </c>
      <c r="AJ117" s="15" t="str">
        <f>IF(H117&lt;&gt;"","&lt;vk kbd="""&amp;H$1&amp;""" vk="""&amp;H117&amp;""""&amp;IF(Scan2VKFlags!F117&lt;&gt;""," flags="""&amp;Scan2VKFlags!F117&amp;"""","")&amp;"/&gt;","")</f>
        <v>&lt;vk kbd="5" vk="ABNT_C1"/&gt;</v>
      </c>
      <c r="AK117" s="16" t="str">
        <f>IF(I117&lt;&gt;"","&lt;vk kbd="""&amp;I$1&amp;""" vk="""&amp;I117&amp;""""&amp;IF(Scan2VKFlags!G117&lt;&gt;""," flags="""&amp;Scan2VKFlags!G117&amp;"""","")&amp;"/&gt;","")</f>
        <v>&lt;vk kbd="6" vk="ABNT_C1"/&gt;</v>
      </c>
      <c r="AL117" s="3" t="str">
        <f>IF(K117&lt;&gt;"","&lt;vk kbd="""&amp;K$1&amp;""" vk="""&amp;K117&amp;""""&amp;IF(Scan2VKFlags!H117&lt;&gt;""," flags="""&amp;Scan2VKFlags!H117&amp;"""","")&amp;"/&gt;","")</f>
        <v>&lt;vk kbd="7" vk="OEM_102"/&gt;</v>
      </c>
      <c r="AM117" t="str">
        <f>IF(L117&lt;&gt;"","&lt;vk kbd="""&amp;L$1&amp;""" vk="""&amp;L117&amp;""""&amp;IF(Scan2VKFlags!I117&lt;&gt;""," flags="""&amp;Scan2VKFlags!I117&amp;"""","")&amp;"/&gt;","")</f>
        <v>&lt;vk kbd="8" vk="OEM_102"/&gt;</v>
      </c>
      <c r="AN117" t="str">
        <f>IF(M117&lt;&gt;"","&lt;vk kbd="""&amp;M$1&amp;""" vk="""&amp;M117&amp;""""&amp;IF(Scan2VKFlags!J117&lt;&gt;""," flags="""&amp;Scan2VKFlags!J117&amp;"""","")&amp;"/&gt;","")</f>
        <v>&lt;vk kbd="16" vk="_none_"/&gt;</v>
      </c>
      <c r="AO117" t="str">
        <f>IF(N117&lt;&gt;"","&lt;vk kbd="""&amp;N$1&amp;""" vk="""&amp;N117&amp;""""&amp;IF(Scan2VKFlags!K117&lt;&gt;""," flags="""&amp;Scan2VKFlags!K117&amp;"""","")&amp;"/&gt;","")</f>
        <v>&lt;vk kbd="10" vk="ABNT_C1"/&gt;</v>
      </c>
      <c r="AP117" t="str">
        <f>IF(O117&lt;&gt;"","&lt;vk kbd="""&amp;O$1&amp;""" vk="""&amp;O117&amp;""""&amp;IF(Scan2VKFlags!L117&lt;&gt;""," flags="""&amp;Scan2VKFlags!L117&amp;"""","")&amp;"/&gt;","")</f>
        <v>&lt;vk kbd="11" vk="ABNT_C1"/&gt;</v>
      </c>
      <c r="AQ117" t="str">
        <f>IF(P117&lt;&gt;"","&lt;vk kbd="""&amp;P$1&amp;""" vk="""&amp;P117&amp;""""&amp;IF(Scan2VKFlags!M117&lt;&gt;""," flags="""&amp;Scan2VKFlags!M117&amp;"""","")&amp;"/&gt;","")</f>
        <v>&lt;vk kbd="12" vk="ABNT_C1"/&gt;</v>
      </c>
      <c r="AR117" s="16" t="str">
        <f>IF(Q117&lt;&gt;"","&lt;vk kbd="""&amp;Q$1&amp;""" vk="""&amp;Q117&amp;""""&amp;IF(Scan2VKFlags!N117&lt;&gt;""," flags="""&amp;Scan2VKFlags!N117&amp;"""","")&amp;"/&gt;","")</f>
        <v>&lt;vk kbd="13" vk="ABNT_C1"/&gt;</v>
      </c>
      <c r="AS117" s="3" t="str">
        <f>IF(S117&lt;&gt;"","&lt;vk kbd="""&amp;S$1&amp;""" vk="""&amp;S117&amp;""""&amp;IF(Scan2VKFlags!O117&lt;&gt;""," flags="""&amp;Scan2VKFlags!O117&amp;"""","")&amp;"/&gt;","")</f>
        <v>&lt;vk kbd="20" vk="EXECUTE"/&gt;</v>
      </c>
      <c r="AT117" t="str">
        <f>IF(T117&lt;&gt;"","&lt;vk kbd="""&amp;T$1&amp;""" vk="""&amp;T117&amp;""""&amp;IF(Scan2VKFlags!P117&lt;&gt;""," flags="""&amp;Scan2VKFlags!P117&amp;"""","")&amp;"/&gt;","")</f>
        <v>&lt;vk kbd="21" vk="EXECUTE"/&gt;</v>
      </c>
      <c r="AU117" s="16" t="str">
        <f>IF(U117&lt;&gt;"","&lt;vk kbd="""&amp;U$1&amp;""" vk="""&amp;U117&amp;""""&amp;IF(Scan2VKFlags!Q117&lt;&gt;""," flags="""&amp;Scan2VKFlags!Q117&amp;"""","")&amp;"/&gt;","")</f>
        <v>&lt;vk kbd="22" vk="OEM_102"/&gt;</v>
      </c>
      <c r="AV117" s="3" t="str">
        <f>IF(W117&lt;&gt;"","&lt;vk kbd="""&amp;W$1&amp;""" vk="""&amp;W117&amp;""""&amp;IF(Scan2VKFlags!R117&lt;&gt;""," flags="""&amp;Scan2VKFlags!R117&amp;"""","")&amp;"/&gt;","")</f>
        <v>&lt;vk kbd="30" vk="OEM_8"/&gt;</v>
      </c>
      <c r="AW117" s="15" t="str">
        <f>IF(X117&lt;&gt;"","&lt;vk kbd="""&amp;X$1&amp;""" vk="""&amp;X117&amp;""""&amp;IF(Scan2VKFlags!S117&lt;&gt;""," flags="""&amp;Scan2VKFlags!S117&amp;"""","")&amp;"/&gt;","")</f>
        <v>&lt;vk kbd="33" vk="OEM_8"/&gt;</v>
      </c>
      <c r="AX117" s="15" t="str">
        <f>IF(Y117&lt;&gt;"","&lt;vk kbd="""&amp;Y$1&amp;""" vk="""&amp;Y117&amp;""""&amp;IF(Scan2VKFlags!T117&lt;&gt;""," flags="""&amp;Scan2VKFlags!T117&amp;"""","")&amp;"/&gt;","")</f>
        <v>&lt;vk kbd="34" vk="_none_"/&gt;</v>
      </c>
      <c r="AY117" s="18" t="str">
        <f>IF(AA117&lt;&gt;"","&lt;vk kbd="""&amp;AA$1&amp;""" vk="""&amp;AA117&amp;""""&amp;IF(Scan2VKFlags!U117&lt;&gt;""," flags="""&amp;Scan2VKFlags!U117&amp;"""","")&amp;"/&gt;","")</f>
        <v>&lt;vk kbd="37" vk="LMENU"/&gt;</v>
      </c>
      <c r="AZ117" s="3" t="str">
        <f>IF(AC117&lt;&gt;"","&lt;vk kbd="""&amp;AC$1&amp;""" vk="""&amp;AC117&amp;""""&amp;IF(Scan2VKFlags!V117&lt;&gt;""," flags="""&amp;Scan2VKFlags!V117&amp;"""","")&amp;"/&gt;","")</f>
        <v>&lt;vk kbd="40" vk="OEM_102"/&gt;</v>
      </c>
      <c r="BA117" s="16" t="str">
        <f>IF(AD117&lt;&gt;"","&lt;vk kbd="""&amp;AD$1&amp;""" vk="""&amp;AD117&amp;""""&amp;IF(Scan2VKFlags!W117&lt;&gt;""," flags="""&amp;Scan2VKFlags!W117&amp;"""","")&amp;"/&gt;","")</f>
        <v>&lt;vk kbd="41" vk="_none_"/&gt;</v>
      </c>
      <c r="BB117" t="s">
        <v>854</v>
      </c>
    </row>
    <row r="118" spans="1:54" x14ac:dyDescent="0.25">
      <c r="A118">
        <f t="shared" si="11"/>
        <v>116</v>
      </c>
      <c r="B118" t="str">
        <f t="shared" si="8"/>
        <v>T74</v>
      </c>
      <c r="C118" s="7" t="s">
        <v>0</v>
      </c>
      <c r="D118" s="12" t="str">
        <f>trimtext(SplitText($C118,",",0))</f>
        <v>_none_</v>
      </c>
      <c r="E118" s="12" t="str">
        <f>IF(SplitText($C118,",",COLUMN(E:E)-COLUMN($D:$D))="",$D118,trimtext(SplitText($C118,",",COLUMN(E:E)-COLUMN($D:$D))))</f>
        <v>_none_</v>
      </c>
      <c r="F118" s="12" t="str">
        <f>IF(SplitText($C118,",",COLUMN(F:F)-COLUMN($D:$D))="",$D118,trimtext(SplitText($C118,",",COLUMN(F:F)-COLUMN($D:$D))))</f>
        <v>_none_</v>
      </c>
      <c r="G118" s="12" t="str">
        <f>IF(SplitText($C118,",",COLUMN(G:G)-COLUMN($D:$D))="",$D118,trimtext(SplitText($C118,",",COLUMN(G:G)-COLUMN($D:$D))))</f>
        <v>_none_</v>
      </c>
      <c r="H118" s="12" t="str">
        <f>IF(SplitText($C118,",",COLUMN(H:H)-COLUMN($D:$D))="",$D118,trimtext(SplitText($C118,",",COLUMN(H:H)-COLUMN($D:$D))))</f>
        <v>_none_</v>
      </c>
      <c r="I118" s="12" t="str">
        <f>IF(SplitText($C118,",",COLUMN(I:I)-COLUMN($D:$D))="",$D118,trimtext(SplitText($C118,",",COLUMN(I:I)-COLUMN($D:$D))))</f>
        <v>_none_</v>
      </c>
      <c r="J118" s="9" t="s">
        <v>185</v>
      </c>
      <c r="K118" s="12" t="str">
        <f>trimtext(SplitText($J118,",",0))</f>
        <v>_none_</v>
      </c>
      <c r="L118" s="12" t="str">
        <f>IF(SplitText($J118,",",COLUMN(L:L)-COLUMN($K:$K))="",$K118,trimtext(SplitText($J118,",",COLUMN(L:L)-COLUMN($K:$K))))</f>
        <v>_none_</v>
      </c>
      <c r="M118" s="12" t="str">
        <f>IF(SplitText($J118,",",COLUMN(M:M)-COLUMN($K:$K))="",$K118,trimtext(SplitText($J118,",",COLUMN(M:M)-COLUMN($K:$K))))</f>
        <v>_none_</v>
      </c>
      <c r="N118" s="12" t="str">
        <f>IF(SplitText($J118,",",COLUMN(N:N)-COLUMN($K:$K))="",$K118,trimtext(SplitText($J118,",",COLUMN(N:N)-COLUMN($K:$K))))</f>
        <v>_none_</v>
      </c>
      <c r="O118" s="12" t="str">
        <f>IF(SplitText($J118,",",COLUMN(O:O)-COLUMN($K:$K))="",$K118,trimtext(SplitText($J118,",",COLUMN(O:O)-COLUMN($K:$K))))</f>
        <v>_none_</v>
      </c>
      <c r="P118" s="12" t="str">
        <f>IF(SplitText($J118,",",COLUMN(P:P)-COLUMN($K:$K))="",$K118,trimtext(SplitText($J118,",",COLUMN(P:P)-COLUMN($K:$K))))</f>
        <v>_none_</v>
      </c>
      <c r="Q118" s="12" t="str">
        <f>IF(SplitText($J118,",",COLUMN(Q:Q)-COLUMN($K:$K))="",$K118,trimtext(SplitText($J118,",",COLUMN(Q:Q)-COLUMN($K:$K))))</f>
        <v>_none_</v>
      </c>
      <c r="R118" s="2" t="s">
        <v>457</v>
      </c>
      <c r="S118" s="12" t="str">
        <f>trimtext(SplitText($R118,",",0))</f>
        <v>F13</v>
      </c>
      <c r="T118" s="12" t="str">
        <f>IF(SplitText($R118,",",COLUMN(T:T)-COLUMN($S:$S))="",$S118,trimtext(SplitText($R118,",",COLUMN(T:T)-COLUMN($S:$S))))</f>
        <v>F13</v>
      </c>
      <c r="U118" s="12" t="str">
        <f>IF(SplitText($R118,",",COLUMN(U:U)-COLUMN($S:$S))="",$S118,trimtext(SplitText($R118,",",COLUMN(U:U)-COLUMN($S:$S))))</f>
        <v>_none_</v>
      </c>
      <c r="V118" s="24" t="s">
        <v>613</v>
      </c>
      <c r="W118" s="12" t="str">
        <f>trimtext(SplitText($V118,",",0))</f>
        <v>_none_</v>
      </c>
      <c r="X118" s="12" t="str">
        <f>IF(SplitText($V118,",",COLUMN(X:X)-COLUMN($W:$W))="",$W118,trimtext(SplitText($V118,",",COLUMN(X:X)-COLUMN($W:$W))))</f>
        <v>OEM_NEC_EQUAL</v>
      </c>
      <c r="Y118" s="12" t="str">
        <f>IF(SplitText($V118,",",COLUMN(Y:Y)-COLUMN($W:$W))="",$W118,trimtext(SplitText($V118,",",COLUMN(Y:Y)-COLUMN($W:$W))))</f>
        <v>_none_</v>
      </c>
      <c r="Z118" s="2" t="s">
        <v>735</v>
      </c>
      <c r="AA118" s="12" t="str">
        <f t="shared" si="9"/>
        <v>LCONTROL</v>
      </c>
      <c r="AB118" s="2" t="s">
        <v>743</v>
      </c>
      <c r="AC118" s="12" t="str">
        <f>trimtext(SplitText($AB118,",",0))</f>
        <v>_none_</v>
      </c>
      <c r="AD118" s="12" t="str">
        <f>IF(SplitText($AB118,",",COLUMN(AD:AD)-COLUMN($AC:$AC))="",$AC118,trimtext(SplitText($AB118,",",COLUMN(AD:AD)-COLUMN($AC:$AC))))</f>
        <v>_none_</v>
      </c>
      <c r="AE118" s="18" t="str">
        <f t="shared" si="10"/>
        <v>&lt;xs:enumeration value="T74"&gt;&lt;xs:annotation&gt;&lt;xs:documentation&gt;Typically _none_ for keyboard type 4, different values for different keyboard types&lt;/xs:documentation&gt;&lt;xs:appinfo&gt;&lt;default-vk&gt;</v>
      </c>
      <c r="AF118" s="15" t="str">
        <f>IF(D118&lt;&gt;"","&lt;vk kbd="""&amp;D$1&amp;""" vk="""&amp;D118&amp;""""&amp;IF(Scan2VKFlags!B118&lt;&gt;""," flags="""&amp;Scan2VKFlags!B118&amp;"""","")&amp;"/&gt;","")</f>
        <v>&lt;vk kbd="1" vk="_none_"/&gt;</v>
      </c>
      <c r="AG118" s="15" t="str">
        <f>IF(E118&lt;&gt;"","&lt;vk kbd="""&amp;E$1&amp;""" vk="""&amp;E118&amp;""""&amp;IF(Scan2VKFlags!C118&lt;&gt;""," flags="""&amp;Scan2VKFlags!C118&amp;"""","")&amp;"/&gt;","")</f>
        <v>&lt;vk kbd="2" vk="_none_"/&gt;</v>
      </c>
      <c r="AH118" s="15" t="str">
        <f>IF(F118&lt;&gt;"","&lt;vk kbd="""&amp;F$1&amp;""" vk="""&amp;F118&amp;""""&amp;IF(Scan2VKFlags!D118&lt;&gt;""," flags="""&amp;Scan2VKFlags!D118&amp;"""","")&amp;"/&gt;","")</f>
        <v>&lt;vk kbd="3" vk="_none_"/&gt;</v>
      </c>
      <c r="AI118" s="15" t="str">
        <f>IF(G118&lt;&gt;"","&lt;vk kbd="""&amp;G$1&amp;""" vk="""&amp;G118&amp;""""&amp;IF(Scan2VKFlags!E118&lt;&gt;""," flags="""&amp;Scan2VKFlags!E118&amp;"""","")&amp;"/&gt;","")</f>
        <v>&lt;vk kbd="4" vk="_none_"/&gt;</v>
      </c>
      <c r="AJ118" s="15" t="str">
        <f>IF(H118&lt;&gt;"","&lt;vk kbd="""&amp;H$1&amp;""" vk="""&amp;H118&amp;""""&amp;IF(Scan2VKFlags!F118&lt;&gt;""," flags="""&amp;Scan2VKFlags!F118&amp;"""","")&amp;"/&gt;","")</f>
        <v>&lt;vk kbd="5" vk="_none_"/&gt;</v>
      </c>
      <c r="AK118" s="16" t="str">
        <f>IF(I118&lt;&gt;"","&lt;vk kbd="""&amp;I$1&amp;""" vk="""&amp;I118&amp;""""&amp;IF(Scan2VKFlags!G118&lt;&gt;""," flags="""&amp;Scan2VKFlags!G118&amp;"""","")&amp;"/&gt;","")</f>
        <v>&lt;vk kbd="6" vk="_none_"/&gt;</v>
      </c>
      <c r="AL118" s="3" t="str">
        <f>IF(K118&lt;&gt;"","&lt;vk kbd="""&amp;K$1&amp;""" vk="""&amp;K118&amp;""""&amp;IF(Scan2VKFlags!H118&lt;&gt;""," flags="""&amp;Scan2VKFlags!H118&amp;"""","")&amp;"/&gt;","")</f>
        <v>&lt;vk kbd="7" vk="_none_"/&gt;</v>
      </c>
      <c r="AM118" t="str">
        <f>IF(L118&lt;&gt;"","&lt;vk kbd="""&amp;L$1&amp;""" vk="""&amp;L118&amp;""""&amp;IF(Scan2VKFlags!I118&lt;&gt;""," flags="""&amp;Scan2VKFlags!I118&amp;"""","")&amp;"/&gt;","")</f>
        <v>&lt;vk kbd="8" vk="_none_"/&gt;</v>
      </c>
      <c r="AN118" t="str">
        <f>IF(M118&lt;&gt;"","&lt;vk kbd="""&amp;M$1&amp;""" vk="""&amp;M118&amp;""""&amp;IF(Scan2VKFlags!J118&lt;&gt;""," flags="""&amp;Scan2VKFlags!J118&amp;"""","")&amp;"/&gt;","")</f>
        <v>&lt;vk kbd="16" vk="_none_"/&gt;</v>
      </c>
      <c r="AO118" t="str">
        <f>IF(N118&lt;&gt;"","&lt;vk kbd="""&amp;N$1&amp;""" vk="""&amp;N118&amp;""""&amp;IF(Scan2VKFlags!K118&lt;&gt;""," flags="""&amp;Scan2VKFlags!K118&amp;"""","")&amp;"/&gt;","")</f>
        <v>&lt;vk kbd="10" vk="_none_"/&gt;</v>
      </c>
      <c r="AP118" t="str">
        <f>IF(O118&lt;&gt;"","&lt;vk kbd="""&amp;O$1&amp;""" vk="""&amp;O118&amp;""""&amp;IF(Scan2VKFlags!L118&lt;&gt;""," flags="""&amp;Scan2VKFlags!L118&amp;"""","")&amp;"/&gt;","")</f>
        <v>&lt;vk kbd="11" vk="_none_"/&gt;</v>
      </c>
      <c r="AQ118" t="str">
        <f>IF(P118&lt;&gt;"","&lt;vk kbd="""&amp;P$1&amp;""" vk="""&amp;P118&amp;""""&amp;IF(Scan2VKFlags!M118&lt;&gt;""," flags="""&amp;Scan2VKFlags!M118&amp;"""","")&amp;"/&gt;","")</f>
        <v>&lt;vk kbd="12" vk="_none_"/&gt;</v>
      </c>
      <c r="AR118" s="16" t="str">
        <f>IF(Q118&lt;&gt;"","&lt;vk kbd="""&amp;Q$1&amp;""" vk="""&amp;Q118&amp;""""&amp;IF(Scan2VKFlags!N118&lt;&gt;""," flags="""&amp;Scan2VKFlags!N118&amp;"""","")&amp;"/&gt;","")</f>
        <v>&lt;vk kbd="13" vk="_none_"/&gt;</v>
      </c>
      <c r="AS118" s="3" t="str">
        <f>IF(S118&lt;&gt;"","&lt;vk kbd="""&amp;S$1&amp;""" vk="""&amp;S118&amp;""""&amp;IF(Scan2VKFlags!O118&lt;&gt;""," flags="""&amp;Scan2VKFlags!O118&amp;"""","")&amp;"/&gt;","")</f>
        <v>&lt;vk kbd="20" vk="F13"/&gt;</v>
      </c>
      <c r="AT118" t="str">
        <f>IF(T118&lt;&gt;"","&lt;vk kbd="""&amp;T$1&amp;""" vk="""&amp;T118&amp;""""&amp;IF(Scan2VKFlags!P118&lt;&gt;""," flags="""&amp;Scan2VKFlags!P118&amp;"""","")&amp;"/&gt;","")</f>
        <v>&lt;vk kbd="21" vk="F13"/&gt;</v>
      </c>
      <c r="AU118" s="16" t="str">
        <f>IF(U118&lt;&gt;"","&lt;vk kbd="""&amp;U$1&amp;""" vk="""&amp;U118&amp;""""&amp;IF(Scan2VKFlags!Q118&lt;&gt;""," flags="""&amp;Scan2VKFlags!Q118&amp;"""","")&amp;"/&gt;","")</f>
        <v>&lt;vk kbd="22" vk="_none_"/&gt;</v>
      </c>
      <c r="AV118" s="3" t="str">
        <f>IF(W118&lt;&gt;"","&lt;vk kbd="""&amp;W$1&amp;""" vk="""&amp;W118&amp;""""&amp;IF(Scan2VKFlags!R118&lt;&gt;""," flags="""&amp;Scan2VKFlags!R118&amp;"""","")&amp;"/&gt;","")</f>
        <v>&lt;vk kbd="30" vk="_none_"/&gt;</v>
      </c>
      <c r="AW118" s="15" t="str">
        <f>IF(X118&lt;&gt;"","&lt;vk kbd="""&amp;X$1&amp;""" vk="""&amp;X118&amp;""""&amp;IF(Scan2VKFlags!S118&lt;&gt;""," flags="""&amp;Scan2VKFlags!S118&amp;"""","")&amp;"/&gt;","")</f>
        <v>&lt;vk kbd="33" vk="OEM_NEC_EQUAL"/&gt;</v>
      </c>
      <c r="AX118" s="15" t="str">
        <f>IF(Y118&lt;&gt;"","&lt;vk kbd="""&amp;Y$1&amp;""" vk="""&amp;Y118&amp;""""&amp;IF(Scan2VKFlags!T118&lt;&gt;""," flags="""&amp;Scan2VKFlags!T118&amp;"""","")&amp;"/&gt;","")</f>
        <v>&lt;vk kbd="34" vk="_none_"/&gt;</v>
      </c>
      <c r="AY118" s="18" t="str">
        <f>IF(AA118&lt;&gt;"","&lt;vk kbd="""&amp;AA$1&amp;""" vk="""&amp;AA118&amp;""""&amp;IF(Scan2VKFlags!U118&lt;&gt;""," flags="""&amp;Scan2VKFlags!U118&amp;"""","")&amp;"/&gt;","")</f>
        <v>&lt;vk kbd="37" vk="LCONTROL"/&gt;</v>
      </c>
      <c r="AZ118" s="3" t="str">
        <f>IF(AC118&lt;&gt;"","&lt;vk kbd="""&amp;AC$1&amp;""" vk="""&amp;AC118&amp;""""&amp;IF(Scan2VKFlags!V118&lt;&gt;""," flags="""&amp;Scan2VKFlags!V118&amp;"""","")&amp;"/&gt;","")</f>
        <v>&lt;vk kbd="40" vk="_none_"/&gt;</v>
      </c>
      <c r="BA118" s="16" t="str">
        <f>IF(AD118&lt;&gt;"","&lt;vk kbd="""&amp;AD$1&amp;""" vk="""&amp;AD118&amp;""""&amp;IF(Scan2VKFlags!W118&lt;&gt;""," flags="""&amp;Scan2VKFlags!W118&amp;"""","")&amp;"/&gt;","")</f>
        <v>&lt;vk kbd="41" vk="_none_"/&gt;</v>
      </c>
      <c r="BB118" t="s">
        <v>854</v>
      </c>
    </row>
    <row r="119" spans="1:54" x14ac:dyDescent="0.25">
      <c r="A119">
        <f t="shared" si="11"/>
        <v>117</v>
      </c>
      <c r="B119" t="str">
        <f t="shared" si="8"/>
        <v>T75</v>
      </c>
      <c r="C119" s="7" t="s">
        <v>0</v>
      </c>
      <c r="D119" s="12" t="str">
        <f>trimtext(SplitText($C119,",",0))</f>
        <v>_none_</v>
      </c>
      <c r="E119" s="12" t="str">
        <f>IF(SplitText($C119,",",COLUMN(E:E)-COLUMN($D:$D))="",$D119,trimtext(SplitText($C119,",",COLUMN(E:E)-COLUMN($D:$D))))</f>
        <v>_none_</v>
      </c>
      <c r="F119" s="12" t="str">
        <f>IF(SplitText($C119,",",COLUMN(F:F)-COLUMN($D:$D))="",$D119,trimtext(SplitText($C119,",",COLUMN(F:F)-COLUMN($D:$D))))</f>
        <v>_none_</v>
      </c>
      <c r="G119" s="12" t="str">
        <f>IF(SplitText($C119,",",COLUMN(G:G)-COLUMN($D:$D))="",$D119,trimtext(SplitText($C119,",",COLUMN(G:G)-COLUMN($D:$D))))</f>
        <v>_none_</v>
      </c>
      <c r="H119" s="12" t="str">
        <f>IF(SplitText($C119,",",COLUMN(H:H)-COLUMN($D:$D))="",$D119,trimtext(SplitText($C119,",",COLUMN(H:H)-COLUMN($D:$D))))</f>
        <v>_none_</v>
      </c>
      <c r="I119" s="12" t="str">
        <f>IF(SplitText($C119,",",COLUMN(I:I)-COLUMN($D:$D))="",$D119,trimtext(SplitText($C119,",",COLUMN(I:I)-COLUMN($D:$D))))</f>
        <v>_none_</v>
      </c>
      <c r="J119" s="9" t="s">
        <v>185</v>
      </c>
      <c r="K119" s="12" t="str">
        <f>trimtext(SplitText($J119,",",0))</f>
        <v>_none_</v>
      </c>
      <c r="L119" s="12" t="str">
        <f>IF(SplitText($J119,",",COLUMN(L:L)-COLUMN($K:$K))="",$K119,trimtext(SplitText($J119,",",COLUMN(L:L)-COLUMN($K:$K))))</f>
        <v>_none_</v>
      </c>
      <c r="M119" s="12" t="str">
        <f>IF(SplitText($J119,",",COLUMN(M:M)-COLUMN($K:$K))="",$K119,trimtext(SplitText($J119,",",COLUMN(M:M)-COLUMN($K:$K))))</f>
        <v>_none_</v>
      </c>
      <c r="N119" s="12" t="str">
        <f>IF(SplitText($J119,",",COLUMN(N:N)-COLUMN($K:$K))="",$K119,trimtext(SplitText($J119,",",COLUMN(N:N)-COLUMN($K:$K))))</f>
        <v>_none_</v>
      </c>
      <c r="O119" s="12" t="str">
        <f>IF(SplitText($J119,",",COLUMN(O:O)-COLUMN($K:$K))="",$K119,trimtext(SplitText($J119,",",COLUMN(O:O)-COLUMN($K:$K))))</f>
        <v>_none_</v>
      </c>
      <c r="P119" s="12" t="str">
        <f>IF(SplitText($J119,",",COLUMN(P:P)-COLUMN($K:$K))="",$K119,trimtext(SplitText($J119,",",COLUMN(P:P)-COLUMN($K:$K))))</f>
        <v>_none_</v>
      </c>
      <c r="Q119" s="12" t="str">
        <f>IF(SplitText($J119,",",COLUMN(Q:Q)-COLUMN($K:$K))="",$K119,trimtext(SplitText($J119,",",COLUMN(Q:Q)-COLUMN($K:$K))))</f>
        <v>_none_</v>
      </c>
      <c r="R119" s="2" t="s">
        <v>458</v>
      </c>
      <c r="S119" s="12" t="str">
        <f>trimtext(SplitText($R119,",",0))</f>
        <v>F14</v>
      </c>
      <c r="T119" s="12" t="str">
        <f>IF(SplitText($R119,",",COLUMN(T:T)-COLUMN($S:$S))="",$S119,trimtext(SplitText($R119,",",COLUMN(T:T)-COLUMN($S:$S))))</f>
        <v>F14</v>
      </c>
      <c r="U119" s="12" t="str">
        <f>IF(SplitText($R119,",",COLUMN(U:U)-COLUMN($S:$S))="",$S119,trimtext(SplitText($R119,",",COLUMN(U:U)-COLUMN($S:$S))))</f>
        <v>_none_</v>
      </c>
      <c r="V119" s="2" t="s">
        <v>614</v>
      </c>
      <c r="W119" s="12" t="str">
        <f>trimtext(SplitText($V119,",",0))</f>
        <v>_none_</v>
      </c>
      <c r="X119" s="12" t="str">
        <f>IF(SplitText($V119,",",COLUMN(X:X)-COLUMN($W:$W))="",$W119,trimtext(SplitText($V119,",",COLUMN(X:X)-COLUMN($W:$W))))</f>
        <v>SEPARATOR</v>
      </c>
      <c r="Y119" s="12" t="str">
        <f>IF(SplitText($V119,",",COLUMN(Y:Y)-COLUMN($W:$W))="",$W119,trimtext(SplitText($V119,",",COLUMN(Y:Y)-COLUMN($W:$W))))</f>
        <v>_none_</v>
      </c>
      <c r="Z119" s="2" t="s">
        <v>718</v>
      </c>
      <c r="AA119" s="12" t="str">
        <f t="shared" si="9"/>
        <v>_none_</v>
      </c>
      <c r="AB119" s="2" t="s">
        <v>743</v>
      </c>
      <c r="AC119" s="12" t="str">
        <f>trimtext(SplitText($AB119,",",0))</f>
        <v>_none_</v>
      </c>
      <c r="AD119" s="12" t="str">
        <f>IF(SplitText($AB119,",",COLUMN(AD:AD)-COLUMN($AC:$AC))="",$AC119,trimtext(SplitText($AB119,",",COLUMN(AD:AD)-COLUMN($AC:$AC))))</f>
        <v>_none_</v>
      </c>
      <c r="AE119" s="18" t="str">
        <f t="shared" si="10"/>
        <v>&lt;xs:enumeration value="T75"&gt;&lt;xs:annotation&gt;&lt;xs:documentation&gt;Typically _none_ for keyboard type 4, different values for different keyboard types&lt;/xs:documentation&gt;&lt;xs:appinfo&gt;&lt;default-vk&gt;</v>
      </c>
      <c r="AF119" s="15" t="str">
        <f>IF(D119&lt;&gt;"","&lt;vk kbd="""&amp;D$1&amp;""" vk="""&amp;D119&amp;""""&amp;IF(Scan2VKFlags!B119&lt;&gt;""," flags="""&amp;Scan2VKFlags!B119&amp;"""","")&amp;"/&gt;","")</f>
        <v>&lt;vk kbd="1" vk="_none_"/&gt;</v>
      </c>
      <c r="AG119" s="15" t="str">
        <f>IF(E119&lt;&gt;"","&lt;vk kbd="""&amp;E$1&amp;""" vk="""&amp;E119&amp;""""&amp;IF(Scan2VKFlags!C119&lt;&gt;""," flags="""&amp;Scan2VKFlags!C119&amp;"""","")&amp;"/&gt;","")</f>
        <v>&lt;vk kbd="2" vk="_none_"/&gt;</v>
      </c>
      <c r="AH119" s="15" t="str">
        <f>IF(F119&lt;&gt;"","&lt;vk kbd="""&amp;F$1&amp;""" vk="""&amp;F119&amp;""""&amp;IF(Scan2VKFlags!D119&lt;&gt;""," flags="""&amp;Scan2VKFlags!D119&amp;"""","")&amp;"/&gt;","")</f>
        <v>&lt;vk kbd="3" vk="_none_"/&gt;</v>
      </c>
      <c r="AI119" s="15" t="str">
        <f>IF(G119&lt;&gt;"","&lt;vk kbd="""&amp;G$1&amp;""" vk="""&amp;G119&amp;""""&amp;IF(Scan2VKFlags!E119&lt;&gt;""," flags="""&amp;Scan2VKFlags!E119&amp;"""","")&amp;"/&gt;","")</f>
        <v>&lt;vk kbd="4" vk="_none_"/&gt;</v>
      </c>
      <c r="AJ119" s="15" t="str">
        <f>IF(H119&lt;&gt;"","&lt;vk kbd="""&amp;H$1&amp;""" vk="""&amp;H119&amp;""""&amp;IF(Scan2VKFlags!F119&lt;&gt;""," flags="""&amp;Scan2VKFlags!F119&amp;"""","")&amp;"/&gt;","")</f>
        <v>&lt;vk kbd="5" vk="_none_"/&gt;</v>
      </c>
      <c r="AK119" s="16" t="str">
        <f>IF(I119&lt;&gt;"","&lt;vk kbd="""&amp;I$1&amp;""" vk="""&amp;I119&amp;""""&amp;IF(Scan2VKFlags!G119&lt;&gt;""," flags="""&amp;Scan2VKFlags!G119&amp;"""","")&amp;"/&gt;","")</f>
        <v>&lt;vk kbd="6" vk="_none_"/&gt;</v>
      </c>
      <c r="AL119" s="3" t="str">
        <f>IF(K119&lt;&gt;"","&lt;vk kbd="""&amp;K$1&amp;""" vk="""&amp;K119&amp;""""&amp;IF(Scan2VKFlags!H119&lt;&gt;""," flags="""&amp;Scan2VKFlags!H119&amp;"""","")&amp;"/&gt;","")</f>
        <v>&lt;vk kbd="7" vk="_none_"/&gt;</v>
      </c>
      <c r="AM119" t="str">
        <f>IF(L119&lt;&gt;"","&lt;vk kbd="""&amp;L$1&amp;""" vk="""&amp;L119&amp;""""&amp;IF(Scan2VKFlags!I119&lt;&gt;""," flags="""&amp;Scan2VKFlags!I119&amp;"""","")&amp;"/&gt;","")</f>
        <v>&lt;vk kbd="8" vk="_none_"/&gt;</v>
      </c>
      <c r="AN119" t="str">
        <f>IF(M119&lt;&gt;"","&lt;vk kbd="""&amp;M$1&amp;""" vk="""&amp;M119&amp;""""&amp;IF(Scan2VKFlags!J119&lt;&gt;""," flags="""&amp;Scan2VKFlags!J119&amp;"""","")&amp;"/&gt;","")</f>
        <v>&lt;vk kbd="16" vk="_none_"/&gt;</v>
      </c>
      <c r="AO119" t="str">
        <f>IF(N119&lt;&gt;"","&lt;vk kbd="""&amp;N$1&amp;""" vk="""&amp;N119&amp;""""&amp;IF(Scan2VKFlags!K119&lt;&gt;""," flags="""&amp;Scan2VKFlags!K119&amp;"""","")&amp;"/&gt;","")</f>
        <v>&lt;vk kbd="10" vk="_none_"/&gt;</v>
      </c>
      <c r="AP119" t="str">
        <f>IF(O119&lt;&gt;"","&lt;vk kbd="""&amp;O$1&amp;""" vk="""&amp;O119&amp;""""&amp;IF(Scan2VKFlags!L119&lt;&gt;""," flags="""&amp;Scan2VKFlags!L119&amp;"""","")&amp;"/&gt;","")</f>
        <v>&lt;vk kbd="11" vk="_none_"/&gt;</v>
      </c>
      <c r="AQ119" t="str">
        <f>IF(P119&lt;&gt;"","&lt;vk kbd="""&amp;P$1&amp;""" vk="""&amp;P119&amp;""""&amp;IF(Scan2VKFlags!M119&lt;&gt;""," flags="""&amp;Scan2VKFlags!M119&amp;"""","")&amp;"/&gt;","")</f>
        <v>&lt;vk kbd="12" vk="_none_"/&gt;</v>
      </c>
      <c r="AR119" s="16" t="str">
        <f>IF(Q119&lt;&gt;"","&lt;vk kbd="""&amp;Q$1&amp;""" vk="""&amp;Q119&amp;""""&amp;IF(Scan2VKFlags!N119&lt;&gt;""," flags="""&amp;Scan2VKFlags!N119&amp;"""","")&amp;"/&gt;","")</f>
        <v>&lt;vk kbd="13" vk="_none_"/&gt;</v>
      </c>
      <c r="AS119" s="3" t="str">
        <f>IF(S119&lt;&gt;"","&lt;vk kbd="""&amp;S$1&amp;""" vk="""&amp;S119&amp;""""&amp;IF(Scan2VKFlags!O119&lt;&gt;""," flags="""&amp;Scan2VKFlags!O119&amp;"""","")&amp;"/&gt;","")</f>
        <v>&lt;vk kbd="20" vk="F14"/&gt;</v>
      </c>
      <c r="AT119" t="str">
        <f>IF(T119&lt;&gt;"","&lt;vk kbd="""&amp;T$1&amp;""" vk="""&amp;T119&amp;""""&amp;IF(Scan2VKFlags!P119&lt;&gt;""," flags="""&amp;Scan2VKFlags!P119&amp;"""","")&amp;"/&gt;","")</f>
        <v>&lt;vk kbd="21" vk="F14"/&gt;</v>
      </c>
      <c r="AU119" s="16" t="str">
        <f>IF(U119&lt;&gt;"","&lt;vk kbd="""&amp;U$1&amp;""" vk="""&amp;U119&amp;""""&amp;IF(Scan2VKFlags!Q119&lt;&gt;""," flags="""&amp;Scan2VKFlags!Q119&amp;"""","")&amp;"/&gt;","")</f>
        <v>&lt;vk kbd="22" vk="_none_"/&gt;</v>
      </c>
      <c r="AV119" s="3" t="str">
        <f>IF(W119&lt;&gt;"","&lt;vk kbd="""&amp;W$1&amp;""" vk="""&amp;W119&amp;""""&amp;IF(Scan2VKFlags!R119&lt;&gt;""," flags="""&amp;Scan2VKFlags!R119&amp;"""","")&amp;"/&gt;","")</f>
        <v>&lt;vk kbd="30" vk="_none_"/&gt;</v>
      </c>
      <c r="AW119" s="15" t="str">
        <f>IF(X119&lt;&gt;"","&lt;vk kbd="""&amp;X$1&amp;""" vk="""&amp;X119&amp;""""&amp;IF(Scan2VKFlags!S119&lt;&gt;""," flags="""&amp;Scan2VKFlags!S119&amp;"""","")&amp;"/&gt;","")</f>
        <v>&lt;vk kbd="33" vk="SEPARATOR"/&gt;</v>
      </c>
      <c r="AX119" s="15" t="str">
        <f>IF(Y119&lt;&gt;"","&lt;vk kbd="""&amp;Y$1&amp;""" vk="""&amp;Y119&amp;""""&amp;IF(Scan2VKFlags!T119&lt;&gt;""," flags="""&amp;Scan2VKFlags!T119&amp;"""","")&amp;"/&gt;","")</f>
        <v>&lt;vk kbd="34" vk="_none_"/&gt;</v>
      </c>
      <c r="AY119" s="18" t="str">
        <f>IF(AA119&lt;&gt;"","&lt;vk kbd="""&amp;AA$1&amp;""" vk="""&amp;AA119&amp;""""&amp;IF(Scan2VKFlags!U119&lt;&gt;""," flags="""&amp;Scan2VKFlags!U119&amp;"""","")&amp;"/&gt;","")</f>
        <v>&lt;vk kbd="37" vk="_none_"/&gt;</v>
      </c>
      <c r="AZ119" s="3" t="str">
        <f>IF(AC119&lt;&gt;"","&lt;vk kbd="""&amp;AC$1&amp;""" vk="""&amp;AC119&amp;""""&amp;IF(Scan2VKFlags!V119&lt;&gt;""," flags="""&amp;Scan2VKFlags!V119&amp;"""","")&amp;"/&gt;","")</f>
        <v>&lt;vk kbd="40" vk="_none_"/&gt;</v>
      </c>
      <c r="BA119" s="16" t="str">
        <f>IF(AD119&lt;&gt;"","&lt;vk kbd="""&amp;AD$1&amp;""" vk="""&amp;AD119&amp;""""&amp;IF(Scan2VKFlags!W119&lt;&gt;""," flags="""&amp;Scan2VKFlags!W119&amp;"""","")&amp;"/&gt;","")</f>
        <v>&lt;vk kbd="41" vk="_none_"/&gt;</v>
      </c>
      <c r="BB119" t="s">
        <v>854</v>
      </c>
    </row>
    <row r="120" spans="1:54" x14ac:dyDescent="0.25">
      <c r="A120">
        <f t="shared" si="11"/>
        <v>118</v>
      </c>
      <c r="B120" t="str">
        <f t="shared" si="8"/>
        <v>T76</v>
      </c>
      <c r="C120" s="7" t="s">
        <v>110</v>
      </c>
      <c r="D120" s="12" t="str">
        <f>trimtext(SplitText($C120,",",0))</f>
        <v>F24</v>
      </c>
      <c r="E120" s="12" t="str">
        <f>IF(SplitText($C120,",",COLUMN(E:E)-COLUMN($D:$D))="",$D120,trimtext(SplitText($C120,",",COLUMN(E:E)-COLUMN($D:$D))))</f>
        <v>F24</v>
      </c>
      <c r="F120" s="12" t="str">
        <f>IF(SplitText($C120,",",COLUMN(F:F)-COLUMN($D:$D))="",$D120,trimtext(SplitText($C120,",",COLUMN(F:F)-COLUMN($D:$D))))</f>
        <v>F24</v>
      </c>
      <c r="G120" s="12" t="str">
        <f>IF(SplitText($C120,",",COLUMN(G:G)-COLUMN($D:$D))="",$D120,trimtext(SplitText($C120,",",COLUMN(G:G)-COLUMN($D:$D))))</f>
        <v>F24</v>
      </c>
      <c r="H120" s="12" t="str">
        <f>IF(SplitText($C120,",",COLUMN(H:H)-COLUMN($D:$D))="",$D120,trimtext(SplitText($C120,",",COLUMN(H:H)-COLUMN($D:$D))))</f>
        <v>F24</v>
      </c>
      <c r="I120" s="12" t="str">
        <f>IF(SplitText($C120,",",COLUMN(I:I)-COLUMN($D:$D))="",$D120,trimtext(SplitText($C120,",",COLUMN(I:I)-COLUMN($D:$D))))</f>
        <v>F24</v>
      </c>
      <c r="J120" s="9" t="s">
        <v>296</v>
      </c>
      <c r="K120" s="12" t="str">
        <f>trimtext(SplitText($J120,",",0))</f>
        <v>F24</v>
      </c>
      <c r="L120" s="12" t="str">
        <f>IF(SplitText($J120,",",COLUMN(L:L)-COLUMN($K:$K))="",$K120,trimtext(SplitText($J120,",",COLUMN(L:L)-COLUMN($K:$K))))</f>
        <v>F24</v>
      </c>
      <c r="M120" s="12" t="str">
        <f>IF(SplitText($J120,",",COLUMN(M:M)-COLUMN($K:$K))="",$K120,trimtext(SplitText($J120,",",COLUMN(M:M)-COLUMN($K:$K))))</f>
        <v>F24</v>
      </c>
      <c r="N120" s="12" t="str">
        <f>IF(SplitText($J120,",",COLUMN(N:N)-COLUMN($K:$K))="",$K120,trimtext(SplitText($J120,",",COLUMN(N:N)-COLUMN($K:$K))))</f>
        <v>F24</v>
      </c>
      <c r="O120" s="12" t="str">
        <f>IF(SplitText($J120,",",COLUMN(O:O)-COLUMN($K:$K))="",$K120,trimtext(SplitText($J120,",",COLUMN(O:O)-COLUMN($K:$K))))</f>
        <v>F24</v>
      </c>
      <c r="P120" s="12" t="str">
        <f>IF(SplitText($J120,",",COLUMN(P:P)-COLUMN($K:$K))="",$K120,trimtext(SplitText($J120,",",COLUMN(P:P)-COLUMN($K:$K))))</f>
        <v>F24</v>
      </c>
      <c r="Q120" s="12" t="str">
        <f>IF(SplitText($J120,",",COLUMN(Q:Q)-COLUMN($K:$K))="",$K120,trimtext(SplitText($J120,",",COLUMN(Q:Q)-COLUMN($K:$K))))</f>
        <v>F24</v>
      </c>
      <c r="R120" s="2" t="s">
        <v>459</v>
      </c>
      <c r="S120" s="12" t="str">
        <f>trimtext(SplitText($R120,",",0))</f>
        <v>F15</v>
      </c>
      <c r="T120" s="12" t="str">
        <f>IF(SplitText($R120,",",COLUMN(T:T)-COLUMN($S:$S))="",$S120,trimtext(SplitText($R120,",",COLUMN(T:T)-COLUMN($S:$S))))</f>
        <v>F15</v>
      </c>
      <c r="U120" s="12" t="str">
        <f>IF(SplitText($R120,",",COLUMN(U:U)-COLUMN($S:$S))="",$S120,trimtext(SplitText($R120,",",COLUMN(U:U)-COLUMN($S:$S))))</f>
        <v>F24</v>
      </c>
      <c r="V120" s="2" t="s">
        <v>615</v>
      </c>
      <c r="W120" s="12" t="str">
        <f>trimtext(SplitText($V120,",",0))</f>
        <v>_none_</v>
      </c>
      <c r="X120" s="12" t="str">
        <f>IF(SplitText($V120,",",COLUMN(X:X)-COLUMN($W:$W))="",$W120,trimtext(SplitText($V120,",",COLUMN(X:X)-COLUMN($W:$W))))</f>
        <v>_none_</v>
      </c>
      <c r="Y120" s="12" t="str">
        <f>IF(SplitText($V120,",",COLUMN(Y:Y)-COLUMN($W:$W))="",$W120,trimtext(SplitText($V120,",",COLUMN(Y:Y)-COLUMN($W:$W))))</f>
        <v>F24</v>
      </c>
      <c r="Z120" s="2" t="s">
        <v>718</v>
      </c>
      <c r="AA120" s="12" t="str">
        <f t="shared" si="9"/>
        <v>_none_</v>
      </c>
      <c r="AB120" s="2" t="s">
        <v>743</v>
      </c>
      <c r="AC120" s="12" t="str">
        <f>trimtext(SplitText($AB120,",",0))</f>
        <v>_none_</v>
      </c>
      <c r="AD120" s="12" t="str">
        <f>IF(SplitText($AB120,",",COLUMN(AD:AD)-COLUMN($AC:$AC))="",$AC120,trimtext(SplitText($AB120,",",COLUMN(AD:AD)-COLUMN($AC:$AC))))</f>
        <v>_none_</v>
      </c>
      <c r="AE120" s="18" t="str">
        <f t="shared" si="10"/>
        <v>&lt;xs:enumeration value="T76"&gt;&lt;xs:annotation&gt;&lt;xs:documentation&gt;Typically F24 for keyboard type 4, different values for different keyboard types&lt;/xs:documentation&gt;&lt;xs:appinfo&gt;&lt;default-vk&gt;</v>
      </c>
      <c r="AF120" s="15" t="str">
        <f>IF(D120&lt;&gt;"","&lt;vk kbd="""&amp;D$1&amp;""" vk="""&amp;D120&amp;""""&amp;IF(Scan2VKFlags!B120&lt;&gt;""," flags="""&amp;Scan2VKFlags!B120&amp;"""","")&amp;"/&gt;","")</f>
        <v>&lt;vk kbd="1" vk="F24"/&gt;</v>
      </c>
      <c r="AG120" s="15" t="str">
        <f>IF(E120&lt;&gt;"","&lt;vk kbd="""&amp;E$1&amp;""" vk="""&amp;E120&amp;""""&amp;IF(Scan2VKFlags!C120&lt;&gt;""," flags="""&amp;Scan2VKFlags!C120&amp;"""","")&amp;"/&gt;","")</f>
        <v>&lt;vk kbd="2" vk="F24"/&gt;</v>
      </c>
      <c r="AH120" s="15" t="str">
        <f>IF(F120&lt;&gt;"","&lt;vk kbd="""&amp;F$1&amp;""" vk="""&amp;F120&amp;""""&amp;IF(Scan2VKFlags!D120&lt;&gt;""," flags="""&amp;Scan2VKFlags!D120&amp;"""","")&amp;"/&gt;","")</f>
        <v>&lt;vk kbd="3" vk="F24"/&gt;</v>
      </c>
      <c r="AI120" s="15" t="str">
        <f>IF(G120&lt;&gt;"","&lt;vk kbd="""&amp;G$1&amp;""" vk="""&amp;G120&amp;""""&amp;IF(Scan2VKFlags!E120&lt;&gt;""," flags="""&amp;Scan2VKFlags!E120&amp;"""","")&amp;"/&gt;","")</f>
        <v>&lt;vk kbd="4" vk="F24"/&gt;</v>
      </c>
      <c r="AJ120" s="15" t="str">
        <f>IF(H120&lt;&gt;"","&lt;vk kbd="""&amp;H$1&amp;""" vk="""&amp;H120&amp;""""&amp;IF(Scan2VKFlags!F120&lt;&gt;""," flags="""&amp;Scan2VKFlags!F120&amp;"""","")&amp;"/&gt;","")</f>
        <v>&lt;vk kbd="5" vk="F24"/&gt;</v>
      </c>
      <c r="AK120" s="16" t="str">
        <f>IF(I120&lt;&gt;"","&lt;vk kbd="""&amp;I$1&amp;""" vk="""&amp;I120&amp;""""&amp;IF(Scan2VKFlags!G120&lt;&gt;""," flags="""&amp;Scan2VKFlags!G120&amp;"""","")&amp;"/&gt;","")</f>
        <v>&lt;vk kbd="6" vk="F24"/&gt;</v>
      </c>
      <c r="AL120" s="3" t="str">
        <f>IF(K120&lt;&gt;"","&lt;vk kbd="""&amp;K$1&amp;""" vk="""&amp;K120&amp;""""&amp;IF(Scan2VKFlags!H120&lt;&gt;""," flags="""&amp;Scan2VKFlags!H120&amp;"""","")&amp;"/&gt;","")</f>
        <v>&lt;vk kbd="7" vk="F24"/&gt;</v>
      </c>
      <c r="AM120" t="str">
        <f>IF(L120&lt;&gt;"","&lt;vk kbd="""&amp;L$1&amp;""" vk="""&amp;L120&amp;""""&amp;IF(Scan2VKFlags!I120&lt;&gt;""," flags="""&amp;Scan2VKFlags!I120&amp;"""","")&amp;"/&gt;","")</f>
        <v>&lt;vk kbd="8" vk="F24"/&gt;</v>
      </c>
      <c r="AN120" t="str">
        <f>IF(M120&lt;&gt;"","&lt;vk kbd="""&amp;M$1&amp;""" vk="""&amp;M120&amp;""""&amp;IF(Scan2VKFlags!J120&lt;&gt;""," flags="""&amp;Scan2VKFlags!J120&amp;"""","")&amp;"/&gt;","")</f>
        <v>&lt;vk kbd="16" vk="F24"/&gt;</v>
      </c>
      <c r="AO120" t="str">
        <f>IF(N120&lt;&gt;"","&lt;vk kbd="""&amp;N$1&amp;""" vk="""&amp;N120&amp;""""&amp;IF(Scan2VKFlags!K120&lt;&gt;""," flags="""&amp;Scan2VKFlags!K120&amp;"""","")&amp;"/&gt;","")</f>
        <v>&lt;vk kbd="10" vk="F24"/&gt;</v>
      </c>
      <c r="AP120" t="str">
        <f>IF(O120&lt;&gt;"","&lt;vk kbd="""&amp;O$1&amp;""" vk="""&amp;O120&amp;""""&amp;IF(Scan2VKFlags!L120&lt;&gt;""," flags="""&amp;Scan2VKFlags!L120&amp;"""","")&amp;"/&gt;","")</f>
        <v>&lt;vk kbd="11" vk="F24"/&gt;</v>
      </c>
      <c r="AQ120" t="str">
        <f>IF(P120&lt;&gt;"","&lt;vk kbd="""&amp;P$1&amp;""" vk="""&amp;P120&amp;""""&amp;IF(Scan2VKFlags!M120&lt;&gt;""," flags="""&amp;Scan2VKFlags!M120&amp;"""","")&amp;"/&gt;","")</f>
        <v>&lt;vk kbd="12" vk="F24"/&gt;</v>
      </c>
      <c r="AR120" s="16" t="str">
        <f>IF(Q120&lt;&gt;"","&lt;vk kbd="""&amp;Q$1&amp;""" vk="""&amp;Q120&amp;""""&amp;IF(Scan2VKFlags!N120&lt;&gt;""," flags="""&amp;Scan2VKFlags!N120&amp;"""","")&amp;"/&gt;","")</f>
        <v>&lt;vk kbd="13" vk="F24"/&gt;</v>
      </c>
      <c r="AS120" s="3" t="str">
        <f>IF(S120&lt;&gt;"","&lt;vk kbd="""&amp;S$1&amp;""" vk="""&amp;S120&amp;""""&amp;IF(Scan2VKFlags!O120&lt;&gt;""," flags="""&amp;Scan2VKFlags!O120&amp;"""","")&amp;"/&gt;","")</f>
        <v>&lt;vk kbd="20" vk="F15"/&gt;</v>
      </c>
      <c r="AT120" t="str">
        <f>IF(T120&lt;&gt;"","&lt;vk kbd="""&amp;T$1&amp;""" vk="""&amp;T120&amp;""""&amp;IF(Scan2VKFlags!P120&lt;&gt;""," flags="""&amp;Scan2VKFlags!P120&amp;"""","")&amp;"/&gt;","")</f>
        <v>&lt;vk kbd="21" vk="F15"/&gt;</v>
      </c>
      <c r="AU120" s="16" t="str">
        <f>IF(U120&lt;&gt;"","&lt;vk kbd="""&amp;U$1&amp;""" vk="""&amp;U120&amp;""""&amp;IF(Scan2VKFlags!Q120&lt;&gt;""," flags="""&amp;Scan2VKFlags!Q120&amp;"""","")&amp;"/&gt;","")</f>
        <v>&lt;vk kbd="22" vk="F24"/&gt;</v>
      </c>
      <c r="AV120" s="3" t="str">
        <f>IF(W120&lt;&gt;"","&lt;vk kbd="""&amp;W$1&amp;""" vk="""&amp;W120&amp;""""&amp;IF(Scan2VKFlags!R120&lt;&gt;""," flags="""&amp;Scan2VKFlags!R120&amp;"""","")&amp;"/&gt;","")</f>
        <v>&lt;vk kbd="30" vk="_none_"/&gt;</v>
      </c>
      <c r="AW120" s="15" t="str">
        <f>IF(X120&lt;&gt;"","&lt;vk kbd="""&amp;X$1&amp;""" vk="""&amp;X120&amp;""""&amp;IF(Scan2VKFlags!S120&lt;&gt;""," flags="""&amp;Scan2VKFlags!S120&amp;"""","")&amp;"/&gt;","")</f>
        <v>&lt;vk kbd="33" vk="_none_"/&gt;</v>
      </c>
      <c r="AX120" s="15" t="str">
        <f>IF(Y120&lt;&gt;"","&lt;vk kbd="""&amp;Y$1&amp;""" vk="""&amp;Y120&amp;""""&amp;IF(Scan2VKFlags!T120&lt;&gt;""," flags="""&amp;Scan2VKFlags!T120&amp;"""","")&amp;"/&gt;","")</f>
        <v>&lt;vk kbd="34" vk="F24"/&gt;</v>
      </c>
      <c r="AY120" s="18" t="str">
        <f>IF(AA120&lt;&gt;"","&lt;vk kbd="""&amp;AA$1&amp;""" vk="""&amp;AA120&amp;""""&amp;IF(Scan2VKFlags!U120&lt;&gt;""," flags="""&amp;Scan2VKFlags!U120&amp;"""","")&amp;"/&gt;","")</f>
        <v>&lt;vk kbd="37" vk="_none_"/&gt;</v>
      </c>
      <c r="AZ120" s="3" t="str">
        <f>IF(AC120&lt;&gt;"","&lt;vk kbd="""&amp;AC$1&amp;""" vk="""&amp;AC120&amp;""""&amp;IF(Scan2VKFlags!V120&lt;&gt;""," flags="""&amp;Scan2VKFlags!V120&amp;"""","")&amp;"/&gt;","")</f>
        <v>&lt;vk kbd="40" vk="_none_"/&gt;</v>
      </c>
      <c r="BA120" s="16" t="str">
        <f>IF(AD120&lt;&gt;"","&lt;vk kbd="""&amp;AD$1&amp;""" vk="""&amp;AD120&amp;""""&amp;IF(Scan2VKFlags!W120&lt;&gt;""," flags="""&amp;Scan2VKFlags!W120&amp;"""","")&amp;"/&gt;","")</f>
        <v>&lt;vk kbd="41" vk="_none_"/&gt;</v>
      </c>
      <c r="BB120" t="s">
        <v>854</v>
      </c>
    </row>
    <row r="121" spans="1:54" x14ac:dyDescent="0.25">
      <c r="A121">
        <f t="shared" si="11"/>
        <v>119</v>
      </c>
      <c r="B121" t="str">
        <f t="shared" si="8"/>
        <v>T77</v>
      </c>
      <c r="C121" s="7" t="s">
        <v>0</v>
      </c>
      <c r="D121" s="12" t="str">
        <f>trimtext(SplitText($C121,",",0))</f>
        <v>_none_</v>
      </c>
      <c r="E121" s="12" t="str">
        <f>IF(SplitText($C121,",",COLUMN(E:E)-COLUMN($D:$D))="",$D121,trimtext(SplitText($C121,",",COLUMN(E:E)-COLUMN($D:$D))))</f>
        <v>_none_</v>
      </c>
      <c r="F121" s="12" t="str">
        <f>IF(SplitText($C121,",",COLUMN(F:F)-COLUMN($D:$D))="",$D121,trimtext(SplitText($C121,",",COLUMN(F:F)-COLUMN($D:$D))))</f>
        <v>_none_</v>
      </c>
      <c r="G121" s="12" t="str">
        <f>IF(SplitText($C121,",",COLUMN(G:G)-COLUMN($D:$D))="",$D121,trimtext(SplitText($C121,",",COLUMN(G:G)-COLUMN($D:$D))))</f>
        <v>_none_</v>
      </c>
      <c r="H121" s="12" t="str">
        <f>IF(SplitText($C121,",",COLUMN(H:H)-COLUMN($D:$D))="",$D121,trimtext(SplitText($C121,",",COLUMN(H:H)-COLUMN($D:$D))))</f>
        <v>_none_</v>
      </c>
      <c r="I121" s="12" t="str">
        <f>IF(SplitText($C121,",",COLUMN(I:I)-COLUMN($D:$D))="",$D121,trimtext(SplitText($C121,",",COLUMN(I:I)-COLUMN($D:$D))))</f>
        <v>_none_</v>
      </c>
      <c r="J121" s="9" t="s">
        <v>297</v>
      </c>
      <c r="K121" s="12" t="str">
        <f>trimtext(SplitText($J121,",",0))</f>
        <v>DBE_SBCSCHAR</v>
      </c>
      <c r="L121" s="12" t="str">
        <f>IF(SplitText($J121,",",COLUMN(L:L)-COLUMN($K:$K))="",$K121,trimtext(SplitText($J121,",",COLUMN(L:L)-COLUMN($K:$K))))</f>
        <v>_none_</v>
      </c>
      <c r="M121" s="12" t="str">
        <f>IF(SplitText($J121,",",COLUMN(M:M)-COLUMN($K:$K))="",$K121,trimtext(SplitText($J121,",",COLUMN(M:M)-COLUMN($K:$K))))</f>
        <v>_none_</v>
      </c>
      <c r="N121" s="12" t="str">
        <f>IF(SplitText($J121,",",COLUMN(N:N)-COLUMN($K:$K))="",$K121,trimtext(SplitText($J121,",",COLUMN(N:N)-COLUMN($K:$K))))</f>
        <v>_none_</v>
      </c>
      <c r="O121" s="12" t="str">
        <f>IF(SplitText($J121,",",COLUMN(O:O)-COLUMN($K:$K))="",$K121,trimtext(SplitText($J121,",",COLUMN(O:O)-COLUMN($K:$K))))</f>
        <v>_none_</v>
      </c>
      <c r="P121" s="12" t="str">
        <f>IF(SplitText($J121,",",COLUMN(P:P)-COLUMN($K:$K))="",$K121,trimtext(SplitText($J121,",",COLUMN(P:P)-COLUMN($K:$K))))</f>
        <v>_none_</v>
      </c>
      <c r="Q121" s="12" t="str">
        <f>IF(SplitText($J121,",",COLUMN(Q:Q)-COLUMN($K:$K))="",$K121,trimtext(SplitText($J121,",",COLUMN(Q:Q)-COLUMN($K:$K))))</f>
        <v>_none_</v>
      </c>
      <c r="R121" s="2" t="s">
        <v>460</v>
      </c>
      <c r="S121" s="12" t="str">
        <f>trimtext(SplitText($R121,",",0))</f>
        <v>F16</v>
      </c>
      <c r="T121" s="12" t="str">
        <f>IF(SplitText($R121,",",COLUMN(T:T)-COLUMN($S:$S))="",$S121,trimtext(SplitText($R121,",",COLUMN(T:T)-COLUMN($S:$S))))</f>
        <v>F16</v>
      </c>
      <c r="U121" s="12" t="str">
        <f>IF(SplitText($R121,",",COLUMN(U:U)-COLUMN($S:$S))="",$S121,trimtext(SplitText($R121,",",COLUMN(U:U)-COLUMN($S:$S))))</f>
        <v>_none_</v>
      </c>
      <c r="V121" s="24" t="s">
        <v>616</v>
      </c>
      <c r="W121" s="12" t="str">
        <f>trimtext(SplitText($V121,",",0))</f>
        <v>_none_</v>
      </c>
      <c r="X121" s="12" t="str">
        <f>IF(SplitText($V121,",",COLUMN(X:X)-COLUMN($W:$W))="",$W121,trimtext(SplitText($V121,",",COLUMN(X:X)-COLUMN($W:$W))))</f>
        <v>_none_</v>
      </c>
      <c r="Y121" s="12" t="str">
        <f>IF(SplitText($V121,",",COLUMN(Y:Y)-COLUMN($W:$W))="",$W121,trimtext(SplitText($V121,",",COLUMN(Y:Y)-COLUMN($W:$W))))</f>
        <v>DBE_SBCSCHAR</v>
      </c>
      <c r="Z121" s="2" t="s">
        <v>736</v>
      </c>
      <c r="AA121" s="12" t="str">
        <f t="shared" si="9"/>
        <v>LWIN</v>
      </c>
      <c r="AB121" s="2" t="s">
        <v>743</v>
      </c>
      <c r="AC121" s="12" t="str">
        <f>trimtext(SplitText($AB121,",",0))</f>
        <v>_none_</v>
      </c>
      <c r="AD121" s="12" t="str">
        <f>IF(SplitText($AB121,",",COLUMN(AD:AD)-COLUMN($AC:$AC))="",$AC121,trimtext(SplitText($AB121,",",COLUMN(AD:AD)-COLUMN($AC:$AC))))</f>
        <v>_none_</v>
      </c>
      <c r="AE121" s="18" t="str">
        <f t="shared" si="10"/>
        <v>&lt;xs:enumeration value="T77"&gt;&lt;xs:annotation&gt;&lt;xs:documentation&gt;Typically _none_ for keyboard type 4, different values for different keyboard types&lt;/xs:documentation&gt;&lt;xs:appinfo&gt;&lt;default-vk&gt;</v>
      </c>
      <c r="AF121" s="15" t="str">
        <f>IF(D121&lt;&gt;"","&lt;vk kbd="""&amp;D$1&amp;""" vk="""&amp;D121&amp;""""&amp;IF(Scan2VKFlags!B121&lt;&gt;""," flags="""&amp;Scan2VKFlags!B121&amp;"""","")&amp;"/&gt;","")</f>
        <v>&lt;vk kbd="1" vk="_none_"/&gt;</v>
      </c>
      <c r="AG121" s="15" t="str">
        <f>IF(E121&lt;&gt;"","&lt;vk kbd="""&amp;E$1&amp;""" vk="""&amp;E121&amp;""""&amp;IF(Scan2VKFlags!C121&lt;&gt;""," flags="""&amp;Scan2VKFlags!C121&amp;"""","")&amp;"/&gt;","")</f>
        <v>&lt;vk kbd="2" vk="_none_"/&gt;</v>
      </c>
      <c r="AH121" s="15" t="str">
        <f>IF(F121&lt;&gt;"","&lt;vk kbd="""&amp;F$1&amp;""" vk="""&amp;F121&amp;""""&amp;IF(Scan2VKFlags!D121&lt;&gt;""," flags="""&amp;Scan2VKFlags!D121&amp;"""","")&amp;"/&gt;","")</f>
        <v>&lt;vk kbd="3" vk="_none_"/&gt;</v>
      </c>
      <c r="AI121" s="15" t="str">
        <f>IF(G121&lt;&gt;"","&lt;vk kbd="""&amp;G$1&amp;""" vk="""&amp;G121&amp;""""&amp;IF(Scan2VKFlags!E121&lt;&gt;""," flags="""&amp;Scan2VKFlags!E121&amp;"""","")&amp;"/&gt;","")</f>
        <v>&lt;vk kbd="4" vk="_none_"/&gt;</v>
      </c>
      <c r="AJ121" s="15" t="str">
        <f>IF(H121&lt;&gt;"","&lt;vk kbd="""&amp;H$1&amp;""" vk="""&amp;H121&amp;""""&amp;IF(Scan2VKFlags!F121&lt;&gt;""," flags="""&amp;Scan2VKFlags!F121&amp;"""","")&amp;"/&gt;","")</f>
        <v>&lt;vk kbd="5" vk="_none_"/&gt;</v>
      </c>
      <c r="AK121" s="16" t="str">
        <f>IF(I121&lt;&gt;"","&lt;vk kbd="""&amp;I$1&amp;""" vk="""&amp;I121&amp;""""&amp;IF(Scan2VKFlags!G121&lt;&gt;""," flags="""&amp;Scan2VKFlags!G121&amp;"""","")&amp;"/&gt;","")</f>
        <v>&lt;vk kbd="6" vk="_none_"/&gt;</v>
      </c>
      <c r="AL121" s="3" t="str">
        <f>IF(K121&lt;&gt;"","&lt;vk kbd="""&amp;K$1&amp;""" vk="""&amp;K121&amp;""""&amp;IF(Scan2VKFlags!H121&lt;&gt;""," flags="""&amp;Scan2VKFlags!H121&amp;"""","")&amp;"/&gt;","")</f>
        <v>&lt;vk kbd="7" vk="DBE_SBCSCHAR"/&gt;</v>
      </c>
      <c r="AM121" t="str">
        <f>IF(L121&lt;&gt;"","&lt;vk kbd="""&amp;L$1&amp;""" vk="""&amp;L121&amp;""""&amp;IF(Scan2VKFlags!I121&lt;&gt;""," flags="""&amp;Scan2VKFlags!I121&amp;"""","")&amp;"/&gt;","")</f>
        <v>&lt;vk kbd="8" vk="_none_"/&gt;</v>
      </c>
      <c r="AN121" t="str">
        <f>IF(M121&lt;&gt;"","&lt;vk kbd="""&amp;M$1&amp;""" vk="""&amp;M121&amp;""""&amp;IF(Scan2VKFlags!J121&lt;&gt;""," flags="""&amp;Scan2VKFlags!J121&amp;"""","")&amp;"/&gt;","")</f>
        <v>&lt;vk kbd="16" vk="_none_"/&gt;</v>
      </c>
      <c r="AO121" t="str">
        <f>IF(N121&lt;&gt;"","&lt;vk kbd="""&amp;N$1&amp;""" vk="""&amp;N121&amp;""""&amp;IF(Scan2VKFlags!K121&lt;&gt;""," flags="""&amp;Scan2VKFlags!K121&amp;"""","")&amp;"/&gt;","")</f>
        <v>&lt;vk kbd="10" vk="_none_"/&gt;</v>
      </c>
      <c r="AP121" t="str">
        <f>IF(O121&lt;&gt;"","&lt;vk kbd="""&amp;O$1&amp;""" vk="""&amp;O121&amp;""""&amp;IF(Scan2VKFlags!L121&lt;&gt;""," flags="""&amp;Scan2VKFlags!L121&amp;"""","")&amp;"/&gt;","")</f>
        <v>&lt;vk kbd="11" vk="_none_"/&gt;</v>
      </c>
      <c r="AQ121" t="str">
        <f>IF(P121&lt;&gt;"","&lt;vk kbd="""&amp;P$1&amp;""" vk="""&amp;P121&amp;""""&amp;IF(Scan2VKFlags!M121&lt;&gt;""," flags="""&amp;Scan2VKFlags!M121&amp;"""","")&amp;"/&gt;","")</f>
        <v>&lt;vk kbd="12" vk="_none_"/&gt;</v>
      </c>
      <c r="AR121" s="16" t="str">
        <f>IF(Q121&lt;&gt;"","&lt;vk kbd="""&amp;Q$1&amp;""" vk="""&amp;Q121&amp;""""&amp;IF(Scan2VKFlags!N121&lt;&gt;""," flags="""&amp;Scan2VKFlags!N121&amp;"""","")&amp;"/&gt;","")</f>
        <v>&lt;vk kbd="13" vk="_none_"/&gt;</v>
      </c>
      <c r="AS121" s="3" t="str">
        <f>IF(S121&lt;&gt;"","&lt;vk kbd="""&amp;S$1&amp;""" vk="""&amp;S121&amp;""""&amp;IF(Scan2VKFlags!O121&lt;&gt;""," flags="""&amp;Scan2VKFlags!O121&amp;"""","")&amp;"/&gt;","")</f>
        <v>&lt;vk kbd="20" vk="F16"/&gt;</v>
      </c>
      <c r="AT121" t="str">
        <f>IF(T121&lt;&gt;"","&lt;vk kbd="""&amp;T$1&amp;""" vk="""&amp;T121&amp;""""&amp;IF(Scan2VKFlags!P121&lt;&gt;""," flags="""&amp;Scan2VKFlags!P121&amp;"""","")&amp;"/&gt;","")</f>
        <v>&lt;vk kbd="21" vk="F16"/&gt;</v>
      </c>
      <c r="AU121" s="16" t="str">
        <f>IF(U121&lt;&gt;"","&lt;vk kbd="""&amp;U$1&amp;""" vk="""&amp;U121&amp;""""&amp;IF(Scan2VKFlags!Q121&lt;&gt;""," flags="""&amp;Scan2VKFlags!Q121&amp;"""","")&amp;"/&gt;","")</f>
        <v>&lt;vk kbd="22" vk="_none_"/&gt;</v>
      </c>
      <c r="AV121" s="3" t="str">
        <f>IF(W121&lt;&gt;"","&lt;vk kbd="""&amp;W$1&amp;""" vk="""&amp;W121&amp;""""&amp;IF(Scan2VKFlags!R121&lt;&gt;""," flags="""&amp;Scan2VKFlags!R121&amp;"""","")&amp;"/&gt;","")</f>
        <v>&lt;vk kbd="30" vk="_none_"/&gt;</v>
      </c>
      <c r="AW121" s="15" t="str">
        <f>IF(X121&lt;&gt;"","&lt;vk kbd="""&amp;X$1&amp;""" vk="""&amp;X121&amp;""""&amp;IF(Scan2VKFlags!S121&lt;&gt;""," flags="""&amp;Scan2VKFlags!S121&amp;"""","")&amp;"/&gt;","")</f>
        <v>&lt;vk kbd="33" vk="_none_"/&gt;</v>
      </c>
      <c r="AX121" s="15" t="str">
        <f>IF(Y121&lt;&gt;"","&lt;vk kbd="""&amp;Y$1&amp;""" vk="""&amp;Y121&amp;""""&amp;IF(Scan2VKFlags!T121&lt;&gt;""," flags="""&amp;Scan2VKFlags!T121&amp;"""","")&amp;"/&gt;","")</f>
        <v>&lt;vk kbd="34" vk="DBE_SBCSCHAR"/&gt;</v>
      </c>
      <c r="AY121" s="18" t="str">
        <f>IF(AA121&lt;&gt;"","&lt;vk kbd="""&amp;AA$1&amp;""" vk="""&amp;AA121&amp;""""&amp;IF(Scan2VKFlags!U121&lt;&gt;""," flags="""&amp;Scan2VKFlags!U121&amp;"""","")&amp;"/&gt;","")</f>
        <v>&lt;vk kbd="37" vk="LWIN"/&gt;</v>
      </c>
      <c r="AZ121" s="3" t="str">
        <f>IF(AC121&lt;&gt;"","&lt;vk kbd="""&amp;AC$1&amp;""" vk="""&amp;AC121&amp;""""&amp;IF(Scan2VKFlags!V121&lt;&gt;""," flags="""&amp;Scan2VKFlags!V121&amp;"""","")&amp;"/&gt;","")</f>
        <v>&lt;vk kbd="40" vk="_none_"/&gt;</v>
      </c>
      <c r="BA121" s="16" t="str">
        <f>IF(AD121&lt;&gt;"","&lt;vk kbd="""&amp;AD$1&amp;""" vk="""&amp;AD121&amp;""""&amp;IF(Scan2VKFlags!W121&lt;&gt;""," flags="""&amp;Scan2VKFlags!W121&amp;"""","")&amp;"/&gt;","")</f>
        <v>&lt;vk kbd="41" vk="_none_"/&gt;</v>
      </c>
      <c r="BB121" t="s">
        <v>854</v>
      </c>
    </row>
    <row r="122" spans="1:54" x14ac:dyDescent="0.25">
      <c r="A122">
        <f t="shared" si="11"/>
        <v>120</v>
      </c>
      <c r="B122" t="str">
        <f t="shared" si="8"/>
        <v>T78</v>
      </c>
      <c r="C122" s="7" t="s">
        <v>0</v>
      </c>
      <c r="D122" s="12" t="str">
        <f>trimtext(SplitText($C122,",",0))</f>
        <v>_none_</v>
      </c>
      <c r="E122" s="12" t="str">
        <f>IF(SplitText($C122,",",COLUMN(E:E)-COLUMN($D:$D))="",$D122,trimtext(SplitText($C122,",",COLUMN(E:E)-COLUMN($D:$D))))</f>
        <v>_none_</v>
      </c>
      <c r="F122" s="12" t="str">
        <f>IF(SplitText($C122,",",COLUMN(F:F)-COLUMN($D:$D))="",$D122,trimtext(SplitText($C122,",",COLUMN(F:F)-COLUMN($D:$D))))</f>
        <v>_none_</v>
      </c>
      <c r="G122" s="12" t="str">
        <f>IF(SplitText($C122,",",COLUMN(G:G)-COLUMN($D:$D))="",$D122,trimtext(SplitText($C122,",",COLUMN(G:G)-COLUMN($D:$D))))</f>
        <v>_none_</v>
      </c>
      <c r="H122" s="12" t="str">
        <f>IF(SplitText($C122,",",COLUMN(H:H)-COLUMN($D:$D))="",$D122,trimtext(SplitText($C122,",",COLUMN(H:H)-COLUMN($D:$D))))</f>
        <v>_none_</v>
      </c>
      <c r="I122" s="12" t="str">
        <f>IF(SplitText($C122,",",COLUMN(I:I)-COLUMN($D:$D))="",$D122,trimtext(SplitText($C122,",",COLUMN(I:I)-COLUMN($D:$D))))</f>
        <v>_none_</v>
      </c>
      <c r="J122" s="9" t="s">
        <v>185</v>
      </c>
      <c r="K122" s="12" t="str">
        <f>trimtext(SplitText($J122,",",0))</f>
        <v>_none_</v>
      </c>
      <c r="L122" s="12" t="str">
        <f>IF(SplitText($J122,",",COLUMN(L:L)-COLUMN($K:$K))="",$K122,trimtext(SplitText($J122,",",COLUMN(L:L)-COLUMN($K:$K))))</f>
        <v>_none_</v>
      </c>
      <c r="M122" s="12" t="str">
        <f>IF(SplitText($J122,",",COLUMN(M:M)-COLUMN($K:$K))="",$K122,trimtext(SplitText($J122,",",COLUMN(M:M)-COLUMN($K:$K))))</f>
        <v>_none_</v>
      </c>
      <c r="N122" s="12" t="str">
        <f>IF(SplitText($J122,",",COLUMN(N:N)-COLUMN($K:$K))="",$K122,trimtext(SplitText($J122,",",COLUMN(N:N)-COLUMN($K:$K))))</f>
        <v>_none_</v>
      </c>
      <c r="O122" s="12" t="str">
        <f>IF(SplitText($J122,",",COLUMN(O:O)-COLUMN($K:$K))="",$K122,trimtext(SplitText($J122,",",COLUMN(O:O)-COLUMN($K:$K))))</f>
        <v>_none_</v>
      </c>
      <c r="P122" s="12" t="str">
        <f>IF(SplitText($J122,",",COLUMN(P:P)-COLUMN($K:$K))="",$K122,trimtext(SplitText($J122,",",COLUMN(P:P)-COLUMN($K:$K))))</f>
        <v>_none_</v>
      </c>
      <c r="Q122" s="12" t="str">
        <f>IF(SplitText($J122,",",COLUMN(Q:Q)-COLUMN($K:$K))="",$K122,trimtext(SplitText($J122,",",COLUMN(Q:Q)-COLUMN($K:$K))))</f>
        <v>_none_</v>
      </c>
      <c r="R122" s="2" t="s">
        <v>461</v>
      </c>
      <c r="S122" s="12" t="str">
        <f>trimtext(SplitText($R122,",",0))</f>
        <v>CLEAR</v>
      </c>
      <c r="T122" s="12" t="str">
        <f>IF(SplitText($R122,",",COLUMN(T:T)-COLUMN($S:$S))="",$S122,trimtext(SplitText($R122,",",COLUMN(T:T)-COLUMN($S:$S))))</f>
        <v>CLEAR</v>
      </c>
      <c r="U122" s="12" t="str">
        <f>IF(SplitText($R122,",",COLUMN(U:U)-COLUMN($S:$S))="",$S122,trimtext(SplitText($R122,",",COLUMN(U:U)-COLUMN($S:$S))))</f>
        <v>_none_</v>
      </c>
      <c r="V122" s="2" t="s">
        <v>507</v>
      </c>
      <c r="W122" s="12" t="str">
        <f>trimtext(SplitText($V122,",",0))</f>
        <v>_none_</v>
      </c>
      <c r="X122" s="12" t="str">
        <f>IF(SplitText($V122,",",COLUMN(X:X)-COLUMN($W:$W))="",$W122,trimtext(SplitText($V122,",",COLUMN(X:X)-COLUMN($W:$W))))</f>
        <v>_none_</v>
      </c>
      <c r="Y122" s="12" t="str">
        <f>IF(SplitText($V122,",",COLUMN(Y:Y)-COLUMN($W:$W))="",$W122,trimtext(SplitText($V122,",",COLUMN(Y:Y)-COLUMN($W:$W))))</f>
        <v>_none_</v>
      </c>
      <c r="Z122" s="2" t="s">
        <v>737</v>
      </c>
      <c r="AA122" s="12" t="str">
        <f t="shared" si="9"/>
        <v>RWIN</v>
      </c>
      <c r="AB122" s="2" t="s">
        <v>743</v>
      </c>
      <c r="AC122" s="12" t="str">
        <f>trimtext(SplitText($AB122,",",0))</f>
        <v>_none_</v>
      </c>
      <c r="AD122" s="12" t="str">
        <f>IF(SplitText($AB122,",",COLUMN(AD:AD)-COLUMN($AC:$AC))="",$AC122,trimtext(SplitText($AB122,",",COLUMN(AD:AD)-COLUMN($AC:$AC))))</f>
        <v>_none_</v>
      </c>
      <c r="AE122" s="18" t="str">
        <f t="shared" si="10"/>
        <v>&lt;xs:enumeration value="T78"&gt;&lt;xs:annotation&gt;&lt;xs:documentation&gt;Typically _none_ for keyboard type 4, different values for different keyboard types&lt;/xs:documentation&gt;&lt;xs:appinfo&gt;&lt;default-vk&gt;</v>
      </c>
      <c r="AF122" s="15" t="str">
        <f>IF(D122&lt;&gt;"","&lt;vk kbd="""&amp;D$1&amp;""" vk="""&amp;D122&amp;""""&amp;IF(Scan2VKFlags!B122&lt;&gt;""," flags="""&amp;Scan2VKFlags!B122&amp;"""","")&amp;"/&gt;","")</f>
        <v>&lt;vk kbd="1" vk="_none_"/&gt;</v>
      </c>
      <c r="AG122" s="15" t="str">
        <f>IF(E122&lt;&gt;"","&lt;vk kbd="""&amp;E$1&amp;""" vk="""&amp;E122&amp;""""&amp;IF(Scan2VKFlags!C122&lt;&gt;""," flags="""&amp;Scan2VKFlags!C122&amp;"""","")&amp;"/&gt;","")</f>
        <v>&lt;vk kbd="2" vk="_none_"/&gt;</v>
      </c>
      <c r="AH122" s="15" t="str">
        <f>IF(F122&lt;&gt;"","&lt;vk kbd="""&amp;F$1&amp;""" vk="""&amp;F122&amp;""""&amp;IF(Scan2VKFlags!D122&lt;&gt;""," flags="""&amp;Scan2VKFlags!D122&amp;"""","")&amp;"/&gt;","")</f>
        <v>&lt;vk kbd="3" vk="_none_"/&gt;</v>
      </c>
      <c r="AI122" s="15" t="str">
        <f>IF(G122&lt;&gt;"","&lt;vk kbd="""&amp;G$1&amp;""" vk="""&amp;G122&amp;""""&amp;IF(Scan2VKFlags!E122&lt;&gt;""," flags="""&amp;Scan2VKFlags!E122&amp;"""","")&amp;"/&gt;","")</f>
        <v>&lt;vk kbd="4" vk="_none_"/&gt;</v>
      </c>
      <c r="AJ122" s="15" t="str">
        <f>IF(H122&lt;&gt;"","&lt;vk kbd="""&amp;H$1&amp;""" vk="""&amp;H122&amp;""""&amp;IF(Scan2VKFlags!F122&lt;&gt;""," flags="""&amp;Scan2VKFlags!F122&amp;"""","")&amp;"/&gt;","")</f>
        <v>&lt;vk kbd="5" vk="_none_"/&gt;</v>
      </c>
      <c r="AK122" s="16" t="str">
        <f>IF(I122&lt;&gt;"","&lt;vk kbd="""&amp;I$1&amp;""" vk="""&amp;I122&amp;""""&amp;IF(Scan2VKFlags!G122&lt;&gt;""," flags="""&amp;Scan2VKFlags!G122&amp;"""","")&amp;"/&gt;","")</f>
        <v>&lt;vk kbd="6" vk="_none_"/&gt;</v>
      </c>
      <c r="AL122" s="3" t="str">
        <f>IF(K122&lt;&gt;"","&lt;vk kbd="""&amp;K$1&amp;""" vk="""&amp;K122&amp;""""&amp;IF(Scan2VKFlags!H122&lt;&gt;""," flags="""&amp;Scan2VKFlags!H122&amp;"""","")&amp;"/&gt;","")</f>
        <v>&lt;vk kbd="7" vk="_none_"/&gt;</v>
      </c>
      <c r="AM122" t="str">
        <f>IF(L122&lt;&gt;"","&lt;vk kbd="""&amp;L$1&amp;""" vk="""&amp;L122&amp;""""&amp;IF(Scan2VKFlags!I122&lt;&gt;""," flags="""&amp;Scan2VKFlags!I122&amp;"""","")&amp;"/&gt;","")</f>
        <v>&lt;vk kbd="8" vk="_none_"/&gt;</v>
      </c>
      <c r="AN122" t="str">
        <f>IF(M122&lt;&gt;"","&lt;vk kbd="""&amp;M$1&amp;""" vk="""&amp;M122&amp;""""&amp;IF(Scan2VKFlags!J122&lt;&gt;""," flags="""&amp;Scan2VKFlags!J122&amp;"""","")&amp;"/&gt;","")</f>
        <v>&lt;vk kbd="16" vk="_none_"/&gt;</v>
      </c>
      <c r="AO122" t="str">
        <f>IF(N122&lt;&gt;"","&lt;vk kbd="""&amp;N$1&amp;""" vk="""&amp;N122&amp;""""&amp;IF(Scan2VKFlags!K122&lt;&gt;""," flags="""&amp;Scan2VKFlags!K122&amp;"""","")&amp;"/&gt;","")</f>
        <v>&lt;vk kbd="10" vk="_none_"/&gt;</v>
      </c>
      <c r="AP122" t="str">
        <f>IF(O122&lt;&gt;"","&lt;vk kbd="""&amp;O$1&amp;""" vk="""&amp;O122&amp;""""&amp;IF(Scan2VKFlags!L122&lt;&gt;""," flags="""&amp;Scan2VKFlags!L122&amp;"""","")&amp;"/&gt;","")</f>
        <v>&lt;vk kbd="11" vk="_none_"/&gt;</v>
      </c>
      <c r="AQ122" t="str">
        <f>IF(P122&lt;&gt;"","&lt;vk kbd="""&amp;P$1&amp;""" vk="""&amp;P122&amp;""""&amp;IF(Scan2VKFlags!M122&lt;&gt;""," flags="""&amp;Scan2VKFlags!M122&amp;"""","")&amp;"/&gt;","")</f>
        <v>&lt;vk kbd="12" vk="_none_"/&gt;</v>
      </c>
      <c r="AR122" s="16" t="str">
        <f>IF(Q122&lt;&gt;"","&lt;vk kbd="""&amp;Q$1&amp;""" vk="""&amp;Q122&amp;""""&amp;IF(Scan2VKFlags!N122&lt;&gt;""," flags="""&amp;Scan2VKFlags!N122&amp;"""","")&amp;"/&gt;","")</f>
        <v>&lt;vk kbd="13" vk="_none_"/&gt;</v>
      </c>
      <c r="AS122" s="3" t="str">
        <f>IF(S122&lt;&gt;"","&lt;vk kbd="""&amp;S$1&amp;""" vk="""&amp;S122&amp;""""&amp;IF(Scan2VKFlags!O122&lt;&gt;""," flags="""&amp;Scan2VKFlags!O122&amp;"""","")&amp;"/&gt;","")</f>
        <v>&lt;vk kbd="20" vk="CLEAR"/&gt;</v>
      </c>
      <c r="AT122" t="str">
        <f>IF(T122&lt;&gt;"","&lt;vk kbd="""&amp;T$1&amp;""" vk="""&amp;T122&amp;""""&amp;IF(Scan2VKFlags!P122&lt;&gt;""," flags="""&amp;Scan2VKFlags!P122&amp;"""","")&amp;"/&gt;","")</f>
        <v>&lt;vk kbd="21" vk="CLEAR"/&gt;</v>
      </c>
      <c r="AU122" s="16" t="str">
        <f>IF(U122&lt;&gt;"","&lt;vk kbd="""&amp;U$1&amp;""" vk="""&amp;U122&amp;""""&amp;IF(Scan2VKFlags!Q122&lt;&gt;""," flags="""&amp;Scan2VKFlags!Q122&amp;"""","")&amp;"/&gt;","")</f>
        <v>&lt;vk kbd="22" vk="_none_"/&gt;</v>
      </c>
      <c r="AV122" s="3" t="str">
        <f>IF(W122&lt;&gt;"","&lt;vk kbd="""&amp;W$1&amp;""" vk="""&amp;W122&amp;""""&amp;IF(Scan2VKFlags!R122&lt;&gt;""," flags="""&amp;Scan2VKFlags!R122&amp;"""","")&amp;"/&gt;","")</f>
        <v>&lt;vk kbd="30" vk="_none_"/&gt;</v>
      </c>
      <c r="AW122" s="15" t="str">
        <f>IF(X122&lt;&gt;"","&lt;vk kbd="""&amp;X$1&amp;""" vk="""&amp;X122&amp;""""&amp;IF(Scan2VKFlags!S122&lt;&gt;""," flags="""&amp;Scan2VKFlags!S122&amp;"""","")&amp;"/&gt;","")</f>
        <v>&lt;vk kbd="33" vk="_none_"/&gt;</v>
      </c>
      <c r="AX122" s="15" t="str">
        <f>IF(Y122&lt;&gt;"","&lt;vk kbd="""&amp;Y$1&amp;""" vk="""&amp;Y122&amp;""""&amp;IF(Scan2VKFlags!T122&lt;&gt;""," flags="""&amp;Scan2VKFlags!T122&amp;"""","")&amp;"/&gt;","")</f>
        <v>&lt;vk kbd="34" vk="_none_"/&gt;</v>
      </c>
      <c r="AY122" s="18" t="str">
        <f>IF(AA122&lt;&gt;"","&lt;vk kbd="""&amp;AA$1&amp;""" vk="""&amp;AA122&amp;""""&amp;IF(Scan2VKFlags!U122&lt;&gt;""," flags="""&amp;Scan2VKFlags!U122&amp;"""","")&amp;"/&gt;","")</f>
        <v>&lt;vk kbd="37" vk="RWIN"/&gt;</v>
      </c>
      <c r="AZ122" s="3" t="str">
        <f>IF(AC122&lt;&gt;"","&lt;vk kbd="""&amp;AC$1&amp;""" vk="""&amp;AC122&amp;""""&amp;IF(Scan2VKFlags!V122&lt;&gt;""," flags="""&amp;Scan2VKFlags!V122&amp;"""","")&amp;"/&gt;","")</f>
        <v>&lt;vk kbd="40" vk="_none_"/&gt;</v>
      </c>
      <c r="BA122" s="16" t="str">
        <f>IF(AD122&lt;&gt;"","&lt;vk kbd="""&amp;AD$1&amp;""" vk="""&amp;AD122&amp;""""&amp;IF(Scan2VKFlags!W122&lt;&gt;""," flags="""&amp;Scan2VKFlags!W122&amp;"""","")&amp;"/&gt;","")</f>
        <v>&lt;vk kbd="41" vk="_none_"/&gt;</v>
      </c>
      <c r="BB122" t="s">
        <v>854</v>
      </c>
    </row>
    <row r="123" spans="1:54" x14ac:dyDescent="0.25">
      <c r="A123">
        <f t="shared" si="11"/>
        <v>121</v>
      </c>
      <c r="B123" t="str">
        <f t="shared" si="8"/>
        <v>T79</v>
      </c>
      <c r="C123" s="7" t="s">
        <v>0</v>
      </c>
      <c r="D123" s="12" t="str">
        <f>trimtext(SplitText($C123,",",0))</f>
        <v>_none_</v>
      </c>
      <c r="E123" s="12" t="str">
        <f>IF(SplitText($C123,",",COLUMN(E:E)-COLUMN($D:$D))="",$D123,trimtext(SplitText($C123,",",COLUMN(E:E)-COLUMN($D:$D))))</f>
        <v>_none_</v>
      </c>
      <c r="F123" s="12" t="str">
        <f>IF(SplitText($C123,",",COLUMN(F:F)-COLUMN($D:$D))="",$D123,trimtext(SplitText($C123,",",COLUMN(F:F)-COLUMN($D:$D))))</f>
        <v>_none_</v>
      </c>
      <c r="G123" s="12" t="str">
        <f>IF(SplitText($C123,",",COLUMN(G:G)-COLUMN($D:$D))="",$D123,trimtext(SplitText($C123,",",COLUMN(G:G)-COLUMN($D:$D))))</f>
        <v>_none_</v>
      </c>
      <c r="H123" s="12" t="str">
        <f>IF(SplitText($C123,",",COLUMN(H:H)-COLUMN($D:$D))="",$D123,trimtext(SplitText($C123,",",COLUMN(H:H)-COLUMN($D:$D))))</f>
        <v>_none_</v>
      </c>
      <c r="I123" s="12" t="str">
        <f>IF(SplitText($C123,",",COLUMN(I:I)-COLUMN($D:$D))="",$D123,trimtext(SplitText($C123,",",COLUMN(I:I)-COLUMN($D:$D))))</f>
        <v>_none_</v>
      </c>
      <c r="J123" s="9" t="s">
        <v>298</v>
      </c>
      <c r="K123" s="12" t="str">
        <f>trimtext(SplitText($J123,",",0))</f>
        <v>CONVERT</v>
      </c>
      <c r="L123" s="12" t="str">
        <f>IF(SplitText($J123,",",COLUMN(L:L)-COLUMN($K:$K))="",$K123,trimtext(SplitText($J123,",",COLUMN(L:L)-COLUMN($K:$K))))</f>
        <v>CONVERT</v>
      </c>
      <c r="M123" s="12" t="str">
        <f>IF(SplitText($J123,",",COLUMN(M:M)-COLUMN($K:$K))="",$K123,trimtext(SplitText($J123,",",COLUMN(M:M)-COLUMN($K:$K))))</f>
        <v>_none_</v>
      </c>
      <c r="N123" s="12" t="str">
        <f>IF(SplitText($J123,",",COLUMN(N:N)-COLUMN($K:$K))="",$K123,trimtext(SplitText($J123,",",COLUMN(N:N)-COLUMN($K:$K))))</f>
        <v>_none_</v>
      </c>
      <c r="O123" s="12" t="str">
        <f>IF(SplitText($J123,",",COLUMN(O:O)-COLUMN($K:$K))="",$K123,trimtext(SplitText($J123,",",COLUMN(O:O)-COLUMN($K:$K))))</f>
        <v>_none_</v>
      </c>
      <c r="P123" s="12" t="str">
        <f>IF(SplitText($J123,",",COLUMN(P:P)-COLUMN($K:$K))="",$K123,trimtext(SplitText($J123,",",COLUMN(P:P)-COLUMN($K:$K))))</f>
        <v>_none_</v>
      </c>
      <c r="Q123" s="12" t="str">
        <f>IF(SplitText($J123,",",COLUMN(Q:Q)-COLUMN($K:$K))="",$K123,trimtext(SplitText($J123,",",COLUMN(Q:Q)-COLUMN($K:$K))))</f>
        <v>_none_</v>
      </c>
      <c r="R123" s="2" t="s">
        <v>462</v>
      </c>
      <c r="S123" s="12" t="str">
        <f>trimtext(SplitText($R123,",",0))</f>
        <v>HELP</v>
      </c>
      <c r="T123" s="12" t="str">
        <f>IF(SplitText($R123,",",COLUMN(T:T)-COLUMN($S:$S))="",$S123,trimtext(SplitText($R123,",",COLUMN(T:T)-COLUMN($S:$S))))</f>
        <v>HELP</v>
      </c>
      <c r="U123" s="12" t="str">
        <f>IF(SplitText($R123,",",COLUMN(U:U)-COLUMN($S:$S))="",$S123,trimtext(SplitText($R123,",",COLUMN(U:U)-COLUMN($S:$S))))</f>
        <v>CONVERT</v>
      </c>
      <c r="V123" s="2" t="s">
        <v>617</v>
      </c>
      <c r="W123" s="12" t="str">
        <f>trimtext(SplitText($V123,",",0))</f>
        <v>CONVERT</v>
      </c>
      <c r="X123" s="12" t="str">
        <f>IF(SplitText($V123,",",COLUMN(X:X)-COLUMN($W:$W))="",$W123,trimtext(SplitText($V123,",",COLUMN(X:X)-COLUMN($W:$W))))</f>
        <v>CONVERT</v>
      </c>
      <c r="Y123" s="12" t="str">
        <f>IF(SplitText($V123,",",COLUMN(Y:Y)-COLUMN($W:$W))="",$W123,trimtext(SplitText($V123,",",COLUMN(Y:Y)-COLUMN($W:$W))))</f>
        <v>CONVERT</v>
      </c>
      <c r="Z123" s="2" t="s">
        <v>738</v>
      </c>
      <c r="AA123" s="12" t="str">
        <f t="shared" si="9"/>
        <v>APPS</v>
      </c>
      <c r="AB123" s="2" t="s">
        <v>832</v>
      </c>
      <c r="AC123" s="12" t="str">
        <f>trimtext(SplitText($AB123,",",0))</f>
        <v>CONVERT</v>
      </c>
      <c r="AD123" s="12" t="str">
        <f>IF(SplitText($AB123,",",COLUMN(AD:AD)-COLUMN($AC:$AC))="",$AC123,trimtext(SplitText($AB123,",",COLUMN(AD:AD)-COLUMN($AC:$AC))))</f>
        <v>CONVERT</v>
      </c>
      <c r="AE123" s="18" t="str">
        <f t="shared" si="10"/>
        <v>&lt;xs:enumeration value="T79"&gt;&lt;xs:annotation&gt;&lt;xs:documentation&gt;Typically _none_ for keyboard type 4, different values for different keyboard types&lt;/xs:documentation&gt;&lt;xs:appinfo&gt;&lt;default-vk&gt;</v>
      </c>
      <c r="AF123" s="15" t="str">
        <f>IF(D123&lt;&gt;"","&lt;vk kbd="""&amp;D$1&amp;""" vk="""&amp;D123&amp;""""&amp;IF(Scan2VKFlags!B123&lt;&gt;""," flags="""&amp;Scan2VKFlags!B123&amp;"""","")&amp;"/&gt;","")</f>
        <v>&lt;vk kbd="1" vk="_none_"/&gt;</v>
      </c>
      <c r="AG123" s="15" t="str">
        <f>IF(E123&lt;&gt;"","&lt;vk kbd="""&amp;E$1&amp;""" vk="""&amp;E123&amp;""""&amp;IF(Scan2VKFlags!C123&lt;&gt;""," flags="""&amp;Scan2VKFlags!C123&amp;"""","")&amp;"/&gt;","")</f>
        <v>&lt;vk kbd="2" vk="_none_"/&gt;</v>
      </c>
      <c r="AH123" s="15" t="str">
        <f>IF(F123&lt;&gt;"","&lt;vk kbd="""&amp;F$1&amp;""" vk="""&amp;F123&amp;""""&amp;IF(Scan2VKFlags!D123&lt;&gt;""," flags="""&amp;Scan2VKFlags!D123&amp;"""","")&amp;"/&gt;","")</f>
        <v>&lt;vk kbd="3" vk="_none_"/&gt;</v>
      </c>
      <c r="AI123" s="15" t="str">
        <f>IF(G123&lt;&gt;"","&lt;vk kbd="""&amp;G$1&amp;""" vk="""&amp;G123&amp;""""&amp;IF(Scan2VKFlags!E123&lt;&gt;""," flags="""&amp;Scan2VKFlags!E123&amp;"""","")&amp;"/&gt;","")</f>
        <v>&lt;vk kbd="4" vk="_none_"/&gt;</v>
      </c>
      <c r="AJ123" s="15" t="str">
        <f>IF(H123&lt;&gt;"","&lt;vk kbd="""&amp;H$1&amp;""" vk="""&amp;H123&amp;""""&amp;IF(Scan2VKFlags!F123&lt;&gt;""," flags="""&amp;Scan2VKFlags!F123&amp;"""","")&amp;"/&gt;","")</f>
        <v>&lt;vk kbd="5" vk="_none_"/&gt;</v>
      </c>
      <c r="AK123" s="16" t="str">
        <f>IF(I123&lt;&gt;"","&lt;vk kbd="""&amp;I$1&amp;""" vk="""&amp;I123&amp;""""&amp;IF(Scan2VKFlags!G123&lt;&gt;""," flags="""&amp;Scan2VKFlags!G123&amp;"""","")&amp;"/&gt;","")</f>
        <v>&lt;vk kbd="6" vk="_none_"/&gt;</v>
      </c>
      <c r="AL123" s="3" t="str">
        <f>IF(K123&lt;&gt;"","&lt;vk kbd="""&amp;K$1&amp;""" vk="""&amp;K123&amp;""""&amp;IF(Scan2VKFlags!H123&lt;&gt;""," flags="""&amp;Scan2VKFlags!H123&amp;"""","")&amp;"/&gt;","")</f>
        <v>&lt;vk kbd="7" vk="CONVERT"/&gt;</v>
      </c>
      <c r="AM123" t="str">
        <f>IF(L123&lt;&gt;"","&lt;vk kbd="""&amp;L$1&amp;""" vk="""&amp;L123&amp;""""&amp;IF(Scan2VKFlags!I123&lt;&gt;""," flags="""&amp;Scan2VKFlags!I123&amp;"""","")&amp;"/&gt;","")</f>
        <v>&lt;vk kbd="8" vk="CONVERT"/&gt;</v>
      </c>
      <c r="AN123" t="str">
        <f>IF(M123&lt;&gt;"","&lt;vk kbd="""&amp;M$1&amp;""" vk="""&amp;M123&amp;""""&amp;IF(Scan2VKFlags!J123&lt;&gt;""," flags="""&amp;Scan2VKFlags!J123&amp;"""","")&amp;"/&gt;","")</f>
        <v>&lt;vk kbd="16" vk="_none_"/&gt;</v>
      </c>
      <c r="AO123" t="str">
        <f>IF(N123&lt;&gt;"","&lt;vk kbd="""&amp;N$1&amp;""" vk="""&amp;N123&amp;""""&amp;IF(Scan2VKFlags!K123&lt;&gt;""," flags="""&amp;Scan2VKFlags!K123&amp;"""","")&amp;"/&gt;","")</f>
        <v>&lt;vk kbd="10" vk="_none_"/&gt;</v>
      </c>
      <c r="AP123" t="str">
        <f>IF(O123&lt;&gt;"","&lt;vk kbd="""&amp;O$1&amp;""" vk="""&amp;O123&amp;""""&amp;IF(Scan2VKFlags!L123&lt;&gt;""," flags="""&amp;Scan2VKFlags!L123&amp;"""","")&amp;"/&gt;","")</f>
        <v>&lt;vk kbd="11" vk="_none_"/&gt;</v>
      </c>
      <c r="AQ123" t="str">
        <f>IF(P123&lt;&gt;"","&lt;vk kbd="""&amp;P$1&amp;""" vk="""&amp;P123&amp;""""&amp;IF(Scan2VKFlags!M123&lt;&gt;""," flags="""&amp;Scan2VKFlags!M123&amp;"""","")&amp;"/&gt;","")</f>
        <v>&lt;vk kbd="12" vk="_none_"/&gt;</v>
      </c>
      <c r="AR123" s="16" t="str">
        <f>IF(Q123&lt;&gt;"","&lt;vk kbd="""&amp;Q$1&amp;""" vk="""&amp;Q123&amp;""""&amp;IF(Scan2VKFlags!N123&lt;&gt;""," flags="""&amp;Scan2VKFlags!N123&amp;"""","")&amp;"/&gt;","")</f>
        <v>&lt;vk kbd="13" vk="_none_"/&gt;</v>
      </c>
      <c r="AS123" s="3" t="str">
        <f>IF(S123&lt;&gt;"","&lt;vk kbd="""&amp;S$1&amp;""" vk="""&amp;S123&amp;""""&amp;IF(Scan2VKFlags!O123&lt;&gt;""," flags="""&amp;Scan2VKFlags!O123&amp;"""","")&amp;"/&gt;","")</f>
        <v>&lt;vk kbd="20" vk="HELP"/&gt;</v>
      </c>
      <c r="AT123" t="str">
        <f>IF(T123&lt;&gt;"","&lt;vk kbd="""&amp;T$1&amp;""" vk="""&amp;T123&amp;""""&amp;IF(Scan2VKFlags!P123&lt;&gt;""," flags="""&amp;Scan2VKFlags!P123&amp;"""","")&amp;"/&gt;","")</f>
        <v>&lt;vk kbd="21" vk="HELP"/&gt;</v>
      </c>
      <c r="AU123" s="16" t="str">
        <f>IF(U123&lt;&gt;"","&lt;vk kbd="""&amp;U$1&amp;""" vk="""&amp;U123&amp;""""&amp;IF(Scan2VKFlags!Q123&lt;&gt;""," flags="""&amp;Scan2VKFlags!Q123&amp;"""","")&amp;"/&gt;","")</f>
        <v>&lt;vk kbd="22" vk="CONVERT"/&gt;</v>
      </c>
      <c r="AV123" s="3" t="str">
        <f>IF(W123&lt;&gt;"","&lt;vk kbd="""&amp;W$1&amp;""" vk="""&amp;W123&amp;""""&amp;IF(Scan2VKFlags!R123&lt;&gt;""," flags="""&amp;Scan2VKFlags!R123&amp;"""","")&amp;"/&gt;","")</f>
        <v>&lt;vk kbd="30" vk="CONVERT"/&gt;</v>
      </c>
      <c r="AW123" s="15" t="str">
        <f>IF(X123&lt;&gt;"","&lt;vk kbd="""&amp;X$1&amp;""" vk="""&amp;X123&amp;""""&amp;IF(Scan2VKFlags!S123&lt;&gt;""," flags="""&amp;Scan2VKFlags!S123&amp;"""","")&amp;"/&gt;","")</f>
        <v>&lt;vk kbd="33" vk="CONVERT"/&gt;</v>
      </c>
      <c r="AX123" s="15" t="str">
        <f>IF(Y123&lt;&gt;"","&lt;vk kbd="""&amp;Y$1&amp;""" vk="""&amp;Y123&amp;""""&amp;IF(Scan2VKFlags!T123&lt;&gt;""," flags="""&amp;Scan2VKFlags!T123&amp;"""","")&amp;"/&gt;","")</f>
        <v>&lt;vk kbd="34" vk="CONVERT"/&gt;</v>
      </c>
      <c r="AY123" s="18" t="str">
        <f>IF(AA123&lt;&gt;"","&lt;vk kbd="""&amp;AA$1&amp;""" vk="""&amp;AA123&amp;""""&amp;IF(Scan2VKFlags!U123&lt;&gt;""," flags="""&amp;Scan2VKFlags!U123&amp;"""","")&amp;"/&gt;","")</f>
        <v>&lt;vk kbd="37" vk="APPS"/&gt;</v>
      </c>
      <c r="AZ123" s="3" t="str">
        <f>IF(AC123&lt;&gt;"","&lt;vk kbd="""&amp;AC$1&amp;""" vk="""&amp;AC123&amp;""""&amp;IF(Scan2VKFlags!V123&lt;&gt;""," flags="""&amp;Scan2VKFlags!V123&amp;"""","")&amp;"/&gt;","")</f>
        <v>&lt;vk kbd="40" vk="CONVERT"/&gt;</v>
      </c>
      <c r="BA123" s="16" t="str">
        <f>IF(AD123&lt;&gt;"","&lt;vk kbd="""&amp;AD$1&amp;""" vk="""&amp;AD123&amp;""""&amp;IF(Scan2VKFlags!W123&lt;&gt;""," flags="""&amp;Scan2VKFlags!W123&amp;"""","")&amp;"/&gt;","")</f>
        <v>&lt;vk kbd="41" vk="CONVERT"/&gt;</v>
      </c>
      <c r="BB123" t="s">
        <v>854</v>
      </c>
    </row>
    <row r="124" spans="1:54" x14ac:dyDescent="0.25">
      <c r="A124">
        <f t="shared" si="11"/>
        <v>122</v>
      </c>
      <c r="B124" t="str">
        <f t="shared" si="8"/>
        <v>T7A</v>
      </c>
      <c r="C124" s="7" t="s">
        <v>0</v>
      </c>
      <c r="D124" s="12" t="str">
        <f>trimtext(SplitText($C124,",",0))</f>
        <v>_none_</v>
      </c>
      <c r="E124" s="12" t="str">
        <f>IF(SplitText($C124,",",COLUMN(E:E)-COLUMN($D:$D))="",$D124,trimtext(SplitText($C124,",",COLUMN(E:E)-COLUMN($D:$D))))</f>
        <v>_none_</v>
      </c>
      <c r="F124" s="12" t="str">
        <f>IF(SplitText($C124,",",COLUMN(F:F)-COLUMN($D:$D))="",$D124,trimtext(SplitText($C124,",",COLUMN(F:F)-COLUMN($D:$D))))</f>
        <v>_none_</v>
      </c>
      <c r="G124" s="12" t="str">
        <f>IF(SplitText($C124,",",COLUMN(G:G)-COLUMN($D:$D))="",$D124,trimtext(SplitText($C124,",",COLUMN(G:G)-COLUMN($D:$D))))</f>
        <v>_none_</v>
      </c>
      <c r="H124" s="12" t="str">
        <f>IF(SplitText($C124,",",COLUMN(H:H)-COLUMN($D:$D))="",$D124,trimtext(SplitText($C124,",",COLUMN(H:H)-COLUMN($D:$D))))</f>
        <v>_none_</v>
      </c>
      <c r="I124" s="12" t="str">
        <f>IF(SplitText($C124,",",COLUMN(I:I)-COLUMN($D:$D))="",$D124,trimtext(SplitText($C124,",",COLUMN(I:I)-COLUMN($D:$D))))</f>
        <v>_none_</v>
      </c>
      <c r="J124" s="9" t="s">
        <v>185</v>
      </c>
      <c r="K124" s="12" t="str">
        <f>trimtext(SplitText($J124,",",0))</f>
        <v>_none_</v>
      </c>
      <c r="L124" s="12" t="str">
        <f>IF(SplitText($J124,",",COLUMN(L:L)-COLUMN($K:$K))="",$K124,trimtext(SplitText($J124,",",COLUMN(L:L)-COLUMN($K:$K))))</f>
        <v>_none_</v>
      </c>
      <c r="M124" s="12" t="str">
        <f>IF(SplitText($J124,",",COLUMN(M:M)-COLUMN($K:$K))="",$K124,trimtext(SplitText($J124,",",COLUMN(M:M)-COLUMN($K:$K))))</f>
        <v>_none_</v>
      </c>
      <c r="N124" s="12" t="str">
        <f>IF(SplitText($J124,",",COLUMN(N:N)-COLUMN($K:$K))="",$K124,trimtext(SplitText($J124,",",COLUMN(N:N)-COLUMN($K:$K))))</f>
        <v>_none_</v>
      </c>
      <c r="O124" s="12" t="str">
        <f>IF(SplitText($J124,",",COLUMN(O:O)-COLUMN($K:$K))="",$K124,trimtext(SplitText($J124,",",COLUMN(O:O)-COLUMN($K:$K))))</f>
        <v>_none_</v>
      </c>
      <c r="P124" s="12" t="str">
        <f>IF(SplitText($J124,",",COLUMN(P:P)-COLUMN($K:$K))="",$K124,trimtext(SplitText($J124,",",COLUMN(P:P)-COLUMN($K:$K))))</f>
        <v>_none_</v>
      </c>
      <c r="Q124" s="12" t="str">
        <f>IF(SplitText($J124,",",COLUMN(Q:Q)-COLUMN($K:$K))="",$K124,trimtext(SplitText($J124,",",COLUMN(Q:Q)-COLUMN($K:$K))))</f>
        <v>_none_</v>
      </c>
      <c r="R124" s="2" t="s">
        <v>463</v>
      </c>
      <c r="S124" s="12" t="str">
        <f>trimtext(SplitText($R124,",",0))</f>
        <v>END</v>
      </c>
      <c r="T124" s="12" t="str">
        <f>IF(SplitText($R124,",",COLUMN(T:T)-COLUMN($S:$S))="",$S124,trimtext(SplitText($R124,",",COLUMN(T:T)-COLUMN($S:$S))))</f>
        <v>END</v>
      </c>
      <c r="U124" s="12" t="str">
        <f>IF(SplitText($R124,",",COLUMN(U:U)-COLUMN($S:$S))="",$S124,trimtext(SplitText($R124,",",COLUMN(U:U)-COLUMN($S:$S))))</f>
        <v>_none_</v>
      </c>
      <c r="V124" s="2" t="s">
        <v>507</v>
      </c>
      <c r="W124" s="12" t="str">
        <f>trimtext(SplitText($V124,",",0))</f>
        <v>_none_</v>
      </c>
      <c r="X124" s="12" t="str">
        <f>IF(SplitText($V124,",",COLUMN(X:X)-COLUMN($W:$W))="",$W124,trimtext(SplitText($V124,",",COLUMN(X:X)-COLUMN($W:$W))))</f>
        <v>_none_</v>
      </c>
      <c r="Y124" s="12" t="str">
        <f>IF(SplitText($V124,",",COLUMN(Y:Y)-COLUMN($W:$W))="",$W124,trimtext(SplitText($V124,",",COLUMN(Y:Y)-COLUMN($W:$W))))</f>
        <v>_none_</v>
      </c>
      <c r="Z124" s="2" t="s">
        <v>718</v>
      </c>
      <c r="AA124" s="12" t="str">
        <f t="shared" si="9"/>
        <v>_none_</v>
      </c>
      <c r="AB124" s="2" t="s">
        <v>743</v>
      </c>
      <c r="AC124" s="12" t="str">
        <f>trimtext(SplitText($AB124,",",0))</f>
        <v>_none_</v>
      </c>
      <c r="AD124" s="12" t="str">
        <f>IF(SplitText($AB124,",",COLUMN(AD:AD)-COLUMN($AC:$AC))="",$AC124,trimtext(SplitText($AB124,",",COLUMN(AD:AD)-COLUMN($AC:$AC))))</f>
        <v>_none_</v>
      </c>
      <c r="AE124" s="18" t="str">
        <f t="shared" si="10"/>
        <v>&lt;xs:enumeration value="T7A"&gt;&lt;xs:annotation&gt;&lt;xs:documentation&gt;Typically _none_ for keyboard type 4, different values for different keyboard types&lt;/xs:documentation&gt;&lt;xs:appinfo&gt;&lt;default-vk&gt;</v>
      </c>
      <c r="AF124" s="15" t="str">
        <f>IF(D124&lt;&gt;"","&lt;vk kbd="""&amp;D$1&amp;""" vk="""&amp;D124&amp;""""&amp;IF(Scan2VKFlags!B124&lt;&gt;""," flags="""&amp;Scan2VKFlags!B124&amp;"""","")&amp;"/&gt;","")</f>
        <v>&lt;vk kbd="1" vk="_none_"/&gt;</v>
      </c>
      <c r="AG124" s="15" t="str">
        <f>IF(E124&lt;&gt;"","&lt;vk kbd="""&amp;E$1&amp;""" vk="""&amp;E124&amp;""""&amp;IF(Scan2VKFlags!C124&lt;&gt;""," flags="""&amp;Scan2VKFlags!C124&amp;"""","")&amp;"/&gt;","")</f>
        <v>&lt;vk kbd="2" vk="_none_"/&gt;</v>
      </c>
      <c r="AH124" s="15" t="str">
        <f>IF(F124&lt;&gt;"","&lt;vk kbd="""&amp;F$1&amp;""" vk="""&amp;F124&amp;""""&amp;IF(Scan2VKFlags!D124&lt;&gt;""," flags="""&amp;Scan2VKFlags!D124&amp;"""","")&amp;"/&gt;","")</f>
        <v>&lt;vk kbd="3" vk="_none_"/&gt;</v>
      </c>
      <c r="AI124" s="15" t="str">
        <f>IF(G124&lt;&gt;"","&lt;vk kbd="""&amp;G$1&amp;""" vk="""&amp;G124&amp;""""&amp;IF(Scan2VKFlags!E124&lt;&gt;""," flags="""&amp;Scan2VKFlags!E124&amp;"""","")&amp;"/&gt;","")</f>
        <v>&lt;vk kbd="4" vk="_none_"/&gt;</v>
      </c>
      <c r="AJ124" s="15" t="str">
        <f>IF(H124&lt;&gt;"","&lt;vk kbd="""&amp;H$1&amp;""" vk="""&amp;H124&amp;""""&amp;IF(Scan2VKFlags!F124&lt;&gt;""," flags="""&amp;Scan2VKFlags!F124&amp;"""","")&amp;"/&gt;","")</f>
        <v>&lt;vk kbd="5" vk="_none_"/&gt;</v>
      </c>
      <c r="AK124" s="16" t="str">
        <f>IF(I124&lt;&gt;"","&lt;vk kbd="""&amp;I$1&amp;""" vk="""&amp;I124&amp;""""&amp;IF(Scan2VKFlags!G124&lt;&gt;""," flags="""&amp;Scan2VKFlags!G124&amp;"""","")&amp;"/&gt;","")</f>
        <v>&lt;vk kbd="6" vk="_none_"/&gt;</v>
      </c>
      <c r="AL124" s="3" t="str">
        <f>IF(K124&lt;&gt;"","&lt;vk kbd="""&amp;K$1&amp;""" vk="""&amp;K124&amp;""""&amp;IF(Scan2VKFlags!H124&lt;&gt;""," flags="""&amp;Scan2VKFlags!H124&amp;"""","")&amp;"/&gt;","")</f>
        <v>&lt;vk kbd="7" vk="_none_"/&gt;</v>
      </c>
      <c r="AM124" t="str">
        <f>IF(L124&lt;&gt;"","&lt;vk kbd="""&amp;L$1&amp;""" vk="""&amp;L124&amp;""""&amp;IF(Scan2VKFlags!I124&lt;&gt;""," flags="""&amp;Scan2VKFlags!I124&amp;"""","")&amp;"/&gt;","")</f>
        <v>&lt;vk kbd="8" vk="_none_"/&gt;</v>
      </c>
      <c r="AN124" t="str">
        <f>IF(M124&lt;&gt;"","&lt;vk kbd="""&amp;M$1&amp;""" vk="""&amp;M124&amp;""""&amp;IF(Scan2VKFlags!J124&lt;&gt;""," flags="""&amp;Scan2VKFlags!J124&amp;"""","")&amp;"/&gt;","")</f>
        <v>&lt;vk kbd="16" vk="_none_"/&gt;</v>
      </c>
      <c r="AO124" t="str">
        <f>IF(N124&lt;&gt;"","&lt;vk kbd="""&amp;N$1&amp;""" vk="""&amp;N124&amp;""""&amp;IF(Scan2VKFlags!K124&lt;&gt;""," flags="""&amp;Scan2VKFlags!K124&amp;"""","")&amp;"/&gt;","")</f>
        <v>&lt;vk kbd="10" vk="_none_"/&gt;</v>
      </c>
      <c r="AP124" t="str">
        <f>IF(O124&lt;&gt;"","&lt;vk kbd="""&amp;O$1&amp;""" vk="""&amp;O124&amp;""""&amp;IF(Scan2VKFlags!L124&lt;&gt;""," flags="""&amp;Scan2VKFlags!L124&amp;"""","")&amp;"/&gt;","")</f>
        <v>&lt;vk kbd="11" vk="_none_"/&gt;</v>
      </c>
      <c r="AQ124" t="str">
        <f>IF(P124&lt;&gt;"","&lt;vk kbd="""&amp;P$1&amp;""" vk="""&amp;P124&amp;""""&amp;IF(Scan2VKFlags!M124&lt;&gt;""," flags="""&amp;Scan2VKFlags!M124&amp;"""","")&amp;"/&gt;","")</f>
        <v>&lt;vk kbd="12" vk="_none_"/&gt;</v>
      </c>
      <c r="AR124" s="16" t="str">
        <f>IF(Q124&lt;&gt;"","&lt;vk kbd="""&amp;Q$1&amp;""" vk="""&amp;Q124&amp;""""&amp;IF(Scan2VKFlags!N124&lt;&gt;""," flags="""&amp;Scan2VKFlags!N124&amp;"""","")&amp;"/&gt;","")</f>
        <v>&lt;vk kbd="13" vk="_none_"/&gt;</v>
      </c>
      <c r="AS124" s="3" t="str">
        <f>IF(S124&lt;&gt;"","&lt;vk kbd="""&amp;S$1&amp;""" vk="""&amp;S124&amp;""""&amp;IF(Scan2VKFlags!O124&lt;&gt;""," flags="""&amp;Scan2VKFlags!O124&amp;"""","")&amp;"/&gt;","")</f>
        <v>&lt;vk kbd="20" vk="END"/&gt;</v>
      </c>
      <c r="AT124" t="str">
        <f>IF(T124&lt;&gt;"","&lt;vk kbd="""&amp;T$1&amp;""" vk="""&amp;T124&amp;""""&amp;IF(Scan2VKFlags!P124&lt;&gt;""," flags="""&amp;Scan2VKFlags!P124&amp;"""","")&amp;"/&gt;","")</f>
        <v>&lt;vk kbd="21" vk="END"/&gt;</v>
      </c>
      <c r="AU124" s="16" t="str">
        <f>IF(U124&lt;&gt;"","&lt;vk kbd="""&amp;U$1&amp;""" vk="""&amp;U124&amp;""""&amp;IF(Scan2VKFlags!Q124&lt;&gt;""," flags="""&amp;Scan2VKFlags!Q124&amp;"""","")&amp;"/&gt;","")</f>
        <v>&lt;vk kbd="22" vk="_none_"/&gt;</v>
      </c>
      <c r="AV124" s="3" t="str">
        <f>IF(W124&lt;&gt;"","&lt;vk kbd="""&amp;W$1&amp;""" vk="""&amp;W124&amp;""""&amp;IF(Scan2VKFlags!R124&lt;&gt;""," flags="""&amp;Scan2VKFlags!R124&amp;"""","")&amp;"/&gt;","")</f>
        <v>&lt;vk kbd="30" vk="_none_"/&gt;</v>
      </c>
      <c r="AW124" s="15" t="str">
        <f>IF(X124&lt;&gt;"","&lt;vk kbd="""&amp;X$1&amp;""" vk="""&amp;X124&amp;""""&amp;IF(Scan2VKFlags!S124&lt;&gt;""," flags="""&amp;Scan2VKFlags!S124&amp;"""","")&amp;"/&gt;","")</f>
        <v>&lt;vk kbd="33" vk="_none_"/&gt;</v>
      </c>
      <c r="AX124" s="15" t="str">
        <f>IF(Y124&lt;&gt;"","&lt;vk kbd="""&amp;Y$1&amp;""" vk="""&amp;Y124&amp;""""&amp;IF(Scan2VKFlags!T124&lt;&gt;""," flags="""&amp;Scan2VKFlags!T124&amp;"""","")&amp;"/&gt;","")</f>
        <v>&lt;vk kbd="34" vk="_none_"/&gt;</v>
      </c>
      <c r="AY124" s="18" t="str">
        <f>IF(AA124&lt;&gt;"","&lt;vk kbd="""&amp;AA$1&amp;""" vk="""&amp;AA124&amp;""""&amp;IF(Scan2VKFlags!U124&lt;&gt;""," flags="""&amp;Scan2VKFlags!U124&amp;"""","")&amp;"/&gt;","")</f>
        <v>&lt;vk kbd="37" vk="_none_"/&gt;</v>
      </c>
      <c r="AZ124" s="3" t="str">
        <f>IF(AC124&lt;&gt;"","&lt;vk kbd="""&amp;AC$1&amp;""" vk="""&amp;AC124&amp;""""&amp;IF(Scan2VKFlags!V124&lt;&gt;""," flags="""&amp;Scan2VKFlags!V124&amp;"""","")&amp;"/&gt;","")</f>
        <v>&lt;vk kbd="40" vk="_none_"/&gt;</v>
      </c>
      <c r="BA124" s="16" t="str">
        <f>IF(AD124&lt;&gt;"","&lt;vk kbd="""&amp;AD$1&amp;""" vk="""&amp;AD124&amp;""""&amp;IF(Scan2VKFlags!W124&lt;&gt;""," flags="""&amp;Scan2VKFlags!W124&amp;"""","")&amp;"/&gt;","")</f>
        <v>&lt;vk kbd="41" vk="_none_"/&gt;</v>
      </c>
      <c r="BB124" t="s">
        <v>854</v>
      </c>
    </row>
    <row r="125" spans="1:54" x14ac:dyDescent="0.25">
      <c r="A125">
        <f t="shared" si="11"/>
        <v>123</v>
      </c>
      <c r="B125" t="str">
        <f t="shared" si="8"/>
        <v>T7B</v>
      </c>
      <c r="C125" s="7" t="s">
        <v>111</v>
      </c>
      <c r="D125" s="12" t="str">
        <f>trimtext(SplitText($C125,",",0))</f>
        <v>OEM_PA1</v>
      </c>
      <c r="E125" s="12" t="str">
        <f>IF(SplitText($C125,",",COLUMN(E:E)-COLUMN($D:$D))="",$D125,trimtext(SplitText($C125,",",COLUMN(E:E)-COLUMN($D:$D))))</f>
        <v>OEM_PA1</v>
      </c>
      <c r="F125" s="12" t="str">
        <f>IF(SplitText($C125,",",COLUMN(F:F)-COLUMN($D:$D))="",$D125,trimtext(SplitText($C125,",",COLUMN(F:F)-COLUMN($D:$D))))</f>
        <v>OEM_PA1</v>
      </c>
      <c r="G125" s="12" t="str">
        <f>IF(SplitText($C125,",",COLUMN(G:G)-COLUMN($D:$D))="",$D125,trimtext(SplitText($C125,",",COLUMN(G:G)-COLUMN($D:$D))))</f>
        <v>OEM_PA1</v>
      </c>
      <c r="H125" s="12" t="str">
        <f>IF(SplitText($C125,",",COLUMN(H:H)-COLUMN($D:$D))="",$D125,trimtext(SplitText($C125,",",COLUMN(H:H)-COLUMN($D:$D))))</f>
        <v>OEM_PA1</v>
      </c>
      <c r="I125" s="12" t="str">
        <f>IF(SplitText($C125,",",COLUMN(I:I)-COLUMN($D:$D))="",$D125,trimtext(SplitText($C125,",",COLUMN(I:I)-COLUMN($D:$D))))</f>
        <v>OEM_PA1</v>
      </c>
      <c r="J125" s="9" t="s">
        <v>299</v>
      </c>
      <c r="K125" s="12" t="str">
        <f>trimtext(SplitText($J125,",",0))</f>
        <v>NONCONVERT</v>
      </c>
      <c r="L125" s="12" t="str">
        <f>IF(SplitText($J125,",",COLUMN(L:L)-COLUMN($K:$K))="",$K125,trimtext(SplitText($J125,",",COLUMN(L:L)-COLUMN($K:$K))))</f>
        <v>NONCONVERT</v>
      </c>
      <c r="M125" s="12" t="str">
        <f>IF(SplitText($J125,",",COLUMN(M:M)-COLUMN($K:$K))="",$K125,trimtext(SplitText($J125,",",COLUMN(M:M)-COLUMN($K:$K))))</f>
        <v>_none_</v>
      </c>
      <c r="N125" s="12" t="str">
        <f>IF(SplitText($J125,",",COLUMN(N:N)-COLUMN($K:$K))="",$K125,trimtext(SplitText($J125,",",COLUMN(N:N)-COLUMN($K:$K))))</f>
        <v>OEM_PA1</v>
      </c>
      <c r="O125" s="12" t="str">
        <f>IF(SplitText($J125,",",COLUMN(O:O)-COLUMN($K:$K))="",$K125,trimtext(SplitText($J125,",",COLUMN(O:O)-COLUMN($K:$K))))</f>
        <v>OEM_PA1</v>
      </c>
      <c r="P125" s="12" t="str">
        <f>IF(SplitText($J125,",",COLUMN(P:P)-COLUMN($K:$K))="",$K125,trimtext(SplitText($J125,",",COLUMN(P:P)-COLUMN($K:$K))))</f>
        <v>OEM_PA1</v>
      </c>
      <c r="Q125" s="12" t="str">
        <f>IF(SplitText($J125,",",COLUMN(Q:Q)-COLUMN($K:$K))="",$K125,trimtext(SplitText($J125,",",COLUMN(Q:Q)-COLUMN($K:$K))))</f>
        <v>OEM_PA1</v>
      </c>
      <c r="R125" s="2" t="s">
        <v>464</v>
      </c>
      <c r="S125" s="12" t="str">
        <f>trimtext(SplitText($R125,",",0))</f>
        <v>SCROLL</v>
      </c>
      <c r="T125" s="12" t="str">
        <f>IF(SplitText($R125,",",COLUMN(T:T)-COLUMN($S:$S))="",$S125,trimtext(SplitText($R125,",",COLUMN(T:T)-COLUMN($S:$S))))</f>
        <v>SCROLL</v>
      </c>
      <c r="U125" s="12" t="str">
        <f>IF(SplitText($R125,",",COLUMN(U:U)-COLUMN($S:$S))="",$S125,trimtext(SplitText($R125,",",COLUMN(U:U)-COLUMN($S:$S))))</f>
        <v>NONCONVERT</v>
      </c>
      <c r="V125" s="2" t="s">
        <v>618</v>
      </c>
      <c r="W125" s="12" t="str">
        <f>trimtext(SplitText($V125,",",0))</f>
        <v>NONCONVERT</v>
      </c>
      <c r="X125" s="12" t="str">
        <f>IF(SplitText($V125,",",COLUMN(X:X)-COLUMN($W:$W))="",$W125,trimtext(SplitText($V125,",",COLUMN(X:X)-COLUMN($W:$W))))</f>
        <v>NONCONVERT</v>
      </c>
      <c r="Y125" s="12" t="str">
        <f>IF(SplitText($V125,",",COLUMN(Y:Y)-COLUMN($W:$W))="",$W125,trimtext(SplitText($V125,",",COLUMN(Y:Y)-COLUMN($W:$W))))</f>
        <v>NONCONVERT</v>
      </c>
      <c r="Z125" s="2" t="s">
        <v>718</v>
      </c>
      <c r="AA125" s="12" t="str">
        <f t="shared" si="9"/>
        <v>_none_</v>
      </c>
      <c r="AB125" s="2" t="s">
        <v>833</v>
      </c>
      <c r="AC125" s="12" t="str">
        <f>trimtext(SplitText($AB125,",",0))</f>
        <v>NONCONVERT</v>
      </c>
      <c r="AD125" s="12" t="str">
        <f>IF(SplitText($AB125,",",COLUMN(AD:AD)-COLUMN($AC:$AC))="",$AC125,trimtext(SplitText($AB125,",",COLUMN(AD:AD)-COLUMN($AC:$AC))))</f>
        <v>NONCONVERT</v>
      </c>
      <c r="AE125" s="18" t="str">
        <f t="shared" si="10"/>
        <v>&lt;xs:enumeration value="T7B"&gt;&lt;xs:annotation&gt;&lt;xs:documentation&gt;Typically OEM_PA1 for keyboard type 4, different values for different keyboard types&lt;/xs:documentation&gt;&lt;xs:appinfo&gt;&lt;default-vk&gt;</v>
      </c>
      <c r="AF125" s="15" t="str">
        <f>IF(D125&lt;&gt;"","&lt;vk kbd="""&amp;D$1&amp;""" vk="""&amp;D125&amp;""""&amp;IF(Scan2VKFlags!B125&lt;&gt;""," flags="""&amp;Scan2VKFlags!B125&amp;"""","")&amp;"/&gt;","")</f>
        <v>&lt;vk kbd="1" vk="OEM_PA1"/&gt;</v>
      </c>
      <c r="AG125" s="15" t="str">
        <f>IF(E125&lt;&gt;"","&lt;vk kbd="""&amp;E$1&amp;""" vk="""&amp;E125&amp;""""&amp;IF(Scan2VKFlags!C125&lt;&gt;""," flags="""&amp;Scan2VKFlags!C125&amp;"""","")&amp;"/&gt;","")</f>
        <v>&lt;vk kbd="2" vk="OEM_PA1"/&gt;</v>
      </c>
      <c r="AH125" s="15" t="str">
        <f>IF(F125&lt;&gt;"","&lt;vk kbd="""&amp;F$1&amp;""" vk="""&amp;F125&amp;""""&amp;IF(Scan2VKFlags!D125&lt;&gt;""," flags="""&amp;Scan2VKFlags!D125&amp;"""","")&amp;"/&gt;","")</f>
        <v>&lt;vk kbd="3" vk="OEM_PA1"/&gt;</v>
      </c>
      <c r="AI125" s="15" t="str">
        <f>IF(G125&lt;&gt;"","&lt;vk kbd="""&amp;G$1&amp;""" vk="""&amp;G125&amp;""""&amp;IF(Scan2VKFlags!E125&lt;&gt;""," flags="""&amp;Scan2VKFlags!E125&amp;"""","")&amp;"/&gt;","")</f>
        <v>&lt;vk kbd="4" vk="OEM_PA1"/&gt;</v>
      </c>
      <c r="AJ125" s="15" t="str">
        <f>IF(H125&lt;&gt;"","&lt;vk kbd="""&amp;H$1&amp;""" vk="""&amp;H125&amp;""""&amp;IF(Scan2VKFlags!F125&lt;&gt;""," flags="""&amp;Scan2VKFlags!F125&amp;"""","")&amp;"/&gt;","")</f>
        <v>&lt;vk kbd="5" vk="OEM_PA1"/&gt;</v>
      </c>
      <c r="AK125" s="16" t="str">
        <f>IF(I125&lt;&gt;"","&lt;vk kbd="""&amp;I$1&amp;""" vk="""&amp;I125&amp;""""&amp;IF(Scan2VKFlags!G125&lt;&gt;""," flags="""&amp;Scan2VKFlags!G125&amp;"""","")&amp;"/&gt;","")</f>
        <v>&lt;vk kbd="6" vk="OEM_PA1"/&gt;</v>
      </c>
      <c r="AL125" s="3" t="str">
        <f>IF(K125&lt;&gt;"","&lt;vk kbd="""&amp;K$1&amp;""" vk="""&amp;K125&amp;""""&amp;IF(Scan2VKFlags!H125&lt;&gt;""," flags="""&amp;Scan2VKFlags!H125&amp;"""","")&amp;"/&gt;","")</f>
        <v>&lt;vk kbd="7" vk="NONCONVERT"/&gt;</v>
      </c>
      <c r="AM125" t="str">
        <f>IF(L125&lt;&gt;"","&lt;vk kbd="""&amp;L$1&amp;""" vk="""&amp;L125&amp;""""&amp;IF(Scan2VKFlags!I125&lt;&gt;""," flags="""&amp;Scan2VKFlags!I125&amp;"""","")&amp;"/&gt;","")</f>
        <v>&lt;vk kbd="8" vk="NONCONVERT"/&gt;</v>
      </c>
      <c r="AN125" t="str">
        <f>IF(M125&lt;&gt;"","&lt;vk kbd="""&amp;M$1&amp;""" vk="""&amp;M125&amp;""""&amp;IF(Scan2VKFlags!J125&lt;&gt;""," flags="""&amp;Scan2VKFlags!J125&amp;"""","")&amp;"/&gt;","")</f>
        <v>&lt;vk kbd="16" vk="_none_"/&gt;</v>
      </c>
      <c r="AO125" t="str">
        <f>IF(N125&lt;&gt;"","&lt;vk kbd="""&amp;N$1&amp;""" vk="""&amp;N125&amp;""""&amp;IF(Scan2VKFlags!K125&lt;&gt;""," flags="""&amp;Scan2VKFlags!K125&amp;"""","")&amp;"/&gt;","")</f>
        <v>&lt;vk kbd="10" vk="OEM_PA1"/&gt;</v>
      </c>
      <c r="AP125" t="str">
        <f>IF(O125&lt;&gt;"","&lt;vk kbd="""&amp;O$1&amp;""" vk="""&amp;O125&amp;""""&amp;IF(Scan2VKFlags!L125&lt;&gt;""," flags="""&amp;Scan2VKFlags!L125&amp;"""","")&amp;"/&gt;","")</f>
        <v>&lt;vk kbd="11" vk="OEM_PA1"/&gt;</v>
      </c>
      <c r="AQ125" t="str">
        <f>IF(P125&lt;&gt;"","&lt;vk kbd="""&amp;P$1&amp;""" vk="""&amp;P125&amp;""""&amp;IF(Scan2VKFlags!M125&lt;&gt;""," flags="""&amp;Scan2VKFlags!M125&amp;"""","")&amp;"/&gt;","")</f>
        <v>&lt;vk kbd="12" vk="OEM_PA1"/&gt;</v>
      </c>
      <c r="AR125" s="16" t="str">
        <f>IF(Q125&lt;&gt;"","&lt;vk kbd="""&amp;Q$1&amp;""" vk="""&amp;Q125&amp;""""&amp;IF(Scan2VKFlags!N125&lt;&gt;""," flags="""&amp;Scan2VKFlags!N125&amp;"""","")&amp;"/&gt;","")</f>
        <v>&lt;vk kbd="13" vk="OEM_PA1"/&gt;</v>
      </c>
      <c r="AS125" s="3" t="str">
        <f>IF(S125&lt;&gt;"","&lt;vk kbd="""&amp;S$1&amp;""" vk="""&amp;S125&amp;""""&amp;IF(Scan2VKFlags!O125&lt;&gt;""," flags="""&amp;Scan2VKFlags!O125&amp;"""","")&amp;"/&gt;","")</f>
        <v>&lt;vk kbd="20" vk="SCROLL"/&gt;</v>
      </c>
      <c r="AT125" t="str">
        <f>IF(T125&lt;&gt;"","&lt;vk kbd="""&amp;T$1&amp;""" vk="""&amp;T125&amp;""""&amp;IF(Scan2VKFlags!P125&lt;&gt;""," flags="""&amp;Scan2VKFlags!P125&amp;"""","")&amp;"/&gt;","")</f>
        <v>&lt;vk kbd="21" vk="SCROLL"/&gt;</v>
      </c>
      <c r="AU125" s="16" t="str">
        <f>IF(U125&lt;&gt;"","&lt;vk kbd="""&amp;U$1&amp;""" vk="""&amp;U125&amp;""""&amp;IF(Scan2VKFlags!Q125&lt;&gt;""," flags="""&amp;Scan2VKFlags!Q125&amp;"""","")&amp;"/&gt;","")</f>
        <v>&lt;vk kbd="22" vk="NONCONVERT"/&gt;</v>
      </c>
      <c r="AV125" s="3" t="str">
        <f>IF(W125&lt;&gt;"","&lt;vk kbd="""&amp;W$1&amp;""" vk="""&amp;W125&amp;""""&amp;IF(Scan2VKFlags!R125&lt;&gt;""," flags="""&amp;Scan2VKFlags!R125&amp;"""","")&amp;"/&gt;","")</f>
        <v>&lt;vk kbd="30" vk="NONCONVERT"/&gt;</v>
      </c>
      <c r="AW125" s="15" t="str">
        <f>IF(X125&lt;&gt;"","&lt;vk kbd="""&amp;X$1&amp;""" vk="""&amp;X125&amp;""""&amp;IF(Scan2VKFlags!S125&lt;&gt;""," flags="""&amp;Scan2VKFlags!S125&amp;"""","")&amp;"/&gt;","")</f>
        <v>&lt;vk kbd="33" vk="NONCONVERT"/&gt;</v>
      </c>
      <c r="AX125" s="15" t="str">
        <f>IF(Y125&lt;&gt;"","&lt;vk kbd="""&amp;Y$1&amp;""" vk="""&amp;Y125&amp;""""&amp;IF(Scan2VKFlags!T125&lt;&gt;""," flags="""&amp;Scan2VKFlags!T125&amp;"""","")&amp;"/&gt;","")</f>
        <v>&lt;vk kbd="34" vk="NONCONVERT"/&gt;</v>
      </c>
      <c r="AY125" s="18" t="str">
        <f>IF(AA125&lt;&gt;"","&lt;vk kbd="""&amp;AA$1&amp;""" vk="""&amp;AA125&amp;""""&amp;IF(Scan2VKFlags!U125&lt;&gt;""," flags="""&amp;Scan2VKFlags!U125&amp;"""","")&amp;"/&gt;","")</f>
        <v>&lt;vk kbd="37" vk="_none_"/&gt;</v>
      </c>
      <c r="AZ125" s="3" t="str">
        <f>IF(AC125&lt;&gt;"","&lt;vk kbd="""&amp;AC$1&amp;""" vk="""&amp;AC125&amp;""""&amp;IF(Scan2VKFlags!V125&lt;&gt;""," flags="""&amp;Scan2VKFlags!V125&amp;"""","")&amp;"/&gt;","")</f>
        <v>&lt;vk kbd="40" vk="NONCONVERT"/&gt;</v>
      </c>
      <c r="BA125" s="16" t="str">
        <f>IF(AD125&lt;&gt;"","&lt;vk kbd="""&amp;AD$1&amp;""" vk="""&amp;AD125&amp;""""&amp;IF(Scan2VKFlags!W125&lt;&gt;""," flags="""&amp;Scan2VKFlags!W125&amp;"""","")&amp;"/&gt;","")</f>
        <v>&lt;vk kbd="41" vk="NONCONVERT"/&gt;</v>
      </c>
      <c r="BB125" t="s">
        <v>854</v>
      </c>
    </row>
    <row r="126" spans="1:54" x14ac:dyDescent="0.25">
      <c r="A126">
        <f t="shared" si="11"/>
        <v>124</v>
      </c>
      <c r="B126" t="str">
        <f t="shared" si="8"/>
        <v>T7C</v>
      </c>
      <c r="C126" s="7" t="s">
        <v>15</v>
      </c>
      <c r="D126" s="12" t="str">
        <f>trimtext(SplitText($C126,",",0))</f>
        <v>TAB</v>
      </c>
      <c r="E126" s="12" t="str">
        <f>IF(SplitText($C126,",",COLUMN(E:E)-COLUMN($D:$D))="",$D126,trimtext(SplitText($C126,",",COLUMN(E:E)-COLUMN($D:$D))))</f>
        <v>TAB</v>
      </c>
      <c r="F126" s="12" t="str">
        <f>IF(SplitText($C126,",",COLUMN(F:F)-COLUMN($D:$D))="",$D126,trimtext(SplitText($C126,",",COLUMN(F:F)-COLUMN($D:$D))))</f>
        <v>TAB</v>
      </c>
      <c r="G126" s="12" t="str">
        <f>IF(SplitText($C126,",",COLUMN(G:G)-COLUMN($D:$D))="",$D126,trimtext(SplitText($C126,",",COLUMN(G:G)-COLUMN($D:$D))))</f>
        <v>TAB</v>
      </c>
      <c r="H126" s="12" t="str">
        <f>IF(SplitText($C126,",",COLUMN(H:H)-COLUMN($D:$D))="",$D126,trimtext(SplitText($C126,",",COLUMN(H:H)-COLUMN($D:$D))))</f>
        <v>TAB</v>
      </c>
      <c r="I126" s="12" t="str">
        <f>IF(SplitText($C126,",",COLUMN(I:I)-COLUMN($D:$D))="",$D126,trimtext(SplitText($C126,",",COLUMN(I:I)-COLUMN($D:$D))))</f>
        <v>TAB</v>
      </c>
      <c r="J126" s="9" t="s">
        <v>200</v>
      </c>
      <c r="K126" s="12" t="str">
        <f>trimtext(SplitText($J126,",",0))</f>
        <v>TAB</v>
      </c>
      <c r="L126" s="12" t="str">
        <f>IF(SplitText($J126,",",COLUMN(L:L)-COLUMN($K:$K))="",$K126,trimtext(SplitText($J126,",",COLUMN(L:L)-COLUMN($K:$K))))</f>
        <v>TAB</v>
      </c>
      <c r="M126" s="12" t="str">
        <f>IF(SplitText($J126,",",COLUMN(M:M)-COLUMN($K:$K))="",$K126,trimtext(SplitText($J126,",",COLUMN(M:M)-COLUMN($K:$K))))</f>
        <v>TAB</v>
      </c>
      <c r="N126" s="12" t="str">
        <f>IF(SplitText($J126,",",COLUMN(N:N)-COLUMN($K:$K))="",$K126,trimtext(SplitText($J126,",",COLUMN(N:N)-COLUMN($K:$K))))</f>
        <v>TAB</v>
      </c>
      <c r="O126" s="12" t="str">
        <f>IF(SplitText($J126,",",COLUMN(O:O)-COLUMN($K:$K))="",$K126,trimtext(SplitText($J126,",",COLUMN(O:O)-COLUMN($K:$K))))</f>
        <v>TAB</v>
      </c>
      <c r="P126" s="12" t="str">
        <f>IF(SplitText($J126,",",COLUMN(P:P)-COLUMN($K:$K))="",$K126,trimtext(SplitText($J126,",",COLUMN(P:P)-COLUMN($K:$K))))</f>
        <v>TAB</v>
      </c>
      <c r="Q126" s="12" t="str">
        <f>IF(SplitText($J126,",",COLUMN(Q:Q)-COLUMN($K:$K))="",$K126,trimtext(SplitText($J126,",",COLUMN(Q:Q)-COLUMN($K:$K))))</f>
        <v>TAB</v>
      </c>
      <c r="R126" s="2" t="s">
        <v>465</v>
      </c>
      <c r="S126" s="12" t="str">
        <f>trimtext(SplitText($R126,",",0))</f>
        <v>PAUSE</v>
      </c>
      <c r="T126" s="12" t="str">
        <f>IF(SplitText($R126,",",COLUMN(T:T)-COLUMN($S:$S))="",$S126,trimtext(SplitText($R126,",",COLUMN(T:T)-COLUMN($S:$S))))</f>
        <v>PAUSE</v>
      </c>
      <c r="U126" s="12" t="str">
        <f>IF(SplitText($R126,",",COLUMN(U:U)-COLUMN($S:$S))="",$S126,trimtext(SplitText($R126,",",COLUMN(U:U)-COLUMN($S:$S))))</f>
        <v>TAB</v>
      </c>
      <c r="V126" s="2" t="s">
        <v>619</v>
      </c>
      <c r="W126" s="12" t="str">
        <f>trimtext(SplitText($V126,",",0))</f>
        <v>TAB</v>
      </c>
      <c r="X126" s="12" t="str">
        <f>IF(SplitText($V126,",",COLUMN(X:X)-COLUMN($W:$W))="",$W126,trimtext(SplitText($V126,",",COLUMN(X:X)-COLUMN($W:$W))))</f>
        <v>_none_</v>
      </c>
      <c r="Y126" s="12" t="str">
        <f>IF(SplitText($V126,",",COLUMN(Y:Y)-COLUMN($W:$W))="",$W126,trimtext(SplitText($V126,",",COLUMN(Y:Y)-COLUMN($W:$W))))</f>
        <v>_none_</v>
      </c>
      <c r="Z126" s="2" t="s">
        <v>718</v>
      </c>
      <c r="AA126" s="12" t="str">
        <f t="shared" si="9"/>
        <v>_none_</v>
      </c>
      <c r="AB126" s="2" t="s">
        <v>743</v>
      </c>
      <c r="AC126" s="12" t="str">
        <f>trimtext(SplitText($AB126,",",0))</f>
        <v>_none_</v>
      </c>
      <c r="AD126" s="12" t="str">
        <f>IF(SplitText($AB126,",",COLUMN(AD:AD)-COLUMN($AC:$AC))="",$AC126,trimtext(SplitText($AB126,",",COLUMN(AD:AD)-COLUMN($AC:$AC))))</f>
        <v>_none_</v>
      </c>
      <c r="AE126" s="18" t="str">
        <f t="shared" si="10"/>
        <v>&lt;xs:enumeration value="T7C"&gt;&lt;xs:annotation&gt;&lt;xs:documentation&gt;Typically TAB for keyboard type 4, different values for different keyboard types&lt;/xs:documentation&gt;&lt;xs:appinfo&gt;&lt;default-vk&gt;</v>
      </c>
      <c r="AF126" s="15" t="str">
        <f>IF(D126&lt;&gt;"","&lt;vk kbd="""&amp;D$1&amp;""" vk="""&amp;D126&amp;""""&amp;IF(Scan2VKFlags!B126&lt;&gt;""," flags="""&amp;Scan2VKFlags!B126&amp;"""","")&amp;"/&gt;","")</f>
        <v>&lt;vk kbd="1" vk="TAB"/&gt;</v>
      </c>
      <c r="AG126" s="15" t="str">
        <f>IF(E126&lt;&gt;"","&lt;vk kbd="""&amp;E$1&amp;""" vk="""&amp;E126&amp;""""&amp;IF(Scan2VKFlags!C126&lt;&gt;""," flags="""&amp;Scan2VKFlags!C126&amp;"""","")&amp;"/&gt;","")</f>
        <v>&lt;vk kbd="2" vk="TAB"/&gt;</v>
      </c>
      <c r="AH126" s="15" t="str">
        <f>IF(F126&lt;&gt;"","&lt;vk kbd="""&amp;F$1&amp;""" vk="""&amp;F126&amp;""""&amp;IF(Scan2VKFlags!D126&lt;&gt;""," flags="""&amp;Scan2VKFlags!D126&amp;"""","")&amp;"/&gt;","")</f>
        <v>&lt;vk kbd="3" vk="TAB"/&gt;</v>
      </c>
      <c r="AI126" s="15" t="str">
        <f>IF(G126&lt;&gt;"","&lt;vk kbd="""&amp;G$1&amp;""" vk="""&amp;G126&amp;""""&amp;IF(Scan2VKFlags!E126&lt;&gt;""," flags="""&amp;Scan2VKFlags!E126&amp;"""","")&amp;"/&gt;","")</f>
        <v>&lt;vk kbd="4" vk="TAB"/&gt;</v>
      </c>
      <c r="AJ126" s="15" t="str">
        <f>IF(H126&lt;&gt;"","&lt;vk kbd="""&amp;H$1&amp;""" vk="""&amp;H126&amp;""""&amp;IF(Scan2VKFlags!F126&lt;&gt;""," flags="""&amp;Scan2VKFlags!F126&amp;"""","")&amp;"/&gt;","")</f>
        <v>&lt;vk kbd="5" vk="TAB"/&gt;</v>
      </c>
      <c r="AK126" s="16" t="str">
        <f>IF(I126&lt;&gt;"","&lt;vk kbd="""&amp;I$1&amp;""" vk="""&amp;I126&amp;""""&amp;IF(Scan2VKFlags!G126&lt;&gt;""," flags="""&amp;Scan2VKFlags!G126&amp;"""","")&amp;"/&gt;","")</f>
        <v>&lt;vk kbd="6" vk="TAB"/&gt;</v>
      </c>
      <c r="AL126" s="3" t="str">
        <f>IF(K126&lt;&gt;"","&lt;vk kbd="""&amp;K$1&amp;""" vk="""&amp;K126&amp;""""&amp;IF(Scan2VKFlags!H126&lt;&gt;""," flags="""&amp;Scan2VKFlags!H126&amp;"""","")&amp;"/&gt;","")</f>
        <v>&lt;vk kbd="7" vk="TAB"/&gt;</v>
      </c>
      <c r="AM126" t="str">
        <f>IF(L126&lt;&gt;"","&lt;vk kbd="""&amp;L$1&amp;""" vk="""&amp;L126&amp;""""&amp;IF(Scan2VKFlags!I126&lt;&gt;""," flags="""&amp;Scan2VKFlags!I126&amp;"""","")&amp;"/&gt;","")</f>
        <v>&lt;vk kbd="8" vk="TAB"/&gt;</v>
      </c>
      <c r="AN126" t="str">
        <f>IF(M126&lt;&gt;"","&lt;vk kbd="""&amp;M$1&amp;""" vk="""&amp;M126&amp;""""&amp;IF(Scan2VKFlags!J126&lt;&gt;""," flags="""&amp;Scan2VKFlags!J126&amp;"""","")&amp;"/&gt;","")</f>
        <v>&lt;vk kbd="16" vk="TAB"/&gt;</v>
      </c>
      <c r="AO126" t="str">
        <f>IF(N126&lt;&gt;"","&lt;vk kbd="""&amp;N$1&amp;""" vk="""&amp;N126&amp;""""&amp;IF(Scan2VKFlags!K126&lt;&gt;""," flags="""&amp;Scan2VKFlags!K126&amp;"""","")&amp;"/&gt;","")</f>
        <v>&lt;vk kbd="10" vk="TAB"/&gt;</v>
      </c>
      <c r="AP126" t="str">
        <f>IF(O126&lt;&gt;"","&lt;vk kbd="""&amp;O$1&amp;""" vk="""&amp;O126&amp;""""&amp;IF(Scan2VKFlags!L126&lt;&gt;""," flags="""&amp;Scan2VKFlags!L126&amp;"""","")&amp;"/&gt;","")</f>
        <v>&lt;vk kbd="11" vk="TAB"/&gt;</v>
      </c>
      <c r="AQ126" t="str">
        <f>IF(P126&lt;&gt;"","&lt;vk kbd="""&amp;P$1&amp;""" vk="""&amp;P126&amp;""""&amp;IF(Scan2VKFlags!M126&lt;&gt;""," flags="""&amp;Scan2VKFlags!M126&amp;"""","")&amp;"/&gt;","")</f>
        <v>&lt;vk kbd="12" vk="TAB"/&gt;</v>
      </c>
      <c r="AR126" s="16" t="str">
        <f>IF(Q126&lt;&gt;"","&lt;vk kbd="""&amp;Q$1&amp;""" vk="""&amp;Q126&amp;""""&amp;IF(Scan2VKFlags!N126&lt;&gt;""," flags="""&amp;Scan2VKFlags!N126&amp;"""","")&amp;"/&gt;","")</f>
        <v>&lt;vk kbd="13" vk="TAB"/&gt;</v>
      </c>
      <c r="AS126" s="3" t="str">
        <f>IF(S126&lt;&gt;"","&lt;vk kbd="""&amp;S$1&amp;""" vk="""&amp;S126&amp;""""&amp;IF(Scan2VKFlags!O126&lt;&gt;""," flags="""&amp;Scan2VKFlags!O126&amp;"""","")&amp;"/&gt;","")</f>
        <v>&lt;vk kbd="20" vk="PAUSE"/&gt;</v>
      </c>
      <c r="AT126" t="str">
        <f>IF(T126&lt;&gt;"","&lt;vk kbd="""&amp;T$1&amp;""" vk="""&amp;T126&amp;""""&amp;IF(Scan2VKFlags!P126&lt;&gt;""," flags="""&amp;Scan2VKFlags!P126&amp;"""","")&amp;"/&gt;","")</f>
        <v>&lt;vk kbd="21" vk="PAUSE"/&gt;</v>
      </c>
      <c r="AU126" s="16" t="str">
        <f>IF(U126&lt;&gt;"","&lt;vk kbd="""&amp;U$1&amp;""" vk="""&amp;U126&amp;""""&amp;IF(Scan2VKFlags!Q126&lt;&gt;""," flags="""&amp;Scan2VKFlags!Q126&amp;"""","")&amp;"/&gt;","")</f>
        <v>&lt;vk kbd="22" vk="TAB"/&gt;</v>
      </c>
      <c r="AV126" s="3" t="str">
        <f>IF(W126&lt;&gt;"","&lt;vk kbd="""&amp;W$1&amp;""" vk="""&amp;W126&amp;""""&amp;IF(Scan2VKFlags!R126&lt;&gt;""," flags="""&amp;Scan2VKFlags!R126&amp;"""","")&amp;"/&gt;","")</f>
        <v>&lt;vk kbd="30" vk="TAB"/&gt;</v>
      </c>
      <c r="AW126" s="15" t="str">
        <f>IF(X126&lt;&gt;"","&lt;vk kbd="""&amp;X$1&amp;""" vk="""&amp;X126&amp;""""&amp;IF(Scan2VKFlags!S126&lt;&gt;""," flags="""&amp;Scan2VKFlags!S126&amp;"""","")&amp;"/&gt;","")</f>
        <v>&lt;vk kbd="33" vk="_none_"/&gt;</v>
      </c>
      <c r="AX126" s="15" t="str">
        <f>IF(Y126&lt;&gt;"","&lt;vk kbd="""&amp;Y$1&amp;""" vk="""&amp;Y126&amp;""""&amp;IF(Scan2VKFlags!T126&lt;&gt;""," flags="""&amp;Scan2VKFlags!T126&amp;"""","")&amp;"/&gt;","")</f>
        <v>&lt;vk kbd="34" vk="_none_"/&gt;</v>
      </c>
      <c r="AY126" s="18" t="str">
        <f>IF(AA126&lt;&gt;"","&lt;vk kbd="""&amp;AA$1&amp;""" vk="""&amp;AA126&amp;""""&amp;IF(Scan2VKFlags!U126&lt;&gt;""," flags="""&amp;Scan2VKFlags!U126&amp;"""","")&amp;"/&gt;","")</f>
        <v>&lt;vk kbd="37" vk="_none_"/&gt;</v>
      </c>
      <c r="AZ126" s="3" t="str">
        <f>IF(AC126&lt;&gt;"","&lt;vk kbd="""&amp;AC$1&amp;""" vk="""&amp;AC126&amp;""""&amp;IF(Scan2VKFlags!V126&lt;&gt;""," flags="""&amp;Scan2VKFlags!V126&amp;"""","")&amp;"/&gt;","")</f>
        <v>&lt;vk kbd="40" vk="_none_"/&gt;</v>
      </c>
      <c r="BA126" s="16" t="str">
        <f>IF(AD126&lt;&gt;"","&lt;vk kbd="""&amp;AD$1&amp;""" vk="""&amp;AD126&amp;""""&amp;IF(Scan2VKFlags!W126&lt;&gt;""," flags="""&amp;Scan2VKFlags!W126&amp;"""","")&amp;"/&gt;","")</f>
        <v>&lt;vk kbd="41" vk="_none_"/&gt;</v>
      </c>
      <c r="BB126" t="s">
        <v>854</v>
      </c>
    </row>
    <row r="127" spans="1:54" x14ac:dyDescent="0.25">
      <c r="A127">
        <f t="shared" si="11"/>
        <v>125</v>
      </c>
      <c r="B127" t="str">
        <f t="shared" si="8"/>
        <v>T7D</v>
      </c>
      <c r="C127" s="7" t="s">
        <v>0</v>
      </c>
      <c r="D127" s="12" t="str">
        <f>trimtext(SplitText($C127,",",0))</f>
        <v>_none_</v>
      </c>
      <c r="E127" s="12" t="str">
        <f>IF(SplitText($C127,",",COLUMN(E:E)-COLUMN($D:$D))="",$D127,trimtext(SplitText($C127,",",COLUMN(E:E)-COLUMN($D:$D))))</f>
        <v>_none_</v>
      </c>
      <c r="F127" s="12" t="str">
        <f>IF(SplitText($C127,",",COLUMN(F:F)-COLUMN($D:$D))="",$D127,trimtext(SplitText($C127,",",COLUMN(F:F)-COLUMN($D:$D))))</f>
        <v>_none_</v>
      </c>
      <c r="G127" s="12" t="str">
        <f>IF(SplitText($C127,",",COLUMN(G:G)-COLUMN($D:$D))="",$D127,trimtext(SplitText($C127,",",COLUMN(G:G)-COLUMN($D:$D))))</f>
        <v>_none_</v>
      </c>
      <c r="H127" s="12" t="str">
        <f>IF(SplitText($C127,",",COLUMN(H:H)-COLUMN($D:$D))="",$D127,trimtext(SplitText($C127,",",COLUMN(H:H)-COLUMN($D:$D))))</f>
        <v>_none_</v>
      </c>
      <c r="I127" s="12" t="str">
        <f>IF(SplitText($C127,",",COLUMN(I:I)-COLUMN($D:$D))="",$D127,trimtext(SplitText($C127,",",COLUMN(I:I)-COLUMN($D:$D))))</f>
        <v>_none_</v>
      </c>
      <c r="J127" s="9" t="s">
        <v>300</v>
      </c>
      <c r="K127" s="12" t="str">
        <f>trimtext(SplitText($J127,",",0))</f>
        <v>_none_</v>
      </c>
      <c r="L127" s="12" t="str">
        <f>IF(SplitText($J127,",",COLUMN(L:L)-COLUMN($K:$K))="",$K127,trimtext(SplitText($J127,",",COLUMN(L:L)-COLUMN($K:$K))))</f>
        <v>OEM_5</v>
      </c>
      <c r="M127" s="12" t="str">
        <f>IF(SplitText($J127,",",COLUMN(M:M)-COLUMN($K:$K))="",$K127,trimtext(SplitText($J127,",",COLUMN(M:M)-COLUMN($K:$K))))</f>
        <v>_none_</v>
      </c>
      <c r="N127" s="12" t="str">
        <f>IF(SplitText($J127,",",COLUMN(N:N)-COLUMN($K:$K))="",$K127,trimtext(SplitText($J127,",",COLUMN(N:N)-COLUMN($K:$K))))</f>
        <v>_none_</v>
      </c>
      <c r="O127" s="12" t="str">
        <f>IF(SplitText($J127,",",COLUMN(O:O)-COLUMN($K:$K))="",$K127,trimtext(SplitText($J127,",",COLUMN(O:O)-COLUMN($K:$K))))</f>
        <v>_none_</v>
      </c>
      <c r="P127" s="12" t="str">
        <f>IF(SplitText($J127,",",COLUMN(P:P)-COLUMN($K:$K))="",$K127,trimtext(SplitText($J127,",",COLUMN(P:P)-COLUMN($K:$K))))</f>
        <v>_none_</v>
      </c>
      <c r="Q127" s="12" t="str">
        <f>IF(SplitText($J127,",",COLUMN(Q:Q)-COLUMN($K:$K))="",$K127,trimtext(SplitText($J127,",",COLUMN(Q:Q)-COLUMN($K:$K))))</f>
        <v>_none_</v>
      </c>
      <c r="R127" s="2" t="s">
        <v>466</v>
      </c>
      <c r="S127" s="12" t="str">
        <f>trimtext(SplitText($R127,",",0))</f>
        <v>SNAPSHOT</v>
      </c>
      <c r="T127" s="12" t="str">
        <f>IF(SplitText($R127,",",COLUMN(T:T)-COLUMN($S:$S))="",$S127,trimtext(SplitText($R127,",",COLUMN(T:T)-COLUMN($S:$S))))</f>
        <v>SNAPSHOT</v>
      </c>
      <c r="U127" s="12" t="str">
        <f>IF(SplitText($R127,",",COLUMN(U:U)-COLUMN($S:$S))="",$S127,trimtext(SplitText($R127,",",COLUMN(U:U)-COLUMN($S:$S))))</f>
        <v>OEM_5</v>
      </c>
      <c r="V127" s="2" t="s">
        <v>620</v>
      </c>
      <c r="W127" s="12" t="str">
        <f>trimtext(SplitText($V127,",",0))</f>
        <v>OEM_5</v>
      </c>
      <c r="X127" s="12" t="str">
        <f>IF(SplitText($V127,",",COLUMN(X:X)-COLUMN($W:$W))="",$W127,trimtext(SplitText($V127,",",COLUMN(X:X)-COLUMN($W:$W))))</f>
        <v>OEM_5</v>
      </c>
      <c r="Y127" s="12" t="str">
        <f>IF(SplitText($V127,",",COLUMN(Y:Y)-COLUMN($W:$W))="",$W127,trimtext(SplitText($V127,",",COLUMN(Y:Y)-COLUMN($W:$W))))</f>
        <v>_none_</v>
      </c>
      <c r="Z127" s="2" t="s">
        <v>739</v>
      </c>
      <c r="AA127" s="12" t="str">
        <f t="shared" si="9"/>
        <v>RSHIFT</v>
      </c>
      <c r="AB127" s="2" t="s">
        <v>834</v>
      </c>
      <c r="AC127" s="12" t="str">
        <f>trimtext(SplitText($AB127,",",0))</f>
        <v>OEM_5</v>
      </c>
      <c r="AD127" s="12" t="str">
        <f>IF(SplitText($AB127,",",COLUMN(AD:AD)-COLUMN($AC:$AC))="",$AC127,trimtext(SplitText($AB127,",",COLUMN(AD:AD)-COLUMN($AC:$AC))))</f>
        <v>_none_</v>
      </c>
      <c r="AE127" s="18" t="str">
        <f t="shared" si="10"/>
        <v>&lt;xs:enumeration value="T7D"&gt;&lt;xs:annotation&gt;&lt;xs:documentation&gt;Typically _none_ for keyboard type 4, different values for different keyboard types&lt;/xs:documentation&gt;&lt;xs:appinfo&gt;&lt;default-vk&gt;</v>
      </c>
      <c r="AF127" s="15" t="str">
        <f>IF(D127&lt;&gt;"","&lt;vk kbd="""&amp;D$1&amp;""" vk="""&amp;D127&amp;""""&amp;IF(Scan2VKFlags!B127&lt;&gt;""," flags="""&amp;Scan2VKFlags!B127&amp;"""","")&amp;"/&gt;","")</f>
        <v>&lt;vk kbd="1" vk="_none_"/&gt;</v>
      </c>
      <c r="AG127" s="15" t="str">
        <f>IF(E127&lt;&gt;"","&lt;vk kbd="""&amp;E$1&amp;""" vk="""&amp;E127&amp;""""&amp;IF(Scan2VKFlags!C127&lt;&gt;""," flags="""&amp;Scan2VKFlags!C127&amp;"""","")&amp;"/&gt;","")</f>
        <v>&lt;vk kbd="2" vk="_none_"/&gt;</v>
      </c>
      <c r="AH127" s="15" t="str">
        <f>IF(F127&lt;&gt;"","&lt;vk kbd="""&amp;F$1&amp;""" vk="""&amp;F127&amp;""""&amp;IF(Scan2VKFlags!D127&lt;&gt;""," flags="""&amp;Scan2VKFlags!D127&amp;"""","")&amp;"/&gt;","")</f>
        <v>&lt;vk kbd="3" vk="_none_"/&gt;</v>
      </c>
      <c r="AI127" s="15" t="str">
        <f>IF(G127&lt;&gt;"","&lt;vk kbd="""&amp;G$1&amp;""" vk="""&amp;G127&amp;""""&amp;IF(Scan2VKFlags!E127&lt;&gt;""," flags="""&amp;Scan2VKFlags!E127&amp;"""","")&amp;"/&gt;","")</f>
        <v>&lt;vk kbd="4" vk="_none_"/&gt;</v>
      </c>
      <c r="AJ127" s="15" t="str">
        <f>IF(H127&lt;&gt;"","&lt;vk kbd="""&amp;H$1&amp;""" vk="""&amp;H127&amp;""""&amp;IF(Scan2VKFlags!F127&lt;&gt;""," flags="""&amp;Scan2VKFlags!F127&amp;"""","")&amp;"/&gt;","")</f>
        <v>&lt;vk kbd="5" vk="_none_"/&gt;</v>
      </c>
      <c r="AK127" s="16" t="str">
        <f>IF(I127&lt;&gt;"","&lt;vk kbd="""&amp;I$1&amp;""" vk="""&amp;I127&amp;""""&amp;IF(Scan2VKFlags!G127&lt;&gt;""," flags="""&amp;Scan2VKFlags!G127&amp;"""","")&amp;"/&gt;","")</f>
        <v>&lt;vk kbd="6" vk="_none_"/&gt;</v>
      </c>
      <c r="AL127" s="3" t="str">
        <f>IF(K127&lt;&gt;"","&lt;vk kbd="""&amp;K$1&amp;""" vk="""&amp;K127&amp;""""&amp;IF(Scan2VKFlags!H127&lt;&gt;""," flags="""&amp;Scan2VKFlags!H127&amp;"""","")&amp;"/&gt;","")</f>
        <v>&lt;vk kbd="7" vk="_none_"/&gt;</v>
      </c>
      <c r="AM127" t="str">
        <f>IF(L127&lt;&gt;"","&lt;vk kbd="""&amp;L$1&amp;""" vk="""&amp;L127&amp;""""&amp;IF(Scan2VKFlags!I127&lt;&gt;""," flags="""&amp;Scan2VKFlags!I127&amp;"""","")&amp;"/&gt;","")</f>
        <v>&lt;vk kbd="8" vk="OEM_5"/&gt;</v>
      </c>
      <c r="AN127" t="str">
        <f>IF(M127&lt;&gt;"","&lt;vk kbd="""&amp;M$1&amp;""" vk="""&amp;M127&amp;""""&amp;IF(Scan2VKFlags!J127&lt;&gt;""," flags="""&amp;Scan2VKFlags!J127&amp;"""","")&amp;"/&gt;","")</f>
        <v>&lt;vk kbd="16" vk="_none_"/&gt;</v>
      </c>
      <c r="AO127" t="str">
        <f>IF(N127&lt;&gt;"","&lt;vk kbd="""&amp;N$1&amp;""" vk="""&amp;N127&amp;""""&amp;IF(Scan2VKFlags!K127&lt;&gt;""," flags="""&amp;Scan2VKFlags!K127&amp;"""","")&amp;"/&gt;","")</f>
        <v>&lt;vk kbd="10" vk="_none_"/&gt;</v>
      </c>
      <c r="AP127" t="str">
        <f>IF(O127&lt;&gt;"","&lt;vk kbd="""&amp;O$1&amp;""" vk="""&amp;O127&amp;""""&amp;IF(Scan2VKFlags!L127&lt;&gt;""," flags="""&amp;Scan2VKFlags!L127&amp;"""","")&amp;"/&gt;","")</f>
        <v>&lt;vk kbd="11" vk="_none_"/&gt;</v>
      </c>
      <c r="AQ127" t="str">
        <f>IF(P127&lt;&gt;"","&lt;vk kbd="""&amp;P$1&amp;""" vk="""&amp;P127&amp;""""&amp;IF(Scan2VKFlags!M127&lt;&gt;""," flags="""&amp;Scan2VKFlags!M127&amp;"""","")&amp;"/&gt;","")</f>
        <v>&lt;vk kbd="12" vk="_none_"/&gt;</v>
      </c>
      <c r="AR127" s="16" t="str">
        <f>IF(Q127&lt;&gt;"","&lt;vk kbd="""&amp;Q$1&amp;""" vk="""&amp;Q127&amp;""""&amp;IF(Scan2VKFlags!N127&lt;&gt;""," flags="""&amp;Scan2VKFlags!N127&amp;"""","")&amp;"/&gt;","")</f>
        <v>&lt;vk kbd="13" vk="_none_"/&gt;</v>
      </c>
      <c r="AS127" s="3" t="str">
        <f>IF(S127&lt;&gt;"","&lt;vk kbd="""&amp;S$1&amp;""" vk="""&amp;S127&amp;""""&amp;IF(Scan2VKFlags!O127&lt;&gt;""," flags="""&amp;Scan2VKFlags!O127&amp;"""","")&amp;"/&gt;","")</f>
        <v>&lt;vk kbd="20" vk="SNAPSHOT"/&gt;</v>
      </c>
      <c r="AT127" t="str">
        <f>IF(T127&lt;&gt;"","&lt;vk kbd="""&amp;T$1&amp;""" vk="""&amp;T127&amp;""""&amp;IF(Scan2VKFlags!P127&lt;&gt;""," flags="""&amp;Scan2VKFlags!P127&amp;"""","")&amp;"/&gt;","")</f>
        <v>&lt;vk kbd="21" vk="SNAPSHOT"/&gt;</v>
      </c>
      <c r="AU127" s="16" t="str">
        <f>IF(U127&lt;&gt;"","&lt;vk kbd="""&amp;U$1&amp;""" vk="""&amp;U127&amp;""""&amp;IF(Scan2VKFlags!Q127&lt;&gt;""," flags="""&amp;Scan2VKFlags!Q127&amp;"""","")&amp;"/&gt;","")</f>
        <v>&lt;vk kbd="22" vk="OEM_5"/&gt;</v>
      </c>
      <c r="AV127" s="3" t="str">
        <f>IF(W127&lt;&gt;"","&lt;vk kbd="""&amp;W$1&amp;""" vk="""&amp;W127&amp;""""&amp;IF(Scan2VKFlags!R127&lt;&gt;""," flags="""&amp;Scan2VKFlags!R127&amp;"""","")&amp;"/&gt;","")</f>
        <v>&lt;vk kbd="30" vk="OEM_5"/&gt;</v>
      </c>
      <c r="AW127" s="15" t="str">
        <f>IF(X127&lt;&gt;"","&lt;vk kbd="""&amp;X$1&amp;""" vk="""&amp;X127&amp;""""&amp;IF(Scan2VKFlags!S127&lt;&gt;""," flags="""&amp;Scan2VKFlags!S127&amp;"""","")&amp;"/&gt;","")</f>
        <v>&lt;vk kbd="33" vk="OEM_5"/&gt;</v>
      </c>
      <c r="AX127" s="15" t="str">
        <f>IF(Y127&lt;&gt;"","&lt;vk kbd="""&amp;Y$1&amp;""" vk="""&amp;Y127&amp;""""&amp;IF(Scan2VKFlags!T127&lt;&gt;""," flags="""&amp;Scan2VKFlags!T127&amp;"""","")&amp;"/&gt;","")</f>
        <v>&lt;vk kbd="34" vk="_none_"/&gt;</v>
      </c>
      <c r="AY127" s="18" t="str">
        <f>IF(AA127&lt;&gt;"","&lt;vk kbd="""&amp;AA$1&amp;""" vk="""&amp;AA127&amp;""""&amp;IF(Scan2VKFlags!U127&lt;&gt;""," flags="""&amp;Scan2VKFlags!U127&amp;"""","")&amp;"/&gt;","")</f>
        <v>&lt;vk kbd="37" vk="RSHIFT"/&gt;</v>
      </c>
      <c r="AZ127" s="3" t="str">
        <f>IF(AC127&lt;&gt;"","&lt;vk kbd="""&amp;AC$1&amp;""" vk="""&amp;AC127&amp;""""&amp;IF(Scan2VKFlags!V127&lt;&gt;""," flags="""&amp;Scan2VKFlags!V127&amp;"""","")&amp;"/&gt;","")</f>
        <v>&lt;vk kbd="40" vk="OEM_5"/&gt;</v>
      </c>
      <c r="BA127" s="16" t="str">
        <f>IF(AD127&lt;&gt;"","&lt;vk kbd="""&amp;AD$1&amp;""" vk="""&amp;AD127&amp;""""&amp;IF(Scan2VKFlags!W127&lt;&gt;""," flags="""&amp;Scan2VKFlags!W127&amp;"""","")&amp;"/&gt;","")</f>
        <v>&lt;vk kbd="41" vk="_none_"/&gt;</v>
      </c>
      <c r="BB127" t="s">
        <v>854</v>
      </c>
    </row>
    <row r="128" spans="1:54" x14ac:dyDescent="0.25">
      <c r="A128">
        <f t="shared" si="11"/>
        <v>126</v>
      </c>
      <c r="B128" t="str">
        <f t="shared" si="8"/>
        <v>T7E</v>
      </c>
      <c r="C128" s="7" t="s">
        <v>112</v>
      </c>
      <c r="D128" s="12" t="str">
        <f>trimtext(SplitText($C128,",",0))</f>
        <v>ABNT_C2</v>
      </c>
      <c r="E128" s="12" t="str">
        <f>IF(SplitText($C128,",",COLUMN(E:E)-COLUMN($D:$D))="",$D128,trimtext(SplitText($C128,",",COLUMN(E:E)-COLUMN($D:$D))))</f>
        <v>ABNT_C2</v>
      </c>
      <c r="F128" s="12" t="str">
        <f>IF(SplitText($C128,",",COLUMN(F:F)-COLUMN($D:$D))="",$D128,trimtext(SplitText($C128,",",COLUMN(F:F)-COLUMN($D:$D))))</f>
        <v>ABNT_C2</v>
      </c>
      <c r="G128" s="12" t="str">
        <f>IF(SplitText($C128,",",COLUMN(G:G)-COLUMN($D:$D))="",$D128,trimtext(SplitText($C128,",",COLUMN(G:G)-COLUMN($D:$D))))</f>
        <v>ABNT_C2</v>
      </c>
      <c r="H128" s="12" t="str">
        <f>IF(SplitText($C128,",",COLUMN(H:H)-COLUMN($D:$D))="",$D128,trimtext(SplitText($C128,",",COLUMN(H:H)-COLUMN($D:$D))))</f>
        <v>ABNT_C2</v>
      </c>
      <c r="I128" s="12" t="str">
        <f>IF(SplitText($C128,",",COLUMN(I:I)-COLUMN($D:$D))="",$D128,trimtext(SplitText($C128,",",COLUMN(I:I)-COLUMN($D:$D))))</f>
        <v>ABNT_C2</v>
      </c>
      <c r="J128" s="9" t="s">
        <v>301</v>
      </c>
      <c r="K128" s="12" t="str">
        <f>trimtext(SplitText($J128,",",0))</f>
        <v>ABNT_C2</v>
      </c>
      <c r="L128" s="12" t="str">
        <f>IF(SplitText($J128,",",COLUMN(L:L)-COLUMN($K:$K))="",$K128,trimtext(SplitText($J128,",",COLUMN(L:L)-COLUMN($K:$K))))</f>
        <v>ABNT_C2</v>
      </c>
      <c r="M128" s="12" t="str">
        <f>IF(SplitText($J128,",",COLUMN(M:M)-COLUMN($K:$K))="",$K128,trimtext(SplitText($J128,",",COLUMN(M:M)-COLUMN($K:$K))))</f>
        <v>ABNT_C2</v>
      </c>
      <c r="N128" s="12" t="str">
        <f>IF(SplitText($J128,",",COLUMN(N:N)-COLUMN($K:$K))="",$K128,trimtext(SplitText($J128,",",COLUMN(N:N)-COLUMN($K:$K))))</f>
        <v>ABNT_C2</v>
      </c>
      <c r="O128" s="12" t="str">
        <f>IF(SplitText($J128,",",COLUMN(O:O)-COLUMN($K:$K))="",$K128,trimtext(SplitText($J128,",",COLUMN(O:O)-COLUMN($K:$K))))</f>
        <v>ABNT_C2</v>
      </c>
      <c r="P128" s="12" t="str">
        <f>IF(SplitText($J128,",",COLUMN(P:P)-COLUMN($K:$K))="",$K128,trimtext(SplitText($J128,",",COLUMN(P:P)-COLUMN($K:$K))))</f>
        <v>ABNT_C2</v>
      </c>
      <c r="Q128" s="12" t="str">
        <f>IF(SplitText($J128,",",COLUMN(Q:Q)-COLUMN($K:$K))="",$K128,trimtext(SplitText($J128,",",COLUMN(Q:Q)-COLUMN($K:$K))))</f>
        <v>ABNT_C2</v>
      </c>
      <c r="R128" s="2" t="s">
        <v>467</v>
      </c>
      <c r="S128" s="12" t="str">
        <f>trimtext(SplitText($R128,",",0))</f>
        <v>_none_</v>
      </c>
      <c r="T128" s="12" t="str">
        <f>IF(SplitText($R128,",",COLUMN(T:T)-COLUMN($S:$S))="",$S128,trimtext(SplitText($R128,",",COLUMN(T:T)-COLUMN($S:$S))))</f>
        <v>_none_</v>
      </c>
      <c r="U128" s="12" t="str">
        <f>IF(SplitText($R128,",",COLUMN(U:U)-COLUMN($S:$S))="",$S128,trimtext(SplitText($R128,",",COLUMN(U:U)-COLUMN($S:$S))))</f>
        <v>ABNT_C2</v>
      </c>
      <c r="V128" s="2" t="s">
        <v>621</v>
      </c>
      <c r="W128" s="12" t="str">
        <f>trimtext(SplitText($V128,",",0))</f>
        <v>ABNT_C2</v>
      </c>
      <c r="X128" s="12" t="str">
        <f>IF(SplitText($V128,",",COLUMN(X:X)-COLUMN($W:$W))="",$W128,trimtext(SplitText($V128,",",COLUMN(X:X)-COLUMN($W:$W))))</f>
        <v>ABNT_C2</v>
      </c>
      <c r="Y128" s="12" t="str">
        <f>IF(SplitText($V128,",",COLUMN(Y:Y)-COLUMN($W:$W))="",$W128,trimtext(SplitText($V128,",",COLUMN(Y:Y)-COLUMN($W:$W))))</f>
        <v>_none_</v>
      </c>
      <c r="Z128" s="2" t="s">
        <v>740</v>
      </c>
      <c r="AA128" s="12" t="str">
        <f t="shared" si="9"/>
        <v>ABNT_C2</v>
      </c>
      <c r="AB128" s="2" t="s">
        <v>743</v>
      </c>
      <c r="AC128" s="12" t="str">
        <f>trimtext(SplitText($AB128,",",0))</f>
        <v>_none_</v>
      </c>
      <c r="AD128" s="12" t="str">
        <f>IF(SplitText($AB128,",",COLUMN(AD:AD)-COLUMN($AC:$AC))="",$AC128,trimtext(SplitText($AB128,",",COLUMN(AD:AD)-COLUMN($AC:$AC))))</f>
        <v>_none_</v>
      </c>
      <c r="AE128" s="18" t="str">
        <f t="shared" si="10"/>
        <v>&lt;xs:enumeration value="T7E"&gt;&lt;xs:annotation&gt;&lt;xs:documentation&gt;Typically ABNT_C2 for keyboard type 4, different values for different keyboard types&lt;/xs:documentation&gt;&lt;xs:appinfo&gt;&lt;default-vk&gt;</v>
      </c>
      <c r="AF128" s="15" t="str">
        <f>IF(D128&lt;&gt;"","&lt;vk kbd="""&amp;D$1&amp;""" vk="""&amp;D128&amp;""""&amp;IF(Scan2VKFlags!B128&lt;&gt;""," flags="""&amp;Scan2VKFlags!B128&amp;"""","")&amp;"/&gt;","")</f>
        <v>&lt;vk kbd="1" vk="ABNT_C2"/&gt;</v>
      </c>
      <c r="AG128" s="15" t="str">
        <f>IF(E128&lt;&gt;"","&lt;vk kbd="""&amp;E$1&amp;""" vk="""&amp;E128&amp;""""&amp;IF(Scan2VKFlags!C128&lt;&gt;""," flags="""&amp;Scan2VKFlags!C128&amp;"""","")&amp;"/&gt;","")</f>
        <v>&lt;vk kbd="2" vk="ABNT_C2"/&gt;</v>
      </c>
      <c r="AH128" s="15" t="str">
        <f>IF(F128&lt;&gt;"","&lt;vk kbd="""&amp;F$1&amp;""" vk="""&amp;F128&amp;""""&amp;IF(Scan2VKFlags!D128&lt;&gt;""," flags="""&amp;Scan2VKFlags!D128&amp;"""","")&amp;"/&gt;","")</f>
        <v>&lt;vk kbd="3" vk="ABNT_C2"/&gt;</v>
      </c>
      <c r="AI128" s="15" t="str">
        <f>IF(G128&lt;&gt;"","&lt;vk kbd="""&amp;G$1&amp;""" vk="""&amp;G128&amp;""""&amp;IF(Scan2VKFlags!E128&lt;&gt;""," flags="""&amp;Scan2VKFlags!E128&amp;"""","")&amp;"/&gt;","")</f>
        <v>&lt;vk kbd="4" vk="ABNT_C2"/&gt;</v>
      </c>
      <c r="AJ128" s="15" t="str">
        <f>IF(H128&lt;&gt;"","&lt;vk kbd="""&amp;H$1&amp;""" vk="""&amp;H128&amp;""""&amp;IF(Scan2VKFlags!F128&lt;&gt;""," flags="""&amp;Scan2VKFlags!F128&amp;"""","")&amp;"/&gt;","")</f>
        <v>&lt;vk kbd="5" vk="ABNT_C2"/&gt;</v>
      </c>
      <c r="AK128" s="16" t="str">
        <f>IF(I128&lt;&gt;"","&lt;vk kbd="""&amp;I$1&amp;""" vk="""&amp;I128&amp;""""&amp;IF(Scan2VKFlags!G128&lt;&gt;""," flags="""&amp;Scan2VKFlags!G128&amp;"""","")&amp;"/&gt;","")</f>
        <v>&lt;vk kbd="6" vk="ABNT_C2"/&gt;</v>
      </c>
      <c r="AL128" s="3" t="str">
        <f>IF(K128&lt;&gt;"","&lt;vk kbd="""&amp;K$1&amp;""" vk="""&amp;K128&amp;""""&amp;IF(Scan2VKFlags!H128&lt;&gt;""," flags="""&amp;Scan2VKFlags!H128&amp;"""","")&amp;"/&gt;","")</f>
        <v>&lt;vk kbd="7" vk="ABNT_C2"/&gt;</v>
      </c>
      <c r="AM128" t="str">
        <f>IF(L128&lt;&gt;"","&lt;vk kbd="""&amp;L$1&amp;""" vk="""&amp;L128&amp;""""&amp;IF(Scan2VKFlags!I128&lt;&gt;""," flags="""&amp;Scan2VKFlags!I128&amp;"""","")&amp;"/&gt;","")</f>
        <v>&lt;vk kbd="8" vk="ABNT_C2"/&gt;</v>
      </c>
      <c r="AN128" t="str">
        <f>IF(M128&lt;&gt;"","&lt;vk kbd="""&amp;M$1&amp;""" vk="""&amp;M128&amp;""""&amp;IF(Scan2VKFlags!J128&lt;&gt;""," flags="""&amp;Scan2VKFlags!J128&amp;"""","")&amp;"/&gt;","")</f>
        <v>&lt;vk kbd="16" vk="ABNT_C2"/&gt;</v>
      </c>
      <c r="AO128" t="str">
        <f>IF(N128&lt;&gt;"","&lt;vk kbd="""&amp;N$1&amp;""" vk="""&amp;N128&amp;""""&amp;IF(Scan2VKFlags!K128&lt;&gt;""," flags="""&amp;Scan2VKFlags!K128&amp;"""","")&amp;"/&gt;","")</f>
        <v>&lt;vk kbd="10" vk="ABNT_C2"/&gt;</v>
      </c>
      <c r="AP128" t="str">
        <f>IF(O128&lt;&gt;"","&lt;vk kbd="""&amp;O$1&amp;""" vk="""&amp;O128&amp;""""&amp;IF(Scan2VKFlags!L128&lt;&gt;""," flags="""&amp;Scan2VKFlags!L128&amp;"""","")&amp;"/&gt;","")</f>
        <v>&lt;vk kbd="11" vk="ABNT_C2"/&gt;</v>
      </c>
      <c r="AQ128" t="str">
        <f>IF(P128&lt;&gt;"","&lt;vk kbd="""&amp;P$1&amp;""" vk="""&amp;P128&amp;""""&amp;IF(Scan2VKFlags!M128&lt;&gt;""," flags="""&amp;Scan2VKFlags!M128&amp;"""","")&amp;"/&gt;","")</f>
        <v>&lt;vk kbd="12" vk="ABNT_C2"/&gt;</v>
      </c>
      <c r="AR128" s="16" t="str">
        <f>IF(Q128&lt;&gt;"","&lt;vk kbd="""&amp;Q$1&amp;""" vk="""&amp;Q128&amp;""""&amp;IF(Scan2VKFlags!N128&lt;&gt;""," flags="""&amp;Scan2VKFlags!N128&amp;"""","")&amp;"/&gt;","")</f>
        <v>&lt;vk kbd="13" vk="ABNT_C2"/&gt;</v>
      </c>
      <c r="AS128" s="3" t="str">
        <f>IF(S128&lt;&gt;"","&lt;vk kbd="""&amp;S$1&amp;""" vk="""&amp;S128&amp;""""&amp;IF(Scan2VKFlags!O128&lt;&gt;""," flags="""&amp;Scan2VKFlags!O128&amp;"""","")&amp;"/&gt;","")</f>
        <v>&lt;vk kbd="20" vk="_none_"/&gt;</v>
      </c>
      <c r="AT128" t="str">
        <f>IF(T128&lt;&gt;"","&lt;vk kbd="""&amp;T$1&amp;""" vk="""&amp;T128&amp;""""&amp;IF(Scan2VKFlags!P128&lt;&gt;""," flags="""&amp;Scan2VKFlags!P128&amp;"""","")&amp;"/&gt;","")</f>
        <v>&lt;vk kbd="21" vk="_none_"/&gt;</v>
      </c>
      <c r="AU128" s="16" t="str">
        <f>IF(U128&lt;&gt;"","&lt;vk kbd="""&amp;U$1&amp;""" vk="""&amp;U128&amp;""""&amp;IF(Scan2VKFlags!Q128&lt;&gt;""," flags="""&amp;Scan2VKFlags!Q128&amp;"""","")&amp;"/&gt;","")</f>
        <v>&lt;vk kbd="22" vk="ABNT_C2"/&gt;</v>
      </c>
      <c r="AV128" s="3" t="str">
        <f>IF(W128&lt;&gt;"","&lt;vk kbd="""&amp;W$1&amp;""" vk="""&amp;W128&amp;""""&amp;IF(Scan2VKFlags!R128&lt;&gt;""," flags="""&amp;Scan2VKFlags!R128&amp;"""","")&amp;"/&gt;","")</f>
        <v>&lt;vk kbd="30" vk="ABNT_C2"/&gt;</v>
      </c>
      <c r="AW128" s="15" t="str">
        <f>IF(X128&lt;&gt;"","&lt;vk kbd="""&amp;X$1&amp;""" vk="""&amp;X128&amp;""""&amp;IF(Scan2VKFlags!S128&lt;&gt;""," flags="""&amp;Scan2VKFlags!S128&amp;"""","")&amp;"/&gt;","")</f>
        <v>&lt;vk kbd="33" vk="ABNT_C2"/&gt;</v>
      </c>
      <c r="AX128" s="15" t="str">
        <f>IF(Y128&lt;&gt;"","&lt;vk kbd="""&amp;Y$1&amp;""" vk="""&amp;Y128&amp;""""&amp;IF(Scan2VKFlags!T128&lt;&gt;""," flags="""&amp;Scan2VKFlags!T128&amp;"""","")&amp;"/&gt;","")</f>
        <v>&lt;vk kbd="34" vk="_none_"/&gt;</v>
      </c>
      <c r="AY128" s="18" t="str">
        <f>IF(AA128&lt;&gt;"","&lt;vk kbd="""&amp;AA$1&amp;""" vk="""&amp;AA128&amp;""""&amp;IF(Scan2VKFlags!U128&lt;&gt;""," flags="""&amp;Scan2VKFlags!U128&amp;"""","")&amp;"/&gt;","")</f>
        <v>&lt;vk kbd="37" vk="ABNT_C2"/&gt;</v>
      </c>
      <c r="AZ128" s="3" t="str">
        <f>IF(AC128&lt;&gt;"","&lt;vk kbd="""&amp;AC$1&amp;""" vk="""&amp;AC128&amp;""""&amp;IF(Scan2VKFlags!V128&lt;&gt;""," flags="""&amp;Scan2VKFlags!V128&amp;"""","")&amp;"/&gt;","")</f>
        <v>&lt;vk kbd="40" vk="_none_"/&gt;</v>
      </c>
      <c r="BA128" s="16" t="str">
        <f>IF(AD128&lt;&gt;"","&lt;vk kbd="""&amp;AD$1&amp;""" vk="""&amp;AD128&amp;""""&amp;IF(Scan2VKFlags!W128&lt;&gt;""," flags="""&amp;Scan2VKFlags!W128&amp;"""","")&amp;"/&gt;","")</f>
        <v>&lt;vk kbd="41" vk="_none_"/&gt;</v>
      </c>
      <c r="BB128" t="s">
        <v>854</v>
      </c>
    </row>
    <row r="129" spans="1:54" s="15" customFormat="1" ht="15.75" thickBot="1" x14ac:dyDescent="0.3">
      <c r="A129" s="15">
        <f t="shared" si="11"/>
        <v>127</v>
      </c>
      <c r="B129" s="15" t="str">
        <f t="shared" si="8"/>
        <v>T7F</v>
      </c>
      <c r="C129" s="7" t="s">
        <v>113</v>
      </c>
      <c r="D129" s="44" t="str">
        <f>trimtext(SplitText($C129,",",0))</f>
        <v>OEM_PA2</v>
      </c>
      <c r="E129" s="44" t="str">
        <f>IF(SplitText($C129,",",COLUMN(E:E)-COLUMN($D:$D))="",$D129,trimtext(SplitText($C129,",",COLUMN(E:E)-COLUMN($D:$D))))</f>
        <v>OEM_PA2</v>
      </c>
      <c r="F129" s="44" t="str">
        <f>IF(SplitText($C129,",",COLUMN(F:F)-COLUMN($D:$D))="",$D129,trimtext(SplitText($C129,",",COLUMN(F:F)-COLUMN($D:$D))))</f>
        <v>OEM_PA2</v>
      </c>
      <c r="G129" s="44" t="str">
        <f>IF(SplitText($C129,",",COLUMN(G:G)-COLUMN($D:$D))="",$D129,trimtext(SplitText($C129,",",COLUMN(G:G)-COLUMN($D:$D))))</f>
        <v>OEM_PA2</v>
      </c>
      <c r="H129" s="44" t="str">
        <f>IF(SplitText($C129,",",COLUMN(H:H)-COLUMN($D:$D))="",$D129,trimtext(SplitText($C129,",",COLUMN(H:H)-COLUMN($D:$D))))</f>
        <v>OEM_PA2</v>
      </c>
      <c r="I129" s="44" t="str">
        <f>IF(SplitText($C129,",",COLUMN(I:I)-COLUMN($D:$D))="",$D129,trimtext(SplitText($C129,",",COLUMN(I:I)-COLUMN($D:$D))))</f>
        <v>OEM_PA2</v>
      </c>
      <c r="J129" s="9" t="s">
        <v>302</v>
      </c>
      <c r="K129" s="44" t="str">
        <f>trimtext(SplitText($J129,",",0))</f>
        <v>OEM_PA2</v>
      </c>
      <c r="L129" s="44" t="str">
        <f>IF(SplitText($J129,",",COLUMN(L:L)-COLUMN($K:$K))="",$K129,trimtext(SplitText($J129,",",COLUMN(L:L)-COLUMN($K:$K))))</f>
        <v>OEM_PA2</v>
      </c>
      <c r="M129" s="44" t="str">
        <f>IF(SplitText($J129,",",COLUMN(M:M)-COLUMN($K:$K))="",$K129,trimtext(SplitText($J129,",",COLUMN(M:M)-COLUMN($K:$K))))</f>
        <v>OEM_PA2</v>
      </c>
      <c r="N129" s="44" t="str">
        <f>IF(SplitText($J129,",",COLUMN(N:N)-COLUMN($K:$K))="",$K129,trimtext(SplitText($J129,",",COLUMN(N:N)-COLUMN($K:$K))))</f>
        <v>OEM_PA2</v>
      </c>
      <c r="O129" s="44" t="str">
        <f>IF(SplitText($J129,",",COLUMN(O:O)-COLUMN($K:$K))="",$K129,trimtext(SplitText($J129,",",COLUMN(O:O)-COLUMN($K:$K))))</f>
        <v>OEM_PA2</v>
      </c>
      <c r="P129" s="44" t="str">
        <f>IF(SplitText($J129,",",COLUMN(P:P)-COLUMN($K:$K))="",$K129,trimtext(SplitText($J129,",",COLUMN(P:P)-COLUMN($K:$K))))</f>
        <v>OEM_PA2</v>
      </c>
      <c r="Q129" s="44" t="str">
        <f>IF(SplitText($J129,",",COLUMN(Q:Q)-COLUMN($K:$K))="",$K129,trimtext(SplitText($J129,",",COLUMN(Q:Q)-COLUMN($K:$K))))</f>
        <v>OEM_PA2</v>
      </c>
      <c r="R129" s="2" t="s">
        <v>468</v>
      </c>
      <c r="S129" s="44" t="str">
        <f>trimtext(SplitText($R129,",",0))</f>
        <v>_none_</v>
      </c>
      <c r="T129" s="44" t="str">
        <f>IF(SplitText($R129,",",COLUMN(T:T)-COLUMN($S:$S))="",$S129,trimtext(SplitText($R129,",",COLUMN(T:T)-COLUMN($S:$S))))</f>
        <v>_none_</v>
      </c>
      <c r="U129" s="44" t="str">
        <f>IF(SplitText($R129,",",COLUMN(U:U)-COLUMN($S:$S))="",$S129,trimtext(SplitText($R129,",",COLUMN(U:U)-COLUMN($S:$S))))</f>
        <v>OEM_PA2</v>
      </c>
      <c r="V129" s="2" t="s">
        <v>622</v>
      </c>
      <c r="W129" s="12" t="str">
        <f>trimtext(SplitText($V129,",",0))</f>
        <v>OEM_PA2</v>
      </c>
      <c r="X129" s="12" t="str">
        <f>IF(SplitText($V129,",",COLUMN(X:X)-COLUMN($W:$W))="",$W129,trimtext(SplitText($V129,",",COLUMN(X:X)-COLUMN($W:$W))))</f>
        <v>OEM_PA2</v>
      </c>
      <c r="Y129" s="12" t="str">
        <f>IF(SplitText($V129,",",COLUMN(Y:Y)-COLUMN($W:$W))="",$W129,trimtext(SplitText($V129,",",COLUMN(Y:Y)-COLUMN($W:$W))))</f>
        <v>_none_</v>
      </c>
      <c r="Z129" s="2" t="s">
        <v>741</v>
      </c>
      <c r="AA129" s="12" t="str">
        <f t="shared" si="9"/>
        <v>OEM_PA2</v>
      </c>
      <c r="AB129" s="2" t="s">
        <v>743</v>
      </c>
      <c r="AC129" s="12" t="str">
        <f>trimtext(SplitText($AB129,",",0))</f>
        <v>_none_</v>
      </c>
      <c r="AD129" s="12" t="str">
        <f>IF(SplitText($AB129,",",COLUMN(AD:AD)-COLUMN($AC:$AC))="",$AC129,trimtext(SplitText($AB129,",",COLUMN(AD:AD)-COLUMN($AC:$AC))))</f>
        <v>_none_</v>
      </c>
      <c r="AE129" s="18" t="str">
        <f t="shared" si="10"/>
        <v>&lt;xs:enumeration value="T7F"&gt;&lt;xs:annotation&gt;&lt;xs:documentation&gt;Typically OEM_PA2 for keyboard type 4, different values for different keyboard types&lt;/xs:documentation&gt;&lt;xs:appinfo&gt;&lt;default-vk&gt;</v>
      </c>
      <c r="AF129" s="15" t="str">
        <f>IF(D129&lt;&gt;"","&lt;vk kbd="""&amp;D$1&amp;""" vk="""&amp;D129&amp;""""&amp;IF(Scan2VKFlags!B129&lt;&gt;""," flags="""&amp;Scan2VKFlags!B129&amp;"""","")&amp;"/&gt;","")</f>
        <v>&lt;vk kbd="1" vk="OEM_PA2"/&gt;</v>
      </c>
      <c r="AG129" s="15" t="str">
        <f>IF(E129&lt;&gt;"","&lt;vk kbd="""&amp;E$1&amp;""" vk="""&amp;E129&amp;""""&amp;IF(Scan2VKFlags!C129&lt;&gt;""," flags="""&amp;Scan2VKFlags!C129&amp;"""","")&amp;"/&gt;","")</f>
        <v>&lt;vk kbd="2" vk="OEM_PA2"/&gt;</v>
      </c>
      <c r="AH129" s="15" t="str">
        <f>IF(F129&lt;&gt;"","&lt;vk kbd="""&amp;F$1&amp;""" vk="""&amp;F129&amp;""""&amp;IF(Scan2VKFlags!D129&lt;&gt;""," flags="""&amp;Scan2VKFlags!D129&amp;"""","")&amp;"/&gt;","")</f>
        <v>&lt;vk kbd="3" vk="OEM_PA2"/&gt;</v>
      </c>
      <c r="AI129" s="15" t="str">
        <f>IF(G129&lt;&gt;"","&lt;vk kbd="""&amp;G$1&amp;""" vk="""&amp;G129&amp;""""&amp;IF(Scan2VKFlags!E129&lt;&gt;""," flags="""&amp;Scan2VKFlags!E129&amp;"""","")&amp;"/&gt;","")</f>
        <v>&lt;vk kbd="4" vk="OEM_PA2"/&gt;</v>
      </c>
      <c r="AJ129" s="15" t="str">
        <f>IF(H129&lt;&gt;"","&lt;vk kbd="""&amp;H$1&amp;""" vk="""&amp;H129&amp;""""&amp;IF(Scan2VKFlags!F129&lt;&gt;""," flags="""&amp;Scan2VKFlags!F129&amp;"""","")&amp;"/&gt;","")</f>
        <v>&lt;vk kbd="5" vk="OEM_PA2"/&gt;</v>
      </c>
      <c r="AK129" s="16" t="str">
        <f>IF(I129&lt;&gt;"","&lt;vk kbd="""&amp;I$1&amp;""" vk="""&amp;I129&amp;""""&amp;IF(Scan2VKFlags!G129&lt;&gt;""," flags="""&amp;Scan2VKFlags!G129&amp;"""","")&amp;"/&gt;","")</f>
        <v>&lt;vk kbd="6" vk="OEM_PA2"/&gt;</v>
      </c>
      <c r="AL129" s="3" t="str">
        <f>IF(K129&lt;&gt;"","&lt;vk kbd="""&amp;K$1&amp;""" vk="""&amp;K129&amp;""""&amp;IF(Scan2VKFlags!H129&lt;&gt;""," flags="""&amp;Scan2VKFlags!H129&amp;"""","")&amp;"/&gt;","")</f>
        <v>&lt;vk kbd="7" vk="OEM_PA2"/&gt;</v>
      </c>
      <c r="AM129" s="15" t="str">
        <f>IF(L129&lt;&gt;"","&lt;vk kbd="""&amp;L$1&amp;""" vk="""&amp;L129&amp;""""&amp;IF(Scan2VKFlags!I129&lt;&gt;""," flags="""&amp;Scan2VKFlags!I129&amp;"""","")&amp;"/&gt;","")</f>
        <v>&lt;vk kbd="8" vk="OEM_PA2"/&gt;</v>
      </c>
      <c r="AN129" s="15" t="str">
        <f>IF(M129&lt;&gt;"","&lt;vk kbd="""&amp;M$1&amp;""" vk="""&amp;M129&amp;""""&amp;IF(Scan2VKFlags!J129&lt;&gt;""," flags="""&amp;Scan2VKFlags!J129&amp;"""","")&amp;"/&gt;","")</f>
        <v>&lt;vk kbd="16" vk="OEM_PA2"/&gt;</v>
      </c>
      <c r="AO129" s="15" t="str">
        <f>IF(N129&lt;&gt;"","&lt;vk kbd="""&amp;N$1&amp;""" vk="""&amp;N129&amp;""""&amp;IF(Scan2VKFlags!K129&lt;&gt;""," flags="""&amp;Scan2VKFlags!K129&amp;"""","")&amp;"/&gt;","")</f>
        <v>&lt;vk kbd="10" vk="OEM_PA2"/&gt;</v>
      </c>
      <c r="AP129" s="15" t="str">
        <f>IF(O129&lt;&gt;"","&lt;vk kbd="""&amp;O$1&amp;""" vk="""&amp;O129&amp;""""&amp;IF(Scan2VKFlags!L129&lt;&gt;""," flags="""&amp;Scan2VKFlags!L129&amp;"""","")&amp;"/&gt;","")</f>
        <v>&lt;vk kbd="11" vk="OEM_PA2"/&gt;</v>
      </c>
      <c r="AQ129" s="15" t="str">
        <f>IF(P129&lt;&gt;"","&lt;vk kbd="""&amp;P$1&amp;""" vk="""&amp;P129&amp;""""&amp;IF(Scan2VKFlags!M129&lt;&gt;""," flags="""&amp;Scan2VKFlags!M129&amp;"""","")&amp;"/&gt;","")</f>
        <v>&lt;vk kbd="12" vk="OEM_PA2"/&gt;</v>
      </c>
      <c r="AR129" s="16" t="str">
        <f>IF(Q129&lt;&gt;"","&lt;vk kbd="""&amp;Q$1&amp;""" vk="""&amp;Q129&amp;""""&amp;IF(Scan2VKFlags!N129&lt;&gt;""," flags="""&amp;Scan2VKFlags!N129&amp;"""","")&amp;"/&gt;","")</f>
        <v>&lt;vk kbd="13" vk="OEM_PA2"/&gt;</v>
      </c>
      <c r="AS129" s="3" t="str">
        <f>IF(S129&lt;&gt;"","&lt;vk kbd="""&amp;S$1&amp;""" vk="""&amp;S129&amp;""""&amp;IF(Scan2VKFlags!O129&lt;&gt;""," flags="""&amp;Scan2VKFlags!O129&amp;"""","")&amp;"/&gt;","")</f>
        <v>&lt;vk kbd="20" vk="_none_"/&gt;</v>
      </c>
      <c r="AT129" s="15" t="str">
        <f>IF(T129&lt;&gt;"","&lt;vk kbd="""&amp;T$1&amp;""" vk="""&amp;T129&amp;""""&amp;IF(Scan2VKFlags!P129&lt;&gt;""," flags="""&amp;Scan2VKFlags!P129&amp;"""","")&amp;"/&gt;","")</f>
        <v>&lt;vk kbd="21" vk="_none_"/&gt;</v>
      </c>
      <c r="AU129" s="16" t="str">
        <f>IF(U129&lt;&gt;"","&lt;vk kbd="""&amp;U$1&amp;""" vk="""&amp;U129&amp;""""&amp;IF(Scan2VKFlags!Q129&lt;&gt;""," flags="""&amp;Scan2VKFlags!Q129&amp;"""","")&amp;"/&gt;","")</f>
        <v>&lt;vk kbd="22" vk="OEM_PA2"/&gt;</v>
      </c>
      <c r="AV129" s="3" t="str">
        <f>IF(W129&lt;&gt;"","&lt;vk kbd="""&amp;W$1&amp;""" vk="""&amp;W129&amp;""""&amp;IF(Scan2VKFlags!R129&lt;&gt;""," flags="""&amp;Scan2VKFlags!R129&amp;"""","")&amp;"/&gt;","")</f>
        <v>&lt;vk kbd="30" vk="OEM_PA2"/&gt;</v>
      </c>
      <c r="AW129" s="15" t="str">
        <f>IF(X129&lt;&gt;"","&lt;vk kbd="""&amp;X$1&amp;""" vk="""&amp;X129&amp;""""&amp;IF(Scan2VKFlags!S129&lt;&gt;""," flags="""&amp;Scan2VKFlags!S129&amp;"""","")&amp;"/&gt;","")</f>
        <v>&lt;vk kbd="33" vk="OEM_PA2"/&gt;</v>
      </c>
      <c r="AX129" s="15" t="str">
        <f>IF(Y129&lt;&gt;"","&lt;vk kbd="""&amp;Y$1&amp;""" vk="""&amp;Y129&amp;""""&amp;IF(Scan2VKFlags!T129&lt;&gt;""," flags="""&amp;Scan2VKFlags!T129&amp;"""","")&amp;"/&gt;","")</f>
        <v>&lt;vk kbd="34" vk="_none_"/&gt;</v>
      </c>
      <c r="AY129" s="18" t="str">
        <f>IF(AA129&lt;&gt;"","&lt;vk kbd="""&amp;AA$1&amp;""" vk="""&amp;AA129&amp;""""&amp;IF(Scan2VKFlags!U129&lt;&gt;""," flags="""&amp;Scan2VKFlags!U129&amp;"""","")&amp;"/&gt;","")</f>
        <v>&lt;vk kbd="37" vk="OEM_PA2"/&gt;</v>
      </c>
      <c r="AZ129" s="3" t="str">
        <f>IF(AC129&lt;&gt;"","&lt;vk kbd="""&amp;AC$1&amp;""" vk="""&amp;AC129&amp;""""&amp;IF(Scan2VKFlags!V129&lt;&gt;""," flags="""&amp;Scan2VKFlags!V129&amp;"""","")&amp;"/&gt;","")</f>
        <v>&lt;vk kbd="40" vk="_none_"/&gt;</v>
      </c>
      <c r="BA129" s="16" t="str">
        <f>IF(AD129&lt;&gt;"","&lt;vk kbd="""&amp;AD$1&amp;""" vk="""&amp;AD129&amp;""""&amp;IF(Scan2VKFlags!W129&lt;&gt;""," flags="""&amp;Scan2VKFlags!W129&amp;"""","")&amp;"/&gt;","")</f>
        <v>&lt;vk kbd="41" vk="_none_"/&gt;</v>
      </c>
      <c r="BB129" t="s">
        <v>854</v>
      </c>
    </row>
    <row r="130" spans="1:54" s="40" customFormat="1" ht="15.75" thickTop="1" x14ac:dyDescent="0.25">
      <c r="B130" s="40" t="s">
        <v>835</v>
      </c>
      <c r="C130" s="50"/>
      <c r="D130" s="43" t="str">
        <f>trimtext(SplitText($C130,",",0))</f>
        <v/>
      </c>
      <c r="E130" s="43" t="str">
        <f>IF(SplitText($C130,",",COLUMN(E:E)-COLUMN($D:$D))="",$D130,trimtext(SplitText($C130,",",COLUMN(E:E)-COLUMN($D:$D))))</f>
        <v/>
      </c>
      <c r="F130" s="43" t="str">
        <f>IF(SplitText($C130,",",COLUMN(F:F)-COLUMN($D:$D))="",$D130,trimtext(SplitText($C130,",",COLUMN(F:F)-COLUMN($D:$D))))</f>
        <v/>
      </c>
      <c r="G130" s="43" t="str">
        <f>IF(SplitText($C130,",",COLUMN(G:G)-COLUMN($D:$D))="",$D130,trimtext(SplitText($C130,",",COLUMN(G:G)-COLUMN($D:$D))))</f>
        <v/>
      </c>
      <c r="H130" s="43" t="str">
        <f>IF(SplitText($C130,",",COLUMN(H:H)-COLUMN($D:$D))="",$D130,trimtext(SplitText($C130,",",COLUMN(H:H)-COLUMN($D:$D))))</f>
        <v/>
      </c>
      <c r="I130" s="43" t="str">
        <f>IF(SplitText($C130,",",COLUMN(I:I)-COLUMN($D:$D))="",$D130,trimtext(SplitText($C130,",",COLUMN(I:I)-COLUMN($D:$D))))</f>
        <v/>
      </c>
      <c r="J130" s="11"/>
      <c r="K130" s="43" t="str">
        <f>trimtext(SplitText($J130,",",0))</f>
        <v/>
      </c>
      <c r="L130" s="43" t="str">
        <f>IF(SplitText($J130,",",COLUMN(L:L)-COLUMN($K:$K))="",$K130,trimtext(SplitText($J130,",",COLUMN(L:L)-COLUMN($K:$K))))</f>
        <v/>
      </c>
      <c r="M130" s="43" t="str">
        <f>IF(SplitText($J130,",",COLUMN(M:M)-COLUMN($K:$K))="",$K130,trimtext(SplitText($J130,",",COLUMN(M:M)-COLUMN($K:$K))))</f>
        <v/>
      </c>
      <c r="N130" s="43" t="str">
        <f>IF(SplitText($J130,",",COLUMN(N:N)-COLUMN($K:$K))="",$K130,trimtext(SplitText($J130,",",COLUMN(N:N)-COLUMN($K:$K))))</f>
        <v/>
      </c>
      <c r="O130" s="43" t="str">
        <f>IF(SplitText($J130,",",COLUMN(O:O)-COLUMN($K:$K))="",$K130,trimtext(SplitText($J130,",",COLUMN(O:O)-COLUMN($K:$K))))</f>
        <v/>
      </c>
      <c r="P130" s="43" t="str">
        <f>IF(SplitText($J130,",",COLUMN(P:P)-COLUMN($K:$K))="",$K130,trimtext(SplitText($J130,",",COLUMN(P:P)-COLUMN($K:$K))))</f>
        <v/>
      </c>
      <c r="Q130" s="43" t="str">
        <f>IF(SplitText($J130,",",COLUMN(Q:Q)-COLUMN($K:$K))="",$K130,trimtext(SplitText($J130,",",COLUMN(Q:Q)-COLUMN($K:$K))))</f>
        <v/>
      </c>
      <c r="R130" s="6"/>
      <c r="S130" s="43" t="str">
        <f>trimtext(SplitText($R130,",",0))</f>
        <v/>
      </c>
      <c r="T130" s="43" t="str">
        <f>IF(SplitText($R130,",",COLUMN(T:T)-COLUMN($S:$S))="",$S130,trimtext(SplitText($R130,",",COLUMN(T:T)-COLUMN($S:$S))))</f>
        <v/>
      </c>
      <c r="U130" s="43" t="str">
        <f>IF(SplitText($R130,",",COLUMN(U:U)-COLUMN($S:$S))="",$S130,trimtext(SplitText($R130,",",COLUMN(U:U)-COLUMN($S:$S))))</f>
        <v/>
      </c>
      <c r="V130" s="6"/>
      <c r="W130" s="43" t="str">
        <f>trimtext(SplitText($V130,",",0))</f>
        <v/>
      </c>
      <c r="X130" s="43" t="str">
        <f>IF(SplitText($V130,",",COLUMN(X:X)-COLUMN($W:$W))="",$W130,trimtext(SplitText($V130,",",COLUMN(X:X)-COLUMN($W:$W))))</f>
        <v/>
      </c>
      <c r="Y130" s="43" t="str">
        <f>IF(SplitText($V130,",",COLUMN(Y:Y)-COLUMN($W:$W))="",$W130,trimtext(SplitText($V130,",",COLUMN(Y:Y)-COLUMN($W:$W))))</f>
        <v/>
      </c>
      <c r="Z130" s="6"/>
      <c r="AA130" s="43" t="str">
        <f t="shared" si="9"/>
        <v/>
      </c>
      <c r="AB130" s="6" t="s">
        <v>836</v>
      </c>
      <c r="AC130" s="43" t="str">
        <f>trimtext(SplitText($AB130,",",0))</f>
        <v>KANA</v>
      </c>
      <c r="AD130" s="43" t="str">
        <f>IF(SplitText($AB130,",",COLUMN(AD:AD)-COLUMN($AC:$AC))="",$AC130,trimtext(SplitText($AB130,",",COLUMN(AD:AD)-COLUMN($AC:$AC))))</f>
        <v>KANA</v>
      </c>
      <c r="AE130" s="51" t="str">
        <f>"&lt;xs:enumeration value="""&amp;B130&amp;"""&gt;&lt;xs:annotation&gt;&lt;xs:documentation&gt;Typically "&amp;IF(E130="",D130,G130&amp;" for keyboard type 4, different values for different keyboard types")&amp;"&lt;/xs:documentation&gt;&lt;xs:appinfo&gt;&lt;default-vk&gt;"</f>
        <v>&lt;xs:enumeration value="X0F"&gt;&lt;xs:annotation&gt;&lt;xs:documentation&gt;Typically &lt;/xs:documentation&gt;&lt;xs:appinfo&gt;&lt;default-vk&gt;</v>
      </c>
      <c r="AF130" s="40" t="str">
        <f>IF(D130&lt;&gt;"","&lt;vk kbd="""&amp;D$1&amp;""" vk="""&amp;D130&amp;""""&amp;IF(Scan2VKFlags!B130&lt;&gt;""," flags="""&amp;Scan2VKFlags!B130&amp;"""","")&amp;"/&gt;","")</f>
        <v/>
      </c>
      <c r="AG130" s="40" t="str">
        <f>IF(E130&lt;&gt;"","&lt;vk kbd="""&amp;E$1&amp;""" vk="""&amp;E130&amp;""""&amp;IF(Scan2VKFlags!C130&lt;&gt;""," flags="""&amp;Scan2VKFlags!C130&amp;"""","")&amp;"/&gt;","")</f>
        <v/>
      </c>
      <c r="AH130" s="40" t="str">
        <f>IF(F130&lt;&gt;"","&lt;vk kbd="""&amp;F$1&amp;""" vk="""&amp;F130&amp;""""&amp;IF(Scan2VKFlags!D130&lt;&gt;""," flags="""&amp;Scan2VKFlags!D130&amp;"""","")&amp;"/&gt;","")</f>
        <v/>
      </c>
      <c r="AI130" s="40" t="str">
        <f>IF(G130&lt;&gt;"","&lt;vk kbd="""&amp;G$1&amp;""" vk="""&amp;G130&amp;""""&amp;IF(Scan2VKFlags!E130&lt;&gt;""," flags="""&amp;Scan2VKFlags!E130&amp;"""","")&amp;"/&gt;","")</f>
        <v/>
      </c>
      <c r="AJ130" s="40" t="str">
        <f>IF(H130&lt;&gt;"","&lt;vk kbd="""&amp;H$1&amp;""" vk="""&amp;H130&amp;""""&amp;IF(Scan2VKFlags!F130&lt;&gt;""," flags="""&amp;Scan2VKFlags!F130&amp;"""","")&amp;"/&gt;","")</f>
        <v/>
      </c>
      <c r="AK130" s="41" t="str">
        <f>IF(I130&lt;&gt;"","&lt;vk kbd="""&amp;I$1&amp;""" vk="""&amp;I130&amp;""""&amp;IF(Scan2VKFlags!G130&lt;&gt;""," flags="""&amp;Scan2VKFlags!G130&amp;"""","")&amp;"/&gt;","")</f>
        <v/>
      </c>
      <c r="AL130" s="39" t="str">
        <f>IF(K130&lt;&gt;"","&lt;vk kbd="""&amp;K$1&amp;""" vk="""&amp;K130&amp;""""&amp;IF(Scan2VKFlags!H130&lt;&gt;""," flags="""&amp;Scan2VKFlags!H130&amp;"""","")&amp;"/&gt;","")</f>
        <v/>
      </c>
      <c r="AM130" s="40" t="str">
        <f>IF(L130&lt;&gt;"","&lt;vk kbd="""&amp;L$1&amp;""" vk="""&amp;L130&amp;""""&amp;IF(Scan2VKFlags!I130&lt;&gt;""," flags="""&amp;Scan2VKFlags!I130&amp;"""","")&amp;"/&gt;","")</f>
        <v/>
      </c>
      <c r="AN130" s="40" t="str">
        <f>IF(M130&lt;&gt;"","&lt;vk kbd="""&amp;M$1&amp;""" vk="""&amp;M130&amp;""""&amp;IF(Scan2VKFlags!J130&lt;&gt;""," flags="""&amp;Scan2VKFlags!J130&amp;"""","")&amp;"/&gt;","")</f>
        <v/>
      </c>
      <c r="AO130" s="40" t="str">
        <f>IF(N130&lt;&gt;"","&lt;vk kbd="""&amp;N$1&amp;""" vk="""&amp;N130&amp;""""&amp;IF(Scan2VKFlags!K130&lt;&gt;""," flags="""&amp;Scan2VKFlags!K130&amp;"""","")&amp;"/&gt;","")</f>
        <v/>
      </c>
      <c r="AP130" s="40" t="str">
        <f>IF(O130&lt;&gt;"","&lt;vk kbd="""&amp;O$1&amp;""" vk="""&amp;O130&amp;""""&amp;IF(Scan2VKFlags!L130&lt;&gt;""," flags="""&amp;Scan2VKFlags!L130&amp;"""","")&amp;"/&gt;","")</f>
        <v/>
      </c>
      <c r="AQ130" s="40" t="str">
        <f>IF(P130&lt;&gt;"","&lt;vk kbd="""&amp;P$1&amp;""" vk="""&amp;P130&amp;""""&amp;IF(Scan2VKFlags!M130&lt;&gt;""," flags="""&amp;Scan2VKFlags!M130&amp;"""","")&amp;"/&gt;","")</f>
        <v/>
      </c>
      <c r="AR130" s="41" t="str">
        <f>IF(Q130&lt;&gt;"","&lt;vk kbd="""&amp;Q$1&amp;""" vk="""&amp;Q130&amp;""""&amp;IF(Scan2VKFlags!N130&lt;&gt;""," flags="""&amp;Scan2VKFlags!N130&amp;"""","")&amp;"/&gt;","")</f>
        <v/>
      </c>
      <c r="AS130" s="39" t="str">
        <f>IF(S130&lt;&gt;"","&lt;vk kbd="""&amp;S$1&amp;""" vk="""&amp;S130&amp;""""&amp;IF(Scan2VKFlags!O130&lt;&gt;""," flags="""&amp;Scan2VKFlags!O130&amp;"""","")&amp;"/&gt;","")</f>
        <v/>
      </c>
      <c r="AT130" s="40" t="str">
        <f>IF(T130&lt;&gt;"","&lt;vk kbd="""&amp;T$1&amp;""" vk="""&amp;T130&amp;""""&amp;IF(Scan2VKFlags!P130&lt;&gt;""," flags="""&amp;Scan2VKFlags!P130&amp;"""","")&amp;"/&gt;","")</f>
        <v/>
      </c>
      <c r="AU130" s="41" t="str">
        <f>IF(U130&lt;&gt;"","&lt;vk kbd="""&amp;U$1&amp;""" vk="""&amp;U130&amp;""""&amp;IF(Scan2VKFlags!Q130&lt;&gt;""," flags="""&amp;Scan2VKFlags!Q130&amp;"""","")&amp;"/&gt;","")</f>
        <v/>
      </c>
      <c r="AV130" s="39" t="str">
        <f>IF(W130&lt;&gt;"","&lt;vk kbd="""&amp;W$1&amp;""" vk="""&amp;W130&amp;""""&amp;IF(Scan2VKFlags!R130&lt;&gt;""," flags="""&amp;Scan2VKFlags!R130&amp;"""","")&amp;"/&gt;","")</f>
        <v/>
      </c>
      <c r="AW130" s="40" t="str">
        <f>IF(X130&lt;&gt;"","&lt;vk kbd="""&amp;X$1&amp;""" vk="""&amp;X130&amp;""""&amp;IF(Scan2VKFlags!S130&lt;&gt;""," flags="""&amp;Scan2VKFlags!S130&amp;"""","")&amp;"/&gt;","")</f>
        <v/>
      </c>
      <c r="AX130" s="40" t="str">
        <f>IF(Y130&lt;&gt;"","&lt;vk kbd="""&amp;Y$1&amp;""" vk="""&amp;Y130&amp;""""&amp;IF(Scan2VKFlags!T130&lt;&gt;""," flags="""&amp;Scan2VKFlags!T130&amp;"""","")&amp;"/&gt;","")</f>
        <v/>
      </c>
      <c r="AY130" s="51" t="str">
        <f>IF(AA130&lt;&gt;"","&lt;vk kbd="""&amp;AA$1&amp;""" vk="""&amp;AA130&amp;""""&amp;IF(Scan2VKFlags!U130&lt;&gt;""," flags="""&amp;Scan2VKFlags!U130&amp;"""","")&amp;"/&gt;","")</f>
        <v/>
      </c>
      <c r="AZ130" s="39" t="str">
        <f>IF(AC130&lt;&gt;"","&lt;vk kbd="""&amp;AC$1&amp;""" vk="""&amp;AC130&amp;""""&amp;IF(Scan2VKFlags!V130&lt;&gt;""," flags="""&amp;Scan2VKFlags!V130&amp;"""","")&amp;"/&gt;","")</f>
        <v>&lt;vk kbd="40" vk="KANA"/&gt;</v>
      </c>
      <c r="BA130" s="41" t="str">
        <f>IF(AD130&lt;&gt;"","&lt;vk kbd="""&amp;AD$1&amp;""" vk="""&amp;AD130&amp;""""&amp;IF(Scan2VKFlags!W130&lt;&gt;""," flags="""&amp;Scan2VKFlags!W130&amp;"""","")&amp;"/&gt;","")</f>
        <v>&lt;vk kbd="41" vk="KANA"/&gt;</v>
      </c>
      <c r="BB130" s="40" t="s">
        <v>854</v>
      </c>
    </row>
    <row r="131" spans="1:54" s="15" customFormat="1" x14ac:dyDescent="0.25">
      <c r="B131" s="52" t="s">
        <v>146</v>
      </c>
      <c r="C131" s="7" t="s">
        <v>118</v>
      </c>
      <c r="D131" s="44" t="str">
        <f>trimtext(SplitText($C131,",",0))</f>
        <v>MEDIA_PREV_TRACK</v>
      </c>
      <c r="E131" s="44" t="str">
        <f>IF(SplitText($C131,",",COLUMN(E:E)-COLUMN($D:$D))="",$D131,trimtext(SplitText($C131,",",COLUMN(E:E)-COLUMN($D:$D))))</f>
        <v>MEDIA_PREV_TRACK</v>
      </c>
      <c r="F131" s="44" t="str">
        <f>IF(SplitText($C131,",",COLUMN(F:F)-COLUMN($D:$D))="",$D131,trimtext(SplitText($C131,",",COLUMN(F:F)-COLUMN($D:$D))))</f>
        <v>MEDIA_PREV_TRACK</v>
      </c>
      <c r="G131" s="44" t="str">
        <f>IF(SplitText($C131,",",COLUMN(G:G)-COLUMN($D:$D))="",$D131,trimtext(SplitText($C131,",",COLUMN(G:G)-COLUMN($D:$D))))</f>
        <v>MEDIA_PREV_TRACK</v>
      </c>
      <c r="H131" s="44" t="str">
        <f>IF(SplitText($C131,",",COLUMN(H:H)-COLUMN($D:$D))="",$D131,trimtext(SplitText($C131,",",COLUMN(H:H)-COLUMN($D:$D))))</f>
        <v>MEDIA_PREV_TRACK</v>
      </c>
      <c r="I131" s="44" t="str">
        <f>IF(SplitText($C131,",",COLUMN(I:I)-COLUMN($D:$D))="",$D131,trimtext(SplitText($C131,",",COLUMN(I:I)-COLUMN($D:$D))))</f>
        <v>MEDIA_PREV_TRACK</v>
      </c>
      <c r="J131" s="9" t="s">
        <v>303</v>
      </c>
      <c r="K131" s="44" t="str">
        <f>trimtext(SplitText($J131,",",0))</f>
        <v>MEDIA_PREV_TRACK</v>
      </c>
      <c r="L131" s="44" t="str">
        <f>IF(SplitText($J131,",",COLUMN(L:L)-COLUMN($K:$K))="",$K131,trimtext(SplitText($J131,",",COLUMN(L:L)-COLUMN($K:$K))))</f>
        <v>MEDIA_PREV_TRACK</v>
      </c>
      <c r="M131" s="44" t="str">
        <f>IF(SplitText($J131,",",COLUMN(M:M)-COLUMN($K:$K))="",$K131,trimtext(SplitText($J131,",",COLUMN(M:M)-COLUMN($K:$K))))</f>
        <v>MEDIA_PREV_TRACK</v>
      </c>
      <c r="N131" s="44" t="str">
        <f>IF(SplitText($J131,",",COLUMN(N:N)-COLUMN($K:$K))="",$K131,trimtext(SplitText($J131,",",COLUMN(N:N)-COLUMN($K:$K))))</f>
        <v>MEDIA_PREV_TRACK</v>
      </c>
      <c r="O131" s="44" t="str">
        <f>IF(SplitText($J131,",",COLUMN(O:O)-COLUMN($K:$K))="",$K131,trimtext(SplitText($J131,",",COLUMN(O:O)-COLUMN($K:$K))))</f>
        <v>MEDIA_PREV_TRACK</v>
      </c>
      <c r="P131" s="44" t="str">
        <f>IF(SplitText($J131,",",COLUMN(P:P)-COLUMN($K:$K))="",$K131,trimtext(SplitText($J131,",",COLUMN(P:P)-COLUMN($K:$K))))</f>
        <v>MEDIA_PREV_TRACK</v>
      </c>
      <c r="Q131" s="44" t="str">
        <f>IF(SplitText($J131,",",COLUMN(Q:Q)-COLUMN($K:$K))="",$K131,trimtext(SplitText($J131,",",COLUMN(Q:Q)-COLUMN($K:$K))))</f>
        <v>MEDIA_PREV_TRACK</v>
      </c>
      <c r="R131" s="24"/>
      <c r="S131" s="44" t="str">
        <f>trimtext(SplitText($R131,",",0))</f>
        <v/>
      </c>
      <c r="T131" s="44" t="str">
        <f>IF(SplitText($R131,",",COLUMN(T:T)-COLUMN($S:$S))="",$S131,trimtext(SplitText($R131,",",COLUMN(T:T)-COLUMN($S:$S))))</f>
        <v/>
      </c>
      <c r="U131" s="45" t="str">
        <f>IF(SplitText($R131,",",COLUMN(U:U)-COLUMN($S:$S))="",$S131,trimtext(SplitText($R131,",",COLUMN(U:U)-COLUMN($S:$S))))</f>
        <v/>
      </c>
      <c r="V131" s="24"/>
      <c r="W131" s="44" t="str">
        <f>trimtext(SplitText($V131,",",0))</f>
        <v/>
      </c>
      <c r="X131" s="44" t="str">
        <f>IF(SplitText($V131,",",COLUMN(X:X)-COLUMN($W:$W))="",$W131,trimtext(SplitText($V131,",",COLUMN(X:X)-COLUMN($W:$W))))</f>
        <v/>
      </c>
      <c r="Y131" s="44" t="str">
        <f>IF(SplitText($V131,",",COLUMN(Y:Y)-COLUMN($W:$W))="",$W131,trimtext(SplitText($V131,",",COLUMN(Y:Y)-COLUMN($W:$W))))</f>
        <v/>
      </c>
      <c r="Z131" s="24"/>
      <c r="AA131" s="44" t="str">
        <f t="shared" si="9"/>
        <v/>
      </c>
      <c r="AB131" s="24"/>
      <c r="AC131" s="44" t="str">
        <f>trimtext(SplitText($AB131,",",0))</f>
        <v/>
      </c>
      <c r="AD131" s="44" t="str">
        <f>IF(SplitText($AB131,",",COLUMN(AD:AD)-COLUMN($AC:$AC))="",$AC131,trimtext(SplitText($AB131,",",COLUMN(AD:AD)-COLUMN($AC:$AC))))</f>
        <v/>
      </c>
      <c r="AE131" s="18" t="str">
        <f t="shared" ref="AE131:AE194" si="12">"&lt;xs:enumeration value="""&amp;B131&amp;"""&gt;&lt;xs:annotation&gt;&lt;xs:documentation&gt;Typically "&amp;IF(E131="",D131,G131&amp;" for keyboard type 4, different values for different keyboard types")&amp;"&lt;/xs:documentation&gt;&lt;xs:appinfo&gt;&lt;default-vk&gt;"</f>
        <v>&lt;xs:enumeration value="X10"&gt;&lt;xs:annotation&gt;&lt;xs:documentation&gt;Typically MEDIA_PREV_TRACK for keyboard type 4, different values for different keyboard types&lt;/xs:documentation&gt;&lt;xs:appinfo&gt;&lt;default-vk&gt;</v>
      </c>
      <c r="AF131" s="15" t="str">
        <f>IF(D131&lt;&gt;"","&lt;vk kbd="""&amp;D$1&amp;""" vk="""&amp;D131&amp;""""&amp;IF(Scan2VKFlags!B131&lt;&gt;""," flags="""&amp;Scan2VKFlags!B131&amp;"""","")&amp;"/&gt;","")</f>
        <v>&lt;vk kbd="1" vk="MEDIA_PREV_TRACK"/&gt;</v>
      </c>
      <c r="AG131" s="15" t="str">
        <f>IF(E131&lt;&gt;"","&lt;vk kbd="""&amp;E$1&amp;""" vk="""&amp;E131&amp;""""&amp;IF(Scan2VKFlags!C131&lt;&gt;""," flags="""&amp;Scan2VKFlags!C131&amp;"""","")&amp;"/&gt;","")</f>
        <v>&lt;vk kbd="2" vk="MEDIA_PREV_TRACK"/&gt;</v>
      </c>
      <c r="AH131" s="15" t="str">
        <f>IF(F131&lt;&gt;"","&lt;vk kbd="""&amp;F$1&amp;""" vk="""&amp;F131&amp;""""&amp;IF(Scan2VKFlags!D131&lt;&gt;""," flags="""&amp;Scan2VKFlags!D131&amp;"""","")&amp;"/&gt;","")</f>
        <v>&lt;vk kbd="3" vk="MEDIA_PREV_TRACK"/&gt;</v>
      </c>
      <c r="AI131" s="15" t="str">
        <f>IF(G131&lt;&gt;"","&lt;vk kbd="""&amp;G$1&amp;""" vk="""&amp;G131&amp;""""&amp;IF(Scan2VKFlags!E131&lt;&gt;""," flags="""&amp;Scan2VKFlags!E131&amp;"""","")&amp;"/&gt;","")</f>
        <v>&lt;vk kbd="4" vk="MEDIA_PREV_TRACK" flags="KBDEXT"/&gt;</v>
      </c>
      <c r="AJ131" s="15" t="str">
        <f>IF(H131&lt;&gt;"","&lt;vk kbd="""&amp;H$1&amp;""" vk="""&amp;H131&amp;""""&amp;IF(Scan2VKFlags!F131&lt;&gt;""," flags="""&amp;Scan2VKFlags!F131&amp;"""","")&amp;"/&gt;","")</f>
        <v>&lt;vk kbd="5" vk="MEDIA_PREV_TRACK"/&gt;</v>
      </c>
      <c r="AK131" s="16" t="str">
        <f>IF(I131&lt;&gt;"","&lt;vk kbd="""&amp;I$1&amp;""" vk="""&amp;I131&amp;""""&amp;IF(Scan2VKFlags!G131&lt;&gt;""," flags="""&amp;Scan2VKFlags!G131&amp;"""","")&amp;"/&gt;","")</f>
        <v>&lt;vk kbd="6" vk="MEDIA_PREV_TRACK"/&gt;</v>
      </c>
      <c r="AL131" s="3" t="str">
        <f>IF(K131&lt;&gt;"","&lt;vk kbd="""&amp;K$1&amp;""" vk="""&amp;K131&amp;""""&amp;IF(Scan2VKFlags!H131&lt;&gt;""," flags="""&amp;Scan2VKFlags!H131&amp;"""","")&amp;"/&gt;","")</f>
        <v>&lt;vk kbd="7" vk="MEDIA_PREV_TRACK"/&gt;</v>
      </c>
      <c r="AM131" s="15" t="str">
        <f>IF(L131&lt;&gt;"","&lt;vk kbd="""&amp;L$1&amp;""" vk="""&amp;L131&amp;""""&amp;IF(Scan2VKFlags!I131&lt;&gt;""," flags="""&amp;Scan2VKFlags!I131&amp;"""","")&amp;"/&gt;","")</f>
        <v>&lt;vk kbd="8" vk="MEDIA_PREV_TRACK"/&gt;</v>
      </c>
      <c r="AN131" s="15" t="str">
        <f>IF(M131&lt;&gt;"","&lt;vk kbd="""&amp;M$1&amp;""" vk="""&amp;M131&amp;""""&amp;IF(Scan2VKFlags!J131&lt;&gt;""," flags="""&amp;Scan2VKFlags!J131&amp;"""","")&amp;"/&gt;","")</f>
        <v>&lt;vk kbd="16" vk="MEDIA_PREV_TRACK"/&gt;</v>
      </c>
      <c r="AO131" s="15" t="str">
        <f>IF(N131&lt;&gt;"","&lt;vk kbd="""&amp;N$1&amp;""" vk="""&amp;N131&amp;""""&amp;IF(Scan2VKFlags!K131&lt;&gt;""," flags="""&amp;Scan2VKFlags!K131&amp;"""","")&amp;"/&gt;","")</f>
        <v>&lt;vk kbd="10" vk="MEDIA_PREV_TRACK"/&gt;</v>
      </c>
      <c r="AP131" s="15" t="str">
        <f>IF(O131&lt;&gt;"","&lt;vk kbd="""&amp;O$1&amp;""" vk="""&amp;O131&amp;""""&amp;IF(Scan2VKFlags!L131&lt;&gt;""," flags="""&amp;Scan2VKFlags!L131&amp;"""","")&amp;"/&gt;","")</f>
        <v>&lt;vk kbd="11" vk="MEDIA_PREV_TRACK"/&gt;</v>
      </c>
      <c r="AQ131" s="15" t="str">
        <f>IF(P131&lt;&gt;"","&lt;vk kbd="""&amp;P$1&amp;""" vk="""&amp;P131&amp;""""&amp;IF(Scan2VKFlags!M131&lt;&gt;""," flags="""&amp;Scan2VKFlags!M131&amp;"""","")&amp;"/&gt;","")</f>
        <v>&lt;vk kbd="12" vk="MEDIA_PREV_TRACK"/&gt;</v>
      </c>
      <c r="AR131" s="16" t="str">
        <f>IF(Q131&lt;&gt;"","&lt;vk kbd="""&amp;Q$1&amp;""" vk="""&amp;Q131&amp;""""&amp;IF(Scan2VKFlags!N131&lt;&gt;""," flags="""&amp;Scan2VKFlags!N131&amp;"""","")&amp;"/&gt;","")</f>
        <v>&lt;vk kbd="13" vk="MEDIA_PREV_TRACK"/&gt;</v>
      </c>
      <c r="AS131" s="3" t="str">
        <f>IF(S131&lt;&gt;"","&lt;vk kbd="""&amp;S$1&amp;""" vk="""&amp;S131&amp;""""&amp;IF(Scan2VKFlags!O131&lt;&gt;""," flags="""&amp;Scan2VKFlags!O131&amp;"""","")&amp;"/&gt;","")</f>
        <v/>
      </c>
      <c r="AT131" s="15" t="str">
        <f>IF(T131&lt;&gt;"","&lt;vk kbd="""&amp;T$1&amp;""" vk="""&amp;T131&amp;""""&amp;IF(Scan2VKFlags!P131&lt;&gt;""," flags="""&amp;Scan2VKFlags!P131&amp;"""","")&amp;"/&gt;","")</f>
        <v/>
      </c>
      <c r="AU131" s="16" t="str">
        <f>IF(U131&lt;&gt;"","&lt;vk kbd="""&amp;U$1&amp;""" vk="""&amp;U131&amp;""""&amp;IF(Scan2VKFlags!Q131&lt;&gt;""," flags="""&amp;Scan2VKFlags!Q131&amp;"""","")&amp;"/&gt;","")</f>
        <v/>
      </c>
      <c r="AV131" s="3" t="str">
        <f>IF(W131&lt;&gt;"","&lt;vk kbd="""&amp;W$1&amp;""" vk="""&amp;W131&amp;""""&amp;IF(Scan2VKFlags!R131&lt;&gt;""," flags="""&amp;Scan2VKFlags!R131&amp;"""","")&amp;"/&gt;","")</f>
        <v/>
      </c>
      <c r="AW131" s="15" t="str">
        <f>IF(X131&lt;&gt;"","&lt;vk kbd="""&amp;X$1&amp;""" vk="""&amp;X131&amp;""""&amp;IF(Scan2VKFlags!S131&lt;&gt;""," flags="""&amp;Scan2VKFlags!S131&amp;"""","")&amp;"/&gt;","")</f>
        <v/>
      </c>
      <c r="AX131" s="15" t="str">
        <f>IF(Y131&lt;&gt;"","&lt;vk kbd="""&amp;Y$1&amp;""" vk="""&amp;Y131&amp;""""&amp;IF(Scan2VKFlags!T131&lt;&gt;""," flags="""&amp;Scan2VKFlags!T131&amp;"""","")&amp;"/&gt;","")</f>
        <v/>
      </c>
      <c r="AY131" s="18" t="str">
        <f>IF(AA131&lt;&gt;"","&lt;vk kbd="""&amp;AA$1&amp;""" vk="""&amp;AA131&amp;""""&amp;IF(Scan2VKFlags!U131&lt;&gt;""," flags="""&amp;Scan2VKFlags!U131&amp;"""","")&amp;"/&gt;","")</f>
        <v/>
      </c>
      <c r="AZ131" s="3" t="str">
        <f>IF(AC131&lt;&gt;"","&lt;vk kbd="""&amp;AC$1&amp;""" vk="""&amp;AC131&amp;""""&amp;IF(Scan2VKFlags!V131&lt;&gt;""," flags="""&amp;Scan2VKFlags!V131&amp;"""","")&amp;"/&gt;","")</f>
        <v/>
      </c>
      <c r="BA131" s="16" t="str">
        <f>IF(AD131&lt;&gt;"","&lt;vk kbd="""&amp;AD$1&amp;""" vk="""&amp;AD131&amp;""""&amp;IF(Scan2VKFlags!W131&lt;&gt;""," flags="""&amp;Scan2VKFlags!W131&amp;"""","")&amp;"/&gt;","")</f>
        <v/>
      </c>
      <c r="BB131" s="15" t="s">
        <v>854</v>
      </c>
    </row>
    <row r="132" spans="1:54" s="15" customFormat="1" x14ac:dyDescent="0.25">
      <c r="B132" s="52" t="s">
        <v>147</v>
      </c>
      <c r="C132" s="7" t="s">
        <v>119</v>
      </c>
      <c r="D132" s="44" t="str">
        <f>trimtext(SplitText($C132,",",0))</f>
        <v>MEDIA_NEXT_TRACK</v>
      </c>
      <c r="E132" s="44" t="str">
        <f>IF(SplitText($C132,",",COLUMN(E:E)-COLUMN($D:$D))="",$D132,trimtext(SplitText($C132,",",COLUMN(E:E)-COLUMN($D:$D))))</f>
        <v>MEDIA_NEXT_TRACK</v>
      </c>
      <c r="F132" s="44" t="str">
        <f>IF(SplitText($C132,",",COLUMN(F:F)-COLUMN($D:$D))="",$D132,trimtext(SplitText($C132,",",COLUMN(F:F)-COLUMN($D:$D))))</f>
        <v>MEDIA_NEXT_TRACK</v>
      </c>
      <c r="G132" s="44" t="str">
        <f>IF(SplitText($C132,",",COLUMN(G:G)-COLUMN($D:$D))="",$D132,trimtext(SplitText($C132,",",COLUMN(G:G)-COLUMN($D:$D))))</f>
        <v>MEDIA_NEXT_TRACK</v>
      </c>
      <c r="H132" s="44" t="str">
        <f>IF(SplitText($C132,",",COLUMN(H:H)-COLUMN($D:$D))="",$D132,trimtext(SplitText($C132,",",COLUMN(H:H)-COLUMN($D:$D))))</f>
        <v>MEDIA_NEXT_TRACK</v>
      </c>
      <c r="I132" s="44" t="str">
        <f>IF(SplitText($C132,",",COLUMN(I:I)-COLUMN($D:$D))="",$D132,trimtext(SplitText($C132,",",COLUMN(I:I)-COLUMN($D:$D))))</f>
        <v>MEDIA_NEXT_TRACK</v>
      </c>
      <c r="J132" s="9" t="s">
        <v>304</v>
      </c>
      <c r="K132" s="44" t="str">
        <f>trimtext(SplitText($J132,",",0))</f>
        <v>MEDIA_NEXT_TRACK</v>
      </c>
      <c r="L132" s="44" t="str">
        <f>IF(SplitText($J132,",",COLUMN(L:L)-COLUMN($K:$K))="",$K132,trimtext(SplitText($J132,",",COLUMN(L:L)-COLUMN($K:$K))))</f>
        <v>MEDIA_NEXT_TRACK</v>
      </c>
      <c r="M132" s="44" t="str">
        <f>IF(SplitText($J132,",",COLUMN(M:M)-COLUMN($K:$K))="",$K132,trimtext(SplitText($J132,",",COLUMN(M:M)-COLUMN($K:$K))))</f>
        <v>MEDIA_NEXT_TRACK</v>
      </c>
      <c r="N132" s="44" t="str">
        <f>IF(SplitText($J132,",",COLUMN(N:N)-COLUMN($K:$K))="",$K132,trimtext(SplitText($J132,",",COLUMN(N:N)-COLUMN($K:$K))))</f>
        <v>MEDIA_NEXT_TRACK</v>
      </c>
      <c r="O132" s="44" t="str">
        <f>IF(SplitText($J132,",",COLUMN(O:O)-COLUMN($K:$K))="",$K132,trimtext(SplitText($J132,",",COLUMN(O:O)-COLUMN($K:$K))))</f>
        <v>MEDIA_NEXT_TRACK</v>
      </c>
      <c r="P132" s="44" t="str">
        <f>IF(SplitText($J132,",",COLUMN(P:P)-COLUMN($K:$K))="",$K132,trimtext(SplitText($J132,",",COLUMN(P:P)-COLUMN($K:$K))))</f>
        <v>MEDIA_NEXT_TRACK</v>
      </c>
      <c r="Q132" s="44" t="str">
        <f>IF(SplitText($J132,",",COLUMN(Q:Q)-COLUMN($K:$K))="",$K132,trimtext(SplitText($J132,",",COLUMN(Q:Q)-COLUMN($K:$K))))</f>
        <v>MEDIA_NEXT_TRACK</v>
      </c>
      <c r="R132" s="24"/>
      <c r="S132" s="44" t="str">
        <f>trimtext(SplitText($R132,",",0))</f>
        <v/>
      </c>
      <c r="T132" s="44" t="str">
        <f>IF(SplitText($R132,",",COLUMN(T:T)-COLUMN($S:$S))="",$S132,trimtext(SplitText($R132,",",COLUMN(T:T)-COLUMN($S:$S))))</f>
        <v/>
      </c>
      <c r="U132" s="45" t="str">
        <f>IF(SplitText($R132,",",COLUMN(U:U)-COLUMN($S:$S))="",$S132,trimtext(SplitText($R132,",",COLUMN(U:U)-COLUMN($S:$S))))</f>
        <v/>
      </c>
      <c r="V132" s="42"/>
      <c r="W132" s="44" t="str">
        <f>trimtext(SplitText($V132,",",0))</f>
        <v/>
      </c>
      <c r="X132" s="44" t="str">
        <f>IF(SplitText($V132,",",COLUMN(X:X)-COLUMN($W:$W))="",$W132,trimtext(SplitText($V132,",",COLUMN(X:X)-COLUMN($W:$W))))</f>
        <v/>
      </c>
      <c r="Y132" s="44" t="str">
        <f>IF(SplitText($V132,",",COLUMN(Y:Y)-COLUMN($W:$W))="",$W132,trimtext(SplitText($V132,",",COLUMN(Y:Y)-COLUMN($W:$W))))</f>
        <v/>
      </c>
      <c r="Z132" s="24"/>
      <c r="AA132" s="44" t="str">
        <f t="shared" ref="AA132:AA195" si="13">trimtext(Z132)</f>
        <v/>
      </c>
      <c r="AB132" s="24"/>
      <c r="AC132" s="44" t="str">
        <f>trimtext(SplitText($AB132,",",0))</f>
        <v/>
      </c>
      <c r="AD132" s="44" t="str">
        <f>IF(SplitText($AB132,",",COLUMN(AD:AD)-COLUMN($AC:$AC))="",$AC132,trimtext(SplitText($AB132,",",COLUMN(AD:AD)-COLUMN($AC:$AC))))</f>
        <v/>
      </c>
      <c r="AE132" s="18" t="str">
        <f t="shared" si="12"/>
        <v>&lt;xs:enumeration value="X19"&gt;&lt;xs:annotation&gt;&lt;xs:documentation&gt;Typically MEDIA_NEXT_TRACK for keyboard type 4, different values for different keyboard types&lt;/xs:documentation&gt;&lt;xs:appinfo&gt;&lt;default-vk&gt;</v>
      </c>
      <c r="AF132" s="15" t="str">
        <f>IF(D132&lt;&gt;"","&lt;vk kbd="""&amp;D$1&amp;""" vk="""&amp;D132&amp;""""&amp;IF(Scan2VKFlags!B132&lt;&gt;""," flags="""&amp;Scan2VKFlags!B132&amp;"""","")&amp;"/&gt;","")</f>
        <v>&lt;vk kbd="1" vk="MEDIA_NEXT_TRACK"/&gt;</v>
      </c>
      <c r="AG132" s="15" t="str">
        <f>IF(E132&lt;&gt;"","&lt;vk kbd="""&amp;E$1&amp;""" vk="""&amp;E132&amp;""""&amp;IF(Scan2VKFlags!C132&lt;&gt;""," flags="""&amp;Scan2VKFlags!C132&amp;"""","")&amp;"/&gt;","")</f>
        <v>&lt;vk kbd="2" vk="MEDIA_NEXT_TRACK"/&gt;</v>
      </c>
      <c r="AH132" s="15" t="str">
        <f>IF(F132&lt;&gt;"","&lt;vk kbd="""&amp;F$1&amp;""" vk="""&amp;F132&amp;""""&amp;IF(Scan2VKFlags!D132&lt;&gt;""," flags="""&amp;Scan2VKFlags!D132&amp;"""","")&amp;"/&gt;","")</f>
        <v>&lt;vk kbd="3" vk="MEDIA_NEXT_TRACK"/&gt;</v>
      </c>
      <c r="AI132" s="15" t="str">
        <f>IF(G132&lt;&gt;"","&lt;vk kbd="""&amp;G$1&amp;""" vk="""&amp;G132&amp;""""&amp;IF(Scan2VKFlags!E132&lt;&gt;""," flags="""&amp;Scan2VKFlags!E132&amp;"""","")&amp;"/&gt;","")</f>
        <v>&lt;vk kbd="4" vk="MEDIA_NEXT_TRACK" flags="KBDEXT"/&gt;</v>
      </c>
      <c r="AJ132" s="15" t="str">
        <f>IF(H132&lt;&gt;"","&lt;vk kbd="""&amp;H$1&amp;""" vk="""&amp;H132&amp;""""&amp;IF(Scan2VKFlags!F132&lt;&gt;""," flags="""&amp;Scan2VKFlags!F132&amp;"""","")&amp;"/&gt;","")</f>
        <v>&lt;vk kbd="5" vk="MEDIA_NEXT_TRACK"/&gt;</v>
      </c>
      <c r="AK132" s="16" t="str">
        <f>IF(I132&lt;&gt;"","&lt;vk kbd="""&amp;I$1&amp;""" vk="""&amp;I132&amp;""""&amp;IF(Scan2VKFlags!G132&lt;&gt;""," flags="""&amp;Scan2VKFlags!G132&amp;"""","")&amp;"/&gt;","")</f>
        <v>&lt;vk kbd="6" vk="MEDIA_NEXT_TRACK"/&gt;</v>
      </c>
      <c r="AL132" s="3" t="str">
        <f>IF(K132&lt;&gt;"","&lt;vk kbd="""&amp;K$1&amp;""" vk="""&amp;K132&amp;""""&amp;IF(Scan2VKFlags!H132&lt;&gt;""," flags="""&amp;Scan2VKFlags!H132&amp;"""","")&amp;"/&gt;","")</f>
        <v>&lt;vk kbd="7" vk="MEDIA_NEXT_TRACK"/&gt;</v>
      </c>
      <c r="AM132" s="15" t="str">
        <f>IF(L132&lt;&gt;"","&lt;vk kbd="""&amp;L$1&amp;""" vk="""&amp;L132&amp;""""&amp;IF(Scan2VKFlags!I132&lt;&gt;""," flags="""&amp;Scan2VKFlags!I132&amp;"""","")&amp;"/&gt;","")</f>
        <v>&lt;vk kbd="8" vk="MEDIA_NEXT_TRACK"/&gt;</v>
      </c>
      <c r="AN132" s="15" t="str">
        <f>IF(M132&lt;&gt;"","&lt;vk kbd="""&amp;M$1&amp;""" vk="""&amp;M132&amp;""""&amp;IF(Scan2VKFlags!J132&lt;&gt;""," flags="""&amp;Scan2VKFlags!J132&amp;"""","")&amp;"/&gt;","")</f>
        <v>&lt;vk kbd="16" vk="MEDIA_NEXT_TRACK"/&gt;</v>
      </c>
      <c r="AO132" s="15" t="str">
        <f>IF(N132&lt;&gt;"","&lt;vk kbd="""&amp;N$1&amp;""" vk="""&amp;N132&amp;""""&amp;IF(Scan2VKFlags!K132&lt;&gt;""," flags="""&amp;Scan2VKFlags!K132&amp;"""","")&amp;"/&gt;","")</f>
        <v>&lt;vk kbd="10" vk="MEDIA_NEXT_TRACK"/&gt;</v>
      </c>
      <c r="AP132" s="15" t="str">
        <f>IF(O132&lt;&gt;"","&lt;vk kbd="""&amp;O$1&amp;""" vk="""&amp;O132&amp;""""&amp;IF(Scan2VKFlags!L132&lt;&gt;""," flags="""&amp;Scan2VKFlags!L132&amp;"""","")&amp;"/&gt;","")</f>
        <v>&lt;vk kbd="11" vk="MEDIA_NEXT_TRACK"/&gt;</v>
      </c>
      <c r="AQ132" s="15" t="str">
        <f>IF(P132&lt;&gt;"","&lt;vk kbd="""&amp;P$1&amp;""" vk="""&amp;P132&amp;""""&amp;IF(Scan2VKFlags!M132&lt;&gt;""," flags="""&amp;Scan2VKFlags!M132&amp;"""","")&amp;"/&gt;","")</f>
        <v>&lt;vk kbd="12" vk="MEDIA_NEXT_TRACK"/&gt;</v>
      </c>
      <c r="AR132" s="16" t="str">
        <f>IF(Q132&lt;&gt;"","&lt;vk kbd="""&amp;Q$1&amp;""" vk="""&amp;Q132&amp;""""&amp;IF(Scan2VKFlags!N132&lt;&gt;""," flags="""&amp;Scan2VKFlags!N132&amp;"""","")&amp;"/&gt;","")</f>
        <v>&lt;vk kbd="13" vk="MEDIA_NEXT_TRACK"/&gt;</v>
      </c>
      <c r="AS132" s="3" t="str">
        <f>IF(S132&lt;&gt;"","&lt;vk kbd="""&amp;S$1&amp;""" vk="""&amp;S132&amp;""""&amp;IF(Scan2VKFlags!O132&lt;&gt;""," flags="""&amp;Scan2VKFlags!O132&amp;"""","")&amp;"/&gt;","")</f>
        <v/>
      </c>
      <c r="AT132" s="15" t="str">
        <f>IF(T132&lt;&gt;"","&lt;vk kbd="""&amp;T$1&amp;""" vk="""&amp;T132&amp;""""&amp;IF(Scan2VKFlags!P132&lt;&gt;""," flags="""&amp;Scan2VKFlags!P132&amp;"""","")&amp;"/&gt;","")</f>
        <v/>
      </c>
      <c r="AU132" s="16" t="str">
        <f>IF(U132&lt;&gt;"","&lt;vk kbd="""&amp;U$1&amp;""" vk="""&amp;U132&amp;""""&amp;IF(Scan2VKFlags!Q132&lt;&gt;""," flags="""&amp;Scan2VKFlags!Q132&amp;"""","")&amp;"/&gt;","")</f>
        <v/>
      </c>
      <c r="AV132" s="3" t="str">
        <f>IF(W132&lt;&gt;"","&lt;vk kbd="""&amp;W$1&amp;""" vk="""&amp;W132&amp;""""&amp;IF(Scan2VKFlags!R132&lt;&gt;""," flags="""&amp;Scan2VKFlags!R132&amp;"""","")&amp;"/&gt;","")</f>
        <v/>
      </c>
      <c r="AW132" s="15" t="str">
        <f>IF(X132&lt;&gt;"","&lt;vk kbd="""&amp;X$1&amp;""" vk="""&amp;X132&amp;""""&amp;IF(Scan2VKFlags!S132&lt;&gt;""," flags="""&amp;Scan2VKFlags!S132&amp;"""","")&amp;"/&gt;","")</f>
        <v/>
      </c>
      <c r="AX132" s="15" t="str">
        <f>IF(Y132&lt;&gt;"","&lt;vk kbd="""&amp;Y$1&amp;""" vk="""&amp;Y132&amp;""""&amp;IF(Scan2VKFlags!T132&lt;&gt;""," flags="""&amp;Scan2VKFlags!T132&amp;"""","")&amp;"/&gt;","")</f>
        <v/>
      </c>
      <c r="AY132" s="18" t="str">
        <f>IF(AA132&lt;&gt;"","&lt;vk kbd="""&amp;AA$1&amp;""" vk="""&amp;AA132&amp;""""&amp;IF(Scan2VKFlags!U132&lt;&gt;""," flags="""&amp;Scan2VKFlags!U132&amp;"""","")&amp;"/&gt;","")</f>
        <v/>
      </c>
      <c r="AZ132" s="3" t="str">
        <f>IF(AC132&lt;&gt;"","&lt;vk kbd="""&amp;AC$1&amp;""" vk="""&amp;AC132&amp;""""&amp;IF(Scan2VKFlags!V132&lt;&gt;""," flags="""&amp;Scan2VKFlags!V132&amp;"""","")&amp;"/&gt;","")</f>
        <v/>
      </c>
      <c r="BA132" s="16" t="str">
        <f>IF(AD132&lt;&gt;"","&lt;vk kbd="""&amp;AD$1&amp;""" vk="""&amp;AD132&amp;""""&amp;IF(Scan2VKFlags!W132&lt;&gt;""," flags="""&amp;Scan2VKFlags!W132&amp;"""","")&amp;"/&gt;","")</f>
        <v/>
      </c>
      <c r="BB132" s="15" t="s">
        <v>854</v>
      </c>
    </row>
    <row r="133" spans="1:54" s="15" customFormat="1" x14ac:dyDescent="0.25">
      <c r="B133" s="52" t="s">
        <v>148</v>
      </c>
      <c r="C133" s="7" t="s">
        <v>28</v>
      </c>
      <c r="D133" s="44" t="str">
        <f>trimtext(SplitText($C133,",",0))</f>
        <v>RETURN</v>
      </c>
      <c r="E133" s="44" t="str">
        <f>IF(SplitText($C133,",",COLUMN(E:E)-COLUMN($D:$D))="",$D133,trimtext(SplitText($C133,",",COLUMN(E:E)-COLUMN($D:$D))))</f>
        <v>RETURN</v>
      </c>
      <c r="F133" s="44" t="str">
        <f>IF(SplitText($C133,",",COLUMN(F:F)-COLUMN($D:$D))="",$D133,trimtext(SplitText($C133,",",COLUMN(F:F)-COLUMN($D:$D))))</f>
        <v>RETURN</v>
      </c>
      <c r="G133" s="44" t="str">
        <f>IF(SplitText($C133,",",COLUMN(G:G)-COLUMN($D:$D))="",$D133,trimtext(SplitText($C133,",",COLUMN(G:G)-COLUMN($D:$D))))</f>
        <v>RETURN</v>
      </c>
      <c r="H133" s="44" t="str">
        <f>IF(SplitText($C133,",",COLUMN(H:H)-COLUMN($D:$D))="",$D133,trimtext(SplitText($C133,",",COLUMN(H:H)-COLUMN($D:$D))))</f>
        <v>RETURN</v>
      </c>
      <c r="I133" s="44" t="str">
        <f>IF(SplitText($C133,",",COLUMN(I:I)-COLUMN($D:$D))="",$D133,trimtext(SplitText($C133,",",COLUMN(I:I)-COLUMN($D:$D))))</f>
        <v>RETURN</v>
      </c>
      <c r="J133" s="9" t="s">
        <v>213</v>
      </c>
      <c r="K133" s="44" t="str">
        <f>trimtext(SplitText($J133,",",0))</f>
        <v>RETURN</v>
      </c>
      <c r="L133" s="44" t="str">
        <f>IF(SplitText($J133,",",COLUMN(L:L)-COLUMN($K:$K))="",$K133,trimtext(SplitText($J133,",",COLUMN(L:L)-COLUMN($K:$K))))</f>
        <v>RETURN</v>
      </c>
      <c r="M133" s="44" t="str">
        <f>IF(SplitText($J133,",",COLUMN(M:M)-COLUMN($K:$K))="",$K133,trimtext(SplitText($J133,",",COLUMN(M:M)-COLUMN($K:$K))))</f>
        <v>RETURN</v>
      </c>
      <c r="N133" s="44" t="str">
        <f>IF(SplitText($J133,",",COLUMN(N:N)-COLUMN($K:$K))="",$K133,trimtext(SplitText($J133,",",COLUMN(N:N)-COLUMN($K:$K))))</f>
        <v>RETURN</v>
      </c>
      <c r="O133" s="44" t="str">
        <f>IF(SplitText($J133,",",COLUMN(O:O)-COLUMN($K:$K))="",$K133,trimtext(SplitText($J133,",",COLUMN(O:O)-COLUMN($K:$K))))</f>
        <v>RETURN</v>
      </c>
      <c r="P133" s="44" t="str">
        <f>IF(SplitText($J133,",",COLUMN(P:P)-COLUMN($K:$K))="",$K133,trimtext(SplitText($J133,",",COLUMN(P:P)-COLUMN($K:$K))))</f>
        <v>RETURN</v>
      </c>
      <c r="Q133" s="44" t="str">
        <f>IF(SplitText($J133,",",COLUMN(Q:Q)-COLUMN($K:$K))="",$K133,trimtext(SplitText($J133,",",COLUMN(Q:Q)-COLUMN($K:$K))))</f>
        <v>RETURN</v>
      </c>
      <c r="R133" s="2" t="s">
        <v>469</v>
      </c>
      <c r="S133" s="44" t="str">
        <f>trimtext(SplitText($R133,",",0))</f>
        <v>_none_</v>
      </c>
      <c r="T133" s="44" t="str">
        <f>IF(SplitText($R133,",",COLUMN(T:T)-COLUMN($S:$S))="",$S133,trimtext(SplitText($R133,",",COLUMN(T:T)-COLUMN($S:$S))))</f>
        <v>_none_</v>
      </c>
      <c r="U133" s="45" t="str">
        <f>IF(SplitText($R133,",",COLUMN(U:U)-COLUMN($S:$S))="",$S133,trimtext(SplitText($R133,",",COLUMN(U:U)-COLUMN($S:$S))))</f>
        <v>RETURN</v>
      </c>
      <c r="V133" s="53" t="s">
        <v>534</v>
      </c>
      <c r="W133" s="44" t="str">
        <f>trimtext(SplitText($V133,",",0))</f>
        <v>RETURN</v>
      </c>
      <c r="X133" s="44" t="str">
        <f>IF(SplitText($V133,",",COLUMN(X:X)-COLUMN($W:$W))="",$W133,trimtext(SplitText($V133,",",COLUMN(X:X)-COLUMN($W:$W))))</f>
        <v>RETURN</v>
      </c>
      <c r="Y133" s="44" t="str">
        <f>IF(SplitText($V133,",",COLUMN(Y:Y)-COLUMN($W:$W))="",$W133,trimtext(SplitText($V133,",",COLUMN(Y:Y)-COLUMN($W:$W))))</f>
        <v>RETURN</v>
      </c>
      <c r="Z133" s="24"/>
      <c r="AA133" s="44" t="str">
        <f t="shared" si="13"/>
        <v/>
      </c>
      <c r="AB133" s="2" t="s">
        <v>771</v>
      </c>
      <c r="AC133" s="44" t="str">
        <f>trimtext(SplitText($AB133,",",0))</f>
        <v>RETURN</v>
      </c>
      <c r="AD133" s="44" t="str">
        <f>IF(SplitText($AB133,",",COLUMN(AD:AD)-COLUMN($AC:$AC))="",$AC133,trimtext(SplitText($AB133,",",COLUMN(AD:AD)-COLUMN($AC:$AC))))</f>
        <v>RETURN</v>
      </c>
      <c r="AE133" s="18" t="str">
        <f t="shared" si="12"/>
        <v>&lt;xs:enumeration value="X1C"&gt;&lt;xs:annotation&gt;&lt;xs:documentation&gt;Typically RETURN for keyboard type 4, different values for different keyboard types&lt;/xs:documentation&gt;&lt;xs:appinfo&gt;&lt;default-vk&gt;</v>
      </c>
      <c r="AF133" s="15" t="str">
        <f>IF(D133&lt;&gt;"","&lt;vk kbd="""&amp;D$1&amp;""" vk="""&amp;D133&amp;""""&amp;IF(Scan2VKFlags!B133&lt;&gt;""," flags="""&amp;Scan2VKFlags!B133&amp;"""","")&amp;"/&gt;","")</f>
        <v>&lt;vk kbd="1" vk="RETURN"/&gt;</v>
      </c>
      <c r="AG133" s="15" t="str">
        <f>IF(E133&lt;&gt;"","&lt;vk kbd="""&amp;E$1&amp;""" vk="""&amp;E133&amp;""""&amp;IF(Scan2VKFlags!C133&lt;&gt;""," flags="""&amp;Scan2VKFlags!C133&amp;"""","")&amp;"/&gt;","")</f>
        <v>&lt;vk kbd="2" vk="RETURN"/&gt;</v>
      </c>
      <c r="AH133" s="15" t="str">
        <f>IF(F133&lt;&gt;"","&lt;vk kbd="""&amp;F$1&amp;""" vk="""&amp;F133&amp;""""&amp;IF(Scan2VKFlags!D133&lt;&gt;""," flags="""&amp;Scan2VKFlags!D133&amp;"""","")&amp;"/&gt;","")</f>
        <v>&lt;vk kbd="3" vk="RETURN"/&gt;</v>
      </c>
      <c r="AI133" s="15" t="str">
        <f>IF(G133&lt;&gt;"","&lt;vk kbd="""&amp;G$1&amp;""" vk="""&amp;G133&amp;""""&amp;IF(Scan2VKFlags!E133&lt;&gt;""," flags="""&amp;Scan2VKFlags!E133&amp;"""","")&amp;"/&gt;","")</f>
        <v>&lt;vk kbd="4" vk="RETURN" flags="KBDEXT"/&gt;</v>
      </c>
      <c r="AJ133" s="15" t="str">
        <f>IF(H133&lt;&gt;"","&lt;vk kbd="""&amp;H$1&amp;""" vk="""&amp;H133&amp;""""&amp;IF(Scan2VKFlags!F133&lt;&gt;""," flags="""&amp;Scan2VKFlags!F133&amp;"""","")&amp;"/&gt;","")</f>
        <v>&lt;vk kbd="5" vk="RETURN"/&gt;</v>
      </c>
      <c r="AK133" s="16" t="str">
        <f>IF(I133&lt;&gt;"","&lt;vk kbd="""&amp;I$1&amp;""" vk="""&amp;I133&amp;""""&amp;IF(Scan2VKFlags!G133&lt;&gt;""," flags="""&amp;Scan2VKFlags!G133&amp;"""","")&amp;"/&gt;","")</f>
        <v>&lt;vk kbd="6" vk="RETURN"/&gt;</v>
      </c>
      <c r="AL133" s="3" t="str">
        <f>IF(K133&lt;&gt;"","&lt;vk kbd="""&amp;K$1&amp;""" vk="""&amp;K133&amp;""""&amp;IF(Scan2VKFlags!H133&lt;&gt;""," flags="""&amp;Scan2VKFlags!H133&amp;"""","")&amp;"/&gt;","")</f>
        <v>&lt;vk kbd="7" vk="RETURN"/&gt;</v>
      </c>
      <c r="AM133" s="15" t="str">
        <f>IF(L133&lt;&gt;"","&lt;vk kbd="""&amp;L$1&amp;""" vk="""&amp;L133&amp;""""&amp;IF(Scan2VKFlags!I133&lt;&gt;""," flags="""&amp;Scan2VKFlags!I133&amp;"""","")&amp;"/&gt;","")</f>
        <v>&lt;vk kbd="8" vk="RETURN"/&gt;</v>
      </c>
      <c r="AN133" s="15" t="str">
        <f>IF(M133&lt;&gt;"","&lt;vk kbd="""&amp;M$1&amp;""" vk="""&amp;M133&amp;""""&amp;IF(Scan2VKFlags!J133&lt;&gt;""," flags="""&amp;Scan2VKFlags!J133&amp;"""","")&amp;"/&gt;","")</f>
        <v>&lt;vk kbd="16" vk="RETURN"/&gt;</v>
      </c>
      <c r="AO133" s="15" t="str">
        <f>IF(N133&lt;&gt;"","&lt;vk kbd="""&amp;N$1&amp;""" vk="""&amp;N133&amp;""""&amp;IF(Scan2VKFlags!K133&lt;&gt;""," flags="""&amp;Scan2VKFlags!K133&amp;"""","")&amp;"/&gt;","")</f>
        <v>&lt;vk kbd="10" vk="RETURN"/&gt;</v>
      </c>
      <c r="AP133" s="15" t="str">
        <f>IF(O133&lt;&gt;"","&lt;vk kbd="""&amp;O$1&amp;""" vk="""&amp;O133&amp;""""&amp;IF(Scan2VKFlags!L133&lt;&gt;""," flags="""&amp;Scan2VKFlags!L133&amp;"""","")&amp;"/&gt;","")</f>
        <v>&lt;vk kbd="11" vk="RETURN"/&gt;</v>
      </c>
      <c r="AQ133" s="15" t="str">
        <f>IF(P133&lt;&gt;"","&lt;vk kbd="""&amp;P$1&amp;""" vk="""&amp;P133&amp;""""&amp;IF(Scan2VKFlags!M133&lt;&gt;""," flags="""&amp;Scan2VKFlags!M133&amp;"""","")&amp;"/&gt;","")</f>
        <v>&lt;vk kbd="12" vk="RETURN"/&gt;</v>
      </c>
      <c r="AR133" s="16" t="str">
        <f>IF(Q133&lt;&gt;"","&lt;vk kbd="""&amp;Q$1&amp;""" vk="""&amp;Q133&amp;""""&amp;IF(Scan2VKFlags!N133&lt;&gt;""," flags="""&amp;Scan2VKFlags!N133&amp;"""","")&amp;"/&gt;","")</f>
        <v>&lt;vk kbd="13" vk="RETURN"/&gt;</v>
      </c>
      <c r="AS133" s="3" t="str">
        <f>IF(S133&lt;&gt;"","&lt;vk kbd="""&amp;S$1&amp;""" vk="""&amp;S133&amp;""""&amp;IF(Scan2VKFlags!O133&lt;&gt;""," flags="""&amp;Scan2VKFlags!O133&amp;"""","")&amp;"/&gt;","")</f>
        <v>&lt;vk kbd="20" vk="_none_"/&gt;</v>
      </c>
      <c r="AT133" s="15" t="str">
        <f>IF(T133&lt;&gt;"","&lt;vk kbd="""&amp;T$1&amp;""" vk="""&amp;T133&amp;""""&amp;IF(Scan2VKFlags!P133&lt;&gt;""," flags="""&amp;Scan2VKFlags!P133&amp;"""","")&amp;"/&gt;","")</f>
        <v>&lt;vk kbd="21" vk="_none_"/&gt;</v>
      </c>
      <c r="AU133" s="16" t="str">
        <f>IF(U133&lt;&gt;"","&lt;vk kbd="""&amp;U$1&amp;""" vk="""&amp;U133&amp;""""&amp;IF(Scan2VKFlags!Q133&lt;&gt;""," flags="""&amp;Scan2VKFlags!Q133&amp;"""","")&amp;"/&gt;","")</f>
        <v>&lt;vk kbd="22" vk="RETURN"/&gt;</v>
      </c>
      <c r="AV133" s="3" t="str">
        <f>IF(W133&lt;&gt;"","&lt;vk kbd="""&amp;W$1&amp;""" vk="""&amp;W133&amp;""""&amp;IF(Scan2VKFlags!R133&lt;&gt;""," flags="""&amp;Scan2VKFlags!R133&amp;"""","")&amp;"/&gt;","")</f>
        <v>&lt;vk kbd="30" vk="RETURN"/&gt;</v>
      </c>
      <c r="AW133" s="15" t="str">
        <f>IF(X133&lt;&gt;"","&lt;vk kbd="""&amp;X$1&amp;""" vk="""&amp;X133&amp;""""&amp;IF(Scan2VKFlags!S133&lt;&gt;""," flags="""&amp;Scan2VKFlags!S133&amp;"""","")&amp;"/&gt;","")</f>
        <v>&lt;vk kbd="33" vk="RETURN"/&gt;</v>
      </c>
      <c r="AX133" s="15" t="str">
        <f>IF(Y133&lt;&gt;"","&lt;vk kbd="""&amp;Y$1&amp;""" vk="""&amp;Y133&amp;""""&amp;IF(Scan2VKFlags!T133&lt;&gt;""," flags="""&amp;Scan2VKFlags!T133&amp;"""","")&amp;"/&gt;","")</f>
        <v>&lt;vk kbd="34" vk="RETURN"/&gt;</v>
      </c>
      <c r="AY133" s="18" t="str">
        <f>IF(AA133&lt;&gt;"","&lt;vk kbd="""&amp;AA$1&amp;""" vk="""&amp;AA133&amp;""""&amp;IF(Scan2VKFlags!U133&lt;&gt;""," flags="""&amp;Scan2VKFlags!U133&amp;"""","")&amp;"/&gt;","")</f>
        <v/>
      </c>
      <c r="AZ133" s="3" t="str">
        <f>IF(AC133&lt;&gt;"","&lt;vk kbd="""&amp;AC$1&amp;""" vk="""&amp;AC133&amp;""""&amp;IF(Scan2VKFlags!V133&lt;&gt;""," flags="""&amp;Scan2VKFlags!V133&amp;"""","")&amp;"/&gt;","")</f>
        <v>&lt;vk kbd="40" vk="RETURN"/&gt;</v>
      </c>
      <c r="BA133" s="16" t="str">
        <f>IF(AD133&lt;&gt;"","&lt;vk kbd="""&amp;AD$1&amp;""" vk="""&amp;AD133&amp;""""&amp;IF(Scan2VKFlags!W133&lt;&gt;""," flags="""&amp;Scan2VKFlags!W133&amp;"""","")&amp;"/&gt;","")</f>
        <v>&lt;vk kbd="41" vk="RETURN"/&gt;</v>
      </c>
      <c r="BB133" s="15" t="s">
        <v>854</v>
      </c>
    </row>
    <row r="134" spans="1:54" s="15" customFormat="1" x14ac:dyDescent="0.25">
      <c r="B134" s="52" t="s">
        <v>149</v>
      </c>
      <c r="C134" s="7" t="s">
        <v>120</v>
      </c>
      <c r="D134" s="44" t="str">
        <f>trimtext(SplitText($C134,",",0))</f>
        <v>RCONTROL</v>
      </c>
      <c r="E134" s="44" t="str">
        <f>IF(SplitText($C134,",",COLUMN(E:E)-COLUMN($D:$D))="",$D134,trimtext(SplitText($C134,",",COLUMN(E:E)-COLUMN($D:$D))))</f>
        <v>RCONTROL</v>
      </c>
      <c r="F134" s="44" t="str">
        <f>IF(SplitText($C134,",",COLUMN(F:F)-COLUMN($D:$D))="",$D134,trimtext(SplitText($C134,",",COLUMN(F:F)-COLUMN($D:$D))))</f>
        <v>RCONTROL</v>
      </c>
      <c r="G134" s="44" t="str">
        <f>IF(SplitText($C134,",",COLUMN(G:G)-COLUMN($D:$D))="",$D134,trimtext(SplitText($C134,",",COLUMN(G:G)-COLUMN($D:$D))))</f>
        <v>RCONTROL</v>
      </c>
      <c r="H134" s="44" t="str">
        <f>IF(SplitText($C134,",",COLUMN(H:H)-COLUMN($D:$D))="",$D134,trimtext(SplitText($C134,",",COLUMN(H:H)-COLUMN($D:$D))))</f>
        <v>RCONTROL</v>
      </c>
      <c r="I134" s="44" t="str">
        <f>IF(SplitText($C134,",",COLUMN(I:I)-COLUMN($D:$D))="",$D134,trimtext(SplitText($C134,",",COLUMN(I:I)-COLUMN($D:$D))))</f>
        <v>RCONTROL</v>
      </c>
      <c r="J134" s="9" t="s">
        <v>305</v>
      </c>
      <c r="K134" s="44" t="str">
        <f>trimtext(SplitText($J134,",",0))</f>
        <v>RCONTROL</v>
      </c>
      <c r="L134" s="44" t="str">
        <f>IF(SplitText($J134,",",COLUMN(L:L)-COLUMN($K:$K))="",$K134,trimtext(SplitText($J134,",",COLUMN(L:L)-COLUMN($K:$K))))</f>
        <v>RCONTROL</v>
      </c>
      <c r="M134" s="44" t="str">
        <f>IF(SplitText($J134,",",COLUMN(M:M)-COLUMN($K:$K))="",$K134,trimtext(SplitText($J134,",",COLUMN(M:M)-COLUMN($K:$K))))</f>
        <v>DBE_KATAKANA</v>
      </c>
      <c r="N134" s="44" t="str">
        <f>IF(SplitText($J134,",",COLUMN(N:N)-COLUMN($K:$K))="",$K134,trimtext(SplitText($J134,",",COLUMN(N:N)-COLUMN($K:$K))))</f>
        <v>HANJA</v>
      </c>
      <c r="O134" s="44" t="str">
        <f>IF(SplitText($J134,",",COLUMN(O:O)-COLUMN($K:$K))="",$K134,trimtext(SplitText($J134,",",COLUMN(O:O)-COLUMN($K:$K))))</f>
        <v>HANGEUL</v>
      </c>
      <c r="P134" s="44" t="str">
        <f>IF(SplitText($J134,",",COLUMN(P:P)-COLUMN($K:$K))="",$K134,trimtext(SplitText($J134,",",COLUMN(P:P)-COLUMN($K:$K))))</f>
        <v>RCONTROL</v>
      </c>
      <c r="Q134" s="44" t="str">
        <f>IF(SplitText($J134,",",COLUMN(Q:Q)-COLUMN($K:$K))="",$K134,trimtext(SplitText($J134,",",COLUMN(Q:Q)-COLUMN($K:$K))))</f>
        <v>RCONTROL</v>
      </c>
      <c r="R134" s="2" t="s">
        <v>470</v>
      </c>
      <c r="S134" s="44" t="str">
        <f>trimtext(SplitText($R134,",",0))</f>
        <v>_none_</v>
      </c>
      <c r="T134" s="44" t="str">
        <f>IF(SplitText($R134,",",COLUMN(T:T)-COLUMN($S:$S))="",$S134,trimtext(SplitText($R134,",",COLUMN(T:T)-COLUMN($S:$S))))</f>
        <v>_none_</v>
      </c>
      <c r="U134" s="45" t="str">
        <f>IF(SplitText($R134,",",COLUMN(U:U)-COLUMN($S:$S))="",$S134,trimtext(SplitText($R134,",",COLUMN(U:U)-COLUMN($S:$S))))</f>
        <v>RCONTROL</v>
      </c>
      <c r="V134" s="53" t="s">
        <v>623</v>
      </c>
      <c r="W134" s="44" t="str">
        <f>trimtext(SplitText($V134,",",0))</f>
        <v>RCONTROL</v>
      </c>
      <c r="X134" s="44" t="str">
        <f>IF(SplitText($V134,",",COLUMN(X:X)-COLUMN($W:$W))="",$W134,trimtext(SplitText($V134,",",COLUMN(X:X)-COLUMN($W:$W))))</f>
        <v>RCONTROL</v>
      </c>
      <c r="Y134" s="44" t="str">
        <f>IF(SplitText($V134,",",COLUMN(Y:Y)-COLUMN($W:$W))="",$W134,trimtext(SplitText($V134,",",COLUMN(Y:Y)-COLUMN($W:$W))))</f>
        <v>KANA</v>
      </c>
      <c r="Z134" s="24"/>
      <c r="AA134" s="44" t="str">
        <f t="shared" si="13"/>
        <v/>
      </c>
      <c r="AB134" s="2" t="s">
        <v>837</v>
      </c>
      <c r="AC134" s="44" t="str">
        <f>trimtext(SplitText($AB134,",",0))</f>
        <v>RCONTROL</v>
      </c>
      <c r="AD134" s="44" t="str">
        <f>IF(SplitText($AB134,",",COLUMN(AD:AD)-COLUMN($AC:$AC))="",$AC134,trimtext(SplitText($AB134,",",COLUMN(AD:AD)-COLUMN($AC:$AC))))</f>
        <v>RCONTROL</v>
      </c>
      <c r="AE134" s="18" t="str">
        <f t="shared" si="12"/>
        <v>&lt;xs:enumeration value="X1D"&gt;&lt;xs:annotation&gt;&lt;xs:documentation&gt;Typically RCONTROL for keyboard type 4, different values for different keyboard types&lt;/xs:documentation&gt;&lt;xs:appinfo&gt;&lt;default-vk&gt;</v>
      </c>
      <c r="AF134" s="15" t="str">
        <f>IF(D134&lt;&gt;"","&lt;vk kbd="""&amp;D$1&amp;""" vk="""&amp;D134&amp;""""&amp;IF(Scan2VKFlags!B134&lt;&gt;""," flags="""&amp;Scan2VKFlags!B134&amp;"""","")&amp;"/&gt;","")</f>
        <v>&lt;vk kbd="1" vk="RCONTROL"/&gt;</v>
      </c>
      <c r="AG134" s="15" t="str">
        <f>IF(E134&lt;&gt;"","&lt;vk kbd="""&amp;E$1&amp;""" vk="""&amp;E134&amp;""""&amp;IF(Scan2VKFlags!C134&lt;&gt;""," flags="""&amp;Scan2VKFlags!C134&amp;"""","")&amp;"/&gt;","")</f>
        <v>&lt;vk kbd="2" vk="RCONTROL"/&gt;</v>
      </c>
      <c r="AH134" s="15" t="str">
        <f>IF(F134&lt;&gt;"","&lt;vk kbd="""&amp;F$1&amp;""" vk="""&amp;F134&amp;""""&amp;IF(Scan2VKFlags!D134&lt;&gt;""," flags="""&amp;Scan2VKFlags!D134&amp;"""","")&amp;"/&gt;","")</f>
        <v>&lt;vk kbd="3" vk="RCONTROL"/&gt;</v>
      </c>
      <c r="AI134" s="15" t="str">
        <f>IF(G134&lt;&gt;"","&lt;vk kbd="""&amp;G$1&amp;""" vk="""&amp;G134&amp;""""&amp;IF(Scan2VKFlags!E134&lt;&gt;""," flags="""&amp;Scan2VKFlags!E134&amp;"""","")&amp;"/&gt;","")</f>
        <v>&lt;vk kbd="4" vk="RCONTROL" flags="KBDEXT"/&gt;</v>
      </c>
      <c r="AJ134" s="15" t="str">
        <f>IF(H134&lt;&gt;"","&lt;vk kbd="""&amp;H$1&amp;""" vk="""&amp;H134&amp;""""&amp;IF(Scan2VKFlags!F134&lt;&gt;""," flags="""&amp;Scan2VKFlags!F134&amp;"""","")&amp;"/&gt;","")</f>
        <v>&lt;vk kbd="5" vk="RCONTROL"/&gt;</v>
      </c>
      <c r="AK134" s="16" t="str">
        <f>IF(I134&lt;&gt;"","&lt;vk kbd="""&amp;I$1&amp;""" vk="""&amp;I134&amp;""""&amp;IF(Scan2VKFlags!G134&lt;&gt;""," flags="""&amp;Scan2VKFlags!G134&amp;"""","")&amp;"/&gt;","")</f>
        <v>&lt;vk kbd="6" vk="RCONTROL"/&gt;</v>
      </c>
      <c r="AL134" s="3" t="str">
        <f>IF(K134&lt;&gt;"","&lt;vk kbd="""&amp;K$1&amp;""" vk="""&amp;K134&amp;""""&amp;IF(Scan2VKFlags!H134&lt;&gt;""," flags="""&amp;Scan2VKFlags!H134&amp;"""","")&amp;"/&gt;","")</f>
        <v>&lt;vk kbd="7" vk="RCONTROL"/&gt;</v>
      </c>
      <c r="AM134" s="15" t="str">
        <f>IF(L134&lt;&gt;"","&lt;vk kbd="""&amp;L$1&amp;""" vk="""&amp;L134&amp;""""&amp;IF(Scan2VKFlags!I134&lt;&gt;""," flags="""&amp;Scan2VKFlags!I134&amp;"""","")&amp;"/&gt;","")</f>
        <v>&lt;vk kbd="8" vk="RCONTROL"/&gt;</v>
      </c>
      <c r="AN134" s="15" t="str">
        <f>IF(M134&lt;&gt;"","&lt;vk kbd="""&amp;M$1&amp;""" vk="""&amp;M134&amp;""""&amp;IF(Scan2VKFlags!J134&lt;&gt;""," flags="""&amp;Scan2VKFlags!J134&amp;"""","")&amp;"/&gt;","")</f>
        <v>&lt;vk kbd="16" vk="DBE_KATAKANA"/&gt;</v>
      </c>
      <c r="AO134" s="15" t="str">
        <f>IF(N134&lt;&gt;"","&lt;vk kbd="""&amp;N$1&amp;""" vk="""&amp;N134&amp;""""&amp;IF(Scan2VKFlags!K134&lt;&gt;""," flags="""&amp;Scan2VKFlags!K134&amp;"""","")&amp;"/&gt;","")</f>
        <v>&lt;vk kbd="10" vk="HANJA"/&gt;</v>
      </c>
      <c r="AP134" s="15" t="str">
        <f>IF(O134&lt;&gt;"","&lt;vk kbd="""&amp;O$1&amp;""" vk="""&amp;O134&amp;""""&amp;IF(Scan2VKFlags!L134&lt;&gt;""," flags="""&amp;Scan2VKFlags!L134&amp;"""","")&amp;"/&gt;","")</f>
        <v>&lt;vk kbd="11" vk="HANGEUL"/&gt;</v>
      </c>
      <c r="AQ134" s="15" t="str">
        <f>IF(P134&lt;&gt;"","&lt;vk kbd="""&amp;P$1&amp;""" vk="""&amp;P134&amp;""""&amp;IF(Scan2VKFlags!M134&lt;&gt;""," flags="""&amp;Scan2VKFlags!M134&amp;"""","")&amp;"/&gt;","")</f>
        <v>&lt;vk kbd="12" vk="RCONTROL"/&gt;</v>
      </c>
      <c r="AR134" s="16" t="str">
        <f>IF(Q134&lt;&gt;"","&lt;vk kbd="""&amp;Q$1&amp;""" vk="""&amp;Q134&amp;""""&amp;IF(Scan2VKFlags!N134&lt;&gt;""," flags="""&amp;Scan2VKFlags!N134&amp;"""","")&amp;"/&gt;","")</f>
        <v>&lt;vk kbd="13" vk="RCONTROL"/&gt;</v>
      </c>
      <c r="AS134" s="3" t="str">
        <f>IF(S134&lt;&gt;"","&lt;vk kbd="""&amp;S$1&amp;""" vk="""&amp;S134&amp;""""&amp;IF(Scan2VKFlags!O134&lt;&gt;""," flags="""&amp;Scan2VKFlags!O134&amp;"""","")&amp;"/&gt;","")</f>
        <v>&lt;vk kbd="20" vk="_none_"/&gt;</v>
      </c>
      <c r="AT134" s="15" t="str">
        <f>IF(T134&lt;&gt;"","&lt;vk kbd="""&amp;T$1&amp;""" vk="""&amp;T134&amp;""""&amp;IF(Scan2VKFlags!P134&lt;&gt;""," flags="""&amp;Scan2VKFlags!P134&amp;"""","")&amp;"/&gt;","")</f>
        <v>&lt;vk kbd="21" vk="_none_"/&gt;</v>
      </c>
      <c r="AU134" s="16" t="str">
        <f>IF(U134&lt;&gt;"","&lt;vk kbd="""&amp;U$1&amp;""" vk="""&amp;U134&amp;""""&amp;IF(Scan2VKFlags!Q134&lt;&gt;""," flags="""&amp;Scan2VKFlags!Q134&amp;"""","")&amp;"/&gt;","")</f>
        <v>&lt;vk kbd="22" vk="RCONTROL"/&gt;</v>
      </c>
      <c r="AV134" s="3" t="str">
        <f>IF(W134&lt;&gt;"","&lt;vk kbd="""&amp;W$1&amp;""" vk="""&amp;W134&amp;""""&amp;IF(Scan2VKFlags!R134&lt;&gt;""," flags="""&amp;Scan2VKFlags!R134&amp;"""","")&amp;"/&gt;","")</f>
        <v>&lt;vk kbd="30" vk="RCONTROL"/&gt;</v>
      </c>
      <c r="AW134" s="15" t="str">
        <f>IF(X134&lt;&gt;"","&lt;vk kbd="""&amp;X$1&amp;""" vk="""&amp;X134&amp;""""&amp;IF(Scan2VKFlags!S134&lt;&gt;""," flags="""&amp;Scan2VKFlags!S134&amp;"""","")&amp;"/&gt;","")</f>
        <v>&lt;vk kbd="33" vk="RCONTROL"/&gt;</v>
      </c>
      <c r="AX134" s="15" t="str">
        <f>IF(Y134&lt;&gt;"","&lt;vk kbd="""&amp;Y$1&amp;""" vk="""&amp;Y134&amp;""""&amp;IF(Scan2VKFlags!T134&lt;&gt;""," flags="""&amp;Scan2VKFlags!T134&amp;"""","")&amp;"/&gt;","")</f>
        <v>&lt;vk kbd="34" vk="KANA"/&gt;</v>
      </c>
      <c r="AY134" s="18" t="str">
        <f>IF(AA134&lt;&gt;"","&lt;vk kbd="""&amp;AA$1&amp;""" vk="""&amp;AA134&amp;""""&amp;IF(Scan2VKFlags!U134&lt;&gt;""," flags="""&amp;Scan2VKFlags!U134&amp;"""","")&amp;"/&gt;","")</f>
        <v/>
      </c>
      <c r="AZ134" s="3" t="str">
        <f>IF(AC134&lt;&gt;"","&lt;vk kbd="""&amp;AC$1&amp;""" vk="""&amp;AC134&amp;""""&amp;IF(Scan2VKFlags!V134&lt;&gt;""," flags="""&amp;Scan2VKFlags!V134&amp;"""","")&amp;"/&gt;","")</f>
        <v>&lt;vk kbd="40" vk="RCONTROL"/&gt;</v>
      </c>
      <c r="BA134" s="16" t="str">
        <f>IF(AD134&lt;&gt;"","&lt;vk kbd="""&amp;AD$1&amp;""" vk="""&amp;AD134&amp;""""&amp;IF(Scan2VKFlags!W134&lt;&gt;""," flags="""&amp;Scan2VKFlags!W134&amp;"""","")&amp;"/&gt;","")</f>
        <v>&lt;vk kbd="41" vk="RCONTROL"/&gt;</v>
      </c>
      <c r="BB134" s="15" t="s">
        <v>854</v>
      </c>
    </row>
    <row r="135" spans="1:54" s="15" customFormat="1" x14ac:dyDescent="0.25">
      <c r="B135" s="52" t="s">
        <v>150</v>
      </c>
      <c r="C135" s="7" t="s">
        <v>121</v>
      </c>
      <c r="D135" s="44" t="str">
        <f>trimtext(SplitText($C135,",",0))</f>
        <v>VOLUME_MUTE</v>
      </c>
      <c r="E135" s="44" t="str">
        <f>IF(SplitText($C135,",",COLUMN(E:E)-COLUMN($D:$D))="",$D135,trimtext(SplitText($C135,",",COLUMN(E:E)-COLUMN($D:$D))))</f>
        <v>VOLUME_MUTE</v>
      </c>
      <c r="F135" s="44" t="str">
        <f>IF(SplitText($C135,",",COLUMN(F:F)-COLUMN($D:$D))="",$D135,trimtext(SplitText($C135,",",COLUMN(F:F)-COLUMN($D:$D))))</f>
        <v>VOLUME_MUTE</v>
      </c>
      <c r="G135" s="44" t="str">
        <f>IF(SplitText($C135,",",COLUMN(G:G)-COLUMN($D:$D))="",$D135,trimtext(SplitText($C135,",",COLUMN(G:G)-COLUMN($D:$D))))</f>
        <v>VOLUME_MUTE</v>
      </c>
      <c r="H135" s="44" t="str">
        <f>IF(SplitText($C135,",",COLUMN(H:H)-COLUMN($D:$D))="",$D135,trimtext(SplitText($C135,",",COLUMN(H:H)-COLUMN($D:$D))))</f>
        <v>VOLUME_MUTE</v>
      </c>
      <c r="I135" s="44" t="str">
        <f>IF(SplitText($C135,",",COLUMN(I:I)-COLUMN($D:$D))="",$D135,trimtext(SplitText($C135,",",COLUMN(I:I)-COLUMN($D:$D))))</f>
        <v>VOLUME_MUTE</v>
      </c>
      <c r="J135" s="9" t="s">
        <v>306</v>
      </c>
      <c r="K135" s="44" t="str">
        <f>trimtext(SplitText($J135,",",0))</f>
        <v>VOLUME_MUTE</v>
      </c>
      <c r="L135" s="44" t="str">
        <f>IF(SplitText($J135,",",COLUMN(L:L)-COLUMN($K:$K))="",$K135,trimtext(SplitText($J135,",",COLUMN(L:L)-COLUMN($K:$K))))</f>
        <v>VOLUME_MUTE</v>
      </c>
      <c r="M135" s="44" t="str">
        <f>IF(SplitText($J135,",",COLUMN(M:M)-COLUMN($K:$K))="",$K135,trimtext(SplitText($J135,",",COLUMN(M:M)-COLUMN($K:$K))))</f>
        <v>VOLUME_MUTE</v>
      </c>
      <c r="N135" s="44" t="str">
        <f>IF(SplitText($J135,",",COLUMN(N:N)-COLUMN($K:$K))="",$K135,trimtext(SplitText($J135,",",COLUMN(N:N)-COLUMN($K:$K))))</f>
        <v>VOLUME_MUTE</v>
      </c>
      <c r="O135" s="44" t="str">
        <f>IF(SplitText($J135,",",COLUMN(O:O)-COLUMN($K:$K))="",$K135,trimtext(SplitText($J135,",",COLUMN(O:O)-COLUMN($K:$K))))</f>
        <v>VOLUME_MUTE</v>
      </c>
      <c r="P135" s="44" t="str">
        <f>IF(SplitText($J135,",",COLUMN(P:P)-COLUMN($K:$K))="",$K135,trimtext(SplitText($J135,",",COLUMN(P:P)-COLUMN($K:$K))))</f>
        <v>VOLUME_MUTE</v>
      </c>
      <c r="Q135" s="44" t="str">
        <f>IF(SplitText($J135,",",COLUMN(Q:Q)-COLUMN($K:$K))="",$K135,trimtext(SplitText($J135,",",COLUMN(Q:Q)-COLUMN($K:$K))))</f>
        <v>VOLUME_MUTE</v>
      </c>
      <c r="R135" s="24"/>
      <c r="S135" s="44" t="str">
        <f>trimtext(SplitText($R135,",",0))</f>
        <v/>
      </c>
      <c r="T135" s="44" t="str">
        <f>IF(SplitText($R135,",",COLUMN(T:T)-COLUMN($S:$S))="",$S135,trimtext(SplitText($R135,",",COLUMN(T:T)-COLUMN($S:$S))))</f>
        <v/>
      </c>
      <c r="U135" s="45" t="str">
        <f>IF(SplitText($R135,",",COLUMN(U:U)-COLUMN($S:$S))="",$S135,trimtext(SplitText($R135,",",COLUMN(U:U)-COLUMN($S:$S))))</f>
        <v/>
      </c>
      <c r="V135" s="42"/>
      <c r="W135" s="44" t="str">
        <f>trimtext(SplitText($V135,",",0))</f>
        <v/>
      </c>
      <c r="X135" s="44" t="str">
        <f>IF(SplitText($V135,",",COLUMN(X:X)-COLUMN($W:$W))="",$W135,trimtext(SplitText($V135,",",COLUMN(X:X)-COLUMN($W:$W))))</f>
        <v/>
      </c>
      <c r="Y135" s="44" t="str">
        <f>IF(SplitText($V135,",",COLUMN(Y:Y)-COLUMN($W:$W))="",$W135,trimtext(SplitText($V135,",",COLUMN(Y:Y)-COLUMN($W:$W))))</f>
        <v/>
      </c>
      <c r="Z135" s="24"/>
      <c r="AA135" s="44" t="str">
        <f t="shared" si="13"/>
        <v/>
      </c>
      <c r="AB135" s="24"/>
      <c r="AC135" s="44" t="str">
        <f>trimtext(SplitText($AB135,",",0))</f>
        <v/>
      </c>
      <c r="AD135" s="44" t="str">
        <f>IF(SplitText($AB135,",",COLUMN(AD:AD)-COLUMN($AC:$AC))="",$AC135,trimtext(SplitText($AB135,",",COLUMN(AD:AD)-COLUMN($AC:$AC))))</f>
        <v/>
      </c>
      <c r="AE135" s="18" t="str">
        <f t="shared" si="12"/>
        <v>&lt;xs:enumeration value="X20"&gt;&lt;xs:annotation&gt;&lt;xs:documentation&gt;Typically VOLUME_MUTE for keyboard type 4, different values for different keyboard types&lt;/xs:documentation&gt;&lt;xs:appinfo&gt;&lt;default-vk&gt;</v>
      </c>
      <c r="AF135" s="15" t="str">
        <f>IF(D135&lt;&gt;"","&lt;vk kbd="""&amp;D$1&amp;""" vk="""&amp;D135&amp;""""&amp;IF(Scan2VKFlags!B135&lt;&gt;""," flags="""&amp;Scan2VKFlags!B135&amp;"""","")&amp;"/&gt;","")</f>
        <v>&lt;vk kbd="1" vk="VOLUME_MUTE"/&gt;</v>
      </c>
      <c r="AG135" s="15" t="str">
        <f>IF(E135&lt;&gt;"","&lt;vk kbd="""&amp;E$1&amp;""" vk="""&amp;E135&amp;""""&amp;IF(Scan2VKFlags!C135&lt;&gt;""," flags="""&amp;Scan2VKFlags!C135&amp;"""","")&amp;"/&gt;","")</f>
        <v>&lt;vk kbd="2" vk="VOLUME_MUTE"/&gt;</v>
      </c>
      <c r="AH135" s="15" t="str">
        <f>IF(F135&lt;&gt;"","&lt;vk kbd="""&amp;F$1&amp;""" vk="""&amp;F135&amp;""""&amp;IF(Scan2VKFlags!D135&lt;&gt;""," flags="""&amp;Scan2VKFlags!D135&amp;"""","")&amp;"/&gt;","")</f>
        <v>&lt;vk kbd="3" vk="VOLUME_MUTE"/&gt;</v>
      </c>
      <c r="AI135" s="15" t="str">
        <f>IF(G135&lt;&gt;"","&lt;vk kbd="""&amp;G$1&amp;""" vk="""&amp;G135&amp;""""&amp;IF(Scan2VKFlags!E135&lt;&gt;""," flags="""&amp;Scan2VKFlags!E135&amp;"""","")&amp;"/&gt;","")</f>
        <v>&lt;vk kbd="4" vk="VOLUME_MUTE" flags="KBDEXT"/&gt;</v>
      </c>
      <c r="AJ135" s="15" t="str">
        <f>IF(H135&lt;&gt;"","&lt;vk kbd="""&amp;H$1&amp;""" vk="""&amp;H135&amp;""""&amp;IF(Scan2VKFlags!F135&lt;&gt;""," flags="""&amp;Scan2VKFlags!F135&amp;"""","")&amp;"/&gt;","")</f>
        <v>&lt;vk kbd="5" vk="VOLUME_MUTE"/&gt;</v>
      </c>
      <c r="AK135" s="16" t="str">
        <f>IF(I135&lt;&gt;"","&lt;vk kbd="""&amp;I$1&amp;""" vk="""&amp;I135&amp;""""&amp;IF(Scan2VKFlags!G135&lt;&gt;""," flags="""&amp;Scan2VKFlags!G135&amp;"""","")&amp;"/&gt;","")</f>
        <v>&lt;vk kbd="6" vk="VOLUME_MUTE"/&gt;</v>
      </c>
      <c r="AL135" s="3" t="str">
        <f>IF(K135&lt;&gt;"","&lt;vk kbd="""&amp;K$1&amp;""" vk="""&amp;K135&amp;""""&amp;IF(Scan2VKFlags!H135&lt;&gt;""," flags="""&amp;Scan2VKFlags!H135&amp;"""","")&amp;"/&gt;","")</f>
        <v>&lt;vk kbd="7" vk="VOLUME_MUTE"/&gt;</v>
      </c>
      <c r="AM135" s="15" t="str">
        <f>IF(L135&lt;&gt;"","&lt;vk kbd="""&amp;L$1&amp;""" vk="""&amp;L135&amp;""""&amp;IF(Scan2VKFlags!I135&lt;&gt;""," flags="""&amp;Scan2VKFlags!I135&amp;"""","")&amp;"/&gt;","")</f>
        <v>&lt;vk kbd="8" vk="VOLUME_MUTE"/&gt;</v>
      </c>
      <c r="AN135" s="15" t="str">
        <f>IF(M135&lt;&gt;"","&lt;vk kbd="""&amp;M$1&amp;""" vk="""&amp;M135&amp;""""&amp;IF(Scan2VKFlags!J135&lt;&gt;""," flags="""&amp;Scan2VKFlags!J135&amp;"""","")&amp;"/&gt;","")</f>
        <v>&lt;vk kbd="16" vk="VOLUME_MUTE"/&gt;</v>
      </c>
      <c r="AO135" s="15" t="str">
        <f>IF(N135&lt;&gt;"","&lt;vk kbd="""&amp;N$1&amp;""" vk="""&amp;N135&amp;""""&amp;IF(Scan2VKFlags!K135&lt;&gt;""," flags="""&amp;Scan2VKFlags!K135&amp;"""","")&amp;"/&gt;","")</f>
        <v>&lt;vk kbd="10" vk="VOLUME_MUTE"/&gt;</v>
      </c>
      <c r="AP135" s="15" t="str">
        <f>IF(O135&lt;&gt;"","&lt;vk kbd="""&amp;O$1&amp;""" vk="""&amp;O135&amp;""""&amp;IF(Scan2VKFlags!L135&lt;&gt;""," flags="""&amp;Scan2VKFlags!L135&amp;"""","")&amp;"/&gt;","")</f>
        <v>&lt;vk kbd="11" vk="VOLUME_MUTE"/&gt;</v>
      </c>
      <c r="AQ135" s="15" t="str">
        <f>IF(P135&lt;&gt;"","&lt;vk kbd="""&amp;P$1&amp;""" vk="""&amp;P135&amp;""""&amp;IF(Scan2VKFlags!M135&lt;&gt;""," flags="""&amp;Scan2VKFlags!M135&amp;"""","")&amp;"/&gt;","")</f>
        <v>&lt;vk kbd="12" vk="VOLUME_MUTE"/&gt;</v>
      </c>
      <c r="AR135" s="16" t="str">
        <f>IF(Q135&lt;&gt;"","&lt;vk kbd="""&amp;Q$1&amp;""" vk="""&amp;Q135&amp;""""&amp;IF(Scan2VKFlags!N135&lt;&gt;""," flags="""&amp;Scan2VKFlags!N135&amp;"""","")&amp;"/&gt;","")</f>
        <v>&lt;vk kbd="13" vk="VOLUME_MUTE"/&gt;</v>
      </c>
      <c r="AS135" s="3" t="str">
        <f>IF(S135&lt;&gt;"","&lt;vk kbd="""&amp;S$1&amp;""" vk="""&amp;S135&amp;""""&amp;IF(Scan2VKFlags!O135&lt;&gt;""," flags="""&amp;Scan2VKFlags!O135&amp;"""","")&amp;"/&gt;","")</f>
        <v/>
      </c>
      <c r="AT135" s="15" t="str">
        <f>IF(T135&lt;&gt;"","&lt;vk kbd="""&amp;T$1&amp;""" vk="""&amp;T135&amp;""""&amp;IF(Scan2VKFlags!P135&lt;&gt;""," flags="""&amp;Scan2VKFlags!P135&amp;"""","")&amp;"/&gt;","")</f>
        <v/>
      </c>
      <c r="AU135" s="16" t="str">
        <f>IF(U135&lt;&gt;"","&lt;vk kbd="""&amp;U$1&amp;""" vk="""&amp;U135&amp;""""&amp;IF(Scan2VKFlags!Q135&lt;&gt;""," flags="""&amp;Scan2VKFlags!Q135&amp;"""","")&amp;"/&gt;","")</f>
        <v/>
      </c>
      <c r="AV135" s="3" t="str">
        <f>IF(W135&lt;&gt;"","&lt;vk kbd="""&amp;W$1&amp;""" vk="""&amp;W135&amp;""""&amp;IF(Scan2VKFlags!R135&lt;&gt;""," flags="""&amp;Scan2VKFlags!R135&amp;"""","")&amp;"/&gt;","")</f>
        <v/>
      </c>
      <c r="AW135" s="15" t="str">
        <f>IF(X135&lt;&gt;"","&lt;vk kbd="""&amp;X$1&amp;""" vk="""&amp;X135&amp;""""&amp;IF(Scan2VKFlags!S135&lt;&gt;""," flags="""&amp;Scan2VKFlags!S135&amp;"""","")&amp;"/&gt;","")</f>
        <v/>
      </c>
      <c r="AX135" s="15" t="str">
        <f>IF(Y135&lt;&gt;"","&lt;vk kbd="""&amp;Y$1&amp;""" vk="""&amp;Y135&amp;""""&amp;IF(Scan2VKFlags!T135&lt;&gt;""," flags="""&amp;Scan2VKFlags!T135&amp;"""","")&amp;"/&gt;","")</f>
        <v/>
      </c>
      <c r="AY135" s="18" t="str">
        <f>IF(AA135&lt;&gt;"","&lt;vk kbd="""&amp;AA$1&amp;""" vk="""&amp;AA135&amp;""""&amp;IF(Scan2VKFlags!U135&lt;&gt;""," flags="""&amp;Scan2VKFlags!U135&amp;"""","")&amp;"/&gt;","")</f>
        <v/>
      </c>
      <c r="AZ135" s="3" t="str">
        <f>IF(AC135&lt;&gt;"","&lt;vk kbd="""&amp;AC$1&amp;""" vk="""&amp;AC135&amp;""""&amp;IF(Scan2VKFlags!V135&lt;&gt;""," flags="""&amp;Scan2VKFlags!V135&amp;"""","")&amp;"/&gt;","")</f>
        <v/>
      </c>
      <c r="BA135" s="16" t="str">
        <f>IF(AD135&lt;&gt;"","&lt;vk kbd="""&amp;AD$1&amp;""" vk="""&amp;AD135&amp;""""&amp;IF(Scan2VKFlags!W135&lt;&gt;""," flags="""&amp;Scan2VKFlags!W135&amp;"""","")&amp;"/&gt;","")</f>
        <v/>
      </c>
      <c r="BB135" s="15" t="s">
        <v>854</v>
      </c>
    </row>
    <row r="136" spans="1:54" s="15" customFormat="1" x14ac:dyDescent="0.25">
      <c r="B136" s="52" t="s">
        <v>151</v>
      </c>
      <c r="C136" s="7" t="s">
        <v>122</v>
      </c>
      <c r="D136" s="44" t="str">
        <f>trimtext(SplitText($C136,",",0))</f>
        <v>LAUNCH_APP2</v>
      </c>
      <c r="E136" s="44" t="str">
        <f>IF(SplitText($C136,",",COLUMN(E:E)-COLUMN($D:$D))="",$D136,trimtext(SplitText($C136,",",COLUMN(E:E)-COLUMN($D:$D))))</f>
        <v>LAUNCH_APP2</v>
      </c>
      <c r="F136" s="44" t="str">
        <f>IF(SplitText($C136,",",COLUMN(F:F)-COLUMN($D:$D))="",$D136,trimtext(SplitText($C136,",",COLUMN(F:F)-COLUMN($D:$D))))</f>
        <v>LAUNCH_APP2</v>
      </c>
      <c r="G136" s="44" t="str">
        <f>IF(SplitText($C136,",",COLUMN(G:G)-COLUMN($D:$D))="",$D136,trimtext(SplitText($C136,",",COLUMN(G:G)-COLUMN($D:$D))))</f>
        <v>LAUNCH_APP2</v>
      </c>
      <c r="H136" s="44" t="str">
        <f>IF(SplitText($C136,",",COLUMN(H:H)-COLUMN($D:$D))="",$D136,trimtext(SplitText($C136,",",COLUMN(H:H)-COLUMN($D:$D))))</f>
        <v>LAUNCH_APP2</v>
      </c>
      <c r="I136" s="44" t="str">
        <f>IF(SplitText($C136,",",COLUMN(I:I)-COLUMN($D:$D))="",$D136,trimtext(SplitText($C136,",",COLUMN(I:I)-COLUMN($D:$D))))</f>
        <v>LAUNCH_APP2</v>
      </c>
      <c r="J136" s="9" t="s">
        <v>307</v>
      </c>
      <c r="K136" s="44" t="str">
        <f>trimtext(SplitText($J136,",",0))</f>
        <v>LAUNCH_APP2</v>
      </c>
      <c r="L136" s="44" t="str">
        <f>IF(SplitText($J136,",",COLUMN(L:L)-COLUMN($K:$K))="",$K136,trimtext(SplitText($J136,",",COLUMN(L:L)-COLUMN($K:$K))))</f>
        <v>LAUNCH_APP2</v>
      </c>
      <c r="M136" s="44" t="str">
        <f>IF(SplitText($J136,",",COLUMN(M:M)-COLUMN($K:$K))="",$K136,trimtext(SplitText($J136,",",COLUMN(M:M)-COLUMN($K:$K))))</f>
        <v>LAUNCH_APP2</v>
      </c>
      <c r="N136" s="44" t="str">
        <f>IF(SplitText($J136,",",COLUMN(N:N)-COLUMN($K:$K))="",$K136,trimtext(SplitText($J136,",",COLUMN(N:N)-COLUMN($K:$K))))</f>
        <v>LAUNCH_APP2</v>
      </c>
      <c r="O136" s="44" t="str">
        <f>IF(SplitText($J136,",",COLUMN(O:O)-COLUMN($K:$K))="",$K136,trimtext(SplitText($J136,",",COLUMN(O:O)-COLUMN($K:$K))))</f>
        <v>LAUNCH_APP2</v>
      </c>
      <c r="P136" s="44" t="str">
        <f>IF(SplitText($J136,",",COLUMN(P:P)-COLUMN($K:$K))="",$K136,trimtext(SplitText($J136,",",COLUMN(P:P)-COLUMN($K:$K))))</f>
        <v>LAUNCH_APP2</v>
      </c>
      <c r="Q136" s="44" t="str">
        <f>IF(SplitText($J136,",",COLUMN(Q:Q)-COLUMN($K:$K))="",$K136,trimtext(SplitText($J136,",",COLUMN(Q:Q)-COLUMN($K:$K))))</f>
        <v>LAUNCH_APP2</v>
      </c>
      <c r="R136" s="24"/>
      <c r="S136" s="44" t="str">
        <f>trimtext(SplitText($R136,",",0))</f>
        <v/>
      </c>
      <c r="T136" s="44" t="str">
        <f>IF(SplitText($R136,",",COLUMN(T:T)-COLUMN($S:$S))="",$S136,trimtext(SplitText($R136,",",COLUMN(T:T)-COLUMN($S:$S))))</f>
        <v/>
      </c>
      <c r="U136" s="45" t="str">
        <f>IF(SplitText($R136,",",COLUMN(U:U)-COLUMN($S:$S))="",$S136,trimtext(SplitText($R136,",",COLUMN(U:U)-COLUMN($S:$S))))</f>
        <v/>
      </c>
      <c r="V136" s="42"/>
      <c r="W136" s="44" t="str">
        <f>trimtext(SplitText($V136,",",0))</f>
        <v/>
      </c>
      <c r="X136" s="44" t="str">
        <f>IF(SplitText($V136,",",COLUMN(X:X)-COLUMN($W:$W))="",$W136,trimtext(SplitText($V136,",",COLUMN(X:X)-COLUMN($W:$W))))</f>
        <v/>
      </c>
      <c r="Y136" s="44" t="str">
        <f>IF(SplitText($V136,",",COLUMN(Y:Y)-COLUMN($W:$W))="",$W136,trimtext(SplitText($V136,",",COLUMN(Y:Y)-COLUMN($W:$W))))</f>
        <v/>
      </c>
      <c r="Z136" s="24"/>
      <c r="AA136" s="44" t="str">
        <f t="shared" si="13"/>
        <v/>
      </c>
      <c r="AB136" s="24"/>
      <c r="AC136" s="44" t="str">
        <f>trimtext(SplitText($AB136,",",0))</f>
        <v/>
      </c>
      <c r="AD136" s="44" t="str">
        <f>IF(SplitText($AB136,",",COLUMN(AD:AD)-COLUMN($AC:$AC))="",$AC136,trimtext(SplitText($AB136,",",COLUMN(AD:AD)-COLUMN($AC:$AC))))</f>
        <v/>
      </c>
      <c r="AE136" s="18" t="str">
        <f t="shared" si="12"/>
        <v>&lt;xs:enumeration value="X21"&gt;&lt;xs:annotation&gt;&lt;xs:documentation&gt;Typically LAUNCH_APP2 for keyboard type 4, different values for different keyboard types&lt;/xs:documentation&gt;&lt;xs:appinfo&gt;&lt;default-vk&gt;</v>
      </c>
      <c r="AF136" s="15" t="str">
        <f>IF(D136&lt;&gt;"","&lt;vk kbd="""&amp;D$1&amp;""" vk="""&amp;D136&amp;""""&amp;IF(Scan2VKFlags!B136&lt;&gt;""," flags="""&amp;Scan2VKFlags!B136&amp;"""","")&amp;"/&gt;","")</f>
        <v>&lt;vk kbd="1" vk="LAUNCH_APP2"/&gt;</v>
      </c>
      <c r="AG136" s="15" t="str">
        <f>IF(E136&lt;&gt;"","&lt;vk kbd="""&amp;E$1&amp;""" vk="""&amp;E136&amp;""""&amp;IF(Scan2VKFlags!C136&lt;&gt;""," flags="""&amp;Scan2VKFlags!C136&amp;"""","")&amp;"/&gt;","")</f>
        <v>&lt;vk kbd="2" vk="LAUNCH_APP2"/&gt;</v>
      </c>
      <c r="AH136" s="15" t="str">
        <f>IF(F136&lt;&gt;"","&lt;vk kbd="""&amp;F$1&amp;""" vk="""&amp;F136&amp;""""&amp;IF(Scan2VKFlags!D136&lt;&gt;""," flags="""&amp;Scan2VKFlags!D136&amp;"""","")&amp;"/&gt;","")</f>
        <v>&lt;vk kbd="3" vk="LAUNCH_APP2"/&gt;</v>
      </c>
      <c r="AI136" s="15" t="str">
        <f>IF(G136&lt;&gt;"","&lt;vk kbd="""&amp;G$1&amp;""" vk="""&amp;G136&amp;""""&amp;IF(Scan2VKFlags!E136&lt;&gt;""," flags="""&amp;Scan2VKFlags!E136&amp;"""","")&amp;"/&gt;","")</f>
        <v>&lt;vk kbd="4" vk="LAUNCH_APP2" flags="KBDEXT"/&gt;</v>
      </c>
      <c r="AJ136" s="15" t="str">
        <f>IF(H136&lt;&gt;"","&lt;vk kbd="""&amp;H$1&amp;""" vk="""&amp;H136&amp;""""&amp;IF(Scan2VKFlags!F136&lt;&gt;""," flags="""&amp;Scan2VKFlags!F136&amp;"""","")&amp;"/&gt;","")</f>
        <v>&lt;vk kbd="5" vk="LAUNCH_APP2"/&gt;</v>
      </c>
      <c r="AK136" s="16" t="str">
        <f>IF(I136&lt;&gt;"","&lt;vk kbd="""&amp;I$1&amp;""" vk="""&amp;I136&amp;""""&amp;IF(Scan2VKFlags!G136&lt;&gt;""," flags="""&amp;Scan2VKFlags!G136&amp;"""","")&amp;"/&gt;","")</f>
        <v>&lt;vk kbd="6" vk="LAUNCH_APP2"/&gt;</v>
      </c>
      <c r="AL136" s="3" t="str">
        <f>IF(K136&lt;&gt;"","&lt;vk kbd="""&amp;K$1&amp;""" vk="""&amp;K136&amp;""""&amp;IF(Scan2VKFlags!H136&lt;&gt;""," flags="""&amp;Scan2VKFlags!H136&amp;"""","")&amp;"/&gt;","")</f>
        <v>&lt;vk kbd="7" vk="LAUNCH_APP2"/&gt;</v>
      </c>
      <c r="AM136" s="15" t="str">
        <f>IF(L136&lt;&gt;"","&lt;vk kbd="""&amp;L$1&amp;""" vk="""&amp;L136&amp;""""&amp;IF(Scan2VKFlags!I136&lt;&gt;""," flags="""&amp;Scan2VKFlags!I136&amp;"""","")&amp;"/&gt;","")</f>
        <v>&lt;vk kbd="8" vk="LAUNCH_APP2"/&gt;</v>
      </c>
      <c r="AN136" s="15" t="str">
        <f>IF(M136&lt;&gt;"","&lt;vk kbd="""&amp;M$1&amp;""" vk="""&amp;M136&amp;""""&amp;IF(Scan2VKFlags!J136&lt;&gt;""," flags="""&amp;Scan2VKFlags!J136&amp;"""","")&amp;"/&gt;","")</f>
        <v>&lt;vk kbd="16" vk="LAUNCH_APP2"/&gt;</v>
      </c>
      <c r="AO136" s="15" t="str">
        <f>IF(N136&lt;&gt;"","&lt;vk kbd="""&amp;N$1&amp;""" vk="""&amp;N136&amp;""""&amp;IF(Scan2VKFlags!K136&lt;&gt;""," flags="""&amp;Scan2VKFlags!K136&amp;"""","")&amp;"/&gt;","")</f>
        <v>&lt;vk kbd="10" vk="LAUNCH_APP2"/&gt;</v>
      </c>
      <c r="AP136" s="15" t="str">
        <f>IF(O136&lt;&gt;"","&lt;vk kbd="""&amp;O$1&amp;""" vk="""&amp;O136&amp;""""&amp;IF(Scan2VKFlags!L136&lt;&gt;""," flags="""&amp;Scan2VKFlags!L136&amp;"""","")&amp;"/&gt;","")</f>
        <v>&lt;vk kbd="11" vk="LAUNCH_APP2"/&gt;</v>
      </c>
      <c r="AQ136" s="15" t="str">
        <f>IF(P136&lt;&gt;"","&lt;vk kbd="""&amp;P$1&amp;""" vk="""&amp;P136&amp;""""&amp;IF(Scan2VKFlags!M136&lt;&gt;""," flags="""&amp;Scan2VKFlags!M136&amp;"""","")&amp;"/&gt;","")</f>
        <v>&lt;vk kbd="12" vk="LAUNCH_APP2"/&gt;</v>
      </c>
      <c r="AR136" s="16" t="str">
        <f>IF(Q136&lt;&gt;"","&lt;vk kbd="""&amp;Q$1&amp;""" vk="""&amp;Q136&amp;""""&amp;IF(Scan2VKFlags!N136&lt;&gt;""," flags="""&amp;Scan2VKFlags!N136&amp;"""","")&amp;"/&gt;","")</f>
        <v>&lt;vk kbd="13" vk="LAUNCH_APP2"/&gt;</v>
      </c>
      <c r="AS136" s="3" t="str">
        <f>IF(S136&lt;&gt;"","&lt;vk kbd="""&amp;S$1&amp;""" vk="""&amp;S136&amp;""""&amp;IF(Scan2VKFlags!O136&lt;&gt;""," flags="""&amp;Scan2VKFlags!O136&amp;"""","")&amp;"/&gt;","")</f>
        <v/>
      </c>
      <c r="AT136" s="15" t="str">
        <f>IF(T136&lt;&gt;"","&lt;vk kbd="""&amp;T$1&amp;""" vk="""&amp;T136&amp;""""&amp;IF(Scan2VKFlags!P136&lt;&gt;""," flags="""&amp;Scan2VKFlags!P136&amp;"""","")&amp;"/&gt;","")</f>
        <v/>
      </c>
      <c r="AU136" s="16" t="str">
        <f>IF(U136&lt;&gt;"","&lt;vk kbd="""&amp;U$1&amp;""" vk="""&amp;U136&amp;""""&amp;IF(Scan2VKFlags!Q136&lt;&gt;""," flags="""&amp;Scan2VKFlags!Q136&amp;"""","")&amp;"/&gt;","")</f>
        <v/>
      </c>
      <c r="AV136" s="3" t="str">
        <f>IF(W136&lt;&gt;"","&lt;vk kbd="""&amp;W$1&amp;""" vk="""&amp;W136&amp;""""&amp;IF(Scan2VKFlags!R136&lt;&gt;""," flags="""&amp;Scan2VKFlags!R136&amp;"""","")&amp;"/&gt;","")</f>
        <v/>
      </c>
      <c r="AW136" s="15" t="str">
        <f>IF(X136&lt;&gt;"","&lt;vk kbd="""&amp;X$1&amp;""" vk="""&amp;X136&amp;""""&amp;IF(Scan2VKFlags!S136&lt;&gt;""," flags="""&amp;Scan2VKFlags!S136&amp;"""","")&amp;"/&gt;","")</f>
        <v/>
      </c>
      <c r="AX136" s="15" t="str">
        <f>IF(Y136&lt;&gt;"","&lt;vk kbd="""&amp;Y$1&amp;""" vk="""&amp;Y136&amp;""""&amp;IF(Scan2VKFlags!T136&lt;&gt;""," flags="""&amp;Scan2VKFlags!T136&amp;"""","")&amp;"/&gt;","")</f>
        <v/>
      </c>
      <c r="AY136" s="18" t="str">
        <f>IF(AA136&lt;&gt;"","&lt;vk kbd="""&amp;AA$1&amp;""" vk="""&amp;AA136&amp;""""&amp;IF(Scan2VKFlags!U136&lt;&gt;""," flags="""&amp;Scan2VKFlags!U136&amp;"""","")&amp;"/&gt;","")</f>
        <v/>
      </c>
      <c r="AZ136" s="3" t="str">
        <f>IF(AC136&lt;&gt;"","&lt;vk kbd="""&amp;AC$1&amp;""" vk="""&amp;AC136&amp;""""&amp;IF(Scan2VKFlags!V136&lt;&gt;""," flags="""&amp;Scan2VKFlags!V136&amp;"""","")&amp;"/&gt;","")</f>
        <v/>
      </c>
      <c r="BA136" s="16" t="str">
        <f>IF(AD136&lt;&gt;"","&lt;vk kbd="""&amp;AD$1&amp;""" vk="""&amp;AD136&amp;""""&amp;IF(Scan2VKFlags!W136&lt;&gt;""," flags="""&amp;Scan2VKFlags!W136&amp;"""","")&amp;"/&gt;","")</f>
        <v/>
      </c>
      <c r="BB136" s="15" t="s">
        <v>854</v>
      </c>
    </row>
    <row r="137" spans="1:54" s="15" customFormat="1" x14ac:dyDescent="0.25">
      <c r="B137" s="52" t="s">
        <v>152</v>
      </c>
      <c r="C137" s="7" t="s">
        <v>123</v>
      </c>
      <c r="D137" s="44" t="str">
        <f>trimtext(SplitText($C137,",",0))</f>
        <v>MEDIA_PLAY_PAUSE</v>
      </c>
      <c r="E137" s="44" t="str">
        <f>IF(SplitText($C137,",",COLUMN(E:E)-COLUMN($D:$D))="",$D137,trimtext(SplitText($C137,",",COLUMN(E:E)-COLUMN($D:$D))))</f>
        <v>MEDIA_PLAY_PAUSE</v>
      </c>
      <c r="F137" s="44" t="str">
        <f>IF(SplitText($C137,",",COLUMN(F:F)-COLUMN($D:$D))="",$D137,trimtext(SplitText($C137,",",COLUMN(F:F)-COLUMN($D:$D))))</f>
        <v>MEDIA_PLAY_PAUSE</v>
      </c>
      <c r="G137" s="44" t="str">
        <f>IF(SplitText($C137,",",COLUMN(G:G)-COLUMN($D:$D))="",$D137,trimtext(SplitText($C137,",",COLUMN(G:G)-COLUMN($D:$D))))</f>
        <v>MEDIA_PLAY_PAUSE</v>
      </c>
      <c r="H137" s="44" t="str">
        <f>IF(SplitText($C137,",",COLUMN(H:H)-COLUMN($D:$D))="",$D137,trimtext(SplitText($C137,",",COLUMN(H:H)-COLUMN($D:$D))))</f>
        <v>MEDIA_PLAY_PAUSE</v>
      </c>
      <c r="I137" s="44" t="str">
        <f>IF(SplitText($C137,",",COLUMN(I:I)-COLUMN($D:$D))="",$D137,trimtext(SplitText($C137,",",COLUMN(I:I)-COLUMN($D:$D))))</f>
        <v>MEDIA_PLAY_PAUSE</v>
      </c>
      <c r="J137" s="9" t="s">
        <v>308</v>
      </c>
      <c r="K137" s="44" t="str">
        <f>trimtext(SplitText($J137,",",0))</f>
        <v>MEDIA_PLAY_PAUSE</v>
      </c>
      <c r="L137" s="44" t="str">
        <f>IF(SplitText($J137,",",COLUMN(L:L)-COLUMN($K:$K))="",$K137,trimtext(SplitText($J137,",",COLUMN(L:L)-COLUMN($K:$K))))</f>
        <v>MEDIA_PLAY_PAUSE</v>
      </c>
      <c r="M137" s="44" t="str">
        <f>IF(SplitText($J137,",",COLUMN(M:M)-COLUMN($K:$K))="",$K137,trimtext(SplitText($J137,",",COLUMN(M:M)-COLUMN($K:$K))))</f>
        <v>MEDIA_PLAY_PAUSE</v>
      </c>
      <c r="N137" s="44" t="str">
        <f>IF(SplitText($J137,",",COLUMN(N:N)-COLUMN($K:$K))="",$K137,trimtext(SplitText($J137,",",COLUMN(N:N)-COLUMN($K:$K))))</f>
        <v>MEDIA_PLAY_PAUSE</v>
      </c>
      <c r="O137" s="44" t="str">
        <f>IF(SplitText($J137,",",COLUMN(O:O)-COLUMN($K:$K))="",$K137,trimtext(SplitText($J137,",",COLUMN(O:O)-COLUMN($K:$K))))</f>
        <v>MEDIA_PLAY_PAUSE</v>
      </c>
      <c r="P137" s="44" t="str">
        <f>IF(SplitText($J137,",",COLUMN(P:P)-COLUMN($K:$K))="",$K137,trimtext(SplitText($J137,",",COLUMN(P:P)-COLUMN($K:$K))))</f>
        <v>MEDIA_PLAY_PAUSE</v>
      </c>
      <c r="Q137" s="44" t="str">
        <f>IF(SplitText($J137,",",COLUMN(Q:Q)-COLUMN($K:$K))="",$K137,trimtext(SplitText($J137,",",COLUMN(Q:Q)-COLUMN($K:$K))))</f>
        <v>MEDIA_PLAY_PAUSE</v>
      </c>
      <c r="R137" s="24"/>
      <c r="S137" s="44" t="str">
        <f>trimtext(SplitText($R137,",",0))</f>
        <v/>
      </c>
      <c r="T137" s="44" t="str">
        <f>IF(SplitText($R137,",",COLUMN(T:T)-COLUMN($S:$S))="",$S137,trimtext(SplitText($R137,",",COLUMN(T:T)-COLUMN($S:$S))))</f>
        <v/>
      </c>
      <c r="U137" s="45" t="str">
        <f>IF(SplitText($R137,",",COLUMN(U:U)-COLUMN($S:$S))="",$S137,trimtext(SplitText($R137,",",COLUMN(U:U)-COLUMN($S:$S))))</f>
        <v/>
      </c>
      <c r="V137" s="42"/>
      <c r="W137" s="44" t="str">
        <f>trimtext(SplitText($V137,",",0))</f>
        <v/>
      </c>
      <c r="X137" s="44" t="str">
        <f>IF(SplitText($V137,",",COLUMN(X:X)-COLUMN($W:$W))="",$W137,trimtext(SplitText($V137,",",COLUMN(X:X)-COLUMN($W:$W))))</f>
        <v/>
      </c>
      <c r="Y137" s="44" t="str">
        <f>IF(SplitText($V137,",",COLUMN(Y:Y)-COLUMN($W:$W))="",$W137,trimtext(SplitText($V137,",",COLUMN(Y:Y)-COLUMN($W:$W))))</f>
        <v/>
      </c>
      <c r="Z137" s="24"/>
      <c r="AA137" s="44" t="str">
        <f t="shared" si="13"/>
        <v/>
      </c>
      <c r="AB137" s="24"/>
      <c r="AC137" s="44" t="str">
        <f>trimtext(SplitText($AB137,",",0))</f>
        <v/>
      </c>
      <c r="AD137" s="44" t="str">
        <f>IF(SplitText($AB137,",",COLUMN(AD:AD)-COLUMN($AC:$AC))="",$AC137,trimtext(SplitText($AB137,",",COLUMN(AD:AD)-COLUMN($AC:$AC))))</f>
        <v/>
      </c>
      <c r="AE137" s="18" t="str">
        <f t="shared" si="12"/>
        <v>&lt;xs:enumeration value="X22"&gt;&lt;xs:annotation&gt;&lt;xs:documentation&gt;Typically MEDIA_PLAY_PAUSE for keyboard type 4, different values for different keyboard types&lt;/xs:documentation&gt;&lt;xs:appinfo&gt;&lt;default-vk&gt;</v>
      </c>
      <c r="AF137" s="15" t="str">
        <f>IF(D137&lt;&gt;"","&lt;vk kbd="""&amp;D$1&amp;""" vk="""&amp;D137&amp;""""&amp;IF(Scan2VKFlags!B137&lt;&gt;""," flags="""&amp;Scan2VKFlags!B137&amp;"""","")&amp;"/&gt;","")</f>
        <v>&lt;vk kbd="1" vk="MEDIA_PLAY_PAUSE"/&gt;</v>
      </c>
      <c r="AG137" s="15" t="str">
        <f>IF(E137&lt;&gt;"","&lt;vk kbd="""&amp;E$1&amp;""" vk="""&amp;E137&amp;""""&amp;IF(Scan2VKFlags!C137&lt;&gt;""," flags="""&amp;Scan2VKFlags!C137&amp;"""","")&amp;"/&gt;","")</f>
        <v>&lt;vk kbd="2" vk="MEDIA_PLAY_PAUSE"/&gt;</v>
      </c>
      <c r="AH137" s="15" t="str">
        <f>IF(F137&lt;&gt;"","&lt;vk kbd="""&amp;F$1&amp;""" vk="""&amp;F137&amp;""""&amp;IF(Scan2VKFlags!D137&lt;&gt;""," flags="""&amp;Scan2VKFlags!D137&amp;"""","")&amp;"/&gt;","")</f>
        <v>&lt;vk kbd="3" vk="MEDIA_PLAY_PAUSE"/&gt;</v>
      </c>
      <c r="AI137" s="15" t="str">
        <f>IF(G137&lt;&gt;"","&lt;vk kbd="""&amp;G$1&amp;""" vk="""&amp;G137&amp;""""&amp;IF(Scan2VKFlags!E137&lt;&gt;""," flags="""&amp;Scan2VKFlags!E137&amp;"""","")&amp;"/&gt;","")</f>
        <v>&lt;vk kbd="4" vk="MEDIA_PLAY_PAUSE" flags="KBDEXT"/&gt;</v>
      </c>
      <c r="AJ137" s="15" t="str">
        <f>IF(H137&lt;&gt;"","&lt;vk kbd="""&amp;H$1&amp;""" vk="""&amp;H137&amp;""""&amp;IF(Scan2VKFlags!F137&lt;&gt;""," flags="""&amp;Scan2VKFlags!F137&amp;"""","")&amp;"/&gt;","")</f>
        <v>&lt;vk kbd="5" vk="MEDIA_PLAY_PAUSE"/&gt;</v>
      </c>
      <c r="AK137" s="16" t="str">
        <f>IF(I137&lt;&gt;"","&lt;vk kbd="""&amp;I$1&amp;""" vk="""&amp;I137&amp;""""&amp;IF(Scan2VKFlags!G137&lt;&gt;""," flags="""&amp;Scan2VKFlags!G137&amp;"""","")&amp;"/&gt;","")</f>
        <v>&lt;vk kbd="6" vk="MEDIA_PLAY_PAUSE"/&gt;</v>
      </c>
      <c r="AL137" s="3" t="str">
        <f>IF(K137&lt;&gt;"","&lt;vk kbd="""&amp;K$1&amp;""" vk="""&amp;K137&amp;""""&amp;IF(Scan2VKFlags!H137&lt;&gt;""," flags="""&amp;Scan2VKFlags!H137&amp;"""","")&amp;"/&gt;","")</f>
        <v>&lt;vk kbd="7" vk="MEDIA_PLAY_PAUSE"/&gt;</v>
      </c>
      <c r="AM137" s="15" t="str">
        <f>IF(L137&lt;&gt;"","&lt;vk kbd="""&amp;L$1&amp;""" vk="""&amp;L137&amp;""""&amp;IF(Scan2VKFlags!I137&lt;&gt;""," flags="""&amp;Scan2VKFlags!I137&amp;"""","")&amp;"/&gt;","")</f>
        <v>&lt;vk kbd="8" vk="MEDIA_PLAY_PAUSE"/&gt;</v>
      </c>
      <c r="AN137" s="15" t="str">
        <f>IF(M137&lt;&gt;"","&lt;vk kbd="""&amp;M$1&amp;""" vk="""&amp;M137&amp;""""&amp;IF(Scan2VKFlags!J137&lt;&gt;""," flags="""&amp;Scan2VKFlags!J137&amp;"""","")&amp;"/&gt;","")</f>
        <v>&lt;vk kbd="16" vk="MEDIA_PLAY_PAUSE"/&gt;</v>
      </c>
      <c r="AO137" s="15" t="str">
        <f>IF(N137&lt;&gt;"","&lt;vk kbd="""&amp;N$1&amp;""" vk="""&amp;N137&amp;""""&amp;IF(Scan2VKFlags!K137&lt;&gt;""," flags="""&amp;Scan2VKFlags!K137&amp;"""","")&amp;"/&gt;","")</f>
        <v>&lt;vk kbd="10" vk="MEDIA_PLAY_PAUSE"/&gt;</v>
      </c>
      <c r="AP137" s="15" t="str">
        <f>IF(O137&lt;&gt;"","&lt;vk kbd="""&amp;O$1&amp;""" vk="""&amp;O137&amp;""""&amp;IF(Scan2VKFlags!L137&lt;&gt;""," flags="""&amp;Scan2VKFlags!L137&amp;"""","")&amp;"/&gt;","")</f>
        <v>&lt;vk kbd="11" vk="MEDIA_PLAY_PAUSE"/&gt;</v>
      </c>
      <c r="AQ137" s="15" t="str">
        <f>IF(P137&lt;&gt;"","&lt;vk kbd="""&amp;P$1&amp;""" vk="""&amp;P137&amp;""""&amp;IF(Scan2VKFlags!M137&lt;&gt;""," flags="""&amp;Scan2VKFlags!M137&amp;"""","")&amp;"/&gt;","")</f>
        <v>&lt;vk kbd="12" vk="MEDIA_PLAY_PAUSE"/&gt;</v>
      </c>
      <c r="AR137" s="16" t="str">
        <f>IF(Q137&lt;&gt;"","&lt;vk kbd="""&amp;Q$1&amp;""" vk="""&amp;Q137&amp;""""&amp;IF(Scan2VKFlags!N137&lt;&gt;""," flags="""&amp;Scan2VKFlags!N137&amp;"""","")&amp;"/&gt;","")</f>
        <v>&lt;vk kbd="13" vk="MEDIA_PLAY_PAUSE"/&gt;</v>
      </c>
      <c r="AS137" s="3" t="str">
        <f>IF(S137&lt;&gt;"","&lt;vk kbd="""&amp;S$1&amp;""" vk="""&amp;S137&amp;""""&amp;IF(Scan2VKFlags!O137&lt;&gt;""," flags="""&amp;Scan2VKFlags!O137&amp;"""","")&amp;"/&gt;","")</f>
        <v/>
      </c>
      <c r="AT137" s="15" t="str">
        <f>IF(T137&lt;&gt;"","&lt;vk kbd="""&amp;T$1&amp;""" vk="""&amp;T137&amp;""""&amp;IF(Scan2VKFlags!P137&lt;&gt;""," flags="""&amp;Scan2VKFlags!P137&amp;"""","")&amp;"/&gt;","")</f>
        <v/>
      </c>
      <c r="AU137" s="16" t="str">
        <f>IF(U137&lt;&gt;"","&lt;vk kbd="""&amp;U$1&amp;""" vk="""&amp;U137&amp;""""&amp;IF(Scan2VKFlags!Q137&lt;&gt;""," flags="""&amp;Scan2VKFlags!Q137&amp;"""","")&amp;"/&gt;","")</f>
        <v/>
      </c>
      <c r="AV137" s="3" t="str">
        <f>IF(W137&lt;&gt;"","&lt;vk kbd="""&amp;W$1&amp;""" vk="""&amp;W137&amp;""""&amp;IF(Scan2VKFlags!R137&lt;&gt;""," flags="""&amp;Scan2VKFlags!R137&amp;"""","")&amp;"/&gt;","")</f>
        <v/>
      </c>
      <c r="AW137" s="15" t="str">
        <f>IF(X137&lt;&gt;"","&lt;vk kbd="""&amp;X$1&amp;""" vk="""&amp;X137&amp;""""&amp;IF(Scan2VKFlags!S137&lt;&gt;""," flags="""&amp;Scan2VKFlags!S137&amp;"""","")&amp;"/&gt;","")</f>
        <v/>
      </c>
      <c r="AX137" s="15" t="str">
        <f>IF(Y137&lt;&gt;"","&lt;vk kbd="""&amp;Y$1&amp;""" vk="""&amp;Y137&amp;""""&amp;IF(Scan2VKFlags!T137&lt;&gt;""," flags="""&amp;Scan2VKFlags!T137&amp;"""","")&amp;"/&gt;","")</f>
        <v/>
      </c>
      <c r="AY137" s="18" t="str">
        <f>IF(AA137&lt;&gt;"","&lt;vk kbd="""&amp;AA$1&amp;""" vk="""&amp;AA137&amp;""""&amp;IF(Scan2VKFlags!U137&lt;&gt;""," flags="""&amp;Scan2VKFlags!U137&amp;"""","")&amp;"/&gt;","")</f>
        <v/>
      </c>
      <c r="AZ137" s="3" t="str">
        <f>IF(AC137&lt;&gt;"","&lt;vk kbd="""&amp;AC$1&amp;""" vk="""&amp;AC137&amp;""""&amp;IF(Scan2VKFlags!V137&lt;&gt;""," flags="""&amp;Scan2VKFlags!V137&amp;"""","")&amp;"/&gt;","")</f>
        <v/>
      </c>
      <c r="BA137" s="16" t="str">
        <f>IF(AD137&lt;&gt;"","&lt;vk kbd="""&amp;AD$1&amp;""" vk="""&amp;AD137&amp;""""&amp;IF(Scan2VKFlags!W137&lt;&gt;""," flags="""&amp;Scan2VKFlags!W137&amp;"""","")&amp;"/&gt;","")</f>
        <v/>
      </c>
      <c r="BB137" s="15" t="s">
        <v>854</v>
      </c>
    </row>
    <row r="138" spans="1:54" s="15" customFormat="1" x14ac:dyDescent="0.25">
      <c r="B138" s="52" t="s">
        <v>153</v>
      </c>
      <c r="C138" s="7" t="s">
        <v>124</v>
      </c>
      <c r="D138" s="44" t="str">
        <f>trimtext(SplitText($C138,",",0))</f>
        <v>MEDIA_STOP</v>
      </c>
      <c r="E138" s="44" t="str">
        <f>IF(SplitText($C138,",",COLUMN(E:E)-COLUMN($D:$D))="",$D138,trimtext(SplitText($C138,",",COLUMN(E:E)-COLUMN($D:$D))))</f>
        <v>MEDIA_STOP</v>
      </c>
      <c r="F138" s="44" t="str">
        <f>IF(SplitText($C138,",",COLUMN(F:F)-COLUMN($D:$D))="",$D138,trimtext(SplitText($C138,",",COLUMN(F:F)-COLUMN($D:$D))))</f>
        <v>MEDIA_STOP</v>
      </c>
      <c r="G138" s="44" t="str">
        <f>IF(SplitText($C138,",",COLUMN(G:G)-COLUMN($D:$D))="",$D138,trimtext(SplitText($C138,",",COLUMN(G:G)-COLUMN($D:$D))))</f>
        <v>MEDIA_STOP</v>
      </c>
      <c r="H138" s="44" t="str">
        <f>IF(SplitText($C138,",",COLUMN(H:H)-COLUMN($D:$D))="",$D138,trimtext(SplitText($C138,",",COLUMN(H:H)-COLUMN($D:$D))))</f>
        <v>MEDIA_STOP</v>
      </c>
      <c r="I138" s="44" t="str">
        <f>IF(SplitText($C138,",",COLUMN(I:I)-COLUMN($D:$D))="",$D138,trimtext(SplitText($C138,",",COLUMN(I:I)-COLUMN($D:$D))))</f>
        <v>MEDIA_STOP</v>
      </c>
      <c r="J138" s="9" t="s">
        <v>309</v>
      </c>
      <c r="K138" s="44" t="str">
        <f>trimtext(SplitText($J138,",",0))</f>
        <v>MEDIA_STOP</v>
      </c>
      <c r="L138" s="44" t="str">
        <f>IF(SplitText($J138,",",COLUMN(L:L)-COLUMN($K:$K))="",$K138,trimtext(SplitText($J138,",",COLUMN(L:L)-COLUMN($K:$K))))</f>
        <v>MEDIA_STOP</v>
      </c>
      <c r="M138" s="44" t="str">
        <f>IF(SplitText($J138,",",COLUMN(M:M)-COLUMN($K:$K))="",$K138,trimtext(SplitText($J138,",",COLUMN(M:M)-COLUMN($K:$K))))</f>
        <v>MEDIA_STOP</v>
      </c>
      <c r="N138" s="44" t="str">
        <f>IF(SplitText($J138,",",COLUMN(N:N)-COLUMN($K:$K))="",$K138,trimtext(SplitText($J138,",",COLUMN(N:N)-COLUMN($K:$K))))</f>
        <v>MEDIA_STOP</v>
      </c>
      <c r="O138" s="44" t="str">
        <f>IF(SplitText($J138,",",COLUMN(O:O)-COLUMN($K:$K))="",$K138,trimtext(SplitText($J138,",",COLUMN(O:O)-COLUMN($K:$K))))</f>
        <v>MEDIA_STOP</v>
      </c>
      <c r="P138" s="44" t="str">
        <f>IF(SplitText($J138,",",COLUMN(P:P)-COLUMN($K:$K))="",$K138,trimtext(SplitText($J138,",",COLUMN(P:P)-COLUMN($K:$K))))</f>
        <v>MEDIA_STOP</v>
      </c>
      <c r="Q138" s="44" t="str">
        <f>IF(SplitText($J138,",",COLUMN(Q:Q)-COLUMN($K:$K))="",$K138,trimtext(SplitText($J138,",",COLUMN(Q:Q)-COLUMN($K:$K))))</f>
        <v>MEDIA_STOP</v>
      </c>
      <c r="R138" s="24"/>
      <c r="S138" s="44" t="str">
        <f>trimtext(SplitText($R138,",",0))</f>
        <v/>
      </c>
      <c r="T138" s="44" t="str">
        <f>IF(SplitText($R138,",",COLUMN(T:T)-COLUMN($S:$S))="",$S138,trimtext(SplitText($R138,",",COLUMN(T:T)-COLUMN($S:$S))))</f>
        <v/>
      </c>
      <c r="U138" s="45" t="str">
        <f>IF(SplitText($R138,",",COLUMN(U:U)-COLUMN($S:$S))="",$S138,trimtext(SplitText($R138,",",COLUMN(U:U)-COLUMN($S:$S))))</f>
        <v/>
      </c>
      <c r="V138" s="42"/>
      <c r="W138" s="44" t="str">
        <f>trimtext(SplitText($V138,",",0))</f>
        <v/>
      </c>
      <c r="X138" s="44" t="str">
        <f>IF(SplitText($V138,",",COLUMN(X:X)-COLUMN($W:$W))="",$W138,trimtext(SplitText($V138,",",COLUMN(X:X)-COLUMN($W:$W))))</f>
        <v/>
      </c>
      <c r="Y138" s="44" t="str">
        <f>IF(SplitText($V138,",",COLUMN(Y:Y)-COLUMN($W:$W))="",$W138,trimtext(SplitText($V138,",",COLUMN(Y:Y)-COLUMN($W:$W))))</f>
        <v/>
      </c>
      <c r="Z138" s="24"/>
      <c r="AA138" s="44" t="str">
        <f t="shared" si="13"/>
        <v/>
      </c>
      <c r="AB138" s="24"/>
      <c r="AC138" s="44" t="str">
        <f>trimtext(SplitText($AB138,",",0))</f>
        <v/>
      </c>
      <c r="AD138" s="44" t="str">
        <f>IF(SplitText($AB138,",",COLUMN(AD:AD)-COLUMN($AC:$AC))="",$AC138,trimtext(SplitText($AB138,",",COLUMN(AD:AD)-COLUMN($AC:$AC))))</f>
        <v/>
      </c>
      <c r="AE138" s="18" t="str">
        <f t="shared" si="12"/>
        <v>&lt;xs:enumeration value="X24"&gt;&lt;xs:annotation&gt;&lt;xs:documentation&gt;Typically MEDIA_STOP for keyboard type 4, different values for different keyboard types&lt;/xs:documentation&gt;&lt;xs:appinfo&gt;&lt;default-vk&gt;</v>
      </c>
      <c r="AF138" s="15" t="str">
        <f>IF(D138&lt;&gt;"","&lt;vk kbd="""&amp;D$1&amp;""" vk="""&amp;D138&amp;""""&amp;IF(Scan2VKFlags!B138&lt;&gt;""," flags="""&amp;Scan2VKFlags!B138&amp;"""","")&amp;"/&gt;","")</f>
        <v>&lt;vk kbd="1" vk="MEDIA_STOP"/&gt;</v>
      </c>
      <c r="AG138" s="15" t="str">
        <f>IF(E138&lt;&gt;"","&lt;vk kbd="""&amp;E$1&amp;""" vk="""&amp;E138&amp;""""&amp;IF(Scan2VKFlags!C138&lt;&gt;""," flags="""&amp;Scan2VKFlags!C138&amp;"""","")&amp;"/&gt;","")</f>
        <v>&lt;vk kbd="2" vk="MEDIA_STOP"/&gt;</v>
      </c>
      <c r="AH138" s="15" t="str">
        <f>IF(F138&lt;&gt;"","&lt;vk kbd="""&amp;F$1&amp;""" vk="""&amp;F138&amp;""""&amp;IF(Scan2VKFlags!D138&lt;&gt;""," flags="""&amp;Scan2VKFlags!D138&amp;"""","")&amp;"/&gt;","")</f>
        <v>&lt;vk kbd="3" vk="MEDIA_STOP"/&gt;</v>
      </c>
      <c r="AI138" s="15" t="str">
        <f>IF(G138&lt;&gt;"","&lt;vk kbd="""&amp;G$1&amp;""" vk="""&amp;G138&amp;""""&amp;IF(Scan2VKFlags!E138&lt;&gt;""," flags="""&amp;Scan2VKFlags!E138&amp;"""","")&amp;"/&gt;","")</f>
        <v>&lt;vk kbd="4" vk="MEDIA_STOP" flags="KBDEXT"/&gt;</v>
      </c>
      <c r="AJ138" s="15" t="str">
        <f>IF(H138&lt;&gt;"","&lt;vk kbd="""&amp;H$1&amp;""" vk="""&amp;H138&amp;""""&amp;IF(Scan2VKFlags!F138&lt;&gt;""," flags="""&amp;Scan2VKFlags!F138&amp;"""","")&amp;"/&gt;","")</f>
        <v>&lt;vk kbd="5" vk="MEDIA_STOP"/&gt;</v>
      </c>
      <c r="AK138" s="16" t="str">
        <f>IF(I138&lt;&gt;"","&lt;vk kbd="""&amp;I$1&amp;""" vk="""&amp;I138&amp;""""&amp;IF(Scan2VKFlags!G138&lt;&gt;""," flags="""&amp;Scan2VKFlags!G138&amp;"""","")&amp;"/&gt;","")</f>
        <v>&lt;vk kbd="6" vk="MEDIA_STOP"/&gt;</v>
      </c>
      <c r="AL138" s="3" t="str">
        <f>IF(K138&lt;&gt;"","&lt;vk kbd="""&amp;K$1&amp;""" vk="""&amp;K138&amp;""""&amp;IF(Scan2VKFlags!H138&lt;&gt;""," flags="""&amp;Scan2VKFlags!H138&amp;"""","")&amp;"/&gt;","")</f>
        <v>&lt;vk kbd="7" vk="MEDIA_STOP"/&gt;</v>
      </c>
      <c r="AM138" s="15" t="str">
        <f>IF(L138&lt;&gt;"","&lt;vk kbd="""&amp;L$1&amp;""" vk="""&amp;L138&amp;""""&amp;IF(Scan2VKFlags!I138&lt;&gt;""," flags="""&amp;Scan2VKFlags!I138&amp;"""","")&amp;"/&gt;","")</f>
        <v>&lt;vk kbd="8" vk="MEDIA_STOP"/&gt;</v>
      </c>
      <c r="AN138" s="15" t="str">
        <f>IF(M138&lt;&gt;"","&lt;vk kbd="""&amp;M$1&amp;""" vk="""&amp;M138&amp;""""&amp;IF(Scan2VKFlags!J138&lt;&gt;""," flags="""&amp;Scan2VKFlags!J138&amp;"""","")&amp;"/&gt;","")</f>
        <v>&lt;vk kbd="16" vk="MEDIA_STOP"/&gt;</v>
      </c>
      <c r="AO138" s="15" t="str">
        <f>IF(N138&lt;&gt;"","&lt;vk kbd="""&amp;N$1&amp;""" vk="""&amp;N138&amp;""""&amp;IF(Scan2VKFlags!K138&lt;&gt;""," flags="""&amp;Scan2VKFlags!K138&amp;"""","")&amp;"/&gt;","")</f>
        <v>&lt;vk kbd="10" vk="MEDIA_STOP"/&gt;</v>
      </c>
      <c r="AP138" s="15" t="str">
        <f>IF(O138&lt;&gt;"","&lt;vk kbd="""&amp;O$1&amp;""" vk="""&amp;O138&amp;""""&amp;IF(Scan2VKFlags!L138&lt;&gt;""," flags="""&amp;Scan2VKFlags!L138&amp;"""","")&amp;"/&gt;","")</f>
        <v>&lt;vk kbd="11" vk="MEDIA_STOP"/&gt;</v>
      </c>
      <c r="AQ138" s="15" t="str">
        <f>IF(P138&lt;&gt;"","&lt;vk kbd="""&amp;P$1&amp;""" vk="""&amp;P138&amp;""""&amp;IF(Scan2VKFlags!M138&lt;&gt;""," flags="""&amp;Scan2VKFlags!M138&amp;"""","")&amp;"/&gt;","")</f>
        <v>&lt;vk kbd="12" vk="MEDIA_STOP"/&gt;</v>
      </c>
      <c r="AR138" s="16" t="str">
        <f>IF(Q138&lt;&gt;"","&lt;vk kbd="""&amp;Q$1&amp;""" vk="""&amp;Q138&amp;""""&amp;IF(Scan2VKFlags!N138&lt;&gt;""," flags="""&amp;Scan2VKFlags!N138&amp;"""","")&amp;"/&gt;","")</f>
        <v>&lt;vk kbd="13" vk="MEDIA_STOP"/&gt;</v>
      </c>
      <c r="AS138" s="3" t="str">
        <f>IF(S138&lt;&gt;"","&lt;vk kbd="""&amp;S$1&amp;""" vk="""&amp;S138&amp;""""&amp;IF(Scan2VKFlags!O138&lt;&gt;""," flags="""&amp;Scan2VKFlags!O138&amp;"""","")&amp;"/&gt;","")</f>
        <v/>
      </c>
      <c r="AT138" s="15" t="str">
        <f>IF(T138&lt;&gt;"","&lt;vk kbd="""&amp;T$1&amp;""" vk="""&amp;T138&amp;""""&amp;IF(Scan2VKFlags!P138&lt;&gt;""," flags="""&amp;Scan2VKFlags!P138&amp;"""","")&amp;"/&gt;","")</f>
        <v/>
      </c>
      <c r="AU138" s="16" t="str">
        <f>IF(U138&lt;&gt;"","&lt;vk kbd="""&amp;U$1&amp;""" vk="""&amp;U138&amp;""""&amp;IF(Scan2VKFlags!Q138&lt;&gt;""," flags="""&amp;Scan2VKFlags!Q138&amp;"""","")&amp;"/&gt;","")</f>
        <v/>
      </c>
      <c r="AV138" s="3" t="str">
        <f>IF(W138&lt;&gt;"","&lt;vk kbd="""&amp;W$1&amp;""" vk="""&amp;W138&amp;""""&amp;IF(Scan2VKFlags!R138&lt;&gt;""," flags="""&amp;Scan2VKFlags!R138&amp;"""","")&amp;"/&gt;","")</f>
        <v/>
      </c>
      <c r="AW138" s="15" t="str">
        <f>IF(X138&lt;&gt;"","&lt;vk kbd="""&amp;X$1&amp;""" vk="""&amp;X138&amp;""""&amp;IF(Scan2VKFlags!S138&lt;&gt;""," flags="""&amp;Scan2VKFlags!S138&amp;"""","")&amp;"/&gt;","")</f>
        <v/>
      </c>
      <c r="AX138" s="15" t="str">
        <f>IF(Y138&lt;&gt;"","&lt;vk kbd="""&amp;Y$1&amp;""" vk="""&amp;Y138&amp;""""&amp;IF(Scan2VKFlags!T138&lt;&gt;""," flags="""&amp;Scan2VKFlags!T138&amp;"""","")&amp;"/&gt;","")</f>
        <v/>
      </c>
      <c r="AY138" s="18" t="str">
        <f>IF(AA138&lt;&gt;"","&lt;vk kbd="""&amp;AA$1&amp;""" vk="""&amp;AA138&amp;""""&amp;IF(Scan2VKFlags!U138&lt;&gt;""," flags="""&amp;Scan2VKFlags!U138&amp;"""","")&amp;"/&gt;","")</f>
        <v/>
      </c>
      <c r="AZ138" s="3" t="str">
        <f>IF(AC138&lt;&gt;"","&lt;vk kbd="""&amp;AC$1&amp;""" vk="""&amp;AC138&amp;""""&amp;IF(Scan2VKFlags!V138&lt;&gt;""," flags="""&amp;Scan2VKFlags!V138&amp;"""","")&amp;"/&gt;","")</f>
        <v/>
      </c>
      <c r="BA138" s="16" t="str">
        <f>IF(AD138&lt;&gt;"","&lt;vk kbd="""&amp;AD$1&amp;""" vk="""&amp;AD138&amp;""""&amp;IF(Scan2VKFlags!W138&lt;&gt;""," flags="""&amp;Scan2VKFlags!W138&amp;"""","")&amp;"/&gt;","")</f>
        <v/>
      </c>
      <c r="BB138" s="15" t="s">
        <v>854</v>
      </c>
    </row>
    <row r="139" spans="1:54" s="15" customFormat="1" x14ac:dyDescent="0.25">
      <c r="B139" s="52" t="s">
        <v>154</v>
      </c>
      <c r="C139" s="7" t="s">
        <v>125</v>
      </c>
      <c r="D139" s="44" t="str">
        <f>trimtext(SplitText($C139,",",0))</f>
        <v>VOLUME_DOWN</v>
      </c>
      <c r="E139" s="44" t="str">
        <f>IF(SplitText($C139,",",COLUMN(E:E)-COLUMN($D:$D))="",$D139,trimtext(SplitText($C139,",",COLUMN(E:E)-COLUMN($D:$D))))</f>
        <v>VOLUME_DOWN</v>
      </c>
      <c r="F139" s="44" t="str">
        <f>IF(SplitText($C139,",",COLUMN(F:F)-COLUMN($D:$D))="",$D139,trimtext(SplitText($C139,",",COLUMN(F:F)-COLUMN($D:$D))))</f>
        <v>VOLUME_DOWN</v>
      </c>
      <c r="G139" s="44" t="str">
        <f>IF(SplitText($C139,",",COLUMN(G:G)-COLUMN($D:$D))="",$D139,trimtext(SplitText($C139,",",COLUMN(G:G)-COLUMN($D:$D))))</f>
        <v>VOLUME_DOWN</v>
      </c>
      <c r="H139" s="44" t="str">
        <f>IF(SplitText($C139,",",COLUMN(H:H)-COLUMN($D:$D))="",$D139,trimtext(SplitText($C139,",",COLUMN(H:H)-COLUMN($D:$D))))</f>
        <v>VOLUME_DOWN</v>
      </c>
      <c r="I139" s="44" t="str">
        <f>IF(SplitText($C139,",",COLUMN(I:I)-COLUMN($D:$D))="",$D139,trimtext(SplitText($C139,",",COLUMN(I:I)-COLUMN($D:$D))))</f>
        <v>VOLUME_DOWN</v>
      </c>
      <c r="J139" s="9" t="s">
        <v>310</v>
      </c>
      <c r="K139" s="44" t="str">
        <f>trimtext(SplitText($J139,",",0))</f>
        <v>VOLUME_DOWN</v>
      </c>
      <c r="L139" s="44" t="str">
        <f>IF(SplitText($J139,",",COLUMN(L:L)-COLUMN($K:$K))="",$K139,trimtext(SplitText($J139,",",COLUMN(L:L)-COLUMN($K:$K))))</f>
        <v>VOLUME_DOWN</v>
      </c>
      <c r="M139" s="44" t="str">
        <f>IF(SplitText($J139,",",COLUMN(M:M)-COLUMN($K:$K))="",$K139,trimtext(SplitText($J139,",",COLUMN(M:M)-COLUMN($K:$K))))</f>
        <v>VOLUME_DOWN</v>
      </c>
      <c r="N139" s="44" t="str">
        <f>IF(SplitText($J139,",",COLUMN(N:N)-COLUMN($K:$K))="",$K139,trimtext(SplitText($J139,",",COLUMN(N:N)-COLUMN($K:$K))))</f>
        <v>VOLUME_DOWN</v>
      </c>
      <c r="O139" s="44" t="str">
        <f>IF(SplitText($J139,",",COLUMN(O:O)-COLUMN($K:$K))="",$K139,trimtext(SplitText($J139,",",COLUMN(O:O)-COLUMN($K:$K))))</f>
        <v>VOLUME_DOWN</v>
      </c>
      <c r="P139" s="44" t="str">
        <f>IF(SplitText($J139,",",COLUMN(P:P)-COLUMN($K:$K))="",$K139,trimtext(SplitText($J139,",",COLUMN(P:P)-COLUMN($K:$K))))</f>
        <v>VOLUME_DOWN</v>
      </c>
      <c r="Q139" s="44" t="str">
        <f>IF(SplitText($J139,",",COLUMN(Q:Q)-COLUMN($K:$K))="",$K139,trimtext(SplitText($J139,",",COLUMN(Q:Q)-COLUMN($K:$K))))</f>
        <v>VOLUME_DOWN</v>
      </c>
      <c r="R139" s="24"/>
      <c r="S139" s="44" t="str">
        <f>trimtext(SplitText($R139,",",0))</f>
        <v/>
      </c>
      <c r="T139" s="44" t="str">
        <f>IF(SplitText($R139,",",COLUMN(T:T)-COLUMN($S:$S))="",$S139,trimtext(SplitText($R139,",",COLUMN(T:T)-COLUMN($S:$S))))</f>
        <v/>
      </c>
      <c r="U139" s="45" t="str">
        <f>IF(SplitText($R139,",",COLUMN(U:U)-COLUMN($S:$S))="",$S139,trimtext(SplitText($R139,",",COLUMN(U:U)-COLUMN($S:$S))))</f>
        <v/>
      </c>
      <c r="V139" s="42"/>
      <c r="W139" s="44" t="str">
        <f>trimtext(SplitText($V139,",",0))</f>
        <v/>
      </c>
      <c r="X139" s="44" t="str">
        <f>IF(SplitText($V139,",",COLUMN(X:X)-COLUMN($W:$W))="",$W139,trimtext(SplitText($V139,",",COLUMN(X:X)-COLUMN($W:$W))))</f>
        <v/>
      </c>
      <c r="Y139" s="44" t="str">
        <f>IF(SplitText($V139,",",COLUMN(Y:Y)-COLUMN($W:$W))="",$W139,trimtext(SplitText($V139,",",COLUMN(Y:Y)-COLUMN($W:$W))))</f>
        <v/>
      </c>
      <c r="Z139" s="24"/>
      <c r="AA139" s="44" t="str">
        <f t="shared" si="13"/>
        <v/>
      </c>
      <c r="AB139" s="24"/>
      <c r="AC139" s="44" t="str">
        <f>trimtext(SplitText($AB139,",",0))</f>
        <v/>
      </c>
      <c r="AD139" s="44" t="str">
        <f>IF(SplitText($AB139,",",COLUMN(AD:AD)-COLUMN($AC:$AC))="",$AC139,trimtext(SplitText($AB139,",",COLUMN(AD:AD)-COLUMN($AC:$AC))))</f>
        <v/>
      </c>
      <c r="AE139" s="18" t="str">
        <f t="shared" si="12"/>
        <v>&lt;xs:enumeration value="X2E"&gt;&lt;xs:annotation&gt;&lt;xs:documentation&gt;Typically VOLUME_DOWN for keyboard type 4, different values for different keyboard types&lt;/xs:documentation&gt;&lt;xs:appinfo&gt;&lt;default-vk&gt;</v>
      </c>
      <c r="AF139" s="15" t="str">
        <f>IF(D139&lt;&gt;"","&lt;vk kbd="""&amp;D$1&amp;""" vk="""&amp;D139&amp;""""&amp;IF(Scan2VKFlags!B139&lt;&gt;""," flags="""&amp;Scan2VKFlags!B139&amp;"""","")&amp;"/&gt;","")</f>
        <v>&lt;vk kbd="1" vk="VOLUME_DOWN"/&gt;</v>
      </c>
      <c r="AG139" s="15" t="str">
        <f>IF(E139&lt;&gt;"","&lt;vk kbd="""&amp;E$1&amp;""" vk="""&amp;E139&amp;""""&amp;IF(Scan2VKFlags!C139&lt;&gt;""," flags="""&amp;Scan2VKFlags!C139&amp;"""","")&amp;"/&gt;","")</f>
        <v>&lt;vk kbd="2" vk="VOLUME_DOWN"/&gt;</v>
      </c>
      <c r="AH139" s="15" t="str">
        <f>IF(F139&lt;&gt;"","&lt;vk kbd="""&amp;F$1&amp;""" vk="""&amp;F139&amp;""""&amp;IF(Scan2VKFlags!D139&lt;&gt;""," flags="""&amp;Scan2VKFlags!D139&amp;"""","")&amp;"/&gt;","")</f>
        <v>&lt;vk kbd="3" vk="VOLUME_DOWN"/&gt;</v>
      </c>
      <c r="AI139" s="15" t="str">
        <f>IF(G139&lt;&gt;"","&lt;vk kbd="""&amp;G$1&amp;""" vk="""&amp;G139&amp;""""&amp;IF(Scan2VKFlags!E139&lt;&gt;""," flags="""&amp;Scan2VKFlags!E139&amp;"""","")&amp;"/&gt;","")</f>
        <v>&lt;vk kbd="4" vk="VOLUME_DOWN" flags="KBDEXT"/&gt;</v>
      </c>
      <c r="AJ139" s="15" t="str">
        <f>IF(H139&lt;&gt;"","&lt;vk kbd="""&amp;H$1&amp;""" vk="""&amp;H139&amp;""""&amp;IF(Scan2VKFlags!F139&lt;&gt;""," flags="""&amp;Scan2VKFlags!F139&amp;"""","")&amp;"/&gt;","")</f>
        <v>&lt;vk kbd="5" vk="VOLUME_DOWN"/&gt;</v>
      </c>
      <c r="AK139" s="16" t="str">
        <f>IF(I139&lt;&gt;"","&lt;vk kbd="""&amp;I$1&amp;""" vk="""&amp;I139&amp;""""&amp;IF(Scan2VKFlags!G139&lt;&gt;""," flags="""&amp;Scan2VKFlags!G139&amp;"""","")&amp;"/&gt;","")</f>
        <v>&lt;vk kbd="6" vk="VOLUME_DOWN"/&gt;</v>
      </c>
      <c r="AL139" s="3" t="str">
        <f>IF(K139&lt;&gt;"","&lt;vk kbd="""&amp;K$1&amp;""" vk="""&amp;K139&amp;""""&amp;IF(Scan2VKFlags!H139&lt;&gt;""," flags="""&amp;Scan2VKFlags!H139&amp;"""","")&amp;"/&gt;","")</f>
        <v>&lt;vk kbd="7" vk="VOLUME_DOWN"/&gt;</v>
      </c>
      <c r="AM139" s="15" t="str">
        <f>IF(L139&lt;&gt;"","&lt;vk kbd="""&amp;L$1&amp;""" vk="""&amp;L139&amp;""""&amp;IF(Scan2VKFlags!I139&lt;&gt;""," flags="""&amp;Scan2VKFlags!I139&amp;"""","")&amp;"/&gt;","")</f>
        <v>&lt;vk kbd="8" vk="VOLUME_DOWN"/&gt;</v>
      </c>
      <c r="AN139" s="15" t="str">
        <f>IF(M139&lt;&gt;"","&lt;vk kbd="""&amp;M$1&amp;""" vk="""&amp;M139&amp;""""&amp;IF(Scan2VKFlags!J139&lt;&gt;""," flags="""&amp;Scan2VKFlags!J139&amp;"""","")&amp;"/&gt;","")</f>
        <v>&lt;vk kbd="16" vk="VOLUME_DOWN"/&gt;</v>
      </c>
      <c r="AO139" s="15" t="str">
        <f>IF(N139&lt;&gt;"","&lt;vk kbd="""&amp;N$1&amp;""" vk="""&amp;N139&amp;""""&amp;IF(Scan2VKFlags!K139&lt;&gt;""," flags="""&amp;Scan2VKFlags!K139&amp;"""","")&amp;"/&gt;","")</f>
        <v>&lt;vk kbd="10" vk="VOLUME_DOWN"/&gt;</v>
      </c>
      <c r="AP139" s="15" t="str">
        <f>IF(O139&lt;&gt;"","&lt;vk kbd="""&amp;O$1&amp;""" vk="""&amp;O139&amp;""""&amp;IF(Scan2VKFlags!L139&lt;&gt;""," flags="""&amp;Scan2VKFlags!L139&amp;"""","")&amp;"/&gt;","")</f>
        <v>&lt;vk kbd="11" vk="VOLUME_DOWN"/&gt;</v>
      </c>
      <c r="AQ139" s="15" t="str">
        <f>IF(P139&lt;&gt;"","&lt;vk kbd="""&amp;P$1&amp;""" vk="""&amp;P139&amp;""""&amp;IF(Scan2VKFlags!M139&lt;&gt;""," flags="""&amp;Scan2VKFlags!M139&amp;"""","")&amp;"/&gt;","")</f>
        <v>&lt;vk kbd="12" vk="VOLUME_DOWN"/&gt;</v>
      </c>
      <c r="AR139" s="16" t="str">
        <f>IF(Q139&lt;&gt;"","&lt;vk kbd="""&amp;Q$1&amp;""" vk="""&amp;Q139&amp;""""&amp;IF(Scan2VKFlags!N139&lt;&gt;""," flags="""&amp;Scan2VKFlags!N139&amp;"""","")&amp;"/&gt;","")</f>
        <v>&lt;vk kbd="13" vk="VOLUME_DOWN"/&gt;</v>
      </c>
      <c r="AS139" s="3" t="str">
        <f>IF(S139&lt;&gt;"","&lt;vk kbd="""&amp;S$1&amp;""" vk="""&amp;S139&amp;""""&amp;IF(Scan2VKFlags!O139&lt;&gt;""," flags="""&amp;Scan2VKFlags!O139&amp;"""","")&amp;"/&gt;","")</f>
        <v/>
      </c>
      <c r="AT139" s="15" t="str">
        <f>IF(T139&lt;&gt;"","&lt;vk kbd="""&amp;T$1&amp;""" vk="""&amp;T139&amp;""""&amp;IF(Scan2VKFlags!P139&lt;&gt;""," flags="""&amp;Scan2VKFlags!P139&amp;"""","")&amp;"/&gt;","")</f>
        <v/>
      </c>
      <c r="AU139" s="16" t="str">
        <f>IF(U139&lt;&gt;"","&lt;vk kbd="""&amp;U$1&amp;""" vk="""&amp;U139&amp;""""&amp;IF(Scan2VKFlags!Q139&lt;&gt;""," flags="""&amp;Scan2VKFlags!Q139&amp;"""","")&amp;"/&gt;","")</f>
        <v/>
      </c>
      <c r="AV139" s="3" t="str">
        <f>IF(W139&lt;&gt;"","&lt;vk kbd="""&amp;W$1&amp;""" vk="""&amp;W139&amp;""""&amp;IF(Scan2VKFlags!R139&lt;&gt;""," flags="""&amp;Scan2VKFlags!R139&amp;"""","")&amp;"/&gt;","")</f>
        <v/>
      </c>
      <c r="AW139" s="15" t="str">
        <f>IF(X139&lt;&gt;"","&lt;vk kbd="""&amp;X$1&amp;""" vk="""&amp;X139&amp;""""&amp;IF(Scan2VKFlags!S139&lt;&gt;""," flags="""&amp;Scan2VKFlags!S139&amp;"""","")&amp;"/&gt;","")</f>
        <v/>
      </c>
      <c r="AX139" s="15" t="str">
        <f>IF(Y139&lt;&gt;"","&lt;vk kbd="""&amp;Y$1&amp;""" vk="""&amp;Y139&amp;""""&amp;IF(Scan2VKFlags!T139&lt;&gt;""," flags="""&amp;Scan2VKFlags!T139&amp;"""","")&amp;"/&gt;","")</f>
        <v/>
      </c>
      <c r="AY139" s="18" t="str">
        <f>IF(AA139&lt;&gt;"","&lt;vk kbd="""&amp;AA$1&amp;""" vk="""&amp;AA139&amp;""""&amp;IF(Scan2VKFlags!U139&lt;&gt;""," flags="""&amp;Scan2VKFlags!U139&amp;"""","")&amp;"/&gt;","")</f>
        <v/>
      </c>
      <c r="AZ139" s="3" t="str">
        <f>IF(AC139&lt;&gt;"","&lt;vk kbd="""&amp;AC$1&amp;""" vk="""&amp;AC139&amp;""""&amp;IF(Scan2VKFlags!V139&lt;&gt;""," flags="""&amp;Scan2VKFlags!V139&amp;"""","")&amp;"/&gt;","")</f>
        <v/>
      </c>
      <c r="BA139" s="16" t="str">
        <f>IF(AD139&lt;&gt;"","&lt;vk kbd="""&amp;AD$1&amp;""" vk="""&amp;AD139&amp;""""&amp;IF(Scan2VKFlags!W139&lt;&gt;""," flags="""&amp;Scan2VKFlags!W139&amp;"""","")&amp;"/&gt;","")</f>
        <v/>
      </c>
      <c r="BB139" s="15" t="s">
        <v>854</v>
      </c>
    </row>
    <row r="140" spans="1:54" s="15" customFormat="1" x14ac:dyDescent="0.25">
      <c r="B140" s="52" t="s">
        <v>155</v>
      </c>
      <c r="C140" s="7" t="s">
        <v>126</v>
      </c>
      <c r="D140" s="44" t="str">
        <f>trimtext(SplitText($C140,",",0))</f>
        <v>VOLUME_UP</v>
      </c>
      <c r="E140" s="44" t="str">
        <f>IF(SplitText($C140,",",COLUMN(E:E)-COLUMN($D:$D))="",$D140,trimtext(SplitText($C140,",",COLUMN(E:E)-COLUMN($D:$D))))</f>
        <v>VOLUME_UP</v>
      </c>
      <c r="F140" s="44" t="str">
        <f>IF(SplitText($C140,",",COLUMN(F:F)-COLUMN($D:$D))="",$D140,trimtext(SplitText($C140,",",COLUMN(F:F)-COLUMN($D:$D))))</f>
        <v>VOLUME_UP</v>
      </c>
      <c r="G140" s="44" t="str">
        <f>IF(SplitText($C140,",",COLUMN(G:G)-COLUMN($D:$D))="",$D140,trimtext(SplitText($C140,",",COLUMN(G:G)-COLUMN($D:$D))))</f>
        <v>VOLUME_UP</v>
      </c>
      <c r="H140" s="44" t="str">
        <f>IF(SplitText($C140,",",COLUMN(H:H)-COLUMN($D:$D))="",$D140,trimtext(SplitText($C140,",",COLUMN(H:H)-COLUMN($D:$D))))</f>
        <v>VOLUME_UP</v>
      </c>
      <c r="I140" s="44" t="str">
        <f>IF(SplitText($C140,",",COLUMN(I:I)-COLUMN($D:$D))="",$D140,trimtext(SplitText($C140,",",COLUMN(I:I)-COLUMN($D:$D))))</f>
        <v>VOLUME_UP</v>
      </c>
      <c r="J140" s="9" t="s">
        <v>311</v>
      </c>
      <c r="K140" s="44" t="str">
        <f>trimtext(SplitText($J140,",",0))</f>
        <v>VOLUME_UP</v>
      </c>
      <c r="L140" s="44" t="str">
        <f>IF(SplitText($J140,",",COLUMN(L:L)-COLUMN($K:$K))="",$K140,trimtext(SplitText($J140,",",COLUMN(L:L)-COLUMN($K:$K))))</f>
        <v>VOLUME_UP</v>
      </c>
      <c r="M140" s="44" t="str">
        <f>IF(SplitText($J140,",",COLUMN(M:M)-COLUMN($K:$K))="",$K140,trimtext(SplitText($J140,",",COLUMN(M:M)-COLUMN($K:$K))))</f>
        <v>VOLUME_UP</v>
      </c>
      <c r="N140" s="44" t="str">
        <f>IF(SplitText($J140,",",COLUMN(N:N)-COLUMN($K:$K))="",$K140,trimtext(SplitText($J140,",",COLUMN(N:N)-COLUMN($K:$K))))</f>
        <v>VOLUME_UP</v>
      </c>
      <c r="O140" s="44" t="str">
        <f>IF(SplitText($J140,",",COLUMN(O:O)-COLUMN($K:$K))="",$K140,trimtext(SplitText($J140,",",COLUMN(O:O)-COLUMN($K:$K))))</f>
        <v>VOLUME_UP</v>
      </c>
      <c r="P140" s="44" t="str">
        <f>IF(SplitText($J140,",",COLUMN(P:P)-COLUMN($K:$K))="",$K140,trimtext(SplitText($J140,",",COLUMN(P:P)-COLUMN($K:$K))))</f>
        <v>VOLUME_UP</v>
      </c>
      <c r="Q140" s="44" t="str">
        <f>IF(SplitText($J140,",",COLUMN(Q:Q)-COLUMN($K:$K))="",$K140,trimtext(SplitText($J140,",",COLUMN(Q:Q)-COLUMN($K:$K))))</f>
        <v>VOLUME_UP</v>
      </c>
      <c r="R140" s="24"/>
      <c r="S140" s="44" t="str">
        <f>trimtext(SplitText($R140,",",0))</f>
        <v/>
      </c>
      <c r="T140" s="44" t="str">
        <f>IF(SplitText($R140,",",COLUMN(T:T)-COLUMN($S:$S))="",$S140,trimtext(SplitText($R140,",",COLUMN(T:T)-COLUMN($S:$S))))</f>
        <v/>
      </c>
      <c r="U140" s="45" t="str">
        <f>IF(SplitText($R140,",",COLUMN(U:U)-COLUMN($S:$S))="",$S140,trimtext(SplitText($R140,",",COLUMN(U:U)-COLUMN($S:$S))))</f>
        <v/>
      </c>
      <c r="V140" s="42"/>
      <c r="W140" s="44" t="str">
        <f>trimtext(SplitText($V140,",",0))</f>
        <v/>
      </c>
      <c r="X140" s="44" t="str">
        <f>IF(SplitText($V140,",",COLUMN(X:X)-COLUMN($W:$W))="",$W140,trimtext(SplitText($V140,",",COLUMN(X:X)-COLUMN($W:$W))))</f>
        <v/>
      </c>
      <c r="Y140" s="44" t="str">
        <f>IF(SplitText($V140,",",COLUMN(Y:Y)-COLUMN($W:$W))="",$W140,trimtext(SplitText($V140,",",COLUMN(Y:Y)-COLUMN($W:$W))))</f>
        <v/>
      </c>
      <c r="Z140" s="24"/>
      <c r="AA140" s="44" t="str">
        <f t="shared" si="13"/>
        <v/>
      </c>
      <c r="AB140" s="24"/>
      <c r="AC140" s="44" t="str">
        <f>trimtext(SplitText($AB140,",",0))</f>
        <v/>
      </c>
      <c r="AD140" s="44" t="str">
        <f>IF(SplitText($AB140,",",COLUMN(AD:AD)-COLUMN($AC:$AC))="",$AC140,trimtext(SplitText($AB140,",",COLUMN(AD:AD)-COLUMN($AC:$AC))))</f>
        <v/>
      </c>
      <c r="AE140" s="18" t="str">
        <f t="shared" si="12"/>
        <v>&lt;xs:enumeration value="X30"&gt;&lt;xs:annotation&gt;&lt;xs:documentation&gt;Typically VOLUME_UP for keyboard type 4, different values for different keyboard types&lt;/xs:documentation&gt;&lt;xs:appinfo&gt;&lt;default-vk&gt;</v>
      </c>
      <c r="AF140" s="15" t="str">
        <f>IF(D140&lt;&gt;"","&lt;vk kbd="""&amp;D$1&amp;""" vk="""&amp;D140&amp;""""&amp;IF(Scan2VKFlags!B140&lt;&gt;""," flags="""&amp;Scan2VKFlags!B140&amp;"""","")&amp;"/&gt;","")</f>
        <v>&lt;vk kbd="1" vk="VOLUME_UP"/&gt;</v>
      </c>
      <c r="AG140" s="15" t="str">
        <f>IF(E140&lt;&gt;"","&lt;vk kbd="""&amp;E$1&amp;""" vk="""&amp;E140&amp;""""&amp;IF(Scan2VKFlags!C140&lt;&gt;""," flags="""&amp;Scan2VKFlags!C140&amp;"""","")&amp;"/&gt;","")</f>
        <v>&lt;vk kbd="2" vk="VOLUME_UP"/&gt;</v>
      </c>
      <c r="AH140" s="15" t="str">
        <f>IF(F140&lt;&gt;"","&lt;vk kbd="""&amp;F$1&amp;""" vk="""&amp;F140&amp;""""&amp;IF(Scan2VKFlags!D140&lt;&gt;""," flags="""&amp;Scan2VKFlags!D140&amp;"""","")&amp;"/&gt;","")</f>
        <v>&lt;vk kbd="3" vk="VOLUME_UP"/&gt;</v>
      </c>
      <c r="AI140" s="15" t="str">
        <f>IF(G140&lt;&gt;"","&lt;vk kbd="""&amp;G$1&amp;""" vk="""&amp;G140&amp;""""&amp;IF(Scan2VKFlags!E140&lt;&gt;""," flags="""&amp;Scan2VKFlags!E140&amp;"""","")&amp;"/&gt;","")</f>
        <v>&lt;vk kbd="4" vk="VOLUME_UP" flags="KBDEXT"/&gt;</v>
      </c>
      <c r="AJ140" s="15" t="str">
        <f>IF(H140&lt;&gt;"","&lt;vk kbd="""&amp;H$1&amp;""" vk="""&amp;H140&amp;""""&amp;IF(Scan2VKFlags!F140&lt;&gt;""," flags="""&amp;Scan2VKFlags!F140&amp;"""","")&amp;"/&gt;","")</f>
        <v>&lt;vk kbd="5" vk="VOLUME_UP"/&gt;</v>
      </c>
      <c r="AK140" s="16" t="str">
        <f>IF(I140&lt;&gt;"","&lt;vk kbd="""&amp;I$1&amp;""" vk="""&amp;I140&amp;""""&amp;IF(Scan2VKFlags!G140&lt;&gt;""," flags="""&amp;Scan2VKFlags!G140&amp;"""","")&amp;"/&gt;","")</f>
        <v>&lt;vk kbd="6" vk="VOLUME_UP"/&gt;</v>
      </c>
      <c r="AL140" s="3" t="str">
        <f>IF(K140&lt;&gt;"","&lt;vk kbd="""&amp;K$1&amp;""" vk="""&amp;K140&amp;""""&amp;IF(Scan2VKFlags!H140&lt;&gt;""," flags="""&amp;Scan2VKFlags!H140&amp;"""","")&amp;"/&gt;","")</f>
        <v>&lt;vk kbd="7" vk="VOLUME_UP"/&gt;</v>
      </c>
      <c r="AM140" s="15" t="str">
        <f>IF(L140&lt;&gt;"","&lt;vk kbd="""&amp;L$1&amp;""" vk="""&amp;L140&amp;""""&amp;IF(Scan2VKFlags!I140&lt;&gt;""," flags="""&amp;Scan2VKFlags!I140&amp;"""","")&amp;"/&gt;","")</f>
        <v>&lt;vk kbd="8" vk="VOLUME_UP"/&gt;</v>
      </c>
      <c r="AN140" s="15" t="str">
        <f>IF(M140&lt;&gt;"","&lt;vk kbd="""&amp;M$1&amp;""" vk="""&amp;M140&amp;""""&amp;IF(Scan2VKFlags!J140&lt;&gt;""," flags="""&amp;Scan2VKFlags!J140&amp;"""","")&amp;"/&gt;","")</f>
        <v>&lt;vk kbd="16" vk="VOLUME_UP"/&gt;</v>
      </c>
      <c r="AO140" s="15" t="str">
        <f>IF(N140&lt;&gt;"","&lt;vk kbd="""&amp;N$1&amp;""" vk="""&amp;N140&amp;""""&amp;IF(Scan2VKFlags!K140&lt;&gt;""," flags="""&amp;Scan2VKFlags!K140&amp;"""","")&amp;"/&gt;","")</f>
        <v>&lt;vk kbd="10" vk="VOLUME_UP"/&gt;</v>
      </c>
      <c r="AP140" s="15" t="str">
        <f>IF(O140&lt;&gt;"","&lt;vk kbd="""&amp;O$1&amp;""" vk="""&amp;O140&amp;""""&amp;IF(Scan2VKFlags!L140&lt;&gt;""," flags="""&amp;Scan2VKFlags!L140&amp;"""","")&amp;"/&gt;","")</f>
        <v>&lt;vk kbd="11" vk="VOLUME_UP"/&gt;</v>
      </c>
      <c r="AQ140" s="15" t="str">
        <f>IF(P140&lt;&gt;"","&lt;vk kbd="""&amp;P$1&amp;""" vk="""&amp;P140&amp;""""&amp;IF(Scan2VKFlags!M140&lt;&gt;""," flags="""&amp;Scan2VKFlags!M140&amp;"""","")&amp;"/&gt;","")</f>
        <v>&lt;vk kbd="12" vk="VOLUME_UP"/&gt;</v>
      </c>
      <c r="AR140" s="16" t="str">
        <f>IF(Q140&lt;&gt;"","&lt;vk kbd="""&amp;Q$1&amp;""" vk="""&amp;Q140&amp;""""&amp;IF(Scan2VKFlags!N140&lt;&gt;""," flags="""&amp;Scan2VKFlags!N140&amp;"""","")&amp;"/&gt;","")</f>
        <v>&lt;vk kbd="13" vk="VOLUME_UP"/&gt;</v>
      </c>
      <c r="AS140" s="3" t="str">
        <f>IF(S140&lt;&gt;"","&lt;vk kbd="""&amp;S$1&amp;""" vk="""&amp;S140&amp;""""&amp;IF(Scan2VKFlags!O140&lt;&gt;""," flags="""&amp;Scan2VKFlags!O140&amp;"""","")&amp;"/&gt;","")</f>
        <v/>
      </c>
      <c r="AT140" s="15" t="str">
        <f>IF(T140&lt;&gt;"","&lt;vk kbd="""&amp;T$1&amp;""" vk="""&amp;T140&amp;""""&amp;IF(Scan2VKFlags!P140&lt;&gt;""," flags="""&amp;Scan2VKFlags!P140&amp;"""","")&amp;"/&gt;","")</f>
        <v/>
      </c>
      <c r="AU140" s="16" t="str">
        <f>IF(U140&lt;&gt;"","&lt;vk kbd="""&amp;U$1&amp;""" vk="""&amp;U140&amp;""""&amp;IF(Scan2VKFlags!Q140&lt;&gt;""," flags="""&amp;Scan2VKFlags!Q140&amp;"""","")&amp;"/&gt;","")</f>
        <v/>
      </c>
      <c r="AV140" s="3" t="str">
        <f>IF(W140&lt;&gt;"","&lt;vk kbd="""&amp;W$1&amp;""" vk="""&amp;W140&amp;""""&amp;IF(Scan2VKFlags!R140&lt;&gt;""," flags="""&amp;Scan2VKFlags!R140&amp;"""","")&amp;"/&gt;","")</f>
        <v/>
      </c>
      <c r="AW140" s="15" t="str">
        <f>IF(X140&lt;&gt;"","&lt;vk kbd="""&amp;X$1&amp;""" vk="""&amp;X140&amp;""""&amp;IF(Scan2VKFlags!S140&lt;&gt;""," flags="""&amp;Scan2VKFlags!S140&amp;"""","")&amp;"/&gt;","")</f>
        <v/>
      </c>
      <c r="AX140" s="15" t="str">
        <f>IF(Y140&lt;&gt;"","&lt;vk kbd="""&amp;Y$1&amp;""" vk="""&amp;Y140&amp;""""&amp;IF(Scan2VKFlags!T140&lt;&gt;""," flags="""&amp;Scan2VKFlags!T140&amp;"""","")&amp;"/&gt;","")</f>
        <v/>
      </c>
      <c r="AY140" s="18" t="str">
        <f>IF(AA140&lt;&gt;"","&lt;vk kbd="""&amp;AA$1&amp;""" vk="""&amp;AA140&amp;""""&amp;IF(Scan2VKFlags!U140&lt;&gt;""," flags="""&amp;Scan2VKFlags!U140&amp;"""","")&amp;"/&gt;","")</f>
        <v/>
      </c>
      <c r="AZ140" s="3" t="str">
        <f>IF(AC140&lt;&gt;"","&lt;vk kbd="""&amp;AC$1&amp;""" vk="""&amp;AC140&amp;""""&amp;IF(Scan2VKFlags!V140&lt;&gt;""," flags="""&amp;Scan2VKFlags!V140&amp;"""","")&amp;"/&gt;","")</f>
        <v/>
      </c>
      <c r="BA140" s="16" t="str">
        <f>IF(AD140&lt;&gt;"","&lt;vk kbd="""&amp;AD$1&amp;""" vk="""&amp;AD140&amp;""""&amp;IF(Scan2VKFlags!W140&lt;&gt;""," flags="""&amp;Scan2VKFlags!W140&amp;"""","")&amp;"/&gt;","")</f>
        <v/>
      </c>
      <c r="BB140" s="15" t="s">
        <v>854</v>
      </c>
    </row>
    <row r="141" spans="1:54" s="15" customFormat="1" x14ac:dyDescent="0.25">
      <c r="B141" s="52" t="s">
        <v>156</v>
      </c>
      <c r="C141" s="7" t="s">
        <v>127</v>
      </c>
      <c r="D141" s="44" t="str">
        <f>trimtext(SplitText($C141,",",0))</f>
        <v>BROWSER_HOME</v>
      </c>
      <c r="E141" s="44" t="str">
        <f>IF(SplitText($C141,",",COLUMN(E:E)-COLUMN($D:$D))="",$D141,trimtext(SplitText($C141,",",COLUMN(E:E)-COLUMN($D:$D))))</f>
        <v>BROWSER_HOME</v>
      </c>
      <c r="F141" s="44" t="str">
        <f>IF(SplitText($C141,",",COLUMN(F:F)-COLUMN($D:$D))="",$D141,trimtext(SplitText($C141,",",COLUMN(F:F)-COLUMN($D:$D))))</f>
        <v>BROWSER_HOME</v>
      </c>
      <c r="G141" s="44" t="str">
        <f>IF(SplitText($C141,",",COLUMN(G:G)-COLUMN($D:$D))="",$D141,trimtext(SplitText($C141,",",COLUMN(G:G)-COLUMN($D:$D))))</f>
        <v>BROWSER_HOME</v>
      </c>
      <c r="H141" s="44" t="str">
        <f>IF(SplitText($C141,",",COLUMN(H:H)-COLUMN($D:$D))="",$D141,trimtext(SplitText($C141,",",COLUMN(H:H)-COLUMN($D:$D))))</f>
        <v>BROWSER_HOME</v>
      </c>
      <c r="I141" s="44" t="str">
        <f>IF(SplitText($C141,",",COLUMN(I:I)-COLUMN($D:$D))="",$D141,trimtext(SplitText($C141,",",COLUMN(I:I)-COLUMN($D:$D))))</f>
        <v>BROWSER_HOME</v>
      </c>
      <c r="J141" s="9" t="s">
        <v>312</v>
      </c>
      <c r="K141" s="44" t="str">
        <f>trimtext(SplitText($J141,",",0))</f>
        <v>BROWSER_HOME</v>
      </c>
      <c r="L141" s="44" t="str">
        <f>IF(SplitText($J141,",",COLUMN(L:L)-COLUMN($K:$K))="",$K141,trimtext(SplitText($J141,",",COLUMN(L:L)-COLUMN($K:$K))))</f>
        <v>BROWSER_HOME</v>
      </c>
      <c r="M141" s="44" t="str">
        <f>IF(SplitText($J141,",",COLUMN(M:M)-COLUMN($K:$K))="",$K141,trimtext(SplitText($J141,",",COLUMN(M:M)-COLUMN($K:$K))))</f>
        <v>BROWSER_HOME</v>
      </c>
      <c r="N141" s="44" t="str">
        <f>IF(SplitText($J141,",",COLUMN(N:N)-COLUMN($K:$K))="",$K141,trimtext(SplitText($J141,",",COLUMN(N:N)-COLUMN($K:$K))))</f>
        <v>BROWSER_HOME</v>
      </c>
      <c r="O141" s="44" t="str">
        <f>IF(SplitText($J141,",",COLUMN(O:O)-COLUMN($K:$K))="",$K141,trimtext(SplitText($J141,",",COLUMN(O:O)-COLUMN($K:$K))))</f>
        <v>BROWSER_HOME</v>
      </c>
      <c r="P141" s="44" t="str">
        <f>IF(SplitText($J141,",",COLUMN(P:P)-COLUMN($K:$K))="",$K141,trimtext(SplitText($J141,",",COLUMN(P:P)-COLUMN($K:$K))))</f>
        <v>BROWSER_HOME</v>
      </c>
      <c r="Q141" s="44" t="str">
        <f>IF(SplitText($J141,",",COLUMN(Q:Q)-COLUMN($K:$K))="",$K141,trimtext(SplitText($J141,",",COLUMN(Q:Q)-COLUMN($K:$K))))</f>
        <v>BROWSER_HOME</v>
      </c>
      <c r="R141" s="24"/>
      <c r="S141" s="44" t="str">
        <f>trimtext(SplitText($R141,",",0))</f>
        <v/>
      </c>
      <c r="T141" s="44" t="str">
        <f>IF(SplitText($R141,",",COLUMN(T:T)-COLUMN($S:$S))="",$S141,trimtext(SplitText($R141,",",COLUMN(T:T)-COLUMN($S:$S))))</f>
        <v/>
      </c>
      <c r="U141" s="45" t="str">
        <f>IF(SplitText($R141,",",COLUMN(U:U)-COLUMN($S:$S))="",$S141,trimtext(SplitText($R141,",",COLUMN(U:U)-COLUMN($S:$S))))</f>
        <v/>
      </c>
      <c r="V141" s="42"/>
      <c r="W141" s="44" t="str">
        <f>trimtext(SplitText($V141,",",0))</f>
        <v/>
      </c>
      <c r="X141" s="44" t="str">
        <f>IF(SplitText($V141,",",COLUMN(X:X)-COLUMN($W:$W))="",$W141,trimtext(SplitText($V141,",",COLUMN(X:X)-COLUMN($W:$W))))</f>
        <v/>
      </c>
      <c r="Y141" s="44" t="str">
        <f>IF(SplitText($V141,",",COLUMN(Y:Y)-COLUMN($W:$W))="",$W141,trimtext(SplitText($V141,",",COLUMN(Y:Y)-COLUMN($W:$W))))</f>
        <v/>
      </c>
      <c r="Z141" s="24"/>
      <c r="AA141" s="44" t="str">
        <f t="shared" si="13"/>
        <v/>
      </c>
      <c r="AB141" s="24"/>
      <c r="AC141" s="44" t="str">
        <f>trimtext(SplitText($AB141,",",0))</f>
        <v/>
      </c>
      <c r="AD141" s="44" t="str">
        <f>IF(SplitText($AB141,",",COLUMN(AD:AD)-COLUMN($AC:$AC))="",$AC141,trimtext(SplitText($AB141,",",COLUMN(AD:AD)-COLUMN($AC:$AC))))</f>
        <v/>
      </c>
      <c r="AE141" s="18" t="str">
        <f t="shared" si="12"/>
        <v>&lt;xs:enumeration value="X32"&gt;&lt;xs:annotation&gt;&lt;xs:documentation&gt;Typically BROWSER_HOME for keyboard type 4, different values for different keyboard types&lt;/xs:documentation&gt;&lt;xs:appinfo&gt;&lt;default-vk&gt;</v>
      </c>
      <c r="AF141" s="15" t="str">
        <f>IF(D141&lt;&gt;"","&lt;vk kbd="""&amp;D$1&amp;""" vk="""&amp;D141&amp;""""&amp;IF(Scan2VKFlags!B141&lt;&gt;""," flags="""&amp;Scan2VKFlags!B141&amp;"""","")&amp;"/&gt;","")</f>
        <v>&lt;vk kbd="1" vk="BROWSER_HOME"/&gt;</v>
      </c>
      <c r="AG141" s="15" t="str">
        <f>IF(E141&lt;&gt;"","&lt;vk kbd="""&amp;E$1&amp;""" vk="""&amp;E141&amp;""""&amp;IF(Scan2VKFlags!C141&lt;&gt;""," flags="""&amp;Scan2VKFlags!C141&amp;"""","")&amp;"/&gt;","")</f>
        <v>&lt;vk kbd="2" vk="BROWSER_HOME"/&gt;</v>
      </c>
      <c r="AH141" s="15" t="str">
        <f>IF(F141&lt;&gt;"","&lt;vk kbd="""&amp;F$1&amp;""" vk="""&amp;F141&amp;""""&amp;IF(Scan2VKFlags!D141&lt;&gt;""," flags="""&amp;Scan2VKFlags!D141&amp;"""","")&amp;"/&gt;","")</f>
        <v>&lt;vk kbd="3" vk="BROWSER_HOME"/&gt;</v>
      </c>
      <c r="AI141" s="15" t="str">
        <f>IF(G141&lt;&gt;"","&lt;vk kbd="""&amp;G$1&amp;""" vk="""&amp;G141&amp;""""&amp;IF(Scan2VKFlags!E141&lt;&gt;""," flags="""&amp;Scan2VKFlags!E141&amp;"""","")&amp;"/&gt;","")</f>
        <v>&lt;vk kbd="4" vk="BROWSER_HOME" flags="KBDEXT"/&gt;</v>
      </c>
      <c r="AJ141" s="15" t="str">
        <f>IF(H141&lt;&gt;"","&lt;vk kbd="""&amp;H$1&amp;""" vk="""&amp;H141&amp;""""&amp;IF(Scan2VKFlags!F141&lt;&gt;""," flags="""&amp;Scan2VKFlags!F141&amp;"""","")&amp;"/&gt;","")</f>
        <v>&lt;vk kbd="5" vk="BROWSER_HOME"/&gt;</v>
      </c>
      <c r="AK141" s="16" t="str">
        <f>IF(I141&lt;&gt;"","&lt;vk kbd="""&amp;I$1&amp;""" vk="""&amp;I141&amp;""""&amp;IF(Scan2VKFlags!G141&lt;&gt;""," flags="""&amp;Scan2VKFlags!G141&amp;"""","")&amp;"/&gt;","")</f>
        <v>&lt;vk kbd="6" vk="BROWSER_HOME"/&gt;</v>
      </c>
      <c r="AL141" s="3" t="str">
        <f>IF(K141&lt;&gt;"","&lt;vk kbd="""&amp;K$1&amp;""" vk="""&amp;K141&amp;""""&amp;IF(Scan2VKFlags!H141&lt;&gt;""," flags="""&amp;Scan2VKFlags!H141&amp;"""","")&amp;"/&gt;","")</f>
        <v>&lt;vk kbd="7" vk="BROWSER_HOME"/&gt;</v>
      </c>
      <c r="AM141" s="15" t="str">
        <f>IF(L141&lt;&gt;"","&lt;vk kbd="""&amp;L$1&amp;""" vk="""&amp;L141&amp;""""&amp;IF(Scan2VKFlags!I141&lt;&gt;""," flags="""&amp;Scan2VKFlags!I141&amp;"""","")&amp;"/&gt;","")</f>
        <v>&lt;vk kbd="8" vk="BROWSER_HOME"/&gt;</v>
      </c>
      <c r="AN141" s="15" t="str">
        <f>IF(M141&lt;&gt;"","&lt;vk kbd="""&amp;M$1&amp;""" vk="""&amp;M141&amp;""""&amp;IF(Scan2VKFlags!J141&lt;&gt;""," flags="""&amp;Scan2VKFlags!J141&amp;"""","")&amp;"/&gt;","")</f>
        <v>&lt;vk kbd="16" vk="BROWSER_HOME"/&gt;</v>
      </c>
      <c r="AO141" s="15" t="str">
        <f>IF(N141&lt;&gt;"","&lt;vk kbd="""&amp;N$1&amp;""" vk="""&amp;N141&amp;""""&amp;IF(Scan2VKFlags!K141&lt;&gt;""," flags="""&amp;Scan2VKFlags!K141&amp;"""","")&amp;"/&gt;","")</f>
        <v>&lt;vk kbd="10" vk="BROWSER_HOME"/&gt;</v>
      </c>
      <c r="AP141" s="15" t="str">
        <f>IF(O141&lt;&gt;"","&lt;vk kbd="""&amp;O$1&amp;""" vk="""&amp;O141&amp;""""&amp;IF(Scan2VKFlags!L141&lt;&gt;""," flags="""&amp;Scan2VKFlags!L141&amp;"""","")&amp;"/&gt;","")</f>
        <v>&lt;vk kbd="11" vk="BROWSER_HOME"/&gt;</v>
      </c>
      <c r="AQ141" s="15" t="str">
        <f>IF(P141&lt;&gt;"","&lt;vk kbd="""&amp;P$1&amp;""" vk="""&amp;P141&amp;""""&amp;IF(Scan2VKFlags!M141&lt;&gt;""," flags="""&amp;Scan2VKFlags!M141&amp;"""","")&amp;"/&gt;","")</f>
        <v>&lt;vk kbd="12" vk="BROWSER_HOME"/&gt;</v>
      </c>
      <c r="AR141" s="16" t="str">
        <f>IF(Q141&lt;&gt;"","&lt;vk kbd="""&amp;Q$1&amp;""" vk="""&amp;Q141&amp;""""&amp;IF(Scan2VKFlags!N141&lt;&gt;""," flags="""&amp;Scan2VKFlags!N141&amp;"""","")&amp;"/&gt;","")</f>
        <v>&lt;vk kbd="13" vk="BROWSER_HOME"/&gt;</v>
      </c>
      <c r="AS141" s="3" t="str">
        <f>IF(S141&lt;&gt;"","&lt;vk kbd="""&amp;S$1&amp;""" vk="""&amp;S141&amp;""""&amp;IF(Scan2VKFlags!O141&lt;&gt;""," flags="""&amp;Scan2VKFlags!O141&amp;"""","")&amp;"/&gt;","")</f>
        <v/>
      </c>
      <c r="AT141" s="15" t="str">
        <f>IF(T141&lt;&gt;"","&lt;vk kbd="""&amp;T$1&amp;""" vk="""&amp;T141&amp;""""&amp;IF(Scan2VKFlags!P141&lt;&gt;""," flags="""&amp;Scan2VKFlags!P141&amp;"""","")&amp;"/&gt;","")</f>
        <v/>
      </c>
      <c r="AU141" s="16" t="str">
        <f>IF(U141&lt;&gt;"","&lt;vk kbd="""&amp;U$1&amp;""" vk="""&amp;U141&amp;""""&amp;IF(Scan2VKFlags!Q141&lt;&gt;""," flags="""&amp;Scan2VKFlags!Q141&amp;"""","")&amp;"/&gt;","")</f>
        <v/>
      </c>
      <c r="AV141" s="3" t="str">
        <f>IF(W141&lt;&gt;"","&lt;vk kbd="""&amp;W$1&amp;""" vk="""&amp;W141&amp;""""&amp;IF(Scan2VKFlags!R141&lt;&gt;""," flags="""&amp;Scan2VKFlags!R141&amp;"""","")&amp;"/&gt;","")</f>
        <v/>
      </c>
      <c r="AW141" s="15" t="str">
        <f>IF(X141&lt;&gt;"","&lt;vk kbd="""&amp;X$1&amp;""" vk="""&amp;X141&amp;""""&amp;IF(Scan2VKFlags!S141&lt;&gt;""," flags="""&amp;Scan2VKFlags!S141&amp;"""","")&amp;"/&gt;","")</f>
        <v/>
      </c>
      <c r="AX141" s="15" t="str">
        <f>IF(Y141&lt;&gt;"","&lt;vk kbd="""&amp;Y$1&amp;""" vk="""&amp;Y141&amp;""""&amp;IF(Scan2VKFlags!T141&lt;&gt;""," flags="""&amp;Scan2VKFlags!T141&amp;"""","")&amp;"/&gt;","")</f>
        <v/>
      </c>
      <c r="AY141" s="18" t="str">
        <f>IF(AA141&lt;&gt;"","&lt;vk kbd="""&amp;AA$1&amp;""" vk="""&amp;AA141&amp;""""&amp;IF(Scan2VKFlags!U141&lt;&gt;""," flags="""&amp;Scan2VKFlags!U141&amp;"""","")&amp;"/&gt;","")</f>
        <v/>
      </c>
      <c r="AZ141" s="3" t="str">
        <f>IF(AC141&lt;&gt;"","&lt;vk kbd="""&amp;AC$1&amp;""" vk="""&amp;AC141&amp;""""&amp;IF(Scan2VKFlags!V141&lt;&gt;""," flags="""&amp;Scan2VKFlags!V141&amp;"""","")&amp;"/&gt;","")</f>
        <v/>
      </c>
      <c r="BA141" s="16" t="str">
        <f>IF(AD141&lt;&gt;"","&lt;vk kbd="""&amp;AD$1&amp;""" vk="""&amp;AD141&amp;""""&amp;IF(Scan2VKFlags!W141&lt;&gt;""," flags="""&amp;Scan2VKFlags!W141&amp;"""","")&amp;"/&gt;","")</f>
        <v/>
      </c>
      <c r="BB141" s="15" t="s">
        <v>854</v>
      </c>
    </row>
    <row r="142" spans="1:54" s="15" customFormat="1" x14ac:dyDescent="0.25">
      <c r="B142" s="52" t="s">
        <v>333</v>
      </c>
      <c r="C142" s="7"/>
      <c r="D142" s="44" t="str">
        <f>trimtext(SplitText($C142,",",0))</f>
        <v/>
      </c>
      <c r="E142" s="44" t="str">
        <f>IF(SplitText($C142,",",COLUMN(E:E)-COLUMN($D:$D))="",$D142,trimtext(SplitText($C142,",",COLUMN(E:E)-COLUMN($D:$D))))</f>
        <v/>
      </c>
      <c r="F142" s="44" t="str">
        <f>IF(SplitText($C142,",",COLUMN(F:F)-COLUMN($D:$D))="",$D142,trimtext(SplitText($C142,",",COLUMN(F:F)-COLUMN($D:$D))))</f>
        <v/>
      </c>
      <c r="G142" s="44" t="str">
        <f>IF(SplitText($C142,",",COLUMN(G:G)-COLUMN($D:$D))="",$D142,trimtext(SplitText($C142,",",COLUMN(G:G)-COLUMN($D:$D))))</f>
        <v/>
      </c>
      <c r="H142" s="44" t="str">
        <f>IF(SplitText($C142,",",COLUMN(H:H)-COLUMN($D:$D))="",$D142,trimtext(SplitText($C142,",",COLUMN(H:H)-COLUMN($D:$D))))</f>
        <v/>
      </c>
      <c r="I142" s="44" t="str">
        <f>IF(SplitText($C142,",",COLUMN(I:I)-COLUMN($D:$D))="",$D142,trimtext(SplitText($C142,",",COLUMN(I:I)-COLUMN($D:$D))))</f>
        <v/>
      </c>
      <c r="J142" s="9" t="s">
        <v>313</v>
      </c>
      <c r="K142" s="44" t="str">
        <f>trimtext(SplitText($J142,",",0))</f>
        <v>OEM_8</v>
      </c>
      <c r="L142" s="44" t="str">
        <f>IF(SplitText($J142,",",COLUMN(L:L)-COLUMN($K:$K))="",$K142,trimtext(SplitText($J142,",",COLUMN(L:L)-COLUMN($K:$K))))</f>
        <v>_none_</v>
      </c>
      <c r="M142" s="44" t="str">
        <f>IF(SplitText($J142,",",COLUMN(M:M)-COLUMN($K:$K))="",$K142,trimtext(SplitText($J142,",",COLUMN(M:M)-COLUMN($K:$K))))</f>
        <v>_none_</v>
      </c>
      <c r="N142" s="44" t="str">
        <f>IF(SplitText($J142,",",COLUMN(N:N)-COLUMN($K:$K))="",$K142,trimtext(SplitText($J142,",",COLUMN(N:N)-COLUMN($K:$K))))</f>
        <v>_none_</v>
      </c>
      <c r="O142" s="44" t="str">
        <f>IF(SplitText($J142,",",COLUMN(O:O)-COLUMN($K:$K))="",$K142,trimtext(SplitText($J142,",",COLUMN(O:O)-COLUMN($K:$K))))</f>
        <v>_none_</v>
      </c>
      <c r="P142" s="44" t="str">
        <f>IF(SplitText($J142,",",COLUMN(P:P)-COLUMN($K:$K))="",$K142,trimtext(SplitText($J142,",",COLUMN(P:P)-COLUMN($K:$K))))</f>
        <v>_none_</v>
      </c>
      <c r="Q142" s="44" t="str">
        <f>IF(SplitText($J142,",",COLUMN(Q:Q)-COLUMN($K:$K))="",$K142,trimtext(SplitText($J142,",",COLUMN(Q:Q)-COLUMN($K:$K))))</f>
        <v>_none_</v>
      </c>
      <c r="R142" s="2" t="s">
        <v>342</v>
      </c>
      <c r="S142" s="44" t="str">
        <f>trimtext(SplitText($R142,",",0))</f>
        <v>_none_</v>
      </c>
      <c r="T142" s="44" t="str">
        <f>IF(SplitText($R142,",",COLUMN(T:T)-COLUMN($S:$S))="",$S142,trimtext(SplitText($R142,",",COLUMN(T:T)-COLUMN($S:$S))))</f>
        <v>_none_</v>
      </c>
      <c r="U142" s="45" t="str">
        <f>IF(SplitText($R142,",",COLUMN(U:U)-COLUMN($S:$S))="",$S142,trimtext(SplitText($R142,",",COLUMN(U:U)-COLUMN($S:$S))))</f>
        <v>_none_</v>
      </c>
      <c r="V142" s="53" t="s">
        <v>507</v>
      </c>
      <c r="W142" s="44" t="str">
        <f>trimtext(SplitText($V142,",",0))</f>
        <v>_none_</v>
      </c>
      <c r="X142" s="44" t="str">
        <f>IF(SplitText($V142,",",COLUMN(X:X)-COLUMN($W:$W))="",$W142,trimtext(SplitText($V142,",",COLUMN(X:X)-COLUMN($W:$W))))</f>
        <v>_none_</v>
      </c>
      <c r="Y142" s="44" t="str">
        <f>IF(SplitText($V142,",",COLUMN(Y:Y)-COLUMN($W:$W))="",$W142,trimtext(SplitText($V142,",",COLUMN(Y:Y)-COLUMN($W:$W))))</f>
        <v>_none_</v>
      </c>
      <c r="Z142" s="24"/>
      <c r="AA142" s="44" t="str">
        <f t="shared" si="13"/>
        <v/>
      </c>
      <c r="AB142" s="2" t="s">
        <v>743</v>
      </c>
      <c r="AC142" s="44" t="str">
        <f>trimtext(SplitText($AB142,",",0))</f>
        <v>_none_</v>
      </c>
      <c r="AD142" s="44" t="str">
        <f>IF(SplitText($AB142,",",COLUMN(AD:AD)-COLUMN($AC:$AC))="",$AC142,trimtext(SplitText($AB142,",",COLUMN(AD:AD)-COLUMN($AC:$AC))))</f>
        <v>_none_</v>
      </c>
      <c r="AE142" s="18" t="str">
        <f t="shared" si="12"/>
        <v>&lt;xs:enumeration value="X33"&gt;&lt;xs:annotation&gt;&lt;xs:documentation&gt;Typically &lt;/xs:documentation&gt;&lt;xs:appinfo&gt;&lt;default-vk&gt;</v>
      </c>
      <c r="AF142" s="15" t="str">
        <f>IF(D142&lt;&gt;"","&lt;vk kbd="""&amp;D$1&amp;""" vk="""&amp;D142&amp;""""&amp;IF(Scan2VKFlags!B142&lt;&gt;""," flags="""&amp;Scan2VKFlags!B142&amp;"""","")&amp;"/&gt;","")</f>
        <v/>
      </c>
      <c r="AG142" s="15" t="str">
        <f>IF(E142&lt;&gt;"","&lt;vk kbd="""&amp;E$1&amp;""" vk="""&amp;E142&amp;""""&amp;IF(Scan2VKFlags!C142&lt;&gt;""," flags="""&amp;Scan2VKFlags!C142&amp;"""","")&amp;"/&gt;","")</f>
        <v/>
      </c>
      <c r="AH142" s="15" t="str">
        <f>IF(F142&lt;&gt;"","&lt;vk kbd="""&amp;F$1&amp;""" vk="""&amp;F142&amp;""""&amp;IF(Scan2VKFlags!D142&lt;&gt;""," flags="""&amp;Scan2VKFlags!D142&amp;"""","")&amp;"/&gt;","")</f>
        <v/>
      </c>
      <c r="AI142" s="15" t="str">
        <f>IF(G142&lt;&gt;"","&lt;vk kbd="""&amp;G$1&amp;""" vk="""&amp;G142&amp;""""&amp;IF(Scan2VKFlags!E142&lt;&gt;""," flags="""&amp;Scan2VKFlags!E142&amp;"""","")&amp;"/&gt;","")</f>
        <v/>
      </c>
      <c r="AJ142" s="15" t="str">
        <f>IF(H142&lt;&gt;"","&lt;vk kbd="""&amp;H$1&amp;""" vk="""&amp;H142&amp;""""&amp;IF(Scan2VKFlags!F142&lt;&gt;""," flags="""&amp;Scan2VKFlags!F142&amp;"""","")&amp;"/&gt;","")</f>
        <v/>
      </c>
      <c r="AK142" s="16" t="str">
        <f>IF(I142&lt;&gt;"","&lt;vk kbd="""&amp;I$1&amp;""" vk="""&amp;I142&amp;""""&amp;IF(Scan2VKFlags!G142&lt;&gt;""," flags="""&amp;Scan2VKFlags!G142&amp;"""","")&amp;"/&gt;","")</f>
        <v/>
      </c>
      <c r="AL142" s="3" t="str">
        <f>IF(K142&lt;&gt;"","&lt;vk kbd="""&amp;K$1&amp;""" vk="""&amp;K142&amp;""""&amp;IF(Scan2VKFlags!H142&lt;&gt;""," flags="""&amp;Scan2VKFlags!H142&amp;"""","")&amp;"/&gt;","")</f>
        <v>&lt;vk kbd="7" vk="OEM_8"/&gt;</v>
      </c>
      <c r="AM142" s="15" t="str">
        <f>IF(L142&lt;&gt;"","&lt;vk kbd="""&amp;L$1&amp;""" vk="""&amp;L142&amp;""""&amp;IF(Scan2VKFlags!I142&lt;&gt;""," flags="""&amp;Scan2VKFlags!I142&amp;"""","")&amp;"/&gt;","")</f>
        <v>&lt;vk kbd="8" vk="_none_"/&gt;</v>
      </c>
      <c r="AN142" s="15" t="str">
        <f>IF(M142&lt;&gt;"","&lt;vk kbd="""&amp;M$1&amp;""" vk="""&amp;M142&amp;""""&amp;IF(Scan2VKFlags!J142&lt;&gt;""," flags="""&amp;Scan2VKFlags!J142&amp;"""","")&amp;"/&gt;","")</f>
        <v>&lt;vk kbd="16" vk="_none_"/&gt;</v>
      </c>
      <c r="AO142" s="15" t="str">
        <f>IF(N142&lt;&gt;"","&lt;vk kbd="""&amp;N$1&amp;""" vk="""&amp;N142&amp;""""&amp;IF(Scan2VKFlags!K142&lt;&gt;""," flags="""&amp;Scan2VKFlags!K142&amp;"""","")&amp;"/&gt;","")</f>
        <v>&lt;vk kbd="10" vk="_none_"/&gt;</v>
      </c>
      <c r="AP142" s="15" t="str">
        <f>IF(O142&lt;&gt;"","&lt;vk kbd="""&amp;O$1&amp;""" vk="""&amp;O142&amp;""""&amp;IF(Scan2VKFlags!L142&lt;&gt;""," flags="""&amp;Scan2VKFlags!L142&amp;"""","")&amp;"/&gt;","")</f>
        <v>&lt;vk kbd="11" vk="_none_"/&gt;</v>
      </c>
      <c r="AQ142" s="15" t="str">
        <f>IF(P142&lt;&gt;"","&lt;vk kbd="""&amp;P$1&amp;""" vk="""&amp;P142&amp;""""&amp;IF(Scan2VKFlags!M142&lt;&gt;""," flags="""&amp;Scan2VKFlags!M142&amp;"""","")&amp;"/&gt;","")</f>
        <v>&lt;vk kbd="12" vk="_none_"/&gt;</v>
      </c>
      <c r="AR142" s="16" t="str">
        <f>IF(Q142&lt;&gt;"","&lt;vk kbd="""&amp;Q$1&amp;""" vk="""&amp;Q142&amp;""""&amp;IF(Scan2VKFlags!N142&lt;&gt;""," flags="""&amp;Scan2VKFlags!N142&amp;"""","")&amp;"/&gt;","")</f>
        <v>&lt;vk kbd="13" vk="_none_"/&gt;</v>
      </c>
      <c r="AS142" s="3" t="str">
        <f>IF(S142&lt;&gt;"","&lt;vk kbd="""&amp;S$1&amp;""" vk="""&amp;S142&amp;""""&amp;IF(Scan2VKFlags!O142&lt;&gt;""," flags="""&amp;Scan2VKFlags!O142&amp;"""","")&amp;"/&gt;","")</f>
        <v>&lt;vk kbd="20" vk="_none_"/&gt;</v>
      </c>
      <c r="AT142" s="15" t="str">
        <f>IF(T142&lt;&gt;"","&lt;vk kbd="""&amp;T$1&amp;""" vk="""&amp;T142&amp;""""&amp;IF(Scan2VKFlags!P142&lt;&gt;""," flags="""&amp;Scan2VKFlags!P142&amp;"""","")&amp;"/&gt;","")</f>
        <v>&lt;vk kbd="21" vk="_none_"/&gt;</v>
      </c>
      <c r="AU142" s="16" t="str">
        <f>IF(U142&lt;&gt;"","&lt;vk kbd="""&amp;U$1&amp;""" vk="""&amp;U142&amp;""""&amp;IF(Scan2VKFlags!Q142&lt;&gt;""," flags="""&amp;Scan2VKFlags!Q142&amp;"""","")&amp;"/&gt;","")</f>
        <v>&lt;vk kbd="22" vk="_none_"/&gt;</v>
      </c>
      <c r="AV142" s="3" t="str">
        <f>IF(W142&lt;&gt;"","&lt;vk kbd="""&amp;W$1&amp;""" vk="""&amp;W142&amp;""""&amp;IF(Scan2VKFlags!R142&lt;&gt;""," flags="""&amp;Scan2VKFlags!R142&amp;"""","")&amp;"/&gt;","")</f>
        <v>&lt;vk kbd="30" vk="_none_"/&gt;</v>
      </c>
      <c r="AW142" s="15" t="str">
        <f>IF(X142&lt;&gt;"","&lt;vk kbd="""&amp;X$1&amp;""" vk="""&amp;X142&amp;""""&amp;IF(Scan2VKFlags!S142&lt;&gt;""," flags="""&amp;Scan2VKFlags!S142&amp;"""","")&amp;"/&gt;","")</f>
        <v>&lt;vk kbd="33" vk="_none_"/&gt;</v>
      </c>
      <c r="AX142" s="15" t="str">
        <f>IF(Y142&lt;&gt;"","&lt;vk kbd="""&amp;Y$1&amp;""" vk="""&amp;Y142&amp;""""&amp;IF(Scan2VKFlags!T142&lt;&gt;""," flags="""&amp;Scan2VKFlags!T142&amp;"""","")&amp;"/&gt;","")</f>
        <v>&lt;vk kbd="34" vk="_none_"/&gt;</v>
      </c>
      <c r="AY142" s="18" t="str">
        <f>IF(AA142&lt;&gt;"","&lt;vk kbd="""&amp;AA$1&amp;""" vk="""&amp;AA142&amp;""""&amp;IF(Scan2VKFlags!U142&lt;&gt;""," flags="""&amp;Scan2VKFlags!U142&amp;"""","")&amp;"/&gt;","")</f>
        <v/>
      </c>
      <c r="AZ142" s="3" t="str">
        <f>IF(AC142&lt;&gt;"","&lt;vk kbd="""&amp;AC$1&amp;""" vk="""&amp;AC142&amp;""""&amp;IF(Scan2VKFlags!V142&lt;&gt;""," flags="""&amp;Scan2VKFlags!V142&amp;"""","")&amp;"/&gt;","")</f>
        <v>&lt;vk kbd="40" vk="_none_"/&gt;</v>
      </c>
      <c r="BA142" s="16" t="str">
        <f>IF(AD142&lt;&gt;"","&lt;vk kbd="""&amp;AD$1&amp;""" vk="""&amp;AD142&amp;""""&amp;IF(Scan2VKFlags!W142&lt;&gt;""," flags="""&amp;Scan2VKFlags!W142&amp;"""","")&amp;"/&gt;","")</f>
        <v>&lt;vk kbd="41" vk="_none_"/&gt;</v>
      </c>
      <c r="BB142" s="15" t="s">
        <v>854</v>
      </c>
    </row>
    <row r="143" spans="1:54" s="15" customFormat="1" x14ac:dyDescent="0.25">
      <c r="B143" s="52" t="s">
        <v>157</v>
      </c>
      <c r="C143" s="7" t="s">
        <v>128</v>
      </c>
      <c r="D143" s="44" t="str">
        <f>trimtext(SplitText($C143,",",0))</f>
        <v>DIVIDE</v>
      </c>
      <c r="E143" s="44" t="str">
        <f>IF(SplitText($C143,",",COLUMN(E:E)-COLUMN($D:$D))="",$D143,trimtext(SplitText($C143,",",COLUMN(E:E)-COLUMN($D:$D))))</f>
        <v>DIVIDE</v>
      </c>
      <c r="F143" s="44" t="str">
        <f>IF(SplitText($C143,",",COLUMN(F:F)-COLUMN($D:$D))="",$D143,trimtext(SplitText($C143,",",COLUMN(F:F)-COLUMN($D:$D))))</f>
        <v>DIVIDE</v>
      </c>
      <c r="G143" s="44" t="str">
        <f>IF(SplitText($C143,",",COLUMN(G:G)-COLUMN($D:$D))="",$D143,trimtext(SplitText($C143,",",COLUMN(G:G)-COLUMN($D:$D))))</f>
        <v>DIVIDE</v>
      </c>
      <c r="H143" s="44" t="str">
        <f>IF(SplitText($C143,",",COLUMN(H:H)-COLUMN($D:$D))="",$D143,trimtext(SplitText($C143,",",COLUMN(H:H)-COLUMN($D:$D))))</f>
        <v>DIVIDE</v>
      </c>
      <c r="I143" s="44" t="str">
        <f>IF(SplitText($C143,",",COLUMN(I:I)-COLUMN($D:$D))="",$D143,trimtext(SplitText($C143,",",COLUMN(I:I)-COLUMN($D:$D))))</f>
        <v>DIVIDE</v>
      </c>
      <c r="J143" s="9" t="s">
        <v>314</v>
      </c>
      <c r="K143" s="44" t="str">
        <f>trimtext(SplitText($J143,",",0))</f>
        <v>DIVIDE</v>
      </c>
      <c r="L143" s="44" t="str">
        <f>IF(SplitText($J143,",",COLUMN(L:L)-COLUMN($K:$K))="",$K143,trimtext(SplitText($J143,",",COLUMN(L:L)-COLUMN($K:$K))))</f>
        <v>DIVIDE</v>
      </c>
      <c r="M143" s="44" t="str">
        <f>IF(SplitText($J143,",",COLUMN(M:M)-COLUMN($K:$K))="",$K143,trimtext(SplitText($J143,",",COLUMN(M:M)-COLUMN($K:$K))))</f>
        <v>DIVIDE</v>
      </c>
      <c r="N143" s="44" t="str">
        <f>IF(SplitText($J143,",",COLUMN(N:N)-COLUMN($K:$K))="",$K143,trimtext(SplitText($J143,",",COLUMN(N:N)-COLUMN($K:$K))))</f>
        <v>DIVIDE</v>
      </c>
      <c r="O143" s="44" t="str">
        <f>IF(SplitText($J143,",",COLUMN(O:O)-COLUMN($K:$K))="",$K143,trimtext(SplitText($J143,",",COLUMN(O:O)-COLUMN($K:$K))))</f>
        <v>DIVIDE</v>
      </c>
      <c r="P143" s="44" t="str">
        <f>IF(SplitText($J143,",",COLUMN(P:P)-COLUMN($K:$K))="",$K143,trimtext(SplitText($J143,",",COLUMN(P:P)-COLUMN($K:$K))))</f>
        <v>DIVIDE</v>
      </c>
      <c r="Q143" s="44" t="str">
        <f>IF(SplitText($J143,",",COLUMN(Q:Q)-COLUMN($K:$K))="",$K143,trimtext(SplitText($J143,",",COLUMN(Q:Q)-COLUMN($K:$K))))</f>
        <v>DIVIDE</v>
      </c>
      <c r="R143" s="2" t="s">
        <v>471</v>
      </c>
      <c r="S143" s="44" t="str">
        <f>trimtext(SplitText($R143,",",0))</f>
        <v>_none_</v>
      </c>
      <c r="T143" s="44" t="str">
        <f>IF(SplitText($R143,",",COLUMN(T:T)-COLUMN($S:$S))="",$S143,trimtext(SplitText($R143,",",COLUMN(T:T)-COLUMN($S:$S))))</f>
        <v>_none_</v>
      </c>
      <c r="U143" s="45" t="str">
        <f>IF(SplitText($R143,",",COLUMN(U:U)-COLUMN($S:$S))="",$S143,trimtext(SplitText($R143,",",COLUMN(U:U)-COLUMN($S:$S))))</f>
        <v>DIVIDE</v>
      </c>
      <c r="V143" s="53" t="s">
        <v>624</v>
      </c>
      <c r="W143" s="44" t="str">
        <f>trimtext(SplitText($V143,",",0))</f>
        <v>DIVIDE</v>
      </c>
      <c r="X143" s="44" t="str">
        <f>IF(SplitText($V143,",",COLUMN(X:X)-COLUMN($W:$W))="",$W143,trimtext(SplitText($V143,",",COLUMN(X:X)-COLUMN($W:$W))))</f>
        <v>DIVIDE</v>
      </c>
      <c r="Y143" s="44" t="str">
        <f>IF(SplitText($V143,",",COLUMN(Y:Y)-COLUMN($W:$W))="",$W143,trimtext(SplitText($V143,",",COLUMN(Y:Y)-COLUMN($W:$W))))</f>
        <v>DIVIDE</v>
      </c>
      <c r="Z143" s="24"/>
      <c r="AA143" s="44" t="str">
        <f t="shared" si="13"/>
        <v/>
      </c>
      <c r="AB143" s="2" t="s">
        <v>838</v>
      </c>
      <c r="AC143" s="44" t="str">
        <f>trimtext(SplitText($AB143,",",0))</f>
        <v>DIVIDE</v>
      </c>
      <c r="AD143" s="44" t="str">
        <f>IF(SplitText($AB143,",",COLUMN(AD:AD)-COLUMN($AC:$AC))="",$AC143,trimtext(SplitText($AB143,",",COLUMN(AD:AD)-COLUMN($AC:$AC))))</f>
        <v>DIVIDE</v>
      </c>
      <c r="AE143" s="18" t="str">
        <f t="shared" si="12"/>
        <v>&lt;xs:enumeration value="X35"&gt;&lt;xs:annotation&gt;&lt;xs:documentation&gt;Typically DIVIDE for keyboard type 4, different values for different keyboard types&lt;/xs:documentation&gt;&lt;xs:appinfo&gt;&lt;default-vk&gt;</v>
      </c>
      <c r="AF143" s="15" t="str">
        <f>IF(D143&lt;&gt;"","&lt;vk kbd="""&amp;D$1&amp;""" vk="""&amp;D143&amp;""""&amp;IF(Scan2VKFlags!B143&lt;&gt;""," flags="""&amp;Scan2VKFlags!B143&amp;"""","")&amp;"/&gt;","")</f>
        <v>&lt;vk kbd="1" vk="DIVIDE"/&gt;</v>
      </c>
      <c r="AG143" s="15" t="str">
        <f>IF(E143&lt;&gt;"","&lt;vk kbd="""&amp;E$1&amp;""" vk="""&amp;E143&amp;""""&amp;IF(Scan2VKFlags!C143&lt;&gt;""," flags="""&amp;Scan2VKFlags!C143&amp;"""","")&amp;"/&gt;","")</f>
        <v>&lt;vk kbd="2" vk="DIVIDE"/&gt;</v>
      </c>
      <c r="AH143" s="15" t="str">
        <f>IF(F143&lt;&gt;"","&lt;vk kbd="""&amp;F$1&amp;""" vk="""&amp;F143&amp;""""&amp;IF(Scan2VKFlags!D143&lt;&gt;""," flags="""&amp;Scan2VKFlags!D143&amp;"""","")&amp;"/&gt;","")</f>
        <v>&lt;vk kbd="3" vk="DIVIDE"/&gt;</v>
      </c>
      <c r="AI143" s="15" t="str">
        <f>IF(G143&lt;&gt;"","&lt;vk kbd="""&amp;G$1&amp;""" vk="""&amp;G143&amp;""""&amp;IF(Scan2VKFlags!E143&lt;&gt;""," flags="""&amp;Scan2VKFlags!E143&amp;"""","")&amp;"/&gt;","")</f>
        <v>&lt;vk kbd="4" vk="DIVIDE" flags="KBDEXT"/&gt;</v>
      </c>
      <c r="AJ143" s="15" t="str">
        <f>IF(H143&lt;&gt;"","&lt;vk kbd="""&amp;H$1&amp;""" vk="""&amp;H143&amp;""""&amp;IF(Scan2VKFlags!F143&lt;&gt;""," flags="""&amp;Scan2VKFlags!F143&amp;"""","")&amp;"/&gt;","")</f>
        <v>&lt;vk kbd="5" vk="DIVIDE"/&gt;</v>
      </c>
      <c r="AK143" s="16" t="str">
        <f>IF(I143&lt;&gt;"","&lt;vk kbd="""&amp;I$1&amp;""" vk="""&amp;I143&amp;""""&amp;IF(Scan2VKFlags!G143&lt;&gt;""," flags="""&amp;Scan2VKFlags!G143&amp;"""","")&amp;"/&gt;","")</f>
        <v>&lt;vk kbd="6" vk="DIVIDE"/&gt;</v>
      </c>
      <c r="AL143" s="3" t="str">
        <f>IF(K143&lt;&gt;"","&lt;vk kbd="""&amp;K$1&amp;""" vk="""&amp;K143&amp;""""&amp;IF(Scan2VKFlags!H143&lt;&gt;""," flags="""&amp;Scan2VKFlags!H143&amp;"""","")&amp;"/&gt;","")</f>
        <v>&lt;vk kbd="7" vk="DIVIDE"/&gt;</v>
      </c>
      <c r="AM143" s="15" t="str">
        <f>IF(L143&lt;&gt;"","&lt;vk kbd="""&amp;L$1&amp;""" vk="""&amp;L143&amp;""""&amp;IF(Scan2VKFlags!I143&lt;&gt;""," flags="""&amp;Scan2VKFlags!I143&amp;"""","")&amp;"/&gt;","")</f>
        <v>&lt;vk kbd="8" vk="DIVIDE"/&gt;</v>
      </c>
      <c r="AN143" s="15" t="str">
        <f>IF(M143&lt;&gt;"","&lt;vk kbd="""&amp;M$1&amp;""" vk="""&amp;M143&amp;""""&amp;IF(Scan2VKFlags!J143&lt;&gt;""," flags="""&amp;Scan2VKFlags!J143&amp;"""","")&amp;"/&gt;","")</f>
        <v>&lt;vk kbd="16" vk="DIVIDE"/&gt;</v>
      </c>
      <c r="AO143" s="15" t="str">
        <f>IF(N143&lt;&gt;"","&lt;vk kbd="""&amp;N$1&amp;""" vk="""&amp;N143&amp;""""&amp;IF(Scan2VKFlags!K143&lt;&gt;""," flags="""&amp;Scan2VKFlags!K143&amp;"""","")&amp;"/&gt;","")</f>
        <v>&lt;vk kbd="10" vk="DIVIDE"/&gt;</v>
      </c>
      <c r="AP143" s="15" t="str">
        <f>IF(O143&lt;&gt;"","&lt;vk kbd="""&amp;O$1&amp;""" vk="""&amp;O143&amp;""""&amp;IF(Scan2VKFlags!L143&lt;&gt;""," flags="""&amp;Scan2VKFlags!L143&amp;"""","")&amp;"/&gt;","")</f>
        <v>&lt;vk kbd="11" vk="DIVIDE"/&gt;</v>
      </c>
      <c r="AQ143" s="15" t="str">
        <f>IF(P143&lt;&gt;"","&lt;vk kbd="""&amp;P$1&amp;""" vk="""&amp;P143&amp;""""&amp;IF(Scan2VKFlags!M143&lt;&gt;""," flags="""&amp;Scan2VKFlags!M143&amp;"""","")&amp;"/&gt;","")</f>
        <v>&lt;vk kbd="12" vk="DIVIDE"/&gt;</v>
      </c>
      <c r="AR143" s="16" t="str">
        <f>IF(Q143&lt;&gt;"","&lt;vk kbd="""&amp;Q$1&amp;""" vk="""&amp;Q143&amp;""""&amp;IF(Scan2VKFlags!N143&lt;&gt;""," flags="""&amp;Scan2VKFlags!N143&amp;"""","")&amp;"/&gt;","")</f>
        <v>&lt;vk kbd="13" vk="DIVIDE"/&gt;</v>
      </c>
      <c r="AS143" s="3" t="str">
        <f>IF(S143&lt;&gt;"","&lt;vk kbd="""&amp;S$1&amp;""" vk="""&amp;S143&amp;""""&amp;IF(Scan2VKFlags!O143&lt;&gt;""," flags="""&amp;Scan2VKFlags!O143&amp;"""","")&amp;"/&gt;","")</f>
        <v>&lt;vk kbd="20" vk="_none_"/&gt;</v>
      </c>
      <c r="AT143" s="15" t="str">
        <f>IF(T143&lt;&gt;"","&lt;vk kbd="""&amp;T$1&amp;""" vk="""&amp;T143&amp;""""&amp;IF(Scan2VKFlags!P143&lt;&gt;""," flags="""&amp;Scan2VKFlags!P143&amp;"""","")&amp;"/&gt;","")</f>
        <v>&lt;vk kbd="21" vk="_none_"/&gt;</v>
      </c>
      <c r="AU143" s="16" t="str">
        <f>IF(U143&lt;&gt;"","&lt;vk kbd="""&amp;U$1&amp;""" vk="""&amp;U143&amp;""""&amp;IF(Scan2VKFlags!Q143&lt;&gt;""," flags="""&amp;Scan2VKFlags!Q143&amp;"""","")&amp;"/&gt;","")</f>
        <v>&lt;vk kbd="22" vk="DIVIDE"/&gt;</v>
      </c>
      <c r="AV143" s="3" t="str">
        <f>IF(W143&lt;&gt;"","&lt;vk kbd="""&amp;W$1&amp;""" vk="""&amp;W143&amp;""""&amp;IF(Scan2VKFlags!R143&lt;&gt;""," flags="""&amp;Scan2VKFlags!R143&amp;"""","")&amp;"/&gt;","")</f>
        <v>&lt;vk kbd="30" vk="DIVIDE"/&gt;</v>
      </c>
      <c r="AW143" s="15" t="str">
        <f>IF(X143&lt;&gt;"","&lt;vk kbd="""&amp;X$1&amp;""" vk="""&amp;X143&amp;""""&amp;IF(Scan2VKFlags!S143&lt;&gt;""," flags="""&amp;Scan2VKFlags!S143&amp;"""","")&amp;"/&gt;","")</f>
        <v>&lt;vk kbd="33" vk="DIVIDE"/&gt;</v>
      </c>
      <c r="AX143" s="15" t="str">
        <f>IF(Y143&lt;&gt;"","&lt;vk kbd="""&amp;Y$1&amp;""" vk="""&amp;Y143&amp;""""&amp;IF(Scan2VKFlags!T143&lt;&gt;""," flags="""&amp;Scan2VKFlags!T143&amp;"""","")&amp;"/&gt;","")</f>
        <v>&lt;vk kbd="34" vk="DIVIDE"/&gt;</v>
      </c>
      <c r="AY143" s="18" t="str">
        <f>IF(AA143&lt;&gt;"","&lt;vk kbd="""&amp;AA$1&amp;""" vk="""&amp;AA143&amp;""""&amp;IF(Scan2VKFlags!U143&lt;&gt;""," flags="""&amp;Scan2VKFlags!U143&amp;"""","")&amp;"/&gt;","")</f>
        <v/>
      </c>
      <c r="AZ143" s="3" t="str">
        <f>IF(AC143&lt;&gt;"","&lt;vk kbd="""&amp;AC$1&amp;""" vk="""&amp;AC143&amp;""""&amp;IF(Scan2VKFlags!V143&lt;&gt;""," flags="""&amp;Scan2VKFlags!V143&amp;"""","")&amp;"/&gt;","")</f>
        <v>&lt;vk kbd="40" vk="DIVIDE"/&gt;</v>
      </c>
      <c r="BA143" s="16" t="str">
        <f>IF(AD143&lt;&gt;"","&lt;vk kbd="""&amp;AD$1&amp;""" vk="""&amp;AD143&amp;""""&amp;IF(Scan2VKFlags!W143&lt;&gt;""," flags="""&amp;Scan2VKFlags!W143&amp;"""","")&amp;"/&gt;","")</f>
        <v>&lt;vk kbd="41" vk="DIVIDE"/&gt;</v>
      </c>
      <c r="BB143" s="15" t="s">
        <v>854</v>
      </c>
    </row>
    <row r="144" spans="1:54" s="15" customFormat="1" x14ac:dyDescent="0.25">
      <c r="B144" s="52" t="s">
        <v>158</v>
      </c>
      <c r="C144" s="7" t="s">
        <v>84</v>
      </c>
      <c r="D144" s="44" t="str">
        <f>trimtext(SplitText($C144,",",0))</f>
        <v>SNAPSHOT</v>
      </c>
      <c r="E144" s="44" t="str">
        <f>IF(SplitText($C144,",",COLUMN(E:E)-COLUMN($D:$D))="",$D144,trimtext(SplitText($C144,",",COLUMN(E:E)-COLUMN($D:$D))))</f>
        <v>SNAPSHOT</v>
      </c>
      <c r="F144" s="44" t="str">
        <f>IF(SplitText($C144,",",COLUMN(F:F)-COLUMN($D:$D))="",$D144,trimtext(SplitText($C144,",",COLUMN(F:F)-COLUMN($D:$D))))</f>
        <v>SNAPSHOT</v>
      </c>
      <c r="G144" s="44" t="str">
        <f>IF(SplitText($C144,",",COLUMN(G:G)-COLUMN($D:$D))="",$D144,trimtext(SplitText($C144,",",COLUMN(G:G)-COLUMN($D:$D))))</f>
        <v>SNAPSHOT</v>
      </c>
      <c r="H144" s="44" t="str">
        <f>IF(SplitText($C144,",",COLUMN(H:H)-COLUMN($D:$D))="",$D144,trimtext(SplitText($C144,",",COLUMN(H:H)-COLUMN($D:$D))))</f>
        <v>SNAPSHOT</v>
      </c>
      <c r="I144" s="44" t="str">
        <f>IF(SplitText($C144,",",COLUMN(I:I)-COLUMN($D:$D))="",$D144,trimtext(SplitText($C144,",",COLUMN(I:I)-COLUMN($D:$D))))</f>
        <v>SNAPSHOT</v>
      </c>
      <c r="J144" s="9" t="s">
        <v>269</v>
      </c>
      <c r="K144" s="44" t="str">
        <f>trimtext(SplitText($J144,",",0))</f>
        <v>SNAPSHOT</v>
      </c>
      <c r="L144" s="44" t="str">
        <f>IF(SplitText($J144,",",COLUMN(L:L)-COLUMN($K:$K))="",$K144,trimtext(SplitText($J144,",",COLUMN(L:L)-COLUMN($K:$K))))</f>
        <v>SNAPSHOT</v>
      </c>
      <c r="M144" s="44" t="str">
        <f>IF(SplitText($J144,",",COLUMN(M:M)-COLUMN($K:$K))="",$K144,trimtext(SplitText($J144,",",COLUMN(M:M)-COLUMN($K:$K))))</f>
        <v>SNAPSHOT</v>
      </c>
      <c r="N144" s="44" t="str">
        <f>IF(SplitText($J144,",",COLUMN(N:N)-COLUMN($K:$K))="",$K144,trimtext(SplitText($J144,",",COLUMN(N:N)-COLUMN($K:$K))))</f>
        <v>SNAPSHOT</v>
      </c>
      <c r="O144" s="44" t="str">
        <f>IF(SplitText($J144,",",COLUMN(O:O)-COLUMN($K:$K))="",$K144,trimtext(SplitText($J144,",",COLUMN(O:O)-COLUMN($K:$K))))</f>
        <v>SNAPSHOT</v>
      </c>
      <c r="P144" s="44" t="str">
        <f>IF(SplitText($J144,",",COLUMN(P:P)-COLUMN($K:$K))="",$K144,trimtext(SplitText($J144,",",COLUMN(P:P)-COLUMN($K:$K))))</f>
        <v>SNAPSHOT</v>
      </c>
      <c r="Q144" s="44" t="str">
        <f>IF(SplitText($J144,",",COLUMN(Q:Q)-COLUMN($K:$K))="",$K144,trimtext(SplitText($J144,",",COLUMN(Q:Q)-COLUMN($K:$K))))</f>
        <v>SNAPSHOT</v>
      </c>
      <c r="R144" s="2" t="s">
        <v>426</v>
      </c>
      <c r="S144" s="44" t="str">
        <f>trimtext(SplitText($R144,",",0))</f>
        <v>_none_</v>
      </c>
      <c r="T144" s="44" t="str">
        <f>IF(SplitText($R144,",",COLUMN(T:T)-COLUMN($S:$S))="",$S144,trimtext(SplitText($R144,",",COLUMN(T:T)-COLUMN($S:$S))))</f>
        <v>_none_</v>
      </c>
      <c r="U144" s="45" t="str">
        <f>IF(SplitText($R144,",",COLUMN(U:U)-COLUMN($S:$S))="",$S144,trimtext(SplitText($R144,",",COLUMN(U:U)-COLUMN($S:$S))))</f>
        <v>SNAPSHOT</v>
      </c>
      <c r="V144" s="53" t="s">
        <v>590</v>
      </c>
      <c r="W144" s="44" t="str">
        <f>trimtext(SplitText($V144,",",0))</f>
        <v>SNAPSHOT</v>
      </c>
      <c r="X144" s="44" t="str">
        <f>IF(SplitText($V144,",",COLUMN(X:X)-COLUMN($W:$W))="",$W144,trimtext(SplitText($V144,",",COLUMN(X:X)-COLUMN($W:$W))))</f>
        <v>SNAPSHOT</v>
      </c>
      <c r="Y144" s="44" t="str">
        <f>IF(SplitText($V144,",",COLUMN(Y:Y)-COLUMN($W:$W))="",$W144,trimtext(SplitText($V144,",",COLUMN(Y:Y)-COLUMN($W:$W))))</f>
        <v>SNAPSHOT</v>
      </c>
      <c r="Z144" s="24"/>
      <c r="AA144" s="44" t="str">
        <f t="shared" si="13"/>
        <v/>
      </c>
      <c r="AB144" s="2" t="s">
        <v>827</v>
      </c>
      <c r="AC144" s="44" t="str">
        <f>trimtext(SplitText($AB144,",",0))</f>
        <v>SNAPSHOT</v>
      </c>
      <c r="AD144" s="44" t="str">
        <f>IF(SplitText($AB144,",",COLUMN(AD:AD)-COLUMN($AC:$AC))="",$AC144,trimtext(SplitText($AB144,",",COLUMN(AD:AD)-COLUMN($AC:$AC))))</f>
        <v>SNAPSHOT</v>
      </c>
      <c r="AE144" s="18" t="str">
        <f t="shared" si="12"/>
        <v>&lt;xs:enumeration value="X37"&gt;&lt;xs:annotation&gt;&lt;xs:documentation&gt;Typically SNAPSHOT for keyboard type 4, different values for different keyboard types&lt;/xs:documentation&gt;&lt;xs:appinfo&gt;&lt;default-vk&gt;</v>
      </c>
      <c r="AF144" s="15" t="str">
        <f>IF(D144&lt;&gt;"","&lt;vk kbd="""&amp;D$1&amp;""" vk="""&amp;D144&amp;""""&amp;IF(Scan2VKFlags!B144&lt;&gt;""," flags="""&amp;Scan2VKFlags!B144&amp;"""","")&amp;"/&gt;","")</f>
        <v>&lt;vk kbd="1" vk="SNAPSHOT"/&gt;</v>
      </c>
      <c r="AG144" s="15" t="str">
        <f>IF(E144&lt;&gt;"","&lt;vk kbd="""&amp;E$1&amp;""" vk="""&amp;E144&amp;""""&amp;IF(Scan2VKFlags!C144&lt;&gt;""," flags="""&amp;Scan2VKFlags!C144&amp;"""","")&amp;"/&gt;","")</f>
        <v>&lt;vk kbd="2" vk="SNAPSHOT"/&gt;</v>
      </c>
      <c r="AH144" s="15" t="str">
        <f>IF(F144&lt;&gt;"","&lt;vk kbd="""&amp;F$1&amp;""" vk="""&amp;F144&amp;""""&amp;IF(Scan2VKFlags!D144&lt;&gt;""," flags="""&amp;Scan2VKFlags!D144&amp;"""","")&amp;"/&gt;","")</f>
        <v>&lt;vk kbd="3" vk="SNAPSHOT"/&gt;</v>
      </c>
      <c r="AI144" s="15" t="str">
        <f>IF(G144&lt;&gt;"","&lt;vk kbd="""&amp;G$1&amp;""" vk="""&amp;G144&amp;""""&amp;IF(Scan2VKFlags!E144&lt;&gt;""," flags="""&amp;Scan2VKFlags!E144&amp;"""","")&amp;"/&gt;","")</f>
        <v>&lt;vk kbd="4" vk="SNAPSHOT" flags="KBDEXT"/&gt;</v>
      </c>
      <c r="AJ144" s="15" t="str">
        <f>IF(H144&lt;&gt;"","&lt;vk kbd="""&amp;H$1&amp;""" vk="""&amp;H144&amp;""""&amp;IF(Scan2VKFlags!F144&lt;&gt;""," flags="""&amp;Scan2VKFlags!F144&amp;"""","")&amp;"/&gt;","")</f>
        <v>&lt;vk kbd="5" vk="SNAPSHOT"/&gt;</v>
      </c>
      <c r="AK144" s="16" t="str">
        <f>IF(I144&lt;&gt;"","&lt;vk kbd="""&amp;I$1&amp;""" vk="""&amp;I144&amp;""""&amp;IF(Scan2VKFlags!G144&lt;&gt;""," flags="""&amp;Scan2VKFlags!G144&amp;"""","")&amp;"/&gt;","")</f>
        <v>&lt;vk kbd="6" vk="SNAPSHOT"/&gt;</v>
      </c>
      <c r="AL144" s="3" t="str">
        <f>IF(K144&lt;&gt;"","&lt;vk kbd="""&amp;K$1&amp;""" vk="""&amp;K144&amp;""""&amp;IF(Scan2VKFlags!H144&lt;&gt;""," flags="""&amp;Scan2VKFlags!H144&amp;"""","")&amp;"/&gt;","")</f>
        <v>&lt;vk kbd="7" vk="SNAPSHOT"/&gt;</v>
      </c>
      <c r="AM144" s="15" t="str">
        <f>IF(L144&lt;&gt;"","&lt;vk kbd="""&amp;L$1&amp;""" vk="""&amp;L144&amp;""""&amp;IF(Scan2VKFlags!I144&lt;&gt;""," flags="""&amp;Scan2VKFlags!I144&amp;"""","")&amp;"/&gt;","")</f>
        <v>&lt;vk kbd="8" vk="SNAPSHOT"/&gt;</v>
      </c>
      <c r="AN144" s="15" t="str">
        <f>IF(M144&lt;&gt;"","&lt;vk kbd="""&amp;M$1&amp;""" vk="""&amp;M144&amp;""""&amp;IF(Scan2VKFlags!J144&lt;&gt;""," flags="""&amp;Scan2VKFlags!J144&amp;"""","")&amp;"/&gt;","")</f>
        <v>&lt;vk kbd="16" vk="SNAPSHOT"/&gt;</v>
      </c>
      <c r="AO144" s="15" t="str">
        <f>IF(N144&lt;&gt;"","&lt;vk kbd="""&amp;N$1&amp;""" vk="""&amp;N144&amp;""""&amp;IF(Scan2VKFlags!K144&lt;&gt;""," flags="""&amp;Scan2VKFlags!K144&amp;"""","")&amp;"/&gt;","")</f>
        <v>&lt;vk kbd="10" vk="SNAPSHOT"/&gt;</v>
      </c>
      <c r="AP144" s="15" t="str">
        <f>IF(O144&lt;&gt;"","&lt;vk kbd="""&amp;O$1&amp;""" vk="""&amp;O144&amp;""""&amp;IF(Scan2VKFlags!L144&lt;&gt;""," flags="""&amp;Scan2VKFlags!L144&amp;"""","")&amp;"/&gt;","")</f>
        <v>&lt;vk kbd="11" vk="SNAPSHOT"/&gt;</v>
      </c>
      <c r="AQ144" s="15" t="str">
        <f>IF(P144&lt;&gt;"","&lt;vk kbd="""&amp;P$1&amp;""" vk="""&amp;P144&amp;""""&amp;IF(Scan2VKFlags!M144&lt;&gt;""," flags="""&amp;Scan2VKFlags!M144&amp;"""","")&amp;"/&gt;","")</f>
        <v>&lt;vk kbd="12" vk="SNAPSHOT"/&gt;</v>
      </c>
      <c r="AR144" s="16" t="str">
        <f>IF(Q144&lt;&gt;"","&lt;vk kbd="""&amp;Q$1&amp;""" vk="""&amp;Q144&amp;""""&amp;IF(Scan2VKFlags!N144&lt;&gt;""," flags="""&amp;Scan2VKFlags!N144&amp;"""","")&amp;"/&gt;","")</f>
        <v>&lt;vk kbd="13" vk="SNAPSHOT"/&gt;</v>
      </c>
      <c r="AS144" s="3" t="str">
        <f>IF(S144&lt;&gt;"","&lt;vk kbd="""&amp;S$1&amp;""" vk="""&amp;S144&amp;""""&amp;IF(Scan2VKFlags!O144&lt;&gt;""," flags="""&amp;Scan2VKFlags!O144&amp;"""","")&amp;"/&gt;","")</f>
        <v>&lt;vk kbd="20" vk="_none_"/&gt;</v>
      </c>
      <c r="AT144" s="15" t="str">
        <f>IF(T144&lt;&gt;"","&lt;vk kbd="""&amp;T$1&amp;""" vk="""&amp;T144&amp;""""&amp;IF(Scan2VKFlags!P144&lt;&gt;""," flags="""&amp;Scan2VKFlags!P144&amp;"""","")&amp;"/&gt;","")</f>
        <v>&lt;vk kbd="21" vk="_none_"/&gt;</v>
      </c>
      <c r="AU144" s="16" t="str">
        <f>IF(U144&lt;&gt;"","&lt;vk kbd="""&amp;U$1&amp;""" vk="""&amp;U144&amp;""""&amp;IF(Scan2VKFlags!Q144&lt;&gt;""," flags="""&amp;Scan2VKFlags!Q144&amp;"""","")&amp;"/&gt;","")</f>
        <v>&lt;vk kbd="22" vk="SNAPSHOT"/&gt;</v>
      </c>
      <c r="AV144" s="3" t="str">
        <f>IF(W144&lt;&gt;"","&lt;vk kbd="""&amp;W$1&amp;""" vk="""&amp;W144&amp;""""&amp;IF(Scan2VKFlags!R144&lt;&gt;""," flags="""&amp;Scan2VKFlags!R144&amp;"""","")&amp;"/&gt;","")</f>
        <v>&lt;vk kbd="30" vk="SNAPSHOT"/&gt;</v>
      </c>
      <c r="AW144" s="15" t="str">
        <f>IF(X144&lt;&gt;"","&lt;vk kbd="""&amp;X$1&amp;""" vk="""&amp;X144&amp;""""&amp;IF(Scan2VKFlags!S144&lt;&gt;""," flags="""&amp;Scan2VKFlags!S144&amp;"""","")&amp;"/&gt;","")</f>
        <v>&lt;vk kbd="33" vk="SNAPSHOT"/&gt;</v>
      </c>
      <c r="AX144" s="15" t="str">
        <f>IF(Y144&lt;&gt;"","&lt;vk kbd="""&amp;Y$1&amp;""" vk="""&amp;Y144&amp;""""&amp;IF(Scan2VKFlags!T144&lt;&gt;""," flags="""&amp;Scan2VKFlags!T144&amp;"""","")&amp;"/&gt;","")</f>
        <v>&lt;vk kbd="34" vk="SNAPSHOT"/&gt;</v>
      </c>
      <c r="AY144" s="18" t="str">
        <f>IF(AA144&lt;&gt;"","&lt;vk kbd="""&amp;AA$1&amp;""" vk="""&amp;AA144&amp;""""&amp;IF(Scan2VKFlags!U144&lt;&gt;""," flags="""&amp;Scan2VKFlags!U144&amp;"""","")&amp;"/&gt;","")</f>
        <v/>
      </c>
      <c r="AZ144" s="3" t="str">
        <f>IF(AC144&lt;&gt;"","&lt;vk kbd="""&amp;AC$1&amp;""" vk="""&amp;AC144&amp;""""&amp;IF(Scan2VKFlags!V144&lt;&gt;""," flags="""&amp;Scan2VKFlags!V144&amp;"""","")&amp;"/&gt;","")</f>
        <v>&lt;vk kbd="40" vk="SNAPSHOT"/&gt;</v>
      </c>
      <c r="BA144" s="16" t="str">
        <f>IF(AD144&lt;&gt;"","&lt;vk kbd="""&amp;AD$1&amp;""" vk="""&amp;AD144&amp;""""&amp;IF(Scan2VKFlags!W144&lt;&gt;""," flags="""&amp;Scan2VKFlags!W144&amp;"""","")&amp;"/&gt;","")</f>
        <v>&lt;vk kbd="41" vk="SNAPSHOT"/&gt;</v>
      </c>
      <c r="BB144" s="15" t="s">
        <v>854</v>
      </c>
    </row>
    <row r="145" spans="2:54" s="15" customFormat="1" x14ac:dyDescent="0.25">
      <c r="B145" s="52" t="s">
        <v>159</v>
      </c>
      <c r="C145" s="7" t="s">
        <v>129</v>
      </c>
      <c r="D145" s="44" t="str">
        <f>trimtext(SplitText($C145,",",0))</f>
        <v>RMENU</v>
      </c>
      <c r="E145" s="44" t="str">
        <f>IF(SplitText($C145,",",COLUMN(E:E)-COLUMN($D:$D))="",$D145,trimtext(SplitText($C145,",",COLUMN(E:E)-COLUMN($D:$D))))</f>
        <v>RMENU</v>
      </c>
      <c r="F145" s="44" t="str">
        <f>IF(SplitText($C145,",",COLUMN(F:F)-COLUMN($D:$D))="",$D145,trimtext(SplitText($C145,",",COLUMN(F:F)-COLUMN($D:$D))))</f>
        <v>RMENU</v>
      </c>
      <c r="G145" s="44" t="str">
        <f>IF(SplitText($C145,",",COLUMN(G:G)-COLUMN($D:$D))="",$D145,trimtext(SplitText($C145,",",COLUMN(G:G)-COLUMN($D:$D))))</f>
        <v>RMENU</v>
      </c>
      <c r="H145" s="44" t="str">
        <f>IF(SplitText($C145,",",COLUMN(H:H)-COLUMN($D:$D))="",$D145,trimtext(SplitText($C145,",",COLUMN(H:H)-COLUMN($D:$D))))</f>
        <v>RMENU</v>
      </c>
      <c r="I145" s="44" t="str">
        <f>IF(SplitText($C145,",",COLUMN(I:I)-COLUMN($D:$D))="",$D145,trimtext(SplitText($C145,",",COLUMN(I:I)-COLUMN($D:$D))))</f>
        <v>RMENU</v>
      </c>
      <c r="J145" s="9" t="s">
        <v>315</v>
      </c>
      <c r="K145" s="44" t="str">
        <f>trimtext(SplitText($J145,",",0))</f>
        <v>DBE_HIRAGANA</v>
      </c>
      <c r="L145" s="44" t="str">
        <f>IF(SplitText($J145,",",COLUMN(L:L)-COLUMN($K:$K))="",$K145,trimtext(SplitText($J145,",",COLUMN(L:L)-COLUMN($K:$K))))</f>
        <v>RMENU</v>
      </c>
      <c r="M145" s="44" t="str">
        <f>IF(SplitText($J145,",",COLUMN(M:M)-COLUMN($K:$K))="",$K145,trimtext(SplitText($J145,",",COLUMN(M:M)-COLUMN($K:$K))))</f>
        <v>KANJI</v>
      </c>
      <c r="N145" s="44" t="str">
        <f>IF(SplitText($J145,",",COLUMN(N:N)-COLUMN($K:$K))="",$K145,trimtext(SplitText($J145,",",COLUMN(N:N)-COLUMN($K:$K))))</f>
        <v>HANGEUL</v>
      </c>
      <c r="O145" s="44" t="str">
        <f>IF(SplitText($J145,",",COLUMN(O:O)-COLUMN($K:$K))="",$K145,trimtext(SplitText($J145,",",COLUMN(O:O)-COLUMN($K:$K))))</f>
        <v>HANJA</v>
      </c>
      <c r="P145" s="44" t="str">
        <f>IF(SplitText($J145,",",COLUMN(P:P)-COLUMN($K:$K))="",$K145,trimtext(SplitText($J145,",",COLUMN(P:P)-COLUMN($K:$K))))</f>
        <v>RMENU</v>
      </c>
      <c r="Q145" s="44" t="str">
        <f>IF(SplitText($J145,",",COLUMN(Q:Q)-COLUMN($K:$K))="",$K145,trimtext(SplitText($J145,",",COLUMN(Q:Q)-COLUMN($K:$K))))</f>
        <v>RMENU</v>
      </c>
      <c r="R145" s="2" t="s">
        <v>472</v>
      </c>
      <c r="S145" s="44" t="str">
        <f>trimtext(SplitText($R145,",",0))</f>
        <v>_none_</v>
      </c>
      <c r="T145" s="44" t="str">
        <f>IF(SplitText($R145,",",COLUMN(T:T)-COLUMN($S:$S))="",$S145,trimtext(SplitText($R145,",",COLUMN(T:T)-COLUMN($S:$S))))</f>
        <v>_none_</v>
      </c>
      <c r="U145" s="45" t="str">
        <f>IF(SplitText($R145,",",COLUMN(U:U)-COLUMN($S:$S))="",$S145,trimtext(SplitText($R145,",",COLUMN(U:U)-COLUMN($S:$S))))</f>
        <v>RMENU</v>
      </c>
      <c r="V145" s="53" t="s">
        <v>625</v>
      </c>
      <c r="W145" s="44" t="str">
        <f>trimtext(SplitText($V145,",",0))</f>
        <v>_none_</v>
      </c>
      <c r="X145" s="44" t="str">
        <f>IF(SplitText($V145,",",COLUMN(X:X)-COLUMN($W:$W))="",$W145,trimtext(SplitText($V145,",",COLUMN(X:X)-COLUMN($W:$W))))</f>
        <v>_none_</v>
      </c>
      <c r="Y145" s="44" t="str">
        <f>IF(SplitText($V145,",",COLUMN(Y:Y)-COLUMN($W:$W))="",$W145,trimtext(SplitText($V145,",",COLUMN(Y:Y)-COLUMN($W:$W))))</f>
        <v>KANJI</v>
      </c>
      <c r="Z145" s="24"/>
      <c r="AA145" s="44" t="str">
        <f t="shared" si="13"/>
        <v/>
      </c>
      <c r="AB145" s="2" t="s">
        <v>839</v>
      </c>
      <c r="AC145" s="44" t="str">
        <f>trimtext(SplitText($AB145,",",0))</f>
        <v>RMENU</v>
      </c>
      <c r="AD145" s="44" t="str">
        <f>IF(SplitText($AB145,",",COLUMN(AD:AD)-COLUMN($AC:$AC))="",$AC145,trimtext(SplitText($AB145,",",COLUMN(AD:AD)-COLUMN($AC:$AC))))</f>
        <v>RMENU</v>
      </c>
      <c r="AE145" s="18" t="str">
        <f t="shared" si="12"/>
        <v>&lt;xs:enumeration value="X38"&gt;&lt;xs:annotation&gt;&lt;xs:documentation&gt;Typically RMENU for keyboard type 4, different values for different keyboard types&lt;/xs:documentation&gt;&lt;xs:appinfo&gt;&lt;default-vk&gt;</v>
      </c>
      <c r="AF145" s="15" t="str">
        <f>IF(D145&lt;&gt;"","&lt;vk kbd="""&amp;D$1&amp;""" vk="""&amp;D145&amp;""""&amp;IF(Scan2VKFlags!B145&lt;&gt;""," flags="""&amp;Scan2VKFlags!B145&amp;"""","")&amp;"/&gt;","")</f>
        <v>&lt;vk kbd="1" vk="RMENU"/&gt;</v>
      </c>
      <c r="AG145" s="15" t="str">
        <f>IF(E145&lt;&gt;"","&lt;vk kbd="""&amp;E$1&amp;""" vk="""&amp;E145&amp;""""&amp;IF(Scan2VKFlags!C145&lt;&gt;""," flags="""&amp;Scan2VKFlags!C145&amp;"""","")&amp;"/&gt;","")</f>
        <v>&lt;vk kbd="2" vk="RMENU"/&gt;</v>
      </c>
      <c r="AH145" s="15" t="str">
        <f>IF(F145&lt;&gt;"","&lt;vk kbd="""&amp;F$1&amp;""" vk="""&amp;F145&amp;""""&amp;IF(Scan2VKFlags!D145&lt;&gt;""," flags="""&amp;Scan2VKFlags!D145&amp;"""","")&amp;"/&gt;","")</f>
        <v>&lt;vk kbd="3" vk="RMENU"/&gt;</v>
      </c>
      <c r="AI145" s="15" t="str">
        <f>IF(G145&lt;&gt;"","&lt;vk kbd="""&amp;G$1&amp;""" vk="""&amp;G145&amp;""""&amp;IF(Scan2VKFlags!E145&lt;&gt;""," flags="""&amp;Scan2VKFlags!E145&amp;"""","")&amp;"/&gt;","")</f>
        <v>&lt;vk kbd="4" vk="RMENU" flags="KBDEXT"/&gt;</v>
      </c>
      <c r="AJ145" s="15" t="str">
        <f>IF(H145&lt;&gt;"","&lt;vk kbd="""&amp;H$1&amp;""" vk="""&amp;H145&amp;""""&amp;IF(Scan2VKFlags!F145&lt;&gt;""," flags="""&amp;Scan2VKFlags!F145&amp;"""","")&amp;"/&gt;","")</f>
        <v>&lt;vk kbd="5" vk="RMENU"/&gt;</v>
      </c>
      <c r="AK145" s="16" t="str">
        <f>IF(I145&lt;&gt;"","&lt;vk kbd="""&amp;I$1&amp;""" vk="""&amp;I145&amp;""""&amp;IF(Scan2VKFlags!G145&lt;&gt;""," flags="""&amp;Scan2VKFlags!G145&amp;"""","")&amp;"/&gt;","")</f>
        <v>&lt;vk kbd="6" vk="RMENU"/&gt;</v>
      </c>
      <c r="AL145" s="3" t="str">
        <f>IF(K145&lt;&gt;"","&lt;vk kbd="""&amp;K$1&amp;""" vk="""&amp;K145&amp;""""&amp;IF(Scan2VKFlags!H145&lt;&gt;""," flags="""&amp;Scan2VKFlags!H145&amp;"""","")&amp;"/&gt;","")</f>
        <v>&lt;vk kbd="7" vk="DBE_HIRAGANA"/&gt;</v>
      </c>
      <c r="AM145" s="15" t="str">
        <f>IF(L145&lt;&gt;"","&lt;vk kbd="""&amp;L$1&amp;""" vk="""&amp;L145&amp;""""&amp;IF(Scan2VKFlags!I145&lt;&gt;""," flags="""&amp;Scan2VKFlags!I145&amp;"""","")&amp;"/&gt;","")</f>
        <v>&lt;vk kbd="8" vk="RMENU"/&gt;</v>
      </c>
      <c r="AN145" s="15" t="str">
        <f>IF(M145&lt;&gt;"","&lt;vk kbd="""&amp;M$1&amp;""" vk="""&amp;M145&amp;""""&amp;IF(Scan2VKFlags!J145&lt;&gt;""," flags="""&amp;Scan2VKFlags!J145&amp;"""","")&amp;"/&gt;","")</f>
        <v>&lt;vk kbd="16" vk="KANJI"/&gt;</v>
      </c>
      <c r="AO145" s="15" t="str">
        <f>IF(N145&lt;&gt;"","&lt;vk kbd="""&amp;N$1&amp;""" vk="""&amp;N145&amp;""""&amp;IF(Scan2VKFlags!K145&lt;&gt;""," flags="""&amp;Scan2VKFlags!K145&amp;"""","")&amp;"/&gt;","")</f>
        <v>&lt;vk kbd="10" vk="HANGEUL"/&gt;</v>
      </c>
      <c r="AP145" s="15" t="str">
        <f>IF(O145&lt;&gt;"","&lt;vk kbd="""&amp;O$1&amp;""" vk="""&amp;O145&amp;""""&amp;IF(Scan2VKFlags!L145&lt;&gt;""," flags="""&amp;Scan2VKFlags!L145&amp;"""","")&amp;"/&gt;","")</f>
        <v>&lt;vk kbd="11" vk="HANJA"/&gt;</v>
      </c>
      <c r="AQ145" s="15" t="str">
        <f>IF(P145&lt;&gt;"","&lt;vk kbd="""&amp;P$1&amp;""" vk="""&amp;P145&amp;""""&amp;IF(Scan2VKFlags!M145&lt;&gt;""," flags="""&amp;Scan2VKFlags!M145&amp;"""","")&amp;"/&gt;","")</f>
        <v>&lt;vk kbd="12" vk="RMENU"/&gt;</v>
      </c>
      <c r="AR145" s="16" t="str">
        <f>IF(Q145&lt;&gt;"","&lt;vk kbd="""&amp;Q$1&amp;""" vk="""&amp;Q145&amp;""""&amp;IF(Scan2VKFlags!N145&lt;&gt;""," flags="""&amp;Scan2VKFlags!N145&amp;"""","")&amp;"/&gt;","")</f>
        <v>&lt;vk kbd="13" vk="RMENU"/&gt;</v>
      </c>
      <c r="AS145" s="3" t="str">
        <f>IF(S145&lt;&gt;"","&lt;vk kbd="""&amp;S$1&amp;""" vk="""&amp;S145&amp;""""&amp;IF(Scan2VKFlags!O145&lt;&gt;""," flags="""&amp;Scan2VKFlags!O145&amp;"""","")&amp;"/&gt;","")</f>
        <v>&lt;vk kbd="20" vk="_none_"/&gt;</v>
      </c>
      <c r="AT145" s="15" t="str">
        <f>IF(T145&lt;&gt;"","&lt;vk kbd="""&amp;T$1&amp;""" vk="""&amp;T145&amp;""""&amp;IF(Scan2VKFlags!P145&lt;&gt;""," flags="""&amp;Scan2VKFlags!P145&amp;"""","")&amp;"/&gt;","")</f>
        <v>&lt;vk kbd="21" vk="_none_"/&gt;</v>
      </c>
      <c r="AU145" s="16" t="str">
        <f>IF(U145&lt;&gt;"","&lt;vk kbd="""&amp;U$1&amp;""" vk="""&amp;U145&amp;""""&amp;IF(Scan2VKFlags!Q145&lt;&gt;""," flags="""&amp;Scan2VKFlags!Q145&amp;"""","")&amp;"/&gt;","")</f>
        <v>&lt;vk kbd="22" vk="RMENU"/&gt;</v>
      </c>
      <c r="AV145" s="3" t="str">
        <f>IF(W145&lt;&gt;"","&lt;vk kbd="""&amp;W$1&amp;""" vk="""&amp;W145&amp;""""&amp;IF(Scan2VKFlags!R145&lt;&gt;""," flags="""&amp;Scan2VKFlags!R145&amp;"""","")&amp;"/&gt;","")</f>
        <v>&lt;vk kbd="30" vk="_none_"/&gt;</v>
      </c>
      <c r="AW145" s="15" t="str">
        <f>IF(X145&lt;&gt;"","&lt;vk kbd="""&amp;X$1&amp;""" vk="""&amp;X145&amp;""""&amp;IF(Scan2VKFlags!S145&lt;&gt;""," flags="""&amp;Scan2VKFlags!S145&amp;"""","")&amp;"/&gt;","")</f>
        <v>&lt;vk kbd="33" vk="_none_"/&gt;</v>
      </c>
      <c r="AX145" s="15" t="str">
        <f>IF(Y145&lt;&gt;"","&lt;vk kbd="""&amp;Y$1&amp;""" vk="""&amp;Y145&amp;""""&amp;IF(Scan2VKFlags!T145&lt;&gt;""," flags="""&amp;Scan2VKFlags!T145&amp;"""","")&amp;"/&gt;","")</f>
        <v>&lt;vk kbd="34" vk="KANJI"/&gt;</v>
      </c>
      <c r="AY145" s="18" t="str">
        <f>IF(AA145&lt;&gt;"","&lt;vk kbd="""&amp;AA$1&amp;""" vk="""&amp;AA145&amp;""""&amp;IF(Scan2VKFlags!U145&lt;&gt;""," flags="""&amp;Scan2VKFlags!U145&amp;"""","")&amp;"/&gt;","")</f>
        <v/>
      </c>
      <c r="AZ145" s="3" t="str">
        <f>IF(AC145&lt;&gt;"","&lt;vk kbd="""&amp;AC$1&amp;""" vk="""&amp;AC145&amp;""""&amp;IF(Scan2VKFlags!V145&lt;&gt;""," flags="""&amp;Scan2VKFlags!V145&amp;"""","")&amp;"/&gt;","")</f>
        <v>&lt;vk kbd="40" vk="RMENU"/&gt;</v>
      </c>
      <c r="BA145" s="16" t="str">
        <f>IF(AD145&lt;&gt;"","&lt;vk kbd="""&amp;AD$1&amp;""" vk="""&amp;AD145&amp;""""&amp;IF(Scan2VKFlags!W145&lt;&gt;""," flags="""&amp;Scan2VKFlags!W145&amp;"""","")&amp;"/&gt;","")</f>
        <v>&lt;vk kbd="41" vk="RMENU"/&gt;</v>
      </c>
      <c r="BB145" s="15" t="s">
        <v>854</v>
      </c>
    </row>
    <row r="146" spans="2:54" s="15" customFormat="1" x14ac:dyDescent="0.25">
      <c r="B146" s="52" t="s">
        <v>840</v>
      </c>
      <c r="C146" s="7"/>
      <c r="D146" s="44"/>
      <c r="E146" s="44"/>
      <c r="F146" s="44"/>
      <c r="G146" s="44"/>
      <c r="H146" s="44"/>
      <c r="I146" s="44"/>
      <c r="J146" s="9"/>
      <c r="K146" s="44" t="str">
        <f>trimtext(SplitText($J146,",",0))</f>
        <v/>
      </c>
      <c r="L146" s="44" t="str">
        <f>IF(SplitText($J146,",",COLUMN(L:L)-COLUMN($K:$K))="",$K146,trimtext(SplitText($J146,",",COLUMN(L:L)-COLUMN($K:$K))))</f>
        <v/>
      </c>
      <c r="M146" s="44" t="str">
        <f>IF(SplitText($J146,",",COLUMN(M:M)-COLUMN($K:$K))="",$K146,trimtext(SplitText($J146,",",COLUMN(M:M)-COLUMN($K:$K))))</f>
        <v/>
      </c>
      <c r="N146" s="44" t="str">
        <f>IF(SplitText($J146,",",COLUMN(N:N)-COLUMN($K:$K))="",$K146,trimtext(SplitText($J146,",",COLUMN(N:N)-COLUMN($K:$K))))</f>
        <v/>
      </c>
      <c r="O146" s="44" t="str">
        <f>IF(SplitText($J146,",",COLUMN(O:O)-COLUMN($K:$K))="",$K146,trimtext(SplitText($J146,",",COLUMN(O:O)-COLUMN($K:$K))))</f>
        <v/>
      </c>
      <c r="P146" s="44" t="str">
        <f>IF(SplitText($J146,",",COLUMN(P:P)-COLUMN($K:$K))="",$K146,trimtext(SplitText($J146,",",COLUMN(P:P)-COLUMN($K:$K))))</f>
        <v/>
      </c>
      <c r="Q146" s="44" t="str">
        <f>IF(SplitText($J146,",",COLUMN(Q:Q)-COLUMN($K:$K))="",$K146,trimtext(SplitText($J146,",",COLUMN(Q:Q)-COLUMN($K:$K))))</f>
        <v/>
      </c>
      <c r="R146" s="2"/>
      <c r="S146" s="44" t="str">
        <f>trimtext(SplitText($R146,",",0))</f>
        <v/>
      </c>
      <c r="T146" s="44" t="str">
        <f>IF(SplitText($R146,",",COLUMN(T:T)-COLUMN($S:$S))="",$S146,trimtext(SplitText($R146,",",COLUMN(T:T)-COLUMN($S:$S))))</f>
        <v/>
      </c>
      <c r="U146" s="45" t="str">
        <f>IF(SplitText($R146,",",COLUMN(U:U)-COLUMN($S:$S))="",$S146,trimtext(SplitText($R146,",",COLUMN(U:U)-COLUMN($S:$S))))</f>
        <v/>
      </c>
      <c r="V146" s="53"/>
      <c r="W146" s="44" t="str">
        <f>trimtext(SplitText($V146,",",0))</f>
        <v/>
      </c>
      <c r="X146" s="44" t="str">
        <f>IF(SplitText($V146,",",COLUMN(X:X)-COLUMN($W:$W))="",$W146,trimtext(SplitText($V146,",",COLUMN(X:X)-COLUMN($W:$W))))</f>
        <v/>
      </c>
      <c r="Y146" s="44" t="str">
        <f>IF(SplitText($V146,",",COLUMN(Y:Y)-COLUMN($W:$W))="",$W146,trimtext(SplitText($V146,",",COLUMN(Y:Y)-COLUMN($W:$W))))</f>
        <v/>
      </c>
      <c r="Z146" s="24"/>
      <c r="AA146" s="44" t="str">
        <f t="shared" si="13"/>
        <v/>
      </c>
      <c r="AB146" s="2" t="s">
        <v>845</v>
      </c>
      <c r="AC146" s="44" t="str">
        <f>trimtext(SplitText($AB146,",",0))</f>
        <v>F13</v>
      </c>
      <c r="AD146" s="44" t="str">
        <f>IF(SplitText($AB146,",",COLUMN(AD:AD)-COLUMN($AC:$AC))="",$AC146,trimtext(SplitText($AB146,",",COLUMN(AD:AD)-COLUMN($AC:$AC))))</f>
        <v>F13</v>
      </c>
      <c r="AE146" s="18" t="str">
        <f t="shared" si="12"/>
        <v>&lt;xs:enumeration value="X3D"&gt;&lt;xs:annotation&gt;&lt;xs:documentation&gt;Typically &lt;/xs:documentation&gt;&lt;xs:appinfo&gt;&lt;default-vk&gt;</v>
      </c>
      <c r="AF146" s="15" t="str">
        <f>IF(D146&lt;&gt;"","&lt;vk kbd="""&amp;D$1&amp;""" vk="""&amp;D146&amp;""""&amp;IF(Scan2VKFlags!B146&lt;&gt;""," flags="""&amp;Scan2VKFlags!B146&amp;"""","")&amp;"/&gt;","")</f>
        <v/>
      </c>
      <c r="AG146" s="15" t="str">
        <f>IF(E146&lt;&gt;"","&lt;vk kbd="""&amp;E$1&amp;""" vk="""&amp;E146&amp;""""&amp;IF(Scan2VKFlags!C146&lt;&gt;""," flags="""&amp;Scan2VKFlags!C146&amp;"""","")&amp;"/&gt;","")</f>
        <v/>
      </c>
      <c r="AH146" s="15" t="str">
        <f>IF(F146&lt;&gt;"","&lt;vk kbd="""&amp;F$1&amp;""" vk="""&amp;F146&amp;""""&amp;IF(Scan2VKFlags!D146&lt;&gt;""," flags="""&amp;Scan2VKFlags!D146&amp;"""","")&amp;"/&gt;","")</f>
        <v/>
      </c>
      <c r="AI146" s="15" t="str">
        <f>IF(G146&lt;&gt;"","&lt;vk kbd="""&amp;G$1&amp;""" vk="""&amp;G146&amp;""""&amp;IF(Scan2VKFlags!E146&lt;&gt;""," flags="""&amp;Scan2VKFlags!E146&amp;"""","")&amp;"/&gt;","")</f>
        <v/>
      </c>
      <c r="AJ146" s="15" t="str">
        <f>IF(H146&lt;&gt;"","&lt;vk kbd="""&amp;H$1&amp;""" vk="""&amp;H146&amp;""""&amp;IF(Scan2VKFlags!F146&lt;&gt;""," flags="""&amp;Scan2VKFlags!F146&amp;"""","")&amp;"/&gt;","")</f>
        <v/>
      </c>
      <c r="AK146" s="16" t="str">
        <f>IF(I146&lt;&gt;"","&lt;vk kbd="""&amp;I$1&amp;""" vk="""&amp;I146&amp;""""&amp;IF(Scan2VKFlags!G146&lt;&gt;""," flags="""&amp;Scan2VKFlags!G146&amp;"""","")&amp;"/&gt;","")</f>
        <v/>
      </c>
      <c r="AL146" s="3" t="str">
        <f>IF(K146&lt;&gt;"","&lt;vk kbd="""&amp;K$1&amp;""" vk="""&amp;K146&amp;""""&amp;IF(Scan2VKFlags!H146&lt;&gt;""," flags="""&amp;Scan2VKFlags!H146&amp;"""","")&amp;"/&gt;","")</f>
        <v/>
      </c>
      <c r="AM146" s="15" t="str">
        <f>IF(L146&lt;&gt;"","&lt;vk kbd="""&amp;L$1&amp;""" vk="""&amp;L146&amp;""""&amp;IF(Scan2VKFlags!I146&lt;&gt;""," flags="""&amp;Scan2VKFlags!I146&amp;"""","")&amp;"/&gt;","")</f>
        <v/>
      </c>
      <c r="AN146" s="15" t="str">
        <f>IF(M146&lt;&gt;"","&lt;vk kbd="""&amp;M$1&amp;""" vk="""&amp;M146&amp;""""&amp;IF(Scan2VKFlags!J146&lt;&gt;""," flags="""&amp;Scan2VKFlags!J146&amp;"""","")&amp;"/&gt;","")</f>
        <v/>
      </c>
      <c r="AO146" s="15" t="str">
        <f>IF(N146&lt;&gt;"","&lt;vk kbd="""&amp;N$1&amp;""" vk="""&amp;N146&amp;""""&amp;IF(Scan2VKFlags!K146&lt;&gt;""," flags="""&amp;Scan2VKFlags!K146&amp;"""","")&amp;"/&gt;","")</f>
        <v/>
      </c>
      <c r="AP146" s="15" t="str">
        <f>IF(O146&lt;&gt;"","&lt;vk kbd="""&amp;O$1&amp;""" vk="""&amp;O146&amp;""""&amp;IF(Scan2VKFlags!L146&lt;&gt;""," flags="""&amp;Scan2VKFlags!L146&amp;"""","")&amp;"/&gt;","")</f>
        <v/>
      </c>
      <c r="AQ146" s="15" t="str">
        <f>IF(P146&lt;&gt;"","&lt;vk kbd="""&amp;P$1&amp;""" vk="""&amp;P146&amp;""""&amp;IF(Scan2VKFlags!M146&lt;&gt;""," flags="""&amp;Scan2VKFlags!M146&amp;"""","")&amp;"/&gt;","")</f>
        <v/>
      </c>
      <c r="AR146" s="16" t="str">
        <f>IF(Q146&lt;&gt;"","&lt;vk kbd="""&amp;Q$1&amp;""" vk="""&amp;Q146&amp;""""&amp;IF(Scan2VKFlags!N146&lt;&gt;""," flags="""&amp;Scan2VKFlags!N146&amp;"""","")&amp;"/&gt;","")</f>
        <v/>
      </c>
      <c r="AS146" s="3" t="str">
        <f>IF(S146&lt;&gt;"","&lt;vk kbd="""&amp;S$1&amp;""" vk="""&amp;S146&amp;""""&amp;IF(Scan2VKFlags!O146&lt;&gt;""," flags="""&amp;Scan2VKFlags!O146&amp;"""","")&amp;"/&gt;","")</f>
        <v/>
      </c>
      <c r="AT146" s="15" t="str">
        <f>IF(T146&lt;&gt;"","&lt;vk kbd="""&amp;T$1&amp;""" vk="""&amp;T146&amp;""""&amp;IF(Scan2VKFlags!P146&lt;&gt;""," flags="""&amp;Scan2VKFlags!P146&amp;"""","")&amp;"/&gt;","")</f>
        <v/>
      </c>
      <c r="AU146" s="16" t="str">
        <f>IF(U146&lt;&gt;"","&lt;vk kbd="""&amp;U$1&amp;""" vk="""&amp;U146&amp;""""&amp;IF(Scan2VKFlags!Q146&lt;&gt;""," flags="""&amp;Scan2VKFlags!Q146&amp;"""","")&amp;"/&gt;","")</f>
        <v/>
      </c>
      <c r="AV146" s="3" t="str">
        <f>IF(W146&lt;&gt;"","&lt;vk kbd="""&amp;W$1&amp;""" vk="""&amp;W146&amp;""""&amp;IF(Scan2VKFlags!R146&lt;&gt;""," flags="""&amp;Scan2VKFlags!R146&amp;"""","")&amp;"/&gt;","")</f>
        <v/>
      </c>
      <c r="AW146" s="15" t="str">
        <f>IF(X146&lt;&gt;"","&lt;vk kbd="""&amp;X$1&amp;""" vk="""&amp;X146&amp;""""&amp;IF(Scan2VKFlags!S146&lt;&gt;""," flags="""&amp;Scan2VKFlags!S146&amp;"""","")&amp;"/&gt;","")</f>
        <v/>
      </c>
      <c r="AX146" s="15" t="str">
        <f>IF(Y146&lt;&gt;"","&lt;vk kbd="""&amp;Y$1&amp;""" vk="""&amp;Y146&amp;""""&amp;IF(Scan2VKFlags!T146&lt;&gt;""," flags="""&amp;Scan2VKFlags!T146&amp;"""","")&amp;"/&gt;","")</f>
        <v/>
      </c>
      <c r="AY146" s="18" t="str">
        <f>IF(AA146&lt;&gt;"","&lt;vk kbd="""&amp;AA$1&amp;""" vk="""&amp;AA146&amp;""""&amp;IF(Scan2VKFlags!U146&lt;&gt;""," flags="""&amp;Scan2VKFlags!U146&amp;"""","")&amp;"/&gt;","")</f>
        <v/>
      </c>
      <c r="AZ146" s="3" t="str">
        <f>IF(AC146&lt;&gt;"","&lt;vk kbd="""&amp;AC$1&amp;""" vk="""&amp;AC146&amp;""""&amp;IF(Scan2VKFlags!V146&lt;&gt;""," flags="""&amp;Scan2VKFlags!V146&amp;"""","")&amp;"/&gt;","")</f>
        <v>&lt;vk kbd="40" vk="F13"/&gt;</v>
      </c>
      <c r="BA146" s="16" t="str">
        <f>IF(AD146&lt;&gt;"","&lt;vk kbd="""&amp;AD$1&amp;""" vk="""&amp;AD146&amp;""""&amp;IF(Scan2VKFlags!W146&lt;&gt;""," flags="""&amp;Scan2VKFlags!W146&amp;"""","")&amp;"/&gt;","")</f>
        <v>&lt;vk kbd="41" vk="F13"/&gt;</v>
      </c>
      <c r="BB146" s="15" t="s">
        <v>854</v>
      </c>
    </row>
    <row r="147" spans="2:54" s="15" customFormat="1" x14ac:dyDescent="0.25">
      <c r="B147" s="52" t="s">
        <v>841</v>
      </c>
      <c r="C147" s="7"/>
      <c r="D147" s="44"/>
      <c r="E147" s="44"/>
      <c r="F147" s="44"/>
      <c r="G147" s="44"/>
      <c r="H147" s="44"/>
      <c r="I147" s="44"/>
      <c r="J147" s="9"/>
      <c r="K147" s="44" t="str">
        <f>trimtext(SplitText($J147,",",0))</f>
        <v/>
      </c>
      <c r="L147" s="44" t="str">
        <f>IF(SplitText($J147,",",COLUMN(L:L)-COLUMN($K:$K))="",$K147,trimtext(SplitText($J147,",",COLUMN(L:L)-COLUMN($K:$K))))</f>
        <v/>
      </c>
      <c r="M147" s="44" t="str">
        <f>IF(SplitText($J147,",",COLUMN(M:M)-COLUMN($K:$K))="",$K147,trimtext(SplitText($J147,",",COLUMN(M:M)-COLUMN($K:$K))))</f>
        <v/>
      </c>
      <c r="N147" s="44" t="str">
        <f>IF(SplitText($J147,",",COLUMN(N:N)-COLUMN($K:$K))="",$K147,trimtext(SplitText($J147,",",COLUMN(N:N)-COLUMN($K:$K))))</f>
        <v/>
      </c>
      <c r="O147" s="44" t="str">
        <f>IF(SplitText($J147,",",COLUMN(O:O)-COLUMN($K:$K))="",$K147,trimtext(SplitText($J147,",",COLUMN(O:O)-COLUMN($K:$K))))</f>
        <v/>
      </c>
      <c r="P147" s="44" t="str">
        <f>IF(SplitText($J147,",",COLUMN(P:P)-COLUMN($K:$K))="",$K147,trimtext(SplitText($J147,",",COLUMN(P:P)-COLUMN($K:$K))))</f>
        <v/>
      </c>
      <c r="Q147" s="44" t="str">
        <f>IF(SplitText($J147,",",COLUMN(Q:Q)-COLUMN($K:$K))="",$K147,trimtext(SplitText($J147,",",COLUMN(Q:Q)-COLUMN($K:$K))))</f>
        <v/>
      </c>
      <c r="R147" s="2"/>
      <c r="S147" s="44" t="str">
        <f>trimtext(SplitText($R147,",",0))</f>
        <v/>
      </c>
      <c r="T147" s="44" t="str">
        <f>IF(SplitText($R147,",",COLUMN(T:T)-COLUMN($S:$S))="",$S147,trimtext(SplitText($R147,",",COLUMN(T:T)-COLUMN($S:$S))))</f>
        <v/>
      </c>
      <c r="U147" s="45" t="str">
        <f>IF(SplitText($R147,",",COLUMN(U:U)-COLUMN($S:$S))="",$S147,trimtext(SplitText($R147,",",COLUMN(U:U)-COLUMN($S:$S))))</f>
        <v/>
      </c>
      <c r="V147" s="53"/>
      <c r="W147" s="44" t="str">
        <f>trimtext(SplitText($V147,",",0))</f>
        <v/>
      </c>
      <c r="X147" s="44" t="str">
        <f>IF(SplitText($V147,",",COLUMN(X:X)-COLUMN($W:$W))="",$W147,trimtext(SplitText($V147,",",COLUMN(X:X)-COLUMN($W:$W))))</f>
        <v/>
      </c>
      <c r="Y147" s="44" t="str">
        <f>IF(SplitText($V147,",",COLUMN(Y:Y)-COLUMN($W:$W))="",$W147,trimtext(SplitText($V147,",",COLUMN(Y:Y)-COLUMN($W:$W))))</f>
        <v/>
      </c>
      <c r="Z147" s="24"/>
      <c r="AA147" s="44" t="str">
        <f t="shared" si="13"/>
        <v/>
      </c>
      <c r="AB147" s="2" t="s">
        <v>846</v>
      </c>
      <c r="AC147" s="44" t="str">
        <f>trimtext(SplitText($AB147,",",0))</f>
        <v>F14</v>
      </c>
      <c r="AD147" s="44" t="str">
        <f>IF(SplitText($AB147,",",COLUMN(AD:AD)-COLUMN($AC:$AC))="",$AC147,trimtext(SplitText($AB147,",",COLUMN(AD:AD)-COLUMN($AC:$AC))))</f>
        <v>F14</v>
      </c>
      <c r="AE147" s="18" t="str">
        <f t="shared" si="12"/>
        <v>&lt;xs:enumeration value="X3E"&gt;&lt;xs:annotation&gt;&lt;xs:documentation&gt;Typically &lt;/xs:documentation&gt;&lt;xs:appinfo&gt;&lt;default-vk&gt;</v>
      </c>
      <c r="AF147" s="15" t="str">
        <f>IF(D147&lt;&gt;"","&lt;vk kbd="""&amp;D$1&amp;""" vk="""&amp;D147&amp;""""&amp;IF(Scan2VKFlags!B147&lt;&gt;""," flags="""&amp;Scan2VKFlags!B147&amp;"""","")&amp;"/&gt;","")</f>
        <v/>
      </c>
      <c r="AG147" s="15" t="str">
        <f>IF(E147&lt;&gt;"","&lt;vk kbd="""&amp;E$1&amp;""" vk="""&amp;E147&amp;""""&amp;IF(Scan2VKFlags!C147&lt;&gt;""," flags="""&amp;Scan2VKFlags!C147&amp;"""","")&amp;"/&gt;","")</f>
        <v/>
      </c>
      <c r="AH147" s="15" t="str">
        <f>IF(F147&lt;&gt;"","&lt;vk kbd="""&amp;F$1&amp;""" vk="""&amp;F147&amp;""""&amp;IF(Scan2VKFlags!D147&lt;&gt;""," flags="""&amp;Scan2VKFlags!D147&amp;"""","")&amp;"/&gt;","")</f>
        <v/>
      </c>
      <c r="AI147" s="15" t="str">
        <f>IF(G147&lt;&gt;"","&lt;vk kbd="""&amp;G$1&amp;""" vk="""&amp;G147&amp;""""&amp;IF(Scan2VKFlags!E147&lt;&gt;""," flags="""&amp;Scan2VKFlags!E147&amp;"""","")&amp;"/&gt;","")</f>
        <v/>
      </c>
      <c r="AJ147" s="15" t="str">
        <f>IF(H147&lt;&gt;"","&lt;vk kbd="""&amp;H$1&amp;""" vk="""&amp;H147&amp;""""&amp;IF(Scan2VKFlags!F147&lt;&gt;""," flags="""&amp;Scan2VKFlags!F147&amp;"""","")&amp;"/&gt;","")</f>
        <v/>
      </c>
      <c r="AK147" s="16" t="str">
        <f>IF(I147&lt;&gt;"","&lt;vk kbd="""&amp;I$1&amp;""" vk="""&amp;I147&amp;""""&amp;IF(Scan2VKFlags!G147&lt;&gt;""," flags="""&amp;Scan2VKFlags!G147&amp;"""","")&amp;"/&gt;","")</f>
        <v/>
      </c>
      <c r="AL147" s="3" t="str">
        <f>IF(K147&lt;&gt;"","&lt;vk kbd="""&amp;K$1&amp;""" vk="""&amp;K147&amp;""""&amp;IF(Scan2VKFlags!H147&lt;&gt;""," flags="""&amp;Scan2VKFlags!H147&amp;"""","")&amp;"/&gt;","")</f>
        <v/>
      </c>
      <c r="AM147" s="15" t="str">
        <f>IF(L147&lt;&gt;"","&lt;vk kbd="""&amp;L$1&amp;""" vk="""&amp;L147&amp;""""&amp;IF(Scan2VKFlags!I147&lt;&gt;""," flags="""&amp;Scan2VKFlags!I147&amp;"""","")&amp;"/&gt;","")</f>
        <v/>
      </c>
      <c r="AN147" s="15" t="str">
        <f>IF(M147&lt;&gt;"","&lt;vk kbd="""&amp;M$1&amp;""" vk="""&amp;M147&amp;""""&amp;IF(Scan2VKFlags!J147&lt;&gt;""," flags="""&amp;Scan2VKFlags!J147&amp;"""","")&amp;"/&gt;","")</f>
        <v/>
      </c>
      <c r="AO147" s="15" t="str">
        <f>IF(N147&lt;&gt;"","&lt;vk kbd="""&amp;N$1&amp;""" vk="""&amp;N147&amp;""""&amp;IF(Scan2VKFlags!K147&lt;&gt;""," flags="""&amp;Scan2VKFlags!K147&amp;"""","")&amp;"/&gt;","")</f>
        <v/>
      </c>
      <c r="AP147" s="15" t="str">
        <f>IF(O147&lt;&gt;"","&lt;vk kbd="""&amp;O$1&amp;""" vk="""&amp;O147&amp;""""&amp;IF(Scan2VKFlags!L147&lt;&gt;""," flags="""&amp;Scan2VKFlags!L147&amp;"""","")&amp;"/&gt;","")</f>
        <v/>
      </c>
      <c r="AQ147" s="15" t="str">
        <f>IF(P147&lt;&gt;"","&lt;vk kbd="""&amp;P$1&amp;""" vk="""&amp;P147&amp;""""&amp;IF(Scan2VKFlags!M147&lt;&gt;""," flags="""&amp;Scan2VKFlags!M147&amp;"""","")&amp;"/&gt;","")</f>
        <v/>
      </c>
      <c r="AR147" s="16" t="str">
        <f>IF(Q147&lt;&gt;"","&lt;vk kbd="""&amp;Q$1&amp;""" vk="""&amp;Q147&amp;""""&amp;IF(Scan2VKFlags!N147&lt;&gt;""," flags="""&amp;Scan2VKFlags!N147&amp;"""","")&amp;"/&gt;","")</f>
        <v/>
      </c>
      <c r="AS147" s="3" t="str">
        <f>IF(S147&lt;&gt;"","&lt;vk kbd="""&amp;S$1&amp;""" vk="""&amp;S147&amp;""""&amp;IF(Scan2VKFlags!O147&lt;&gt;""," flags="""&amp;Scan2VKFlags!O147&amp;"""","")&amp;"/&gt;","")</f>
        <v/>
      </c>
      <c r="AT147" s="15" t="str">
        <f>IF(T147&lt;&gt;"","&lt;vk kbd="""&amp;T$1&amp;""" vk="""&amp;T147&amp;""""&amp;IF(Scan2VKFlags!P147&lt;&gt;""," flags="""&amp;Scan2VKFlags!P147&amp;"""","")&amp;"/&gt;","")</f>
        <v/>
      </c>
      <c r="AU147" s="16" t="str">
        <f>IF(U147&lt;&gt;"","&lt;vk kbd="""&amp;U$1&amp;""" vk="""&amp;U147&amp;""""&amp;IF(Scan2VKFlags!Q147&lt;&gt;""," flags="""&amp;Scan2VKFlags!Q147&amp;"""","")&amp;"/&gt;","")</f>
        <v/>
      </c>
      <c r="AV147" s="3" t="str">
        <f>IF(W147&lt;&gt;"","&lt;vk kbd="""&amp;W$1&amp;""" vk="""&amp;W147&amp;""""&amp;IF(Scan2VKFlags!R147&lt;&gt;""," flags="""&amp;Scan2VKFlags!R147&amp;"""","")&amp;"/&gt;","")</f>
        <v/>
      </c>
      <c r="AW147" s="15" t="str">
        <f>IF(X147&lt;&gt;"","&lt;vk kbd="""&amp;X$1&amp;""" vk="""&amp;X147&amp;""""&amp;IF(Scan2VKFlags!S147&lt;&gt;""," flags="""&amp;Scan2VKFlags!S147&amp;"""","")&amp;"/&gt;","")</f>
        <v/>
      </c>
      <c r="AX147" s="15" t="str">
        <f>IF(Y147&lt;&gt;"","&lt;vk kbd="""&amp;Y$1&amp;""" vk="""&amp;Y147&amp;""""&amp;IF(Scan2VKFlags!T147&lt;&gt;""," flags="""&amp;Scan2VKFlags!T147&amp;"""","")&amp;"/&gt;","")</f>
        <v/>
      </c>
      <c r="AY147" s="18" t="str">
        <f>IF(AA147&lt;&gt;"","&lt;vk kbd="""&amp;AA$1&amp;""" vk="""&amp;AA147&amp;""""&amp;IF(Scan2VKFlags!U147&lt;&gt;""," flags="""&amp;Scan2VKFlags!U147&amp;"""","")&amp;"/&gt;","")</f>
        <v/>
      </c>
      <c r="AZ147" s="3" t="str">
        <f>IF(AC147&lt;&gt;"","&lt;vk kbd="""&amp;AC$1&amp;""" vk="""&amp;AC147&amp;""""&amp;IF(Scan2VKFlags!V147&lt;&gt;""," flags="""&amp;Scan2VKFlags!V147&amp;"""","")&amp;"/&gt;","")</f>
        <v>&lt;vk kbd="40" vk="F14"/&gt;</v>
      </c>
      <c r="BA147" s="16" t="str">
        <f>IF(AD147&lt;&gt;"","&lt;vk kbd="""&amp;AD$1&amp;""" vk="""&amp;AD147&amp;""""&amp;IF(Scan2VKFlags!W147&lt;&gt;""," flags="""&amp;Scan2VKFlags!W147&amp;"""","")&amp;"/&gt;","")</f>
        <v>&lt;vk kbd="41" vk="F14"/&gt;</v>
      </c>
      <c r="BB147" s="15" t="s">
        <v>854</v>
      </c>
    </row>
    <row r="148" spans="2:54" s="15" customFormat="1" x14ac:dyDescent="0.25">
      <c r="B148" s="52" t="s">
        <v>842</v>
      </c>
      <c r="C148" s="7"/>
      <c r="D148" s="44"/>
      <c r="E148" s="44"/>
      <c r="F148" s="44"/>
      <c r="G148" s="44"/>
      <c r="H148" s="44"/>
      <c r="I148" s="44"/>
      <c r="J148" s="9"/>
      <c r="K148" s="44" t="str">
        <f>trimtext(SplitText($J148,",",0))</f>
        <v/>
      </c>
      <c r="L148" s="44" t="str">
        <f>IF(SplitText($J148,",",COLUMN(L:L)-COLUMN($K:$K))="",$K148,trimtext(SplitText($J148,",",COLUMN(L:L)-COLUMN($K:$K))))</f>
        <v/>
      </c>
      <c r="M148" s="44" t="str">
        <f>IF(SplitText($J148,",",COLUMN(M:M)-COLUMN($K:$K))="",$K148,trimtext(SplitText($J148,",",COLUMN(M:M)-COLUMN($K:$K))))</f>
        <v/>
      </c>
      <c r="N148" s="44" t="str">
        <f>IF(SplitText($J148,",",COLUMN(N:N)-COLUMN($K:$K))="",$K148,trimtext(SplitText($J148,",",COLUMN(N:N)-COLUMN($K:$K))))</f>
        <v/>
      </c>
      <c r="O148" s="44" t="str">
        <f>IF(SplitText($J148,",",COLUMN(O:O)-COLUMN($K:$K))="",$K148,trimtext(SplitText($J148,",",COLUMN(O:O)-COLUMN($K:$K))))</f>
        <v/>
      </c>
      <c r="P148" s="44" t="str">
        <f>IF(SplitText($J148,",",COLUMN(P:P)-COLUMN($K:$K))="",$K148,trimtext(SplitText($J148,",",COLUMN(P:P)-COLUMN($K:$K))))</f>
        <v/>
      </c>
      <c r="Q148" s="44" t="str">
        <f>IF(SplitText($J148,",",COLUMN(Q:Q)-COLUMN($K:$K))="",$K148,trimtext(SplitText($J148,",",COLUMN(Q:Q)-COLUMN($K:$K))))</f>
        <v/>
      </c>
      <c r="R148" s="2"/>
      <c r="S148" s="44" t="str">
        <f>trimtext(SplitText($R148,",",0))</f>
        <v/>
      </c>
      <c r="T148" s="44" t="str">
        <f>IF(SplitText($R148,",",COLUMN(T:T)-COLUMN($S:$S))="",$S148,trimtext(SplitText($R148,",",COLUMN(T:T)-COLUMN($S:$S))))</f>
        <v/>
      </c>
      <c r="U148" s="45" t="str">
        <f>IF(SplitText($R148,",",COLUMN(U:U)-COLUMN($S:$S))="",$S148,trimtext(SplitText($R148,",",COLUMN(U:U)-COLUMN($S:$S))))</f>
        <v/>
      </c>
      <c r="V148" s="53"/>
      <c r="W148" s="44" t="str">
        <f>trimtext(SplitText($V148,",",0))</f>
        <v/>
      </c>
      <c r="X148" s="44" t="str">
        <f>IF(SplitText($V148,",",COLUMN(X:X)-COLUMN($W:$W))="",$W148,trimtext(SplitText($V148,",",COLUMN(X:X)-COLUMN($W:$W))))</f>
        <v/>
      </c>
      <c r="Y148" s="44" t="str">
        <f>IF(SplitText($V148,",",COLUMN(Y:Y)-COLUMN($W:$W))="",$W148,trimtext(SplitText($V148,",",COLUMN(Y:Y)-COLUMN($W:$W))))</f>
        <v/>
      </c>
      <c r="Z148" s="24"/>
      <c r="AA148" s="44" t="str">
        <f t="shared" si="13"/>
        <v/>
      </c>
      <c r="AB148" s="2" t="s">
        <v>847</v>
      </c>
      <c r="AC148" s="44" t="str">
        <f>trimtext(SplitText($AB148,",",0))</f>
        <v>F15</v>
      </c>
      <c r="AD148" s="44" t="str">
        <f>IF(SplitText($AB148,",",COLUMN(AD:AD)-COLUMN($AC:$AC))="",$AC148,trimtext(SplitText($AB148,",",COLUMN(AD:AD)-COLUMN($AC:$AC))))</f>
        <v>F15</v>
      </c>
      <c r="AE148" s="18" t="str">
        <f t="shared" si="12"/>
        <v>&lt;xs:enumeration value="X3F"&gt;&lt;xs:annotation&gt;&lt;xs:documentation&gt;Typically &lt;/xs:documentation&gt;&lt;xs:appinfo&gt;&lt;default-vk&gt;</v>
      </c>
      <c r="AF148" s="15" t="str">
        <f>IF(D148&lt;&gt;"","&lt;vk kbd="""&amp;D$1&amp;""" vk="""&amp;D148&amp;""""&amp;IF(Scan2VKFlags!B148&lt;&gt;""," flags="""&amp;Scan2VKFlags!B148&amp;"""","")&amp;"/&gt;","")</f>
        <v/>
      </c>
      <c r="AG148" s="15" t="str">
        <f>IF(E148&lt;&gt;"","&lt;vk kbd="""&amp;E$1&amp;""" vk="""&amp;E148&amp;""""&amp;IF(Scan2VKFlags!C148&lt;&gt;""," flags="""&amp;Scan2VKFlags!C148&amp;"""","")&amp;"/&gt;","")</f>
        <v/>
      </c>
      <c r="AH148" s="15" t="str">
        <f>IF(F148&lt;&gt;"","&lt;vk kbd="""&amp;F$1&amp;""" vk="""&amp;F148&amp;""""&amp;IF(Scan2VKFlags!D148&lt;&gt;""," flags="""&amp;Scan2VKFlags!D148&amp;"""","")&amp;"/&gt;","")</f>
        <v/>
      </c>
      <c r="AI148" s="15" t="str">
        <f>IF(G148&lt;&gt;"","&lt;vk kbd="""&amp;G$1&amp;""" vk="""&amp;G148&amp;""""&amp;IF(Scan2VKFlags!E148&lt;&gt;""," flags="""&amp;Scan2VKFlags!E148&amp;"""","")&amp;"/&gt;","")</f>
        <v/>
      </c>
      <c r="AJ148" s="15" t="str">
        <f>IF(H148&lt;&gt;"","&lt;vk kbd="""&amp;H$1&amp;""" vk="""&amp;H148&amp;""""&amp;IF(Scan2VKFlags!F148&lt;&gt;""," flags="""&amp;Scan2VKFlags!F148&amp;"""","")&amp;"/&gt;","")</f>
        <v/>
      </c>
      <c r="AK148" s="16" t="str">
        <f>IF(I148&lt;&gt;"","&lt;vk kbd="""&amp;I$1&amp;""" vk="""&amp;I148&amp;""""&amp;IF(Scan2VKFlags!G148&lt;&gt;""," flags="""&amp;Scan2VKFlags!G148&amp;"""","")&amp;"/&gt;","")</f>
        <v/>
      </c>
      <c r="AL148" s="3" t="str">
        <f>IF(K148&lt;&gt;"","&lt;vk kbd="""&amp;K$1&amp;""" vk="""&amp;K148&amp;""""&amp;IF(Scan2VKFlags!H148&lt;&gt;""," flags="""&amp;Scan2VKFlags!H148&amp;"""","")&amp;"/&gt;","")</f>
        <v/>
      </c>
      <c r="AM148" s="15" t="str">
        <f>IF(L148&lt;&gt;"","&lt;vk kbd="""&amp;L$1&amp;""" vk="""&amp;L148&amp;""""&amp;IF(Scan2VKFlags!I148&lt;&gt;""," flags="""&amp;Scan2VKFlags!I148&amp;"""","")&amp;"/&gt;","")</f>
        <v/>
      </c>
      <c r="AN148" s="15" t="str">
        <f>IF(M148&lt;&gt;"","&lt;vk kbd="""&amp;M$1&amp;""" vk="""&amp;M148&amp;""""&amp;IF(Scan2VKFlags!J148&lt;&gt;""," flags="""&amp;Scan2VKFlags!J148&amp;"""","")&amp;"/&gt;","")</f>
        <v/>
      </c>
      <c r="AO148" s="15" t="str">
        <f>IF(N148&lt;&gt;"","&lt;vk kbd="""&amp;N$1&amp;""" vk="""&amp;N148&amp;""""&amp;IF(Scan2VKFlags!K148&lt;&gt;""," flags="""&amp;Scan2VKFlags!K148&amp;"""","")&amp;"/&gt;","")</f>
        <v/>
      </c>
      <c r="AP148" s="15" t="str">
        <f>IF(O148&lt;&gt;"","&lt;vk kbd="""&amp;O$1&amp;""" vk="""&amp;O148&amp;""""&amp;IF(Scan2VKFlags!L148&lt;&gt;""," flags="""&amp;Scan2VKFlags!L148&amp;"""","")&amp;"/&gt;","")</f>
        <v/>
      </c>
      <c r="AQ148" s="15" t="str">
        <f>IF(P148&lt;&gt;"","&lt;vk kbd="""&amp;P$1&amp;""" vk="""&amp;P148&amp;""""&amp;IF(Scan2VKFlags!M148&lt;&gt;""," flags="""&amp;Scan2VKFlags!M148&amp;"""","")&amp;"/&gt;","")</f>
        <v/>
      </c>
      <c r="AR148" s="16" t="str">
        <f>IF(Q148&lt;&gt;"","&lt;vk kbd="""&amp;Q$1&amp;""" vk="""&amp;Q148&amp;""""&amp;IF(Scan2VKFlags!N148&lt;&gt;""," flags="""&amp;Scan2VKFlags!N148&amp;"""","")&amp;"/&gt;","")</f>
        <v/>
      </c>
      <c r="AS148" s="3" t="str">
        <f>IF(S148&lt;&gt;"","&lt;vk kbd="""&amp;S$1&amp;""" vk="""&amp;S148&amp;""""&amp;IF(Scan2VKFlags!O148&lt;&gt;""," flags="""&amp;Scan2VKFlags!O148&amp;"""","")&amp;"/&gt;","")</f>
        <v/>
      </c>
      <c r="AT148" s="15" t="str">
        <f>IF(T148&lt;&gt;"","&lt;vk kbd="""&amp;T$1&amp;""" vk="""&amp;T148&amp;""""&amp;IF(Scan2VKFlags!P148&lt;&gt;""," flags="""&amp;Scan2VKFlags!P148&amp;"""","")&amp;"/&gt;","")</f>
        <v/>
      </c>
      <c r="AU148" s="16" t="str">
        <f>IF(U148&lt;&gt;"","&lt;vk kbd="""&amp;U$1&amp;""" vk="""&amp;U148&amp;""""&amp;IF(Scan2VKFlags!Q148&lt;&gt;""," flags="""&amp;Scan2VKFlags!Q148&amp;"""","")&amp;"/&gt;","")</f>
        <v/>
      </c>
      <c r="AV148" s="3" t="str">
        <f>IF(W148&lt;&gt;"","&lt;vk kbd="""&amp;W$1&amp;""" vk="""&amp;W148&amp;""""&amp;IF(Scan2VKFlags!R148&lt;&gt;""," flags="""&amp;Scan2VKFlags!R148&amp;"""","")&amp;"/&gt;","")</f>
        <v/>
      </c>
      <c r="AW148" s="15" t="str">
        <f>IF(X148&lt;&gt;"","&lt;vk kbd="""&amp;X$1&amp;""" vk="""&amp;X148&amp;""""&amp;IF(Scan2VKFlags!S148&lt;&gt;""," flags="""&amp;Scan2VKFlags!S148&amp;"""","")&amp;"/&gt;","")</f>
        <v/>
      </c>
      <c r="AX148" s="15" t="str">
        <f>IF(Y148&lt;&gt;"","&lt;vk kbd="""&amp;Y$1&amp;""" vk="""&amp;Y148&amp;""""&amp;IF(Scan2VKFlags!T148&lt;&gt;""," flags="""&amp;Scan2VKFlags!T148&amp;"""","")&amp;"/&gt;","")</f>
        <v/>
      </c>
      <c r="AY148" s="18" t="str">
        <f>IF(AA148&lt;&gt;"","&lt;vk kbd="""&amp;AA$1&amp;""" vk="""&amp;AA148&amp;""""&amp;IF(Scan2VKFlags!U148&lt;&gt;""," flags="""&amp;Scan2VKFlags!U148&amp;"""","")&amp;"/&gt;","")</f>
        <v/>
      </c>
      <c r="AZ148" s="3" t="str">
        <f>IF(AC148&lt;&gt;"","&lt;vk kbd="""&amp;AC$1&amp;""" vk="""&amp;AC148&amp;""""&amp;IF(Scan2VKFlags!V148&lt;&gt;""," flags="""&amp;Scan2VKFlags!V148&amp;"""","")&amp;"/&gt;","")</f>
        <v>&lt;vk kbd="40" vk="F15"/&gt;</v>
      </c>
      <c r="BA148" s="16" t="str">
        <f>IF(AD148&lt;&gt;"","&lt;vk kbd="""&amp;AD$1&amp;""" vk="""&amp;AD148&amp;""""&amp;IF(Scan2VKFlags!W148&lt;&gt;""," flags="""&amp;Scan2VKFlags!W148&amp;"""","")&amp;"/&gt;","")</f>
        <v>&lt;vk kbd="41" vk="F15"/&gt;</v>
      </c>
      <c r="BB148" s="15" t="s">
        <v>854</v>
      </c>
    </row>
    <row r="149" spans="2:54" s="15" customFormat="1" x14ac:dyDescent="0.25">
      <c r="B149" s="52" t="s">
        <v>843</v>
      </c>
      <c r="C149" s="7"/>
      <c r="D149" s="44"/>
      <c r="E149" s="44"/>
      <c r="F149" s="44"/>
      <c r="G149" s="44"/>
      <c r="H149" s="44"/>
      <c r="I149" s="44"/>
      <c r="J149" s="9"/>
      <c r="K149" s="44" t="str">
        <f>trimtext(SplitText($J149,",",0))</f>
        <v/>
      </c>
      <c r="L149" s="44" t="str">
        <f>IF(SplitText($J149,",",COLUMN(L:L)-COLUMN($K:$K))="",$K149,trimtext(SplitText($J149,",",COLUMN(L:L)-COLUMN($K:$K))))</f>
        <v/>
      </c>
      <c r="M149" s="44" t="str">
        <f>IF(SplitText($J149,",",COLUMN(M:M)-COLUMN($K:$K))="",$K149,trimtext(SplitText($J149,",",COLUMN(M:M)-COLUMN($K:$K))))</f>
        <v/>
      </c>
      <c r="N149" s="44" t="str">
        <f>IF(SplitText($J149,",",COLUMN(N:N)-COLUMN($K:$K))="",$K149,trimtext(SplitText($J149,",",COLUMN(N:N)-COLUMN($K:$K))))</f>
        <v/>
      </c>
      <c r="O149" s="44" t="str">
        <f>IF(SplitText($J149,",",COLUMN(O:O)-COLUMN($K:$K))="",$K149,trimtext(SplitText($J149,",",COLUMN(O:O)-COLUMN($K:$K))))</f>
        <v/>
      </c>
      <c r="P149" s="44" t="str">
        <f>IF(SplitText($J149,",",COLUMN(P:P)-COLUMN($K:$K))="",$K149,trimtext(SplitText($J149,",",COLUMN(P:P)-COLUMN($K:$K))))</f>
        <v/>
      </c>
      <c r="Q149" s="44" t="str">
        <f>IF(SplitText($J149,",",COLUMN(Q:Q)-COLUMN($K:$K))="",$K149,trimtext(SplitText($J149,",",COLUMN(Q:Q)-COLUMN($K:$K))))</f>
        <v/>
      </c>
      <c r="R149" s="2"/>
      <c r="S149" s="44" t="str">
        <f>trimtext(SplitText($R149,",",0))</f>
        <v/>
      </c>
      <c r="T149" s="44" t="str">
        <f>IF(SplitText($R149,",",COLUMN(T:T)-COLUMN($S:$S))="",$S149,trimtext(SplitText($R149,",",COLUMN(T:T)-COLUMN($S:$S))))</f>
        <v/>
      </c>
      <c r="U149" s="45" t="str">
        <f>IF(SplitText($R149,",",COLUMN(U:U)-COLUMN($S:$S))="",$S149,trimtext(SplitText($R149,",",COLUMN(U:U)-COLUMN($S:$S))))</f>
        <v/>
      </c>
      <c r="V149" s="53"/>
      <c r="W149" s="44" t="str">
        <f>trimtext(SplitText($V149,",",0))</f>
        <v/>
      </c>
      <c r="X149" s="44" t="str">
        <f>IF(SplitText($V149,",",COLUMN(X:X)-COLUMN($W:$W))="",$W149,trimtext(SplitText($V149,",",COLUMN(X:X)-COLUMN($W:$W))))</f>
        <v/>
      </c>
      <c r="Y149" s="44" t="str">
        <f>IF(SplitText($V149,",",COLUMN(Y:Y)-COLUMN($W:$W))="",$W149,trimtext(SplitText($V149,",",COLUMN(Y:Y)-COLUMN($W:$W))))</f>
        <v/>
      </c>
      <c r="Z149" s="24"/>
      <c r="AA149" s="44" t="str">
        <f t="shared" si="13"/>
        <v/>
      </c>
      <c r="AB149" s="2" t="s">
        <v>848</v>
      </c>
      <c r="AC149" s="44" t="str">
        <f>trimtext(SplitText($AB149,",",0))</f>
        <v>F16</v>
      </c>
      <c r="AD149" s="44" t="str">
        <f>IF(SplitText($AB149,",",COLUMN(AD:AD)-COLUMN($AC:$AC))="",$AC149,trimtext(SplitText($AB149,",",COLUMN(AD:AD)-COLUMN($AC:$AC))))</f>
        <v>F16</v>
      </c>
      <c r="AE149" s="18" t="str">
        <f t="shared" si="12"/>
        <v>&lt;xs:enumeration value="X40"&gt;&lt;xs:annotation&gt;&lt;xs:documentation&gt;Typically &lt;/xs:documentation&gt;&lt;xs:appinfo&gt;&lt;default-vk&gt;</v>
      </c>
      <c r="AF149" s="15" t="str">
        <f>IF(D149&lt;&gt;"","&lt;vk kbd="""&amp;D$1&amp;""" vk="""&amp;D149&amp;""""&amp;IF(Scan2VKFlags!B149&lt;&gt;""," flags="""&amp;Scan2VKFlags!B149&amp;"""","")&amp;"/&gt;","")</f>
        <v/>
      </c>
      <c r="AG149" s="15" t="str">
        <f>IF(E149&lt;&gt;"","&lt;vk kbd="""&amp;E$1&amp;""" vk="""&amp;E149&amp;""""&amp;IF(Scan2VKFlags!C149&lt;&gt;""," flags="""&amp;Scan2VKFlags!C149&amp;"""","")&amp;"/&gt;","")</f>
        <v/>
      </c>
      <c r="AH149" s="15" t="str">
        <f>IF(F149&lt;&gt;"","&lt;vk kbd="""&amp;F$1&amp;""" vk="""&amp;F149&amp;""""&amp;IF(Scan2VKFlags!D149&lt;&gt;""," flags="""&amp;Scan2VKFlags!D149&amp;"""","")&amp;"/&gt;","")</f>
        <v/>
      </c>
      <c r="AI149" s="15" t="str">
        <f>IF(G149&lt;&gt;"","&lt;vk kbd="""&amp;G$1&amp;""" vk="""&amp;G149&amp;""""&amp;IF(Scan2VKFlags!E149&lt;&gt;""," flags="""&amp;Scan2VKFlags!E149&amp;"""","")&amp;"/&gt;","")</f>
        <v/>
      </c>
      <c r="AJ149" s="15" t="str">
        <f>IF(H149&lt;&gt;"","&lt;vk kbd="""&amp;H$1&amp;""" vk="""&amp;H149&amp;""""&amp;IF(Scan2VKFlags!F149&lt;&gt;""," flags="""&amp;Scan2VKFlags!F149&amp;"""","")&amp;"/&gt;","")</f>
        <v/>
      </c>
      <c r="AK149" s="16" t="str">
        <f>IF(I149&lt;&gt;"","&lt;vk kbd="""&amp;I$1&amp;""" vk="""&amp;I149&amp;""""&amp;IF(Scan2VKFlags!G149&lt;&gt;""," flags="""&amp;Scan2VKFlags!G149&amp;"""","")&amp;"/&gt;","")</f>
        <v/>
      </c>
      <c r="AL149" s="3" t="str">
        <f>IF(K149&lt;&gt;"","&lt;vk kbd="""&amp;K$1&amp;""" vk="""&amp;K149&amp;""""&amp;IF(Scan2VKFlags!H149&lt;&gt;""," flags="""&amp;Scan2VKFlags!H149&amp;"""","")&amp;"/&gt;","")</f>
        <v/>
      </c>
      <c r="AM149" s="15" t="str">
        <f>IF(L149&lt;&gt;"","&lt;vk kbd="""&amp;L$1&amp;""" vk="""&amp;L149&amp;""""&amp;IF(Scan2VKFlags!I149&lt;&gt;""," flags="""&amp;Scan2VKFlags!I149&amp;"""","")&amp;"/&gt;","")</f>
        <v/>
      </c>
      <c r="AN149" s="15" t="str">
        <f>IF(M149&lt;&gt;"","&lt;vk kbd="""&amp;M$1&amp;""" vk="""&amp;M149&amp;""""&amp;IF(Scan2VKFlags!J149&lt;&gt;""," flags="""&amp;Scan2VKFlags!J149&amp;"""","")&amp;"/&gt;","")</f>
        <v/>
      </c>
      <c r="AO149" s="15" t="str">
        <f>IF(N149&lt;&gt;"","&lt;vk kbd="""&amp;N$1&amp;""" vk="""&amp;N149&amp;""""&amp;IF(Scan2VKFlags!K149&lt;&gt;""," flags="""&amp;Scan2VKFlags!K149&amp;"""","")&amp;"/&gt;","")</f>
        <v/>
      </c>
      <c r="AP149" s="15" t="str">
        <f>IF(O149&lt;&gt;"","&lt;vk kbd="""&amp;O$1&amp;""" vk="""&amp;O149&amp;""""&amp;IF(Scan2VKFlags!L149&lt;&gt;""," flags="""&amp;Scan2VKFlags!L149&amp;"""","")&amp;"/&gt;","")</f>
        <v/>
      </c>
      <c r="AQ149" s="15" t="str">
        <f>IF(P149&lt;&gt;"","&lt;vk kbd="""&amp;P$1&amp;""" vk="""&amp;P149&amp;""""&amp;IF(Scan2VKFlags!M149&lt;&gt;""," flags="""&amp;Scan2VKFlags!M149&amp;"""","")&amp;"/&gt;","")</f>
        <v/>
      </c>
      <c r="AR149" s="16" t="str">
        <f>IF(Q149&lt;&gt;"","&lt;vk kbd="""&amp;Q$1&amp;""" vk="""&amp;Q149&amp;""""&amp;IF(Scan2VKFlags!N149&lt;&gt;""," flags="""&amp;Scan2VKFlags!N149&amp;"""","")&amp;"/&gt;","")</f>
        <v/>
      </c>
      <c r="AS149" s="3" t="str">
        <f>IF(S149&lt;&gt;"","&lt;vk kbd="""&amp;S$1&amp;""" vk="""&amp;S149&amp;""""&amp;IF(Scan2VKFlags!O149&lt;&gt;""," flags="""&amp;Scan2VKFlags!O149&amp;"""","")&amp;"/&gt;","")</f>
        <v/>
      </c>
      <c r="AT149" s="15" t="str">
        <f>IF(T149&lt;&gt;"","&lt;vk kbd="""&amp;T$1&amp;""" vk="""&amp;T149&amp;""""&amp;IF(Scan2VKFlags!P149&lt;&gt;""," flags="""&amp;Scan2VKFlags!P149&amp;"""","")&amp;"/&gt;","")</f>
        <v/>
      </c>
      <c r="AU149" s="16" t="str">
        <f>IF(U149&lt;&gt;"","&lt;vk kbd="""&amp;U$1&amp;""" vk="""&amp;U149&amp;""""&amp;IF(Scan2VKFlags!Q149&lt;&gt;""," flags="""&amp;Scan2VKFlags!Q149&amp;"""","")&amp;"/&gt;","")</f>
        <v/>
      </c>
      <c r="AV149" s="3" t="str">
        <f>IF(W149&lt;&gt;"","&lt;vk kbd="""&amp;W$1&amp;""" vk="""&amp;W149&amp;""""&amp;IF(Scan2VKFlags!R149&lt;&gt;""," flags="""&amp;Scan2VKFlags!R149&amp;"""","")&amp;"/&gt;","")</f>
        <v/>
      </c>
      <c r="AW149" s="15" t="str">
        <f>IF(X149&lt;&gt;"","&lt;vk kbd="""&amp;X$1&amp;""" vk="""&amp;X149&amp;""""&amp;IF(Scan2VKFlags!S149&lt;&gt;""," flags="""&amp;Scan2VKFlags!S149&amp;"""","")&amp;"/&gt;","")</f>
        <v/>
      </c>
      <c r="AX149" s="15" t="str">
        <f>IF(Y149&lt;&gt;"","&lt;vk kbd="""&amp;Y$1&amp;""" vk="""&amp;Y149&amp;""""&amp;IF(Scan2VKFlags!T149&lt;&gt;""," flags="""&amp;Scan2VKFlags!T149&amp;"""","")&amp;"/&gt;","")</f>
        <v/>
      </c>
      <c r="AY149" s="18" t="str">
        <f>IF(AA149&lt;&gt;"","&lt;vk kbd="""&amp;AA$1&amp;""" vk="""&amp;AA149&amp;""""&amp;IF(Scan2VKFlags!U149&lt;&gt;""," flags="""&amp;Scan2VKFlags!U149&amp;"""","")&amp;"/&gt;","")</f>
        <v/>
      </c>
      <c r="AZ149" s="3" t="str">
        <f>IF(AC149&lt;&gt;"","&lt;vk kbd="""&amp;AC$1&amp;""" vk="""&amp;AC149&amp;""""&amp;IF(Scan2VKFlags!V149&lt;&gt;""," flags="""&amp;Scan2VKFlags!V149&amp;"""","")&amp;"/&gt;","")</f>
        <v>&lt;vk kbd="40" vk="F16"/&gt;</v>
      </c>
      <c r="BA149" s="16" t="str">
        <f>IF(AD149&lt;&gt;"","&lt;vk kbd="""&amp;AD$1&amp;""" vk="""&amp;AD149&amp;""""&amp;IF(Scan2VKFlags!W149&lt;&gt;""," flags="""&amp;Scan2VKFlags!W149&amp;"""","")&amp;"/&gt;","")</f>
        <v>&lt;vk kbd="41" vk="F16"/&gt;</v>
      </c>
      <c r="BB149" s="15" t="s">
        <v>854</v>
      </c>
    </row>
    <row r="150" spans="2:54" s="15" customFormat="1" x14ac:dyDescent="0.25">
      <c r="B150" s="52" t="s">
        <v>844</v>
      </c>
      <c r="C150" s="7"/>
      <c r="D150" s="44"/>
      <c r="E150" s="44"/>
      <c r="F150" s="44"/>
      <c r="G150" s="44"/>
      <c r="H150" s="44"/>
      <c r="I150" s="44"/>
      <c r="J150" s="9"/>
      <c r="K150" s="44" t="str">
        <f>trimtext(SplitText($J150,",",0))</f>
        <v/>
      </c>
      <c r="L150" s="44" t="str">
        <f>IF(SplitText($J150,",",COLUMN(L:L)-COLUMN($K:$K))="",$K150,trimtext(SplitText($J150,",",COLUMN(L:L)-COLUMN($K:$K))))</f>
        <v/>
      </c>
      <c r="M150" s="44" t="str">
        <f>IF(SplitText($J150,",",COLUMN(M:M)-COLUMN($K:$K))="",$K150,trimtext(SplitText($J150,",",COLUMN(M:M)-COLUMN($K:$K))))</f>
        <v/>
      </c>
      <c r="N150" s="44" t="str">
        <f>IF(SplitText($J150,",",COLUMN(N:N)-COLUMN($K:$K))="",$K150,trimtext(SplitText($J150,",",COLUMN(N:N)-COLUMN($K:$K))))</f>
        <v/>
      </c>
      <c r="O150" s="44" t="str">
        <f>IF(SplitText($J150,",",COLUMN(O:O)-COLUMN($K:$K))="",$K150,trimtext(SplitText($J150,",",COLUMN(O:O)-COLUMN($K:$K))))</f>
        <v/>
      </c>
      <c r="P150" s="44" t="str">
        <f>IF(SplitText($J150,",",COLUMN(P:P)-COLUMN($K:$K))="",$K150,trimtext(SplitText($J150,",",COLUMN(P:P)-COLUMN($K:$K))))</f>
        <v/>
      </c>
      <c r="Q150" s="44" t="str">
        <f>IF(SplitText($J150,",",COLUMN(Q:Q)-COLUMN($K:$K))="",$K150,trimtext(SplitText($J150,",",COLUMN(Q:Q)-COLUMN($K:$K))))</f>
        <v/>
      </c>
      <c r="R150" s="2"/>
      <c r="S150" s="44" t="str">
        <f>trimtext(SplitText($R150,",",0))</f>
        <v/>
      </c>
      <c r="T150" s="44" t="str">
        <f>IF(SplitText($R150,",",COLUMN(T:T)-COLUMN($S:$S))="",$S150,trimtext(SplitText($R150,",",COLUMN(T:T)-COLUMN($S:$S))))</f>
        <v/>
      </c>
      <c r="U150" s="45" t="str">
        <f>IF(SplitText($R150,",",COLUMN(U:U)-COLUMN($S:$S))="",$S150,trimtext(SplitText($R150,",",COLUMN(U:U)-COLUMN($S:$S))))</f>
        <v/>
      </c>
      <c r="V150" s="53"/>
      <c r="W150" s="44" t="str">
        <f>trimtext(SplitText($V150,",",0))</f>
        <v/>
      </c>
      <c r="X150" s="44" t="str">
        <f>IF(SplitText($V150,",",COLUMN(X:X)-COLUMN($W:$W))="",$W150,trimtext(SplitText($V150,",",COLUMN(X:X)-COLUMN($W:$W))))</f>
        <v/>
      </c>
      <c r="Y150" s="44" t="str">
        <f>IF(SplitText($V150,",",COLUMN(Y:Y)-COLUMN($W:$W))="",$W150,trimtext(SplitText($V150,",",COLUMN(Y:Y)-COLUMN($W:$W))))</f>
        <v/>
      </c>
      <c r="Z150" s="24"/>
      <c r="AA150" s="44" t="str">
        <f t="shared" si="13"/>
        <v/>
      </c>
      <c r="AB150" s="2" t="s">
        <v>849</v>
      </c>
      <c r="AC150" s="44" t="str">
        <f>trimtext(SplitText($AB150,",",0))</f>
        <v>F17</v>
      </c>
      <c r="AD150" s="44" t="str">
        <f>IF(SplitText($AB150,",",COLUMN(AD:AD)-COLUMN($AC:$AC))="",$AC150,trimtext(SplitText($AB150,",",COLUMN(AD:AD)-COLUMN($AC:$AC))))</f>
        <v>F17</v>
      </c>
      <c r="AE150" s="18" t="str">
        <f t="shared" si="12"/>
        <v>&lt;xs:enumeration value="X41"&gt;&lt;xs:annotation&gt;&lt;xs:documentation&gt;Typically &lt;/xs:documentation&gt;&lt;xs:appinfo&gt;&lt;default-vk&gt;</v>
      </c>
      <c r="AF150" s="15" t="str">
        <f>IF(D150&lt;&gt;"","&lt;vk kbd="""&amp;D$1&amp;""" vk="""&amp;D150&amp;""""&amp;IF(Scan2VKFlags!B150&lt;&gt;""," flags="""&amp;Scan2VKFlags!B150&amp;"""","")&amp;"/&gt;","")</f>
        <v/>
      </c>
      <c r="AG150" s="15" t="str">
        <f>IF(E150&lt;&gt;"","&lt;vk kbd="""&amp;E$1&amp;""" vk="""&amp;E150&amp;""""&amp;IF(Scan2VKFlags!C150&lt;&gt;""," flags="""&amp;Scan2VKFlags!C150&amp;"""","")&amp;"/&gt;","")</f>
        <v/>
      </c>
      <c r="AH150" s="15" t="str">
        <f>IF(F150&lt;&gt;"","&lt;vk kbd="""&amp;F$1&amp;""" vk="""&amp;F150&amp;""""&amp;IF(Scan2VKFlags!D150&lt;&gt;""," flags="""&amp;Scan2VKFlags!D150&amp;"""","")&amp;"/&gt;","")</f>
        <v/>
      </c>
      <c r="AI150" s="15" t="str">
        <f>IF(G150&lt;&gt;"","&lt;vk kbd="""&amp;G$1&amp;""" vk="""&amp;G150&amp;""""&amp;IF(Scan2VKFlags!E150&lt;&gt;""," flags="""&amp;Scan2VKFlags!E150&amp;"""","")&amp;"/&gt;","")</f>
        <v/>
      </c>
      <c r="AJ150" s="15" t="str">
        <f>IF(H150&lt;&gt;"","&lt;vk kbd="""&amp;H$1&amp;""" vk="""&amp;H150&amp;""""&amp;IF(Scan2VKFlags!F150&lt;&gt;""," flags="""&amp;Scan2VKFlags!F150&amp;"""","")&amp;"/&gt;","")</f>
        <v/>
      </c>
      <c r="AK150" s="16" t="str">
        <f>IF(I150&lt;&gt;"","&lt;vk kbd="""&amp;I$1&amp;""" vk="""&amp;I150&amp;""""&amp;IF(Scan2VKFlags!G150&lt;&gt;""," flags="""&amp;Scan2VKFlags!G150&amp;"""","")&amp;"/&gt;","")</f>
        <v/>
      </c>
      <c r="AL150" s="3" t="str">
        <f>IF(K150&lt;&gt;"","&lt;vk kbd="""&amp;K$1&amp;""" vk="""&amp;K150&amp;""""&amp;IF(Scan2VKFlags!H150&lt;&gt;""," flags="""&amp;Scan2VKFlags!H150&amp;"""","")&amp;"/&gt;","")</f>
        <v/>
      </c>
      <c r="AM150" s="15" t="str">
        <f>IF(L150&lt;&gt;"","&lt;vk kbd="""&amp;L$1&amp;""" vk="""&amp;L150&amp;""""&amp;IF(Scan2VKFlags!I150&lt;&gt;""," flags="""&amp;Scan2VKFlags!I150&amp;"""","")&amp;"/&gt;","")</f>
        <v/>
      </c>
      <c r="AN150" s="15" t="str">
        <f>IF(M150&lt;&gt;"","&lt;vk kbd="""&amp;M$1&amp;""" vk="""&amp;M150&amp;""""&amp;IF(Scan2VKFlags!J150&lt;&gt;""," flags="""&amp;Scan2VKFlags!J150&amp;"""","")&amp;"/&gt;","")</f>
        <v/>
      </c>
      <c r="AO150" s="15" t="str">
        <f>IF(N150&lt;&gt;"","&lt;vk kbd="""&amp;N$1&amp;""" vk="""&amp;N150&amp;""""&amp;IF(Scan2VKFlags!K150&lt;&gt;""," flags="""&amp;Scan2VKFlags!K150&amp;"""","")&amp;"/&gt;","")</f>
        <v/>
      </c>
      <c r="AP150" s="15" t="str">
        <f>IF(O150&lt;&gt;"","&lt;vk kbd="""&amp;O$1&amp;""" vk="""&amp;O150&amp;""""&amp;IF(Scan2VKFlags!L150&lt;&gt;""," flags="""&amp;Scan2VKFlags!L150&amp;"""","")&amp;"/&gt;","")</f>
        <v/>
      </c>
      <c r="AQ150" s="15" t="str">
        <f>IF(P150&lt;&gt;"","&lt;vk kbd="""&amp;P$1&amp;""" vk="""&amp;P150&amp;""""&amp;IF(Scan2VKFlags!M150&lt;&gt;""," flags="""&amp;Scan2VKFlags!M150&amp;"""","")&amp;"/&gt;","")</f>
        <v/>
      </c>
      <c r="AR150" s="16" t="str">
        <f>IF(Q150&lt;&gt;"","&lt;vk kbd="""&amp;Q$1&amp;""" vk="""&amp;Q150&amp;""""&amp;IF(Scan2VKFlags!N150&lt;&gt;""," flags="""&amp;Scan2VKFlags!N150&amp;"""","")&amp;"/&gt;","")</f>
        <v/>
      </c>
      <c r="AS150" s="3" t="str">
        <f>IF(S150&lt;&gt;"","&lt;vk kbd="""&amp;S$1&amp;""" vk="""&amp;S150&amp;""""&amp;IF(Scan2VKFlags!O150&lt;&gt;""," flags="""&amp;Scan2VKFlags!O150&amp;"""","")&amp;"/&gt;","")</f>
        <v/>
      </c>
      <c r="AT150" s="15" t="str">
        <f>IF(T150&lt;&gt;"","&lt;vk kbd="""&amp;T$1&amp;""" vk="""&amp;T150&amp;""""&amp;IF(Scan2VKFlags!P150&lt;&gt;""," flags="""&amp;Scan2VKFlags!P150&amp;"""","")&amp;"/&gt;","")</f>
        <v/>
      </c>
      <c r="AU150" s="16" t="str">
        <f>IF(U150&lt;&gt;"","&lt;vk kbd="""&amp;U$1&amp;""" vk="""&amp;U150&amp;""""&amp;IF(Scan2VKFlags!Q150&lt;&gt;""," flags="""&amp;Scan2VKFlags!Q150&amp;"""","")&amp;"/&gt;","")</f>
        <v/>
      </c>
      <c r="AV150" s="3" t="str">
        <f>IF(W150&lt;&gt;"","&lt;vk kbd="""&amp;W$1&amp;""" vk="""&amp;W150&amp;""""&amp;IF(Scan2VKFlags!R150&lt;&gt;""," flags="""&amp;Scan2VKFlags!R150&amp;"""","")&amp;"/&gt;","")</f>
        <v/>
      </c>
      <c r="AW150" s="15" t="str">
        <f>IF(X150&lt;&gt;"","&lt;vk kbd="""&amp;X$1&amp;""" vk="""&amp;X150&amp;""""&amp;IF(Scan2VKFlags!S150&lt;&gt;""," flags="""&amp;Scan2VKFlags!S150&amp;"""","")&amp;"/&gt;","")</f>
        <v/>
      </c>
      <c r="AX150" s="15" t="str">
        <f>IF(Y150&lt;&gt;"","&lt;vk kbd="""&amp;Y$1&amp;""" vk="""&amp;Y150&amp;""""&amp;IF(Scan2VKFlags!T150&lt;&gt;""," flags="""&amp;Scan2VKFlags!T150&amp;"""","")&amp;"/&gt;","")</f>
        <v/>
      </c>
      <c r="AY150" s="18" t="str">
        <f>IF(AA150&lt;&gt;"","&lt;vk kbd="""&amp;AA$1&amp;""" vk="""&amp;AA150&amp;""""&amp;IF(Scan2VKFlags!U150&lt;&gt;""," flags="""&amp;Scan2VKFlags!U150&amp;"""","")&amp;"/&gt;","")</f>
        <v/>
      </c>
      <c r="AZ150" s="3" t="str">
        <f>IF(AC150&lt;&gt;"","&lt;vk kbd="""&amp;AC$1&amp;""" vk="""&amp;AC150&amp;""""&amp;IF(Scan2VKFlags!V150&lt;&gt;""," flags="""&amp;Scan2VKFlags!V150&amp;"""","")&amp;"/&gt;","")</f>
        <v>&lt;vk kbd="40" vk="F17"/&gt;</v>
      </c>
      <c r="BA150" s="16" t="str">
        <f>IF(AD150&lt;&gt;"","&lt;vk kbd="""&amp;AD$1&amp;""" vk="""&amp;AD150&amp;""""&amp;IF(Scan2VKFlags!W150&lt;&gt;""," flags="""&amp;Scan2VKFlags!W150&amp;"""","")&amp;"/&gt;","")</f>
        <v>&lt;vk kbd="41" vk="F17"/&gt;</v>
      </c>
      <c r="BB150" s="15" t="s">
        <v>854</v>
      </c>
    </row>
    <row r="151" spans="2:54" s="15" customFormat="1" x14ac:dyDescent="0.25">
      <c r="B151" s="52" t="s">
        <v>334</v>
      </c>
      <c r="C151" s="7"/>
      <c r="D151" s="44" t="str">
        <f>trimtext(SplitText($C151,",",0))</f>
        <v/>
      </c>
      <c r="E151" s="44" t="str">
        <f>IF(SplitText($C151,",",COLUMN(E:E)-COLUMN($D:$D))="",$D151,trimtext(SplitText($C151,",",COLUMN(E:E)-COLUMN($D:$D))))</f>
        <v/>
      </c>
      <c r="F151" s="44" t="str">
        <f>IF(SplitText($C151,",",COLUMN(F:F)-COLUMN($D:$D))="",$D151,trimtext(SplitText($C151,",",COLUMN(F:F)-COLUMN($D:$D))))</f>
        <v/>
      </c>
      <c r="G151" s="44" t="str">
        <f>IF(SplitText($C151,",",COLUMN(G:G)-COLUMN($D:$D))="",$D151,trimtext(SplitText($C151,",",COLUMN(G:G)-COLUMN($D:$D))))</f>
        <v/>
      </c>
      <c r="H151" s="44" t="str">
        <f>IF(SplitText($C151,",",COLUMN(H:H)-COLUMN($D:$D))="",$D151,trimtext(SplitText($C151,",",COLUMN(H:H)-COLUMN($D:$D))))</f>
        <v/>
      </c>
      <c r="I151" s="44" t="str">
        <f>IF(SplitText($C151,",",COLUMN(I:I)-COLUMN($D:$D))="",$D151,trimtext(SplitText($C151,",",COLUMN(I:I)-COLUMN($D:$D))))</f>
        <v/>
      </c>
      <c r="J151" s="9" t="s">
        <v>185</v>
      </c>
      <c r="K151" s="44" t="str">
        <f>trimtext(SplitText($J151,",",0))</f>
        <v>_none_</v>
      </c>
      <c r="L151" s="44" t="str">
        <f>IF(SplitText($J151,",",COLUMN(L:L)-COLUMN($K:$K))="",$K151,trimtext(SplitText($J151,",",COLUMN(L:L)-COLUMN($K:$K))))</f>
        <v>_none_</v>
      </c>
      <c r="M151" s="44" t="str">
        <f>IF(SplitText($J151,",",COLUMN(M:M)-COLUMN($K:$K))="",$K151,trimtext(SplitText($J151,",",COLUMN(M:M)-COLUMN($K:$K))))</f>
        <v>_none_</v>
      </c>
      <c r="N151" s="44" t="str">
        <f>IF(SplitText($J151,",",COLUMN(N:N)-COLUMN($K:$K))="",$K151,trimtext(SplitText($J151,",",COLUMN(N:N)-COLUMN($K:$K))))</f>
        <v>_none_</v>
      </c>
      <c r="O151" s="44" t="str">
        <f>IF(SplitText($J151,",",COLUMN(O:O)-COLUMN($K:$K))="",$K151,trimtext(SplitText($J151,",",COLUMN(O:O)-COLUMN($K:$K))))</f>
        <v>_none_</v>
      </c>
      <c r="P151" s="44" t="str">
        <f>IF(SplitText($J151,",",COLUMN(P:P)-COLUMN($K:$K))="",$K151,trimtext(SplitText($J151,",",COLUMN(P:P)-COLUMN($K:$K))))</f>
        <v>_none_</v>
      </c>
      <c r="Q151" s="44" t="str">
        <f>IF(SplitText($J151,",",COLUMN(Q:Q)-COLUMN($K:$K))="",$K151,trimtext(SplitText($J151,",",COLUMN(Q:Q)-COLUMN($K:$K))))</f>
        <v>_none_</v>
      </c>
      <c r="R151" s="2" t="s">
        <v>342</v>
      </c>
      <c r="S151" s="44" t="str">
        <f>trimtext(SplitText($R151,",",0))</f>
        <v>_none_</v>
      </c>
      <c r="T151" s="44" t="str">
        <f>IF(SplitText($R151,",",COLUMN(T:T)-COLUMN($S:$S))="",$S151,trimtext(SplitText($R151,",",COLUMN(T:T)-COLUMN($S:$S))))</f>
        <v>_none_</v>
      </c>
      <c r="U151" s="45" t="str">
        <f>IF(SplitText($R151,",",COLUMN(U:U)-COLUMN($S:$S))="",$S151,trimtext(SplitText($R151,",",COLUMN(U:U)-COLUMN($S:$S))))</f>
        <v>_none_</v>
      </c>
      <c r="V151" s="53" t="s">
        <v>470</v>
      </c>
      <c r="W151" s="44" t="str">
        <f>trimtext(SplitText($V151,",",0))</f>
        <v>_none_</v>
      </c>
      <c r="X151" s="44" t="str">
        <f>IF(SplitText($V151,",",COLUMN(X:X)-COLUMN($W:$W))="",$W151,trimtext(SplitText($V151,",",COLUMN(X:X)-COLUMN($W:$W))))</f>
        <v>_none_</v>
      </c>
      <c r="Y151" s="44" t="str">
        <f>IF(SplitText($V151,",",COLUMN(Y:Y)-COLUMN($W:$W))="",$W151,trimtext(SplitText($V151,",",COLUMN(Y:Y)-COLUMN($W:$W))))</f>
        <v>RCONTROL</v>
      </c>
      <c r="Z151" s="24"/>
      <c r="AA151" s="44" t="str">
        <f t="shared" si="13"/>
        <v/>
      </c>
      <c r="AB151" s="2" t="s">
        <v>743</v>
      </c>
      <c r="AC151" s="44" t="str">
        <f>trimtext(SplitText($AB151,",",0))</f>
        <v>_none_</v>
      </c>
      <c r="AD151" s="44" t="str">
        <f>IF(SplitText($AB151,",",COLUMN(AD:AD)-COLUMN($AC:$AC))="",$AC151,trimtext(SplitText($AB151,",",COLUMN(AD:AD)-COLUMN($AC:$AC))))</f>
        <v>_none_</v>
      </c>
      <c r="AE151" s="18" t="str">
        <f t="shared" si="12"/>
        <v>&lt;xs:enumeration value="X42"&gt;&lt;xs:annotation&gt;&lt;xs:documentation&gt;Typically &lt;/xs:documentation&gt;&lt;xs:appinfo&gt;&lt;default-vk&gt;</v>
      </c>
      <c r="AF151" s="15" t="str">
        <f>IF(D151&lt;&gt;"","&lt;vk kbd="""&amp;D$1&amp;""" vk="""&amp;D151&amp;""""&amp;IF(Scan2VKFlags!B151&lt;&gt;""," flags="""&amp;Scan2VKFlags!B151&amp;"""","")&amp;"/&gt;","")</f>
        <v/>
      </c>
      <c r="AG151" s="15" t="str">
        <f>IF(E151&lt;&gt;"","&lt;vk kbd="""&amp;E$1&amp;""" vk="""&amp;E151&amp;""""&amp;IF(Scan2VKFlags!C151&lt;&gt;""," flags="""&amp;Scan2VKFlags!C151&amp;"""","")&amp;"/&gt;","")</f>
        <v/>
      </c>
      <c r="AH151" s="15" t="str">
        <f>IF(F151&lt;&gt;"","&lt;vk kbd="""&amp;F$1&amp;""" vk="""&amp;F151&amp;""""&amp;IF(Scan2VKFlags!D151&lt;&gt;""," flags="""&amp;Scan2VKFlags!D151&amp;"""","")&amp;"/&gt;","")</f>
        <v/>
      </c>
      <c r="AI151" s="15" t="str">
        <f>IF(G151&lt;&gt;"","&lt;vk kbd="""&amp;G$1&amp;""" vk="""&amp;G151&amp;""""&amp;IF(Scan2VKFlags!E151&lt;&gt;""," flags="""&amp;Scan2VKFlags!E151&amp;"""","")&amp;"/&gt;","")</f>
        <v/>
      </c>
      <c r="AJ151" s="15" t="str">
        <f>IF(H151&lt;&gt;"","&lt;vk kbd="""&amp;H$1&amp;""" vk="""&amp;H151&amp;""""&amp;IF(Scan2VKFlags!F151&lt;&gt;""," flags="""&amp;Scan2VKFlags!F151&amp;"""","")&amp;"/&gt;","")</f>
        <v/>
      </c>
      <c r="AK151" s="16" t="str">
        <f>IF(I151&lt;&gt;"","&lt;vk kbd="""&amp;I$1&amp;""" vk="""&amp;I151&amp;""""&amp;IF(Scan2VKFlags!G151&lt;&gt;""," flags="""&amp;Scan2VKFlags!G151&amp;"""","")&amp;"/&gt;","")</f>
        <v/>
      </c>
      <c r="AL151" s="3" t="str">
        <f>IF(K151&lt;&gt;"","&lt;vk kbd="""&amp;K$1&amp;""" vk="""&amp;K151&amp;""""&amp;IF(Scan2VKFlags!H151&lt;&gt;""," flags="""&amp;Scan2VKFlags!H151&amp;"""","")&amp;"/&gt;","")</f>
        <v>&lt;vk kbd="7" vk="_none_"/&gt;</v>
      </c>
      <c r="AM151" s="15" t="str">
        <f>IF(L151&lt;&gt;"","&lt;vk kbd="""&amp;L$1&amp;""" vk="""&amp;L151&amp;""""&amp;IF(Scan2VKFlags!I151&lt;&gt;""," flags="""&amp;Scan2VKFlags!I151&amp;"""","")&amp;"/&gt;","")</f>
        <v>&lt;vk kbd="8" vk="_none_"/&gt;</v>
      </c>
      <c r="AN151" s="15" t="str">
        <f>IF(M151&lt;&gt;"","&lt;vk kbd="""&amp;M$1&amp;""" vk="""&amp;M151&amp;""""&amp;IF(Scan2VKFlags!J151&lt;&gt;""," flags="""&amp;Scan2VKFlags!J151&amp;"""","")&amp;"/&gt;","")</f>
        <v>&lt;vk kbd="16" vk="_none_"/&gt;</v>
      </c>
      <c r="AO151" s="15" t="str">
        <f>IF(N151&lt;&gt;"","&lt;vk kbd="""&amp;N$1&amp;""" vk="""&amp;N151&amp;""""&amp;IF(Scan2VKFlags!K151&lt;&gt;""," flags="""&amp;Scan2VKFlags!K151&amp;"""","")&amp;"/&gt;","")</f>
        <v>&lt;vk kbd="10" vk="_none_"/&gt;</v>
      </c>
      <c r="AP151" s="15" t="str">
        <f>IF(O151&lt;&gt;"","&lt;vk kbd="""&amp;O$1&amp;""" vk="""&amp;O151&amp;""""&amp;IF(Scan2VKFlags!L151&lt;&gt;""," flags="""&amp;Scan2VKFlags!L151&amp;"""","")&amp;"/&gt;","")</f>
        <v>&lt;vk kbd="11" vk="_none_"/&gt;</v>
      </c>
      <c r="AQ151" s="15" t="str">
        <f>IF(P151&lt;&gt;"","&lt;vk kbd="""&amp;P$1&amp;""" vk="""&amp;P151&amp;""""&amp;IF(Scan2VKFlags!M151&lt;&gt;""," flags="""&amp;Scan2VKFlags!M151&amp;"""","")&amp;"/&gt;","")</f>
        <v>&lt;vk kbd="12" vk="_none_"/&gt;</v>
      </c>
      <c r="AR151" s="16" t="str">
        <f>IF(Q151&lt;&gt;"","&lt;vk kbd="""&amp;Q$1&amp;""" vk="""&amp;Q151&amp;""""&amp;IF(Scan2VKFlags!N151&lt;&gt;""," flags="""&amp;Scan2VKFlags!N151&amp;"""","")&amp;"/&gt;","")</f>
        <v>&lt;vk kbd="13" vk="_none_"/&gt;</v>
      </c>
      <c r="AS151" s="3" t="str">
        <f>IF(S151&lt;&gt;"","&lt;vk kbd="""&amp;S$1&amp;""" vk="""&amp;S151&amp;""""&amp;IF(Scan2VKFlags!O151&lt;&gt;""," flags="""&amp;Scan2VKFlags!O151&amp;"""","")&amp;"/&gt;","")</f>
        <v>&lt;vk kbd="20" vk="_none_"/&gt;</v>
      </c>
      <c r="AT151" s="15" t="str">
        <f>IF(T151&lt;&gt;"","&lt;vk kbd="""&amp;T$1&amp;""" vk="""&amp;T151&amp;""""&amp;IF(Scan2VKFlags!P151&lt;&gt;""," flags="""&amp;Scan2VKFlags!P151&amp;"""","")&amp;"/&gt;","")</f>
        <v>&lt;vk kbd="21" vk="_none_"/&gt;</v>
      </c>
      <c r="AU151" s="16" t="str">
        <f>IF(U151&lt;&gt;"","&lt;vk kbd="""&amp;U$1&amp;""" vk="""&amp;U151&amp;""""&amp;IF(Scan2VKFlags!Q151&lt;&gt;""," flags="""&amp;Scan2VKFlags!Q151&amp;"""","")&amp;"/&gt;","")</f>
        <v>&lt;vk kbd="22" vk="_none_"/&gt;</v>
      </c>
      <c r="AV151" s="3" t="str">
        <f>IF(W151&lt;&gt;"","&lt;vk kbd="""&amp;W$1&amp;""" vk="""&amp;W151&amp;""""&amp;IF(Scan2VKFlags!R151&lt;&gt;""," flags="""&amp;Scan2VKFlags!R151&amp;"""","")&amp;"/&gt;","")</f>
        <v>&lt;vk kbd="30" vk="_none_"/&gt;</v>
      </c>
      <c r="AW151" s="15" t="str">
        <f>IF(X151&lt;&gt;"","&lt;vk kbd="""&amp;X$1&amp;""" vk="""&amp;X151&amp;""""&amp;IF(Scan2VKFlags!S151&lt;&gt;""," flags="""&amp;Scan2VKFlags!S151&amp;"""","")&amp;"/&gt;","")</f>
        <v>&lt;vk kbd="33" vk="_none_"/&gt;</v>
      </c>
      <c r="AX151" s="15" t="str">
        <f>IF(Y151&lt;&gt;"","&lt;vk kbd="""&amp;Y$1&amp;""" vk="""&amp;Y151&amp;""""&amp;IF(Scan2VKFlags!T151&lt;&gt;""," flags="""&amp;Scan2VKFlags!T151&amp;"""","")&amp;"/&gt;","")</f>
        <v>&lt;vk kbd="34" vk="RCONTROL"/&gt;</v>
      </c>
      <c r="AY151" s="18" t="str">
        <f>IF(AA151&lt;&gt;"","&lt;vk kbd="""&amp;AA$1&amp;""" vk="""&amp;AA151&amp;""""&amp;IF(Scan2VKFlags!U151&lt;&gt;""," flags="""&amp;Scan2VKFlags!U151&amp;"""","")&amp;"/&gt;","")</f>
        <v/>
      </c>
      <c r="AZ151" s="3" t="str">
        <f>IF(AC151&lt;&gt;"","&lt;vk kbd="""&amp;AC$1&amp;""" vk="""&amp;AC151&amp;""""&amp;IF(Scan2VKFlags!V151&lt;&gt;""," flags="""&amp;Scan2VKFlags!V151&amp;"""","")&amp;"/&gt;","")</f>
        <v>&lt;vk kbd="40" vk="_none_"/&gt;</v>
      </c>
      <c r="BA151" s="16" t="str">
        <f>IF(AD151&lt;&gt;"","&lt;vk kbd="""&amp;AD$1&amp;""" vk="""&amp;AD151&amp;""""&amp;IF(Scan2VKFlags!W151&lt;&gt;""," flags="""&amp;Scan2VKFlags!W151&amp;"""","")&amp;"/&gt;","")</f>
        <v>&lt;vk kbd="41" vk="_none_"/&gt;</v>
      </c>
      <c r="BB151" s="15" t="s">
        <v>854</v>
      </c>
    </row>
    <row r="152" spans="2:54" s="15" customFormat="1" x14ac:dyDescent="0.25">
      <c r="B152" s="52" t="s">
        <v>335</v>
      </c>
      <c r="C152" s="7"/>
      <c r="D152" s="44" t="str">
        <f>trimtext(SplitText($C152,",",0))</f>
        <v/>
      </c>
      <c r="E152" s="44" t="str">
        <f>IF(SplitText($C152,",",COLUMN(E:E)-COLUMN($D:$D))="",$D152,trimtext(SplitText($C152,",",COLUMN(E:E)-COLUMN($D:$D))))</f>
        <v/>
      </c>
      <c r="F152" s="44" t="str">
        <f>IF(SplitText($C152,",",COLUMN(F:F)-COLUMN($D:$D))="",$D152,trimtext(SplitText($C152,",",COLUMN(F:F)-COLUMN($D:$D))))</f>
        <v/>
      </c>
      <c r="G152" s="44" t="str">
        <f>IF(SplitText($C152,",",COLUMN(G:G)-COLUMN($D:$D))="",$D152,trimtext(SplitText($C152,",",COLUMN(G:G)-COLUMN($D:$D))))</f>
        <v/>
      </c>
      <c r="H152" s="44" t="str">
        <f>IF(SplitText($C152,",",COLUMN(H:H)-COLUMN($D:$D))="",$D152,trimtext(SplitText($C152,",",COLUMN(H:H)-COLUMN($D:$D))))</f>
        <v/>
      </c>
      <c r="I152" s="44" t="str">
        <f>IF(SplitText($C152,",",COLUMN(I:I)-COLUMN($D:$D))="",$D152,trimtext(SplitText($C152,",",COLUMN(I:I)-COLUMN($D:$D))))</f>
        <v/>
      </c>
      <c r="J152" s="9" t="s">
        <v>185</v>
      </c>
      <c r="K152" s="44" t="str">
        <f>trimtext(SplitText($J152,",",0))</f>
        <v>_none_</v>
      </c>
      <c r="L152" s="44" t="str">
        <f>IF(SplitText($J152,",",COLUMN(L:L)-COLUMN($K:$K))="",$K152,trimtext(SplitText($J152,",",COLUMN(L:L)-COLUMN($K:$K))))</f>
        <v>_none_</v>
      </c>
      <c r="M152" s="44" t="str">
        <f>IF(SplitText($J152,",",COLUMN(M:M)-COLUMN($K:$K))="",$K152,trimtext(SplitText($J152,",",COLUMN(M:M)-COLUMN($K:$K))))</f>
        <v>_none_</v>
      </c>
      <c r="N152" s="44" t="str">
        <f>IF(SplitText($J152,",",COLUMN(N:N)-COLUMN($K:$K))="",$K152,trimtext(SplitText($J152,",",COLUMN(N:N)-COLUMN($K:$K))))</f>
        <v>_none_</v>
      </c>
      <c r="O152" s="44" t="str">
        <f>IF(SplitText($J152,",",COLUMN(O:O)-COLUMN($K:$K))="",$K152,trimtext(SplitText($J152,",",COLUMN(O:O)-COLUMN($K:$K))))</f>
        <v>_none_</v>
      </c>
      <c r="P152" s="44" t="str">
        <f>IF(SplitText($J152,",",COLUMN(P:P)-COLUMN($K:$K))="",$K152,trimtext(SplitText($J152,",",COLUMN(P:P)-COLUMN($K:$K))))</f>
        <v>_none_</v>
      </c>
      <c r="Q152" s="44" t="str">
        <f>IF(SplitText($J152,",",COLUMN(Q:Q)-COLUMN($K:$K))="",$K152,trimtext(SplitText($J152,",",COLUMN(Q:Q)-COLUMN($K:$K))))</f>
        <v>_none_</v>
      </c>
      <c r="R152" s="2" t="s">
        <v>342</v>
      </c>
      <c r="S152" s="44" t="str">
        <f>trimtext(SplitText($R152,",",0))</f>
        <v>_none_</v>
      </c>
      <c r="T152" s="44" t="str">
        <f>IF(SplitText($R152,",",COLUMN(T:T)-COLUMN($S:$S))="",$S152,trimtext(SplitText($R152,",",COLUMN(T:T)-COLUMN($S:$S))))</f>
        <v>_none_</v>
      </c>
      <c r="U152" s="45" t="str">
        <f>IF(SplitText($R152,",",COLUMN(U:U)-COLUMN($S:$S))="",$S152,trimtext(SplitText($R152,",",COLUMN(U:U)-COLUMN($S:$S))))</f>
        <v>_none_</v>
      </c>
      <c r="V152" s="53" t="s">
        <v>472</v>
      </c>
      <c r="W152" s="44" t="str">
        <f>trimtext(SplitText($V152,",",0))</f>
        <v>_none_</v>
      </c>
      <c r="X152" s="44" t="str">
        <f>IF(SplitText($V152,",",COLUMN(X:X)-COLUMN($W:$W))="",$W152,trimtext(SplitText($V152,",",COLUMN(X:X)-COLUMN($W:$W))))</f>
        <v>_none_</v>
      </c>
      <c r="Y152" s="44" t="str">
        <f>IF(SplitText($V152,",",COLUMN(Y:Y)-COLUMN($W:$W))="",$W152,trimtext(SplitText($V152,",",COLUMN(Y:Y)-COLUMN($W:$W))))</f>
        <v>RMENU</v>
      </c>
      <c r="Z152" s="24"/>
      <c r="AA152" s="44" t="str">
        <f t="shared" si="13"/>
        <v/>
      </c>
      <c r="AB152" s="2" t="s">
        <v>743</v>
      </c>
      <c r="AC152" s="44" t="str">
        <f>trimtext(SplitText($AB152,",",0))</f>
        <v>_none_</v>
      </c>
      <c r="AD152" s="44" t="str">
        <f>IF(SplitText($AB152,",",COLUMN(AD:AD)-COLUMN($AC:$AC))="",$AC152,trimtext(SplitText($AB152,",",COLUMN(AD:AD)-COLUMN($AC:$AC))))</f>
        <v>_none_</v>
      </c>
      <c r="AE152" s="18" t="str">
        <f t="shared" si="12"/>
        <v>&lt;xs:enumeration value="X43"&gt;&lt;xs:annotation&gt;&lt;xs:documentation&gt;Typically &lt;/xs:documentation&gt;&lt;xs:appinfo&gt;&lt;default-vk&gt;</v>
      </c>
      <c r="AF152" s="15" t="str">
        <f>IF(D152&lt;&gt;"","&lt;vk kbd="""&amp;D$1&amp;""" vk="""&amp;D152&amp;""""&amp;IF(Scan2VKFlags!B152&lt;&gt;""," flags="""&amp;Scan2VKFlags!B152&amp;"""","")&amp;"/&gt;","")</f>
        <v/>
      </c>
      <c r="AG152" s="15" t="str">
        <f>IF(E152&lt;&gt;"","&lt;vk kbd="""&amp;E$1&amp;""" vk="""&amp;E152&amp;""""&amp;IF(Scan2VKFlags!C152&lt;&gt;""," flags="""&amp;Scan2VKFlags!C152&amp;"""","")&amp;"/&gt;","")</f>
        <v/>
      </c>
      <c r="AH152" s="15" t="str">
        <f>IF(F152&lt;&gt;"","&lt;vk kbd="""&amp;F$1&amp;""" vk="""&amp;F152&amp;""""&amp;IF(Scan2VKFlags!D152&lt;&gt;""," flags="""&amp;Scan2VKFlags!D152&amp;"""","")&amp;"/&gt;","")</f>
        <v/>
      </c>
      <c r="AI152" s="15" t="str">
        <f>IF(G152&lt;&gt;"","&lt;vk kbd="""&amp;G$1&amp;""" vk="""&amp;G152&amp;""""&amp;IF(Scan2VKFlags!E152&lt;&gt;""," flags="""&amp;Scan2VKFlags!E152&amp;"""","")&amp;"/&gt;","")</f>
        <v/>
      </c>
      <c r="AJ152" s="15" t="str">
        <f>IF(H152&lt;&gt;"","&lt;vk kbd="""&amp;H$1&amp;""" vk="""&amp;H152&amp;""""&amp;IF(Scan2VKFlags!F152&lt;&gt;""," flags="""&amp;Scan2VKFlags!F152&amp;"""","")&amp;"/&gt;","")</f>
        <v/>
      </c>
      <c r="AK152" s="16" t="str">
        <f>IF(I152&lt;&gt;"","&lt;vk kbd="""&amp;I$1&amp;""" vk="""&amp;I152&amp;""""&amp;IF(Scan2VKFlags!G152&lt;&gt;""," flags="""&amp;Scan2VKFlags!G152&amp;"""","")&amp;"/&gt;","")</f>
        <v/>
      </c>
      <c r="AL152" s="3" t="str">
        <f>IF(K152&lt;&gt;"","&lt;vk kbd="""&amp;K$1&amp;""" vk="""&amp;K152&amp;""""&amp;IF(Scan2VKFlags!H152&lt;&gt;""," flags="""&amp;Scan2VKFlags!H152&amp;"""","")&amp;"/&gt;","")</f>
        <v>&lt;vk kbd="7" vk="_none_"/&gt;</v>
      </c>
      <c r="AM152" s="15" t="str">
        <f>IF(L152&lt;&gt;"","&lt;vk kbd="""&amp;L$1&amp;""" vk="""&amp;L152&amp;""""&amp;IF(Scan2VKFlags!I152&lt;&gt;""," flags="""&amp;Scan2VKFlags!I152&amp;"""","")&amp;"/&gt;","")</f>
        <v>&lt;vk kbd="8" vk="_none_"/&gt;</v>
      </c>
      <c r="AN152" s="15" t="str">
        <f>IF(M152&lt;&gt;"","&lt;vk kbd="""&amp;M$1&amp;""" vk="""&amp;M152&amp;""""&amp;IF(Scan2VKFlags!J152&lt;&gt;""," flags="""&amp;Scan2VKFlags!J152&amp;"""","")&amp;"/&gt;","")</f>
        <v>&lt;vk kbd="16" vk="_none_"/&gt;</v>
      </c>
      <c r="AO152" s="15" t="str">
        <f>IF(N152&lt;&gt;"","&lt;vk kbd="""&amp;N$1&amp;""" vk="""&amp;N152&amp;""""&amp;IF(Scan2VKFlags!K152&lt;&gt;""," flags="""&amp;Scan2VKFlags!K152&amp;"""","")&amp;"/&gt;","")</f>
        <v>&lt;vk kbd="10" vk="_none_"/&gt;</v>
      </c>
      <c r="AP152" s="15" t="str">
        <f>IF(O152&lt;&gt;"","&lt;vk kbd="""&amp;O$1&amp;""" vk="""&amp;O152&amp;""""&amp;IF(Scan2VKFlags!L152&lt;&gt;""," flags="""&amp;Scan2VKFlags!L152&amp;"""","")&amp;"/&gt;","")</f>
        <v>&lt;vk kbd="11" vk="_none_"/&gt;</v>
      </c>
      <c r="AQ152" s="15" t="str">
        <f>IF(P152&lt;&gt;"","&lt;vk kbd="""&amp;P$1&amp;""" vk="""&amp;P152&amp;""""&amp;IF(Scan2VKFlags!M152&lt;&gt;""," flags="""&amp;Scan2VKFlags!M152&amp;"""","")&amp;"/&gt;","")</f>
        <v>&lt;vk kbd="12" vk="_none_"/&gt;</v>
      </c>
      <c r="AR152" s="16" t="str">
        <f>IF(Q152&lt;&gt;"","&lt;vk kbd="""&amp;Q$1&amp;""" vk="""&amp;Q152&amp;""""&amp;IF(Scan2VKFlags!N152&lt;&gt;""," flags="""&amp;Scan2VKFlags!N152&amp;"""","")&amp;"/&gt;","")</f>
        <v>&lt;vk kbd="13" vk="_none_"/&gt;</v>
      </c>
      <c r="AS152" s="3" t="str">
        <f>IF(S152&lt;&gt;"","&lt;vk kbd="""&amp;S$1&amp;""" vk="""&amp;S152&amp;""""&amp;IF(Scan2VKFlags!O152&lt;&gt;""," flags="""&amp;Scan2VKFlags!O152&amp;"""","")&amp;"/&gt;","")</f>
        <v>&lt;vk kbd="20" vk="_none_"/&gt;</v>
      </c>
      <c r="AT152" s="15" t="str">
        <f>IF(T152&lt;&gt;"","&lt;vk kbd="""&amp;T$1&amp;""" vk="""&amp;T152&amp;""""&amp;IF(Scan2VKFlags!P152&lt;&gt;""," flags="""&amp;Scan2VKFlags!P152&amp;"""","")&amp;"/&gt;","")</f>
        <v>&lt;vk kbd="21" vk="_none_"/&gt;</v>
      </c>
      <c r="AU152" s="16" t="str">
        <f>IF(U152&lt;&gt;"","&lt;vk kbd="""&amp;U$1&amp;""" vk="""&amp;U152&amp;""""&amp;IF(Scan2VKFlags!Q152&lt;&gt;""," flags="""&amp;Scan2VKFlags!Q152&amp;"""","")&amp;"/&gt;","")</f>
        <v>&lt;vk kbd="22" vk="_none_"/&gt;</v>
      </c>
      <c r="AV152" s="3" t="str">
        <f>IF(W152&lt;&gt;"","&lt;vk kbd="""&amp;W$1&amp;""" vk="""&amp;W152&amp;""""&amp;IF(Scan2VKFlags!R152&lt;&gt;""," flags="""&amp;Scan2VKFlags!R152&amp;"""","")&amp;"/&gt;","")</f>
        <v>&lt;vk kbd="30" vk="_none_"/&gt;</v>
      </c>
      <c r="AW152" s="15" t="str">
        <f>IF(X152&lt;&gt;"","&lt;vk kbd="""&amp;X$1&amp;""" vk="""&amp;X152&amp;""""&amp;IF(Scan2VKFlags!S152&lt;&gt;""," flags="""&amp;Scan2VKFlags!S152&amp;"""","")&amp;"/&gt;","")</f>
        <v>&lt;vk kbd="33" vk="_none_"/&gt;</v>
      </c>
      <c r="AX152" s="15" t="str">
        <f>IF(Y152&lt;&gt;"","&lt;vk kbd="""&amp;Y$1&amp;""" vk="""&amp;Y152&amp;""""&amp;IF(Scan2VKFlags!T152&lt;&gt;""," flags="""&amp;Scan2VKFlags!T152&amp;"""","")&amp;"/&gt;","")</f>
        <v>&lt;vk kbd="34" vk="RMENU"/&gt;</v>
      </c>
      <c r="AY152" s="18" t="str">
        <f>IF(AA152&lt;&gt;"","&lt;vk kbd="""&amp;AA$1&amp;""" vk="""&amp;AA152&amp;""""&amp;IF(Scan2VKFlags!U152&lt;&gt;""," flags="""&amp;Scan2VKFlags!U152&amp;"""","")&amp;"/&gt;","")</f>
        <v/>
      </c>
      <c r="AZ152" s="3" t="str">
        <f>IF(AC152&lt;&gt;"","&lt;vk kbd="""&amp;AC$1&amp;""" vk="""&amp;AC152&amp;""""&amp;IF(Scan2VKFlags!V152&lt;&gt;""," flags="""&amp;Scan2VKFlags!V152&amp;"""","")&amp;"/&gt;","")</f>
        <v>&lt;vk kbd="40" vk="_none_"/&gt;</v>
      </c>
      <c r="BA152" s="16" t="str">
        <f>IF(AD152&lt;&gt;"","&lt;vk kbd="""&amp;AD$1&amp;""" vk="""&amp;AD152&amp;""""&amp;IF(Scan2VKFlags!W152&lt;&gt;""," flags="""&amp;Scan2VKFlags!W152&amp;"""","")&amp;"/&gt;","")</f>
        <v>&lt;vk kbd="41" vk="_none_"/&gt;</v>
      </c>
      <c r="BB152" s="15" t="s">
        <v>854</v>
      </c>
    </row>
    <row r="153" spans="2:54" s="15" customFormat="1" x14ac:dyDescent="0.25">
      <c r="B153" s="52" t="s">
        <v>336</v>
      </c>
      <c r="C153" s="7"/>
      <c r="D153" s="44" t="str">
        <f>trimtext(SplitText($C153,",",0))</f>
        <v/>
      </c>
      <c r="E153" s="44" t="str">
        <f>IF(SplitText($C153,",",COLUMN(E:E)-COLUMN($D:$D))="",$D153,trimtext(SplitText($C153,",",COLUMN(E:E)-COLUMN($D:$D))))</f>
        <v/>
      </c>
      <c r="F153" s="44" t="str">
        <f>IF(SplitText($C153,",",COLUMN(F:F)-COLUMN($D:$D))="",$D153,trimtext(SplitText($C153,",",COLUMN(F:F)-COLUMN($D:$D))))</f>
        <v/>
      </c>
      <c r="G153" s="44" t="str">
        <f>IF(SplitText($C153,",",COLUMN(G:G)-COLUMN($D:$D))="",$D153,trimtext(SplitText($C153,",",COLUMN(G:G)-COLUMN($D:$D))))</f>
        <v/>
      </c>
      <c r="H153" s="44" t="str">
        <f>IF(SplitText($C153,",",COLUMN(H:H)-COLUMN($D:$D))="",$D153,trimtext(SplitText($C153,",",COLUMN(H:H)-COLUMN($D:$D))))</f>
        <v/>
      </c>
      <c r="I153" s="44" t="str">
        <f>IF(SplitText($C153,",",COLUMN(I:I)-COLUMN($D:$D))="",$D153,trimtext(SplitText($C153,",",COLUMN(I:I)-COLUMN($D:$D))))</f>
        <v/>
      </c>
      <c r="J153" s="9" t="s">
        <v>185</v>
      </c>
      <c r="K153" s="44" t="str">
        <f>trimtext(SplitText($J153,",",0))</f>
        <v>_none_</v>
      </c>
      <c r="L153" s="44" t="str">
        <f>IF(SplitText($J153,",",COLUMN(L:L)-COLUMN($K:$K))="",$K153,trimtext(SplitText($J153,",",COLUMN(L:L)-COLUMN($K:$K))))</f>
        <v>_none_</v>
      </c>
      <c r="M153" s="44" t="str">
        <f>IF(SplitText($J153,",",COLUMN(M:M)-COLUMN($K:$K))="",$K153,trimtext(SplitText($J153,",",COLUMN(M:M)-COLUMN($K:$K))))</f>
        <v>_none_</v>
      </c>
      <c r="N153" s="44" t="str">
        <f>IF(SplitText($J153,",",COLUMN(N:N)-COLUMN($K:$K))="",$K153,trimtext(SplitText($J153,",",COLUMN(N:N)-COLUMN($K:$K))))</f>
        <v>_none_</v>
      </c>
      <c r="O153" s="44" t="str">
        <f>IF(SplitText($J153,",",COLUMN(O:O)-COLUMN($K:$K))="",$K153,trimtext(SplitText($J153,",",COLUMN(O:O)-COLUMN($K:$K))))</f>
        <v>_none_</v>
      </c>
      <c r="P153" s="44" t="str">
        <f>IF(SplitText($J153,",",COLUMN(P:P)-COLUMN($K:$K))="",$K153,trimtext(SplitText($J153,",",COLUMN(P:P)-COLUMN($K:$K))))</f>
        <v>_none_</v>
      </c>
      <c r="Q153" s="44" t="str">
        <f>IF(SplitText($J153,",",COLUMN(Q:Q)-COLUMN($K:$K))="",$K153,trimtext(SplitText($J153,",",COLUMN(Q:Q)-COLUMN($K:$K))))</f>
        <v>_none_</v>
      </c>
      <c r="R153" s="2" t="s">
        <v>342</v>
      </c>
      <c r="S153" s="44" t="str">
        <f>trimtext(SplitText($R153,",",0))</f>
        <v>_none_</v>
      </c>
      <c r="T153" s="44" t="str">
        <f>IF(SplitText($R153,",",COLUMN(T:T)-COLUMN($S:$S))="",$S153,trimtext(SplitText($R153,",",COLUMN(T:T)-COLUMN($S:$S))))</f>
        <v>_none_</v>
      </c>
      <c r="U153" s="45" t="str">
        <f>IF(SplitText($R153,",",COLUMN(U:U)-COLUMN($S:$S))="",$S153,trimtext(SplitText($R153,",",COLUMN(U:U)-COLUMN($S:$S))))</f>
        <v>_none_</v>
      </c>
      <c r="V153" s="53" t="s">
        <v>507</v>
      </c>
      <c r="W153" s="44" t="str">
        <f>trimtext(SplitText($V153,",",0))</f>
        <v>_none_</v>
      </c>
      <c r="X153" s="44" t="str">
        <f>IF(SplitText($V153,",",COLUMN(X:X)-COLUMN($W:$W))="",$W153,trimtext(SplitText($V153,",",COLUMN(X:X)-COLUMN($W:$W))))</f>
        <v>_none_</v>
      </c>
      <c r="Y153" s="44" t="str">
        <f>IF(SplitText($V153,",",COLUMN(Y:Y)-COLUMN($W:$W))="",$W153,trimtext(SplitText($V153,",",COLUMN(Y:Y)-COLUMN($W:$W))))</f>
        <v>_none_</v>
      </c>
      <c r="Z153" s="24"/>
      <c r="AA153" s="44" t="str">
        <f t="shared" si="13"/>
        <v/>
      </c>
      <c r="AB153" s="2" t="s">
        <v>743</v>
      </c>
      <c r="AC153" s="44" t="str">
        <f>trimtext(SplitText($AB153,",",0))</f>
        <v>_none_</v>
      </c>
      <c r="AD153" s="44" t="str">
        <f>IF(SplitText($AB153,",",COLUMN(AD:AD)-COLUMN($AC:$AC))="",$AC153,trimtext(SplitText($AB153,",",COLUMN(AD:AD)-COLUMN($AC:$AC))))</f>
        <v>_none_</v>
      </c>
      <c r="AE153" s="18" t="str">
        <f t="shared" si="12"/>
        <v>&lt;xs:enumeration value="X44"&gt;&lt;xs:annotation&gt;&lt;xs:documentation&gt;Typically &lt;/xs:documentation&gt;&lt;xs:appinfo&gt;&lt;default-vk&gt;</v>
      </c>
      <c r="AF153" s="15" t="str">
        <f>IF(D153&lt;&gt;"","&lt;vk kbd="""&amp;D$1&amp;""" vk="""&amp;D153&amp;""""&amp;IF(Scan2VKFlags!B153&lt;&gt;""," flags="""&amp;Scan2VKFlags!B153&amp;"""","")&amp;"/&gt;","")</f>
        <v/>
      </c>
      <c r="AG153" s="15" t="str">
        <f>IF(E153&lt;&gt;"","&lt;vk kbd="""&amp;E$1&amp;""" vk="""&amp;E153&amp;""""&amp;IF(Scan2VKFlags!C153&lt;&gt;""," flags="""&amp;Scan2VKFlags!C153&amp;"""","")&amp;"/&gt;","")</f>
        <v/>
      </c>
      <c r="AH153" s="15" t="str">
        <f>IF(F153&lt;&gt;"","&lt;vk kbd="""&amp;F$1&amp;""" vk="""&amp;F153&amp;""""&amp;IF(Scan2VKFlags!D153&lt;&gt;""," flags="""&amp;Scan2VKFlags!D153&amp;"""","")&amp;"/&gt;","")</f>
        <v/>
      </c>
      <c r="AI153" s="15" t="str">
        <f>IF(G153&lt;&gt;"","&lt;vk kbd="""&amp;G$1&amp;""" vk="""&amp;G153&amp;""""&amp;IF(Scan2VKFlags!E153&lt;&gt;""," flags="""&amp;Scan2VKFlags!E153&amp;"""","")&amp;"/&gt;","")</f>
        <v/>
      </c>
      <c r="AJ153" s="15" t="str">
        <f>IF(H153&lt;&gt;"","&lt;vk kbd="""&amp;H$1&amp;""" vk="""&amp;H153&amp;""""&amp;IF(Scan2VKFlags!F153&lt;&gt;""," flags="""&amp;Scan2VKFlags!F153&amp;"""","")&amp;"/&gt;","")</f>
        <v/>
      </c>
      <c r="AK153" s="16" t="str">
        <f>IF(I153&lt;&gt;"","&lt;vk kbd="""&amp;I$1&amp;""" vk="""&amp;I153&amp;""""&amp;IF(Scan2VKFlags!G153&lt;&gt;""," flags="""&amp;Scan2VKFlags!G153&amp;"""","")&amp;"/&gt;","")</f>
        <v/>
      </c>
      <c r="AL153" s="3" t="str">
        <f>IF(K153&lt;&gt;"","&lt;vk kbd="""&amp;K$1&amp;""" vk="""&amp;K153&amp;""""&amp;IF(Scan2VKFlags!H153&lt;&gt;""," flags="""&amp;Scan2VKFlags!H153&amp;"""","")&amp;"/&gt;","")</f>
        <v>&lt;vk kbd="7" vk="_none_"/&gt;</v>
      </c>
      <c r="AM153" s="15" t="str">
        <f>IF(L153&lt;&gt;"","&lt;vk kbd="""&amp;L$1&amp;""" vk="""&amp;L153&amp;""""&amp;IF(Scan2VKFlags!I153&lt;&gt;""," flags="""&amp;Scan2VKFlags!I153&amp;"""","")&amp;"/&gt;","")</f>
        <v>&lt;vk kbd="8" vk="_none_"/&gt;</v>
      </c>
      <c r="AN153" s="15" t="str">
        <f>IF(M153&lt;&gt;"","&lt;vk kbd="""&amp;M$1&amp;""" vk="""&amp;M153&amp;""""&amp;IF(Scan2VKFlags!J153&lt;&gt;""," flags="""&amp;Scan2VKFlags!J153&amp;"""","")&amp;"/&gt;","")</f>
        <v>&lt;vk kbd="16" vk="_none_"/&gt;</v>
      </c>
      <c r="AO153" s="15" t="str">
        <f>IF(N153&lt;&gt;"","&lt;vk kbd="""&amp;N$1&amp;""" vk="""&amp;N153&amp;""""&amp;IF(Scan2VKFlags!K153&lt;&gt;""," flags="""&amp;Scan2VKFlags!K153&amp;"""","")&amp;"/&gt;","")</f>
        <v>&lt;vk kbd="10" vk="_none_"/&gt;</v>
      </c>
      <c r="AP153" s="15" t="str">
        <f>IF(O153&lt;&gt;"","&lt;vk kbd="""&amp;O$1&amp;""" vk="""&amp;O153&amp;""""&amp;IF(Scan2VKFlags!L153&lt;&gt;""," flags="""&amp;Scan2VKFlags!L153&amp;"""","")&amp;"/&gt;","")</f>
        <v>&lt;vk kbd="11" vk="_none_"/&gt;</v>
      </c>
      <c r="AQ153" s="15" t="str">
        <f>IF(P153&lt;&gt;"","&lt;vk kbd="""&amp;P$1&amp;""" vk="""&amp;P153&amp;""""&amp;IF(Scan2VKFlags!M153&lt;&gt;""," flags="""&amp;Scan2VKFlags!M153&amp;"""","")&amp;"/&gt;","")</f>
        <v>&lt;vk kbd="12" vk="_none_"/&gt;</v>
      </c>
      <c r="AR153" s="16" t="str">
        <f>IF(Q153&lt;&gt;"","&lt;vk kbd="""&amp;Q$1&amp;""" vk="""&amp;Q153&amp;""""&amp;IF(Scan2VKFlags!N153&lt;&gt;""," flags="""&amp;Scan2VKFlags!N153&amp;"""","")&amp;"/&gt;","")</f>
        <v>&lt;vk kbd="13" vk="_none_"/&gt;</v>
      </c>
      <c r="AS153" s="3" t="str">
        <f>IF(S153&lt;&gt;"","&lt;vk kbd="""&amp;S$1&amp;""" vk="""&amp;S153&amp;""""&amp;IF(Scan2VKFlags!O153&lt;&gt;""," flags="""&amp;Scan2VKFlags!O153&amp;"""","")&amp;"/&gt;","")</f>
        <v>&lt;vk kbd="20" vk="_none_"/&gt;</v>
      </c>
      <c r="AT153" s="15" t="str">
        <f>IF(T153&lt;&gt;"","&lt;vk kbd="""&amp;T$1&amp;""" vk="""&amp;T153&amp;""""&amp;IF(Scan2VKFlags!P153&lt;&gt;""," flags="""&amp;Scan2VKFlags!P153&amp;"""","")&amp;"/&gt;","")</f>
        <v>&lt;vk kbd="21" vk="_none_"/&gt;</v>
      </c>
      <c r="AU153" s="16" t="str">
        <f>IF(U153&lt;&gt;"","&lt;vk kbd="""&amp;U$1&amp;""" vk="""&amp;U153&amp;""""&amp;IF(Scan2VKFlags!Q153&lt;&gt;""," flags="""&amp;Scan2VKFlags!Q153&amp;"""","")&amp;"/&gt;","")</f>
        <v>&lt;vk kbd="22" vk="_none_"/&gt;</v>
      </c>
      <c r="AV153" s="3" t="str">
        <f>IF(W153&lt;&gt;"","&lt;vk kbd="""&amp;W$1&amp;""" vk="""&amp;W153&amp;""""&amp;IF(Scan2VKFlags!R153&lt;&gt;""," flags="""&amp;Scan2VKFlags!R153&amp;"""","")&amp;"/&gt;","")</f>
        <v>&lt;vk kbd="30" vk="_none_"/&gt;</v>
      </c>
      <c r="AW153" s="15" t="str">
        <f>IF(X153&lt;&gt;"","&lt;vk kbd="""&amp;X$1&amp;""" vk="""&amp;X153&amp;""""&amp;IF(Scan2VKFlags!S153&lt;&gt;""," flags="""&amp;Scan2VKFlags!S153&amp;"""","")&amp;"/&gt;","")</f>
        <v>&lt;vk kbd="33" vk="_none_"/&gt;</v>
      </c>
      <c r="AX153" s="15" t="str">
        <f>IF(Y153&lt;&gt;"","&lt;vk kbd="""&amp;Y$1&amp;""" vk="""&amp;Y153&amp;""""&amp;IF(Scan2VKFlags!T153&lt;&gt;""," flags="""&amp;Scan2VKFlags!T153&amp;"""","")&amp;"/&gt;","")</f>
        <v>&lt;vk kbd="34" vk="_none_"/&gt;</v>
      </c>
      <c r="AY153" s="18" t="str">
        <f>IF(AA153&lt;&gt;"","&lt;vk kbd="""&amp;AA$1&amp;""" vk="""&amp;AA153&amp;""""&amp;IF(Scan2VKFlags!U153&lt;&gt;""," flags="""&amp;Scan2VKFlags!U153&amp;"""","")&amp;"/&gt;","")</f>
        <v/>
      </c>
      <c r="AZ153" s="3" t="str">
        <f>IF(AC153&lt;&gt;"","&lt;vk kbd="""&amp;AC$1&amp;""" vk="""&amp;AC153&amp;""""&amp;IF(Scan2VKFlags!V153&lt;&gt;""," flags="""&amp;Scan2VKFlags!V153&amp;"""","")&amp;"/&gt;","")</f>
        <v>&lt;vk kbd="40" vk="_none_"/&gt;</v>
      </c>
      <c r="BA153" s="16" t="str">
        <f>IF(AD153&lt;&gt;"","&lt;vk kbd="""&amp;AD$1&amp;""" vk="""&amp;AD153&amp;""""&amp;IF(Scan2VKFlags!W153&lt;&gt;""," flags="""&amp;Scan2VKFlags!W153&amp;"""","")&amp;"/&gt;","")</f>
        <v>&lt;vk kbd="41" vk="_none_"/&gt;</v>
      </c>
      <c r="BB153" s="15" t="s">
        <v>854</v>
      </c>
    </row>
    <row r="154" spans="2:54" s="15" customFormat="1" x14ac:dyDescent="0.25">
      <c r="B154" s="52" t="s">
        <v>160</v>
      </c>
      <c r="C154" s="7" t="s">
        <v>130</v>
      </c>
      <c r="D154" s="44" t="str">
        <f>trimtext(SplitText($C154,",",0))</f>
        <v>CANCEL</v>
      </c>
      <c r="E154" s="44" t="str">
        <f>IF(SplitText($C154,",",COLUMN(E:E)-COLUMN($D:$D))="",$D154,trimtext(SplitText($C154,",",COLUMN(E:E)-COLUMN($D:$D))))</f>
        <v>CANCEL</v>
      </c>
      <c r="F154" s="44" t="str">
        <f>IF(SplitText($C154,",",COLUMN(F:F)-COLUMN($D:$D))="",$D154,trimtext(SplitText($C154,",",COLUMN(F:F)-COLUMN($D:$D))))</f>
        <v>CANCEL</v>
      </c>
      <c r="G154" s="44" t="str">
        <f>IF(SplitText($C154,",",COLUMN(G:G)-COLUMN($D:$D))="",$D154,trimtext(SplitText($C154,",",COLUMN(G:G)-COLUMN($D:$D))))</f>
        <v>CANCEL</v>
      </c>
      <c r="H154" s="44" t="str">
        <f>IF(SplitText($C154,",",COLUMN(H:H)-COLUMN($D:$D))="",$D154,trimtext(SplitText($C154,",",COLUMN(H:H)-COLUMN($D:$D))))</f>
        <v>CANCEL</v>
      </c>
      <c r="I154" s="44" t="str">
        <f>IF(SplitText($C154,",",COLUMN(I:I)-COLUMN($D:$D))="",$D154,trimtext(SplitText($C154,",",COLUMN(I:I)-COLUMN($D:$D))))</f>
        <v>CANCEL</v>
      </c>
      <c r="J154" s="9" t="s">
        <v>316</v>
      </c>
      <c r="K154" s="44" t="str">
        <f>trimtext(SplitText($J154,",",0))</f>
        <v>CANCEL</v>
      </c>
      <c r="L154" s="44" t="str">
        <f>IF(SplitText($J154,",",COLUMN(L:L)-COLUMN($K:$K))="",$K154,trimtext(SplitText($J154,",",COLUMN(L:L)-COLUMN($K:$K))))</f>
        <v>CANCEL</v>
      </c>
      <c r="M154" s="44" t="str">
        <f>IF(SplitText($J154,",",COLUMN(M:M)-COLUMN($K:$K))="",$K154,trimtext(SplitText($J154,",",COLUMN(M:M)-COLUMN($K:$K))))</f>
        <v>CANCEL</v>
      </c>
      <c r="N154" s="44" t="str">
        <f>IF(SplitText($J154,",",COLUMN(N:N)-COLUMN($K:$K))="",$K154,trimtext(SplitText($J154,",",COLUMN(N:N)-COLUMN($K:$K))))</f>
        <v>CANCEL</v>
      </c>
      <c r="O154" s="44" t="str">
        <f>IF(SplitText($J154,",",COLUMN(O:O)-COLUMN($K:$K))="",$K154,trimtext(SplitText($J154,",",COLUMN(O:O)-COLUMN($K:$K))))</f>
        <v>CANCEL</v>
      </c>
      <c r="P154" s="44" t="str">
        <f>IF(SplitText($J154,",",COLUMN(P:P)-COLUMN($K:$K))="",$K154,trimtext(SplitText($J154,",",COLUMN(P:P)-COLUMN($K:$K))))</f>
        <v>CANCEL</v>
      </c>
      <c r="Q154" s="44" t="str">
        <f>IF(SplitText($J154,",",COLUMN(Q:Q)-COLUMN($K:$K))="",$K154,trimtext(SplitText($J154,",",COLUMN(Q:Q)-COLUMN($K:$K))))</f>
        <v>CANCEL</v>
      </c>
      <c r="R154" s="2" t="s">
        <v>473</v>
      </c>
      <c r="S154" s="44" t="str">
        <f>trimtext(SplitText($R154,",",0))</f>
        <v>_none_</v>
      </c>
      <c r="T154" s="44" t="str">
        <f>IF(SplitText($R154,",",COLUMN(T:T)-COLUMN($S:$S))="",$S154,trimtext(SplitText($R154,",",COLUMN(T:T)-COLUMN($S:$S))))</f>
        <v>_none_</v>
      </c>
      <c r="U154" s="45" t="str">
        <f>IF(SplitText($R154,",",COLUMN(U:U)-COLUMN($S:$S))="",$S154,trimtext(SplitText($R154,",",COLUMN(U:U)-COLUMN($S:$S))))</f>
        <v>CANCEL</v>
      </c>
      <c r="V154" s="53" t="s">
        <v>626</v>
      </c>
      <c r="W154" s="44" t="str">
        <f>trimtext(SplitText($V154,",",0))</f>
        <v>CANCEL</v>
      </c>
      <c r="X154" s="44" t="str">
        <f>IF(SplitText($V154,",",COLUMN(X:X)-COLUMN($W:$W))="",$W154,trimtext(SplitText($V154,",",COLUMN(X:X)-COLUMN($W:$W))))</f>
        <v>CANCEL</v>
      </c>
      <c r="Y154" s="44" t="str">
        <f>IF(SplitText($V154,",",COLUMN(Y:Y)-COLUMN($W:$W))="",$W154,trimtext(SplitText($V154,",",COLUMN(Y:Y)-COLUMN($W:$W))))</f>
        <v>CANCEL</v>
      </c>
      <c r="Z154" s="24"/>
      <c r="AA154" s="44" t="str">
        <f t="shared" si="13"/>
        <v/>
      </c>
      <c r="AB154" s="2" t="s">
        <v>850</v>
      </c>
      <c r="AC154" s="44" t="str">
        <f>trimtext(SplitText($AB154,",",0))</f>
        <v>CANCEL</v>
      </c>
      <c r="AD154" s="44" t="str">
        <f>IF(SplitText($AB154,",",COLUMN(AD:AD)-COLUMN($AC:$AC))="",$AC154,trimtext(SplitText($AB154,",",COLUMN(AD:AD)-COLUMN($AC:$AC))))</f>
        <v>CANCEL</v>
      </c>
      <c r="AE154" s="18" t="str">
        <f t="shared" si="12"/>
        <v>&lt;xs:enumeration value="X46"&gt;&lt;xs:annotation&gt;&lt;xs:documentation&gt;Typically CANCEL for keyboard type 4, different values for different keyboard types&lt;/xs:documentation&gt;&lt;xs:appinfo&gt;&lt;default-vk&gt;</v>
      </c>
      <c r="AF154" s="15" t="str">
        <f>IF(D154&lt;&gt;"","&lt;vk kbd="""&amp;D$1&amp;""" vk="""&amp;D154&amp;""""&amp;IF(Scan2VKFlags!B154&lt;&gt;""," flags="""&amp;Scan2VKFlags!B154&amp;"""","")&amp;"/&gt;","")</f>
        <v>&lt;vk kbd="1" vk="CANCEL"/&gt;</v>
      </c>
      <c r="AG154" s="15" t="str">
        <f>IF(E154&lt;&gt;"","&lt;vk kbd="""&amp;E$1&amp;""" vk="""&amp;E154&amp;""""&amp;IF(Scan2VKFlags!C154&lt;&gt;""," flags="""&amp;Scan2VKFlags!C154&amp;"""","")&amp;"/&gt;","")</f>
        <v>&lt;vk kbd="2" vk="CANCEL"/&gt;</v>
      </c>
      <c r="AH154" s="15" t="str">
        <f>IF(F154&lt;&gt;"","&lt;vk kbd="""&amp;F$1&amp;""" vk="""&amp;F154&amp;""""&amp;IF(Scan2VKFlags!D154&lt;&gt;""," flags="""&amp;Scan2VKFlags!D154&amp;"""","")&amp;"/&gt;","")</f>
        <v>&lt;vk kbd="3" vk="CANCEL"/&gt;</v>
      </c>
      <c r="AI154" s="15" t="str">
        <f>IF(G154&lt;&gt;"","&lt;vk kbd="""&amp;G$1&amp;""" vk="""&amp;G154&amp;""""&amp;IF(Scan2VKFlags!E154&lt;&gt;""," flags="""&amp;Scan2VKFlags!E154&amp;"""","")&amp;"/&gt;","")</f>
        <v>&lt;vk kbd="4" vk="CANCEL" flags="KBDEXT"/&gt;</v>
      </c>
      <c r="AJ154" s="15" t="str">
        <f>IF(H154&lt;&gt;"","&lt;vk kbd="""&amp;H$1&amp;""" vk="""&amp;H154&amp;""""&amp;IF(Scan2VKFlags!F154&lt;&gt;""," flags="""&amp;Scan2VKFlags!F154&amp;"""","")&amp;"/&gt;","")</f>
        <v>&lt;vk kbd="5" vk="CANCEL"/&gt;</v>
      </c>
      <c r="AK154" s="16" t="str">
        <f>IF(I154&lt;&gt;"","&lt;vk kbd="""&amp;I$1&amp;""" vk="""&amp;I154&amp;""""&amp;IF(Scan2VKFlags!G154&lt;&gt;""," flags="""&amp;Scan2VKFlags!G154&amp;"""","")&amp;"/&gt;","")</f>
        <v>&lt;vk kbd="6" vk="CANCEL"/&gt;</v>
      </c>
      <c r="AL154" s="3" t="str">
        <f>IF(K154&lt;&gt;"","&lt;vk kbd="""&amp;K$1&amp;""" vk="""&amp;K154&amp;""""&amp;IF(Scan2VKFlags!H154&lt;&gt;""," flags="""&amp;Scan2VKFlags!H154&amp;"""","")&amp;"/&gt;","")</f>
        <v>&lt;vk kbd="7" vk="CANCEL"/&gt;</v>
      </c>
      <c r="AM154" s="15" t="str">
        <f>IF(L154&lt;&gt;"","&lt;vk kbd="""&amp;L$1&amp;""" vk="""&amp;L154&amp;""""&amp;IF(Scan2VKFlags!I154&lt;&gt;""," flags="""&amp;Scan2VKFlags!I154&amp;"""","")&amp;"/&gt;","")</f>
        <v>&lt;vk kbd="8" vk="CANCEL"/&gt;</v>
      </c>
      <c r="AN154" s="15" t="str">
        <f>IF(M154&lt;&gt;"","&lt;vk kbd="""&amp;M$1&amp;""" vk="""&amp;M154&amp;""""&amp;IF(Scan2VKFlags!J154&lt;&gt;""," flags="""&amp;Scan2VKFlags!J154&amp;"""","")&amp;"/&gt;","")</f>
        <v>&lt;vk kbd="16" vk="CANCEL"/&gt;</v>
      </c>
      <c r="AO154" s="15" t="str">
        <f>IF(N154&lt;&gt;"","&lt;vk kbd="""&amp;N$1&amp;""" vk="""&amp;N154&amp;""""&amp;IF(Scan2VKFlags!K154&lt;&gt;""," flags="""&amp;Scan2VKFlags!K154&amp;"""","")&amp;"/&gt;","")</f>
        <v>&lt;vk kbd="10" vk="CANCEL"/&gt;</v>
      </c>
      <c r="AP154" s="15" t="str">
        <f>IF(O154&lt;&gt;"","&lt;vk kbd="""&amp;O$1&amp;""" vk="""&amp;O154&amp;""""&amp;IF(Scan2VKFlags!L154&lt;&gt;""," flags="""&amp;Scan2VKFlags!L154&amp;"""","")&amp;"/&gt;","")</f>
        <v>&lt;vk kbd="11" vk="CANCEL"/&gt;</v>
      </c>
      <c r="AQ154" s="15" t="str">
        <f>IF(P154&lt;&gt;"","&lt;vk kbd="""&amp;P$1&amp;""" vk="""&amp;P154&amp;""""&amp;IF(Scan2VKFlags!M154&lt;&gt;""," flags="""&amp;Scan2VKFlags!M154&amp;"""","")&amp;"/&gt;","")</f>
        <v>&lt;vk kbd="12" vk="CANCEL"/&gt;</v>
      </c>
      <c r="AR154" s="16" t="str">
        <f>IF(Q154&lt;&gt;"","&lt;vk kbd="""&amp;Q$1&amp;""" vk="""&amp;Q154&amp;""""&amp;IF(Scan2VKFlags!N154&lt;&gt;""," flags="""&amp;Scan2VKFlags!N154&amp;"""","")&amp;"/&gt;","")</f>
        <v>&lt;vk kbd="13" vk="CANCEL"/&gt;</v>
      </c>
      <c r="AS154" s="3" t="str">
        <f>IF(S154&lt;&gt;"","&lt;vk kbd="""&amp;S$1&amp;""" vk="""&amp;S154&amp;""""&amp;IF(Scan2VKFlags!O154&lt;&gt;""," flags="""&amp;Scan2VKFlags!O154&amp;"""","")&amp;"/&gt;","")</f>
        <v>&lt;vk kbd="20" vk="_none_"/&gt;</v>
      </c>
      <c r="AT154" s="15" t="str">
        <f>IF(T154&lt;&gt;"","&lt;vk kbd="""&amp;T$1&amp;""" vk="""&amp;T154&amp;""""&amp;IF(Scan2VKFlags!P154&lt;&gt;""," flags="""&amp;Scan2VKFlags!P154&amp;"""","")&amp;"/&gt;","")</f>
        <v>&lt;vk kbd="21" vk="_none_"/&gt;</v>
      </c>
      <c r="AU154" s="16" t="str">
        <f>IF(U154&lt;&gt;"","&lt;vk kbd="""&amp;U$1&amp;""" vk="""&amp;U154&amp;""""&amp;IF(Scan2VKFlags!Q154&lt;&gt;""," flags="""&amp;Scan2VKFlags!Q154&amp;"""","")&amp;"/&gt;","")</f>
        <v>&lt;vk kbd="22" vk="CANCEL"/&gt;</v>
      </c>
      <c r="AV154" s="3" t="str">
        <f>IF(W154&lt;&gt;"","&lt;vk kbd="""&amp;W$1&amp;""" vk="""&amp;W154&amp;""""&amp;IF(Scan2VKFlags!R154&lt;&gt;""," flags="""&amp;Scan2VKFlags!R154&amp;"""","")&amp;"/&gt;","")</f>
        <v>&lt;vk kbd="30" vk="CANCEL"/&gt;</v>
      </c>
      <c r="AW154" s="15" t="str">
        <f>IF(X154&lt;&gt;"","&lt;vk kbd="""&amp;X$1&amp;""" vk="""&amp;X154&amp;""""&amp;IF(Scan2VKFlags!S154&lt;&gt;""," flags="""&amp;Scan2VKFlags!S154&amp;"""","")&amp;"/&gt;","")</f>
        <v>&lt;vk kbd="33" vk="CANCEL"/&gt;</v>
      </c>
      <c r="AX154" s="15" t="str">
        <f>IF(Y154&lt;&gt;"","&lt;vk kbd="""&amp;Y$1&amp;""" vk="""&amp;Y154&amp;""""&amp;IF(Scan2VKFlags!T154&lt;&gt;""," flags="""&amp;Scan2VKFlags!T154&amp;"""","")&amp;"/&gt;","")</f>
        <v>&lt;vk kbd="34" vk="CANCEL"/&gt;</v>
      </c>
      <c r="AY154" s="18" t="str">
        <f>IF(AA154&lt;&gt;"","&lt;vk kbd="""&amp;AA$1&amp;""" vk="""&amp;AA154&amp;""""&amp;IF(Scan2VKFlags!U154&lt;&gt;""," flags="""&amp;Scan2VKFlags!U154&amp;"""","")&amp;"/&gt;","")</f>
        <v/>
      </c>
      <c r="AZ154" s="3" t="str">
        <f>IF(AC154&lt;&gt;"","&lt;vk kbd="""&amp;AC$1&amp;""" vk="""&amp;AC154&amp;""""&amp;IF(Scan2VKFlags!V154&lt;&gt;""," flags="""&amp;Scan2VKFlags!V154&amp;"""","")&amp;"/&gt;","")</f>
        <v>&lt;vk kbd="40" vk="CANCEL"/&gt;</v>
      </c>
      <c r="BA154" s="16" t="str">
        <f>IF(AD154&lt;&gt;"","&lt;vk kbd="""&amp;AD$1&amp;""" vk="""&amp;AD154&amp;""""&amp;IF(Scan2VKFlags!W154&lt;&gt;""," flags="""&amp;Scan2VKFlags!W154&amp;"""","")&amp;"/&gt;","")</f>
        <v>&lt;vk kbd="41" vk="CANCEL"/&gt;</v>
      </c>
      <c r="BB154" s="15" t="s">
        <v>854</v>
      </c>
    </row>
    <row r="155" spans="2:54" s="15" customFormat="1" x14ac:dyDescent="0.25">
      <c r="B155" s="52" t="s">
        <v>161</v>
      </c>
      <c r="C155" s="7" t="s">
        <v>71</v>
      </c>
      <c r="D155" s="44" t="str">
        <f>trimtext(SplitText($C155,",",0))</f>
        <v>HOME</v>
      </c>
      <c r="E155" s="44" t="str">
        <f>IF(SplitText($C155,",",COLUMN(E:E)-COLUMN($D:$D))="",$D155,trimtext(SplitText($C155,",",COLUMN(E:E)-COLUMN($D:$D))))</f>
        <v>HOME</v>
      </c>
      <c r="F155" s="44" t="str">
        <f>IF(SplitText($C155,",",COLUMN(F:F)-COLUMN($D:$D))="",$D155,trimtext(SplitText($C155,",",COLUMN(F:F)-COLUMN($D:$D))))</f>
        <v>HOME</v>
      </c>
      <c r="G155" s="44" t="str">
        <f>IF(SplitText($C155,",",COLUMN(G:G)-COLUMN($D:$D))="",$D155,trimtext(SplitText($C155,",",COLUMN(G:G)-COLUMN($D:$D))))</f>
        <v>HOME</v>
      </c>
      <c r="H155" s="44" t="str">
        <f>IF(SplitText($C155,",",COLUMN(H:H)-COLUMN($D:$D))="",$D155,trimtext(SplitText($C155,",",COLUMN(H:H)-COLUMN($D:$D))))</f>
        <v>HOME</v>
      </c>
      <c r="I155" s="44" t="str">
        <f>IF(SplitText($C155,",",COLUMN(I:I)-COLUMN($D:$D))="",$D155,trimtext(SplitText($C155,",",COLUMN(I:I)-COLUMN($D:$D))))</f>
        <v>HOME</v>
      </c>
      <c r="J155" s="9" t="s">
        <v>256</v>
      </c>
      <c r="K155" s="44" t="str">
        <f>trimtext(SplitText($J155,",",0))</f>
        <v>HOME</v>
      </c>
      <c r="L155" s="44" t="str">
        <f>IF(SplitText($J155,",",COLUMN(L:L)-COLUMN($K:$K))="",$K155,trimtext(SplitText($J155,",",COLUMN(L:L)-COLUMN($K:$K))))</f>
        <v>HOME</v>
      </c>
      <c r="M155" s="44" t="str">
        <f>IF(SplitText($J155,",",COLUMN(M:M)-COLUMN($K:$K))="",$K155,trimtext(SplitText($J155,",",COLUMN(M:M)-COLUMN($K:$K))))</f>
        <v>HOME</v>
      </c>
      <c r="N155" s="44" t="str">
        <f>IF(SplitText($J155,",",COLUMN(N:N)-COLUMN($K:$K))="",$K155,trimtext(SplitText($J155,",",COLUMN(N:N)-COLUMN($K:$K))))</f>
        <v>HOME</v>
      </c>
      <c r="O155" s="44" t="str">
        <f>IF(SplitText($J155,",",COLUMN(O:O)-COLUMN($K:$K))="",$K155,trimtext(SplitText($J155,",",COLUMN(O:O)-COLUMN($K:$K))))</f>
        <v>HOME</v>
      </c>
      <c r="P155" s="44" t="str">
        <f>IF(SplitText($J155,",",COLUMN(P:P)-COLUMN($K:$K))="",$K155,trimtext(SplitText($J155,",",COLUMN(P:P)-COLUMN($K:$K))))</f>
        <v>HOME</v>
      </c>
      <c r="Q155" s="44" t="str">
        <f>IF(SplitText($J155,",",COLUMN(Q:Q)-COLUMN($K:$K))="",$K155,trimtext(SplitText($J155,",",COLUMN(Q:Q)-COLUMN($K:$K))))</f>
        <v>HOME</v>
      </c>
      <c r="R155" s="2" t="s">
        <v>474</v>
      </c>
      <c r="S155" s="44" t="str">
        <f>trimtext(SplitText($R155,",",0))</f>
        <v>_none_</v>
      </c>
      <c r="T155" s="44" t="str">
        <f>IF(SplitText($R155,",",COLUMN(T:T)-COLUMN($S:$S))="",$S155,trimtext(SplitText($R155,",",COLUMN(T:T)-COLUMN($S:$S))))</f>
        <v>_none_</v>
      </c>
      <c r="U155" s="45" t="str">
        <f>IF(SplitText($R155,",",COLUMN(U:U)-COLUMN($S:$S))="",$S155,trimtext(SplitText($R155,",",COLUMN(U:U)-COLUMN($S:$S))))</f>
        <v>HOME</v>
      </c>
      <c r="V155" s="53" t="s">
        <v>577</v>
      </c>
      <c r="W155" s="44" t="str">
        <f>trimtext(SplitText($V155,",",0))</f>
        <v>HOME</v>
      </c>
      <c r="X155" s="44" t="str">
        <f>IF(SplitText($V155,",",COLUMN(X:X)-COLUMN($W:$W))="",$W155,trimtext(SplitText($V155,",",COLUMN(X:X)-COLUMN($W:$W))))</f>
        <v>HOME</v>
      </c>
      <c r="Y155" s="44" t="str">
        <f>IF(SplitText($V155,",",COLUMN(Y:Y)-COLUMN($W:$W))="",$W155,trimtext(SplitText($V155,",",COLUMN(Y:Y)-COLUMN($W:$W))))</f>
        <v>HOME</v>
      </c>
      <c r="Z155" s="24"/>
      <c r="AA155" s="44" t="str">
        <f t="shared" si="13"/>
        <v/>
      </c>
      <c r="AB155" s="2" t="s">
        <v>814</v>
      </c>
      <c r="AC155" s="44" t="str">
        <f>trimtext(SplitText($AB155,",",0))</f>
        <v>HOME</v>
      </c>
      <c r="AD155" s="44" t="str">
        <f>IF(SplitText($AB155,",",COLUMN(AD:AD)-COLUMN($AC:$AC))="",$AC155,trimtext(SplitText($AB155,",",COLUMN(AD:AD)-COLUMN($AC:$AC))))</f>
        <v>HOME</v>
      </c>
      <c r="AE155" s="18" t="str">
        <f t="shared" si="12"/>
        <v>&lt;xs:enumeration value="X47"&gt;&lt;xs:annotation&gt;&lt;xs:documentation&gt;Typically HOME for keyboard type 4, different values for different keyboard types&lt;/xs:documentation&gt;&lt;xs:appinfo&gt;&lt;default-vk&gt;</v>
      </c>
      <c r="AF155" s="15" t="str">
        <f>IF(D155&lt;&gt;"","&lt;vk kbd="""&amp;D$1&amp;""" vk="""&amp;D155&amp;""""&amp;IF(Scan2VKFlags!B155&lt;&gt;""," flags="""&amp;Scan2VKFlags!B155&amp;"""","")&amp;"/&gt;","")</f>
        <v>&lt;vk kbd="1" vk="HOME"/&gt;</v>
      </c>
      <c r="AG155" s="15" t="str">
        <f>IF(E155&lt;&gt;"","&lt;vk kbd="""&amp;E$1&amp;""" vk="""&amp;E155&amp;""""&amp;IF(Scan2VKFlags!C155&lt;&gt;""," flags="""&amp;Scan2VKFlags!C155&amp;"""","")&amp;"/&gt;","")</f>
        <v>&lt;vk kbd="2" vk="HOME"/&gt;</v>
      </c>
      <c r="AH155" s="15" t="str">
        <f>IF(F155&lt;&gt;"","&lt;vk kbd="""&amp;F$1&amp;""" vk="""&amp;F155&amp;""""&amp;IF(Scan2VKFlags!D155&lt;&gt;""," flags="""&amp;Scan2VKFlags!D155&amp;"""","")&amp;"/&gt;","")</f>
        <v>&lt;vk kbd="3" vk="HOME"/&gt;</v>
      </c>
      <c r="AI155" s="15" t="str">
        <f>IF(G155&lt;&gt;"","&lt;vk kbd="""&amp;G$1&amp;""" vk="""&amp;G155&amp;""""&amp;IF(Scan2VKFlags!E155&lt;&gt;""," flags="""&amp;Scan2VKFlags!E155&amp;"""","")&amp;"/&gt;","")</f>
        <v>&lt;vk kbd="4" vk="HOME" flags="KBDEXT"/&gt;</v>
      </c>
      <c r="AJ155" s="15" t="str">
        <f>IF(H155&lt;&gt;"","&lt;vk kbd="""&amp;H$1&amp;""" vk="""&amp;H155&amp;""""&amp;IF(Scan2VKFlags!F155&lt;&gt;""," flags="""&amp;Scan2VKFlags!F155&amp;"""","")&amp;"/&gt;","")</f>
        <v>&lt;vk kbd="5" vk="HOME"/&gt;</v>
      </c>
      <c r="AK155" s="16" t="str">
        <f>IF(I155&lt;&gt;"","&lt;vk kbd="""&amp;I$1&amp;""" vk="""&amp;I155&amp;""""&amp;IF(Scan2VKFlags!G155&lt;&gt;""," flags="""&amp;Scan2VKFlags!G155&amp;"""","")&amp;"/&gt;","")</f>
        <v>&lt;vk kbd="6" vk="HOME"/&gt;</v>
      </c>
      <c r="AL155" s="3" t="str">
        <f>IF(K155&lt;&gt;"","&lt;vk kbd="""&amp;K$1&amp;""" vk="""&amp;K155&amp;""""&amp;IF(Scan2VKFlags!H155&lt;&gt;""," flags="""&amp;Scan2VKFlags!H155&amp;"""","")&amp;"/&gt;","")</f>
        <v>&lt;vk kbd="7" vk="HOME"/&gt;</v>
      </c>
      <c r="AM155" s="15" t="str">
        <f>IF(L155&lt;&gt;"","&lt;vk kbd="""&amp;L$1&amp;""" vk="""&amp;L155&amp;""""&amp;IF(Scan2VKFlags!I155&lt;&gt;""," flags="""&amp;Scan2VKFlags!I155&amp;"""","")&amp;"/&gt;","")</f>
        <v>&lt;vk kbd="8" vk="HOME"/&gt;</v>
      </c>
      <c r="AN155" s="15" t="str">
        <f>IF(M155&lt;&gt;"","&lt;vk kbd="""&amp;M$1&amp;""" vk="""&amp;M155&amp;""""&amp;IF(Scan2VKFlags!J155&lt;&gt;""," flags="""&amp;Scan2VKFlags!J155&amp;"""","")&amp;"/&gt;","")</f>
        <v>&lt;vk kbd="16" vk="HOME"/&gt;</v>
      </c>
      <c r="AO155" s="15" t="str">
        <f>IF(N155&lt;&gt;"","&lt;vk kbd="""&amp;N$1&amp;""" vk="""&amp;N155&amp;""""&amp;IF(Scan2VKFlags!K155&lt;&gt;""," flags="""&amp;Scan2VKFlags!K155&amp;"""","")&amp;"/&gt;","")</f>
        <v>&lt;vk kbd="10" vk="HOME"/&gt;</v>
      </c>
      <c r="AP155" s="15" t="str">
        <f>IF(O155&lt;&gt;"","&lt;vk kbd="""&amp;O$1&amp;""" vk="""&amp;O155&amp;""""&amp;IF(Scan2VKFlags!L155&lt;&gt;""," flags="""&amp;Scan2VKFlags!L155&amp;"""","")&amp;"/&gt;","")</f>
        <v>&lt;vk kbd="11" vk="HOME"/&gt;</v>
      </c>
      <c r="AQ155" s="15" t="str">
        <f>IF(P155&lt;&gt;"","&lt;vk kbd="""&amp;P$1&amp;""" vk="""&amp;P155&amp;""""&amp;IF(Scan2VKFlags!M155&lt;&gt;""," flags="""&amp;Scan2VKFlags!M155&amp;"""","")&amp;"/&gt;","")</f>
        <v>&lt;vk kbd="12" vk="HOME"/&gt;</v>
      </c>
      <c r="AR155" s="16" t="str">
        <f>IF(Q155&lt;&gt;"","&lt;vk kbd="""&amp;Q$1&amp;""" vk="""&amp;Q155&amp;""""&amp;IF(Scan2VKFlags!N155&lt;&gt;""," flags="""&amp;Scan2VKFlags!N155&amp;"""","")&amp;"/&gt;","")</f>
        <v>&lt;vk kbd="13" vk="HOME"/&gt;</v>
      </c>
      <c r="AS155" s="3" t="str">
        <f>IF(S155&lt;&gt;"","&lt;vk kbd="""&amp;S$1&amp;""" vk="""&amp;S155&amp;""""&amp;IF(Scan2VKFlags!O155&lt;&gt;""," flags="""&amp;Scan2VKFlags!O155&amp;"""","")&amp;"/&gt;","")</f>
        <v>&lt;vk kbd="20" vk="_none_"/&gt;</v>
      </c>
      <c r="AT155" s="15" t="str">
        <f>IF(T155&lt;&gt;"","&lt;vk kbd="""&amp;T$1&amp;""" vk="""&amp;T155&amp;""""&amp;IF(Scan2VKFlags!P155&lt;&gt;""," flags="""&amp;Scan2VKFlags!P155&amp;"""","")&amp;"/&gt;","")</f>
        <v>&lt;vk kbd="21" vk="_none_"/&gt;</v>
      </c>
      <c r="AU155" s="16" t="str">
        <f>IF(U155&lt;&gt;"","&lt;vk kbd="""&amp;U$1&amp;""" vk="""&amp;U155&amp;""""&amp;IF(Scan2VKFlags!Q155&lt;&gt;""," flags="""&amp;Scan2VKFlags!Q155&amp;"""","")&amp;"/&gt;","")</f>
        <v>&lt;vk kbd="22" vk="HOME"/&gt;</v>
      </c>
      <c r="AV155" s="3" t="str">
        <f>IF(W155&lt;&gt;"","&lt;vk kbd="""&amp;W$1&amp;""" vk="""&amp;W155&amp;""""&amp;IF(Scan2VKFlags!R155&lt;&gt;""," flags="""&amp;Scan2VKFlags!R155&amp;"""","")&amp;"/&gt;","")</f>
        <v>&lt;vk kbd="30" vk="HOME"/&gt;</v>
      </c>
      <c r="AW155" s="15" t="str">
        <f>IF(X155&lt;&gt;"","&lt;vk kbd="""&amp;X$1&amp;""" vk="""&amp;X155&amp;""""&amp;IF(Scan2VKFlags!S155&lt;&gt;""," flags="""&amp;Scan2VKFlags!S155&amp;"""","")&amp;"/&gt;","")</f>
        <v>&lt;vk kbd="33" vk="HOME"/&gt;</v>
      </c>
      <c r="AX155" s="15" t="str">
        <f>IF(Y155&lt;&gt;"","&lt;vk kbd="""&amp;Y$1&amp;""" vk="""&amp;Y155&amp;""""&amp;IF(Scan2VKFlags!T155&lt;&gt;""," flags="""&amp;Scan2VKFlags!T155&amp;"""","")&amp;"/&gt;","")</f>
        <v>&lt;vk kbd="34" vk="HOME"/&gt;</v>
      </c>
      <c r="AY155" s="18" t="str">
        <f>IF(AA155&lt;&gt;"","&lt;vk kbd="""&amp;AA$1&amp;""" vk="""&amp;AA155&amp;""""&amp;IF(Scan2VKFlags!U155&lt;&gt;""," flags="""&amp;Scan2VKFlags!U155&amp;"""","")&amp;"/&gt;","")</f>
        <v/>
      </c>
      <c r="AZ155" s="3" t="str">
        <f>IF(AC155&lt;&gt;"","&lt;vk kbd="""&amp;AC$1&amp;""" vk="""&amp;AC155&amp;""""&amp;IF(Scan2VKFlags!V155&lt;&gt;""," flags="""&amp;Scan2VKFlags!V155&amp;"""","")&amp;"/&gt;","")</f>
        <v>&lt;vk kbd="40" vk="HOME"/&gt;</v>
      </c>
      <c r="BA155" s="16" t="str">
        <f>IF(AD155&lt;&gt;"","&lt;vk kbd="""&amp;AD$1&amp;""" vk="""&amp;AD155&amp;""""&amp;IF(Scan2VKFlags!W155&lt;&gt;""," flags="""&amp;Scan2VKFlags!W155&amp;"""","")&amp;"/&gt;","")</f>
        <v>&lt;vk kbd="41" vk="HOME"/&gt;</v>
      </c>
      <c r="BB155" s="15" t="s">
        <v>854</v>
      </c>
    </row>
    <row r="156" spans="2:54" s="15" customFormat="1" x14ac:dyDescent="0.25">
      <c r="B156" s="52" t="s">
        <v>162</v>
      </c>
      <c r="C156" s="7" t="s">
        <v>72</v>
      </c>
      <c r="D156" s="44" t="str">
        <f>trimtext(SplitText($C156,",",0))</f>
        <v>UP</v>
      </c>
      <c r="E156" s="44" t="str">
        <f>IF(SplitText($C156,",",COLUMN(E:E)-COLUMN($D:$D))="",$D156,trimtext(SplitText($C156,",",COLUMN(E:E)-COLUMN($D:$D))))</f>
        <v>UP</v>
      </c>
      <c r="F156" s="44" t="str">
        <f>IF(SplitText($C156,",",COLUMN(F:F)-COLUMN($D:$D))="",$D156,trimtext(SplitText($C156,",",COLUMN(F:F)-COLUMN($D:$D))))</f>
        <v>UP</v>
      </c>
      <c r="G156" s="44" t="str">
        <f>IF(SplitText($C156,",",COLUMN(G:G)-COLUMN($D:$D))="",$D156,trimtext(SplitText($C156,",",COLUMN(G:G)-COLUMN($D:$D))))</f>
        <v>UP</v>
      </c>
      <c r="H156" s="44" t="str">
        <f>IF(SplitText($C156,",",COLUMN(H:H)-COLUMN($D:$D))="",$D156,trimtext(SplitText($C156,",",COLUMN(H:H)-COLUMN($D:$D))))</f>
        <v>UP</v>
      </c>
      <c r="I156" s="44" t="str">
        <f>IF(SplitText($C156,",",COLUMN(I:I)-COLUMN($D:$D))="",$D156,trimtext(SplitText($C156,",",COLUMN(I:I)-COLUMN($D:$D))))</f>
        <v>UP</v>
      </c>
      <c r="J156" s="9" t="s">
        <v>257</v>
      </c>
      <c r="K156" s="44" t="str">
        <f>trimtext(SplitText($J156,",",0))</f>
        <v>UP</v>
      </c>
      <c r="L156" s="44" t="str">
        <f>IF(SplitText($J156,",",COLUMN(L:L)-COLUMN($K:$K))="",$K156,trimtext(SplitText($J156,",",COLUMN(L:L)-COLUMN($K:$K))))</f>
        <v>UP</v>
      </c>
      <c r="M156" s="44" t="str">
        <f>IF(SplitText($J156,",",COLUMN(M:M)-COLUMN($K:$K))="",$K156,trimtext(SplitText($J156,",",COLUMN(M:M)-COLUMN($K:$K))))</f>
        <v>UP</v>
      </c>
      <c r="N156" s="44" t="str">
        <f>IF(SplitText($J156,",",COLUMN(N:N)-COLUMN($K:$K))="",$K156,trimtext(SplitText($J156,",",COLUMN(N:N)-COLUMN($K:$K))))</f>
        <v>UP</v>
      </c>
      <c r="O156" s="44" t="str">
        <f>IF(SplitText($J156,",",COLUMN(O:O)-COLUMN($K:$K))="",$K156,trimtext(SplitText($J156,",",COLUMN(O:O)-COLUMN($K:$K))))</f>
        <v>UP</v>
      </c>
      <c r="P156" s="44" t="str">
        <f>IF(SplitText($J156,",",COLUMN(P:P)-COLUMN($K:$K))="",$K156,trimtext(SplitText($J156,",",COLUMN(P:P)-COLUMN($K:$K))))</f>
        <v>UP</v>
      </c>
      <c r="Q156" s="44" t="str">
        <f>IF(SplitText($J156,",",COLUMN(Q:Q)-COLUMN($K:$K))="",$K156,trimtext(SplitText($J156,",",COLUMN(Q:Q)-COLUMN($K:$K))))</f>
        <v>UP</v>
      </c>
      <c r="R156" s="2" t="s">
        <v>475</v>
      </c>
      <c r="S156" s="44" t="str">
        <f>trimtext(SplitText($R156,",",0))</f>
        <v>_none_</v>
      </c>
      <c r="T156" s="44" t="str">
        <f>IF(SplitText($R156,",",COLUMN(T:T)-COLUMN($S:$S))="",$S156,trimtext(SplitText($R156,",",COLUMN(T:T)-COLUMN($S:$S))))</f>
        <v>_none_</v>
      </c>
      <c r="U156" s="45" t="str">
        <f>IF(SplitText($R156,",",COLUMN(U:U)-COLUMN($S:$S))="",$S156,trimtext(SplitText($R156,",",COLUMN(U:U)-COLUMN($S:$S))))</f>
        <v>UP</v>
      </c>
      <c r="V156" s="53" t="s">
        <v>578</v>
      </c>
      <c r="W156" s="44" t="str">
        <f>trimtext(SplitText($V156,",",0))</f>
        <v>UP</v>
      </c>
      <c r="X156" s="44" t="str">
        <f>IF(SplitText($V156,",",COLUMN(X:X)-COLUMN($W:$W))="",$W156,trimtext(SplitText($V156,",",COLUMN(X:X)-COLUMN($W:$W))))</f>
        <v>UP</v>
      </c>
      <c r="Y156" s="44" t="str">
        <f>IF(SplitText($V156,",",COLUMN(Y:Y)-COLUMN($W:$W))="",$W156,trimtext(SplitText($V156,",",COLUMN(Y:Y)-COLUMN($W:$W))))</f>
        <v>UP</v>
      </c>
      <c r="Z156" s="24"/>
      <c r="AA156" s="44" t="str">
        <f t="shared" si="13"/>
        <v/>
      </c>
      <c r="AB156" s="2" t="s">
        <v>815</v>
      </c>
      <c r="AC156" s="44" t="str">
        <f>trimtext(SplitText($AB156,",",0))</f>
        <v>UP</v>
      </c>
      <c r="AD156" s="44" t="str">
        <f>IF(SplitText($AB156,",",COLUMN(AD:AD)-COLUMN($AC:$AC))="",$AC156,trimtext(SplitText($AB156,",",COLUMN(AD:AD)-COLUMN($AC:$AC))))</f>
        <v>UP</v>
      </c>
      <c r="AE156" s="18" t="str">
        <f t="shared" si="12"/>
        <v>&lt;xs:enumeration value="X48"&gt;&lt;xs:annotation&gt;&lt;xs:documentation&gt;Typically UP for keyboard type 4, different values for different keyboard types&lt;/xs:documentation&gt;&lt;xs:appinfo&gt;&lt;default-vk&gt;</v>
      </c>
      <c r="AF156" s="15" t="str">
        <f>IF(D156&lt;&gt;"","&lt;vk kbd="""&amp;D$1&amp;""" vk="""&amp;D156&amp;""""&amp;IF(Scan2VKFlags!B156&lt;&gt;""," flags="""&amp;Scan2VKFlags!B156&amp;"""","")&amp;"/&gt;","")</f>
        <v>&lt;vk kbd="1" vk="UP"/&gt;</v>
      </c>
      <c r="AG156" s="15" t="str">
        <f>IF(E156&lt;&gt;"","&lt;vk kbd="""&amp;E$1&amp;""" vk="""&amp;E156&amp;""""&amp;IF(Scan2VKFlags!C156&lt;&gt;""," flags="""&amp;Scan2VKFlags!C156&amp;"""","")&amp;"/&gt;","")</f>
        <v>&lt;vk kbd="2" vk="UP"/&gt;</v>
      </c>
      <c r="AH156" s="15" t="str">
        <f>IF(F156&lt;&gt;"","&lt;vk kbd="""&amp;F$1&amp;""" vk="""&amp;F156&amp;""""&amp;IF(Scan2VKFlags!D156&lt;&gt;""," flags="""&amp;Scan2VKFlags!D156&amp;"""","")&amp;"/&gt;","")</f>
        <v>&lt;vk kbd="3" vk="UP"/&gt;</v>
      </c>
      <c r="AI156" s="15" t="str">
        <f>IF(G156&lt;&gt;"","&lt;vk kbd="""&amp;G$1&amp;""" vk="""&amp;G156&amp;""""&amp;IF(Scan2VKFlags!E156&lt;&gt;""," flags="""&amp;Scan2VKFlags!E156&amp;"""","")&amp;"/&gt;","")</f>
        <v>&lt;vk kbd="4" vk="UP" flags="KBDEXT"/&gt;</v>
      </c>
      <c r="AJ156" s="15" t="str">
        <f>IF(H156&lt;&gt;"","&lt;vk kbd="""&amp;H$1&amp;""" vk="""&amp;H156&amp;""""&amp;IF(Scan2VKFlags!F156&lt;&gt;""," flags="""&amp;Scan2VKFlags!F156&amp;"""","")&amp;"/&gt;","")</f>
        <v>&lt;vk kbd="5" vk="UP"/&gt;</v>
      </c>
      <c r="AK156" s="16" t="str">
        <f>IF(I156&lt;&gt;"","&lt;vk kbd="""&amp;I$1&amp;""" vk="""&amp;I156&amp;""""&amp;IF(Scan2VKFlags!G156&lt;&gt;""," flags="""&amp;Scan2VKFlags!G156&amp;"""","")&amp;"/&gt;","")</f>
        <v>&lt;vk kbd="6" vk="UP"/&gt;</v>
      </c>
      <c r="AL156" s="3" t="str">
        <f>IF(K156&lt;&gt;"","&lt;vk kbd="""&amp;K$1&amp;""" vk="""&amp;K156&amp;""""&amp;IF(Scan2VKFlags!H156&lt;&gt;""," flags="""&amp;Scan2VKFlags!H156&amp;"""","")&amp;"/&gt;","")</f>
        <v>&lt;vk kbd="7" vk="UP"/&gt;</v>
      </c>
      <c r="AM156" s="15" t="str">
        <f>IF(L156&lt;&gt;"","&lt;vk kbd="""&amp;L$1&amp;""" vk="""&amp;L156&amp;""""&amp;IF(Scan2VKFlags!I156&lt;&gt;""," flags="""&amp;Scan2VKFlags!I156&amp;"""","")&amp;"/&gt;","")</f>
        <v>&lt;vk kbd="8" vk="UP"/&gt;</v>
      </c>
      <c r="AN156" s="15" t="str">
        <f>IF(M156&lt;&gt;"","&lt;vk kbd="""&amp;M$1&amp;""" vk="""&amp;M156&amp;""""&amp;IF(Scan2VKFlags!J156&lt;&gt;""," flags="""&amp;Scan2VKFlags!J156&amp;"""","")&amp;"/&gt;","")</f>
        <v>&lt;vk kbd="16" vk="UP"/&gt;</v>
      </c>
      <c r="AO156" s="15" t="str">
        <f>IF(N156&lt;&gt;"","&lt;vk kbd="""&amp;N$1&amp;""" vk="""&amp;N156&amp;""""&amp;IF(Scan2VKFlags!K156&lt;&gt;""," flags="""&amp;Scan2VKFlags!K156&amp;"""","")&amp;"/&gt;","")</f>
        <v>&lt;vk kbd="10" vk="UP"/&gt;</v>
      </c>
      <c r="AP156" s="15" t="str">
        <f>IF(O156&lt;&gt;"","&lt;vk kbd="""&amp;O$1&amp;""" vk="""&amp;O156&amp;""""&amp;IF(Scan2VKFlags!L156&lt;&gt;""," flags="""&amp;Scan2VKFlags!L156&amp;"""","")&amp;"/&gt;","")</f>
        <v>&lt;vk kbd="11" vk="UP"/&gt;</v>
      </c>
      <c r="AQ156" s="15" t="str">
        <f>IF(P156&lt;&gt;"","&lt;vk kbd="""&amp;P$1&amp;""" vk="""&amp;P156&amp;""""&amp;IF(Scan2VKFlags!M156&lt;&gt;""," flags="""&amp;Scan2VKFlags!M156&amp;"""","")&amp;"/&gt;","")</f>
        <v>&lt;vk kbd="12" vk="UP"/&gt;</v>
      </c>
      <c r="AR156" s="16" t="str">
        <f>IF(Q156&lt;&gt;"","&lt;vk kbd="""&amp;Q$1&amp;""" vk="""&amp;Q156&amp;""""&amp;IF(Scan2VKFlags!N156&lt;&gt;""," flags="""&amp;Scan2VKFlags!N156&amp;"""","")&amp;"/&gt;","")</f>
        <v>&lt;vk kbd="13" vk="UP"/&gt;</v>
      </c>
      <c r="AS156" s="3" t="str">
        <f>IF(S156&lt;&gt;"","&lt;vk kbd="""&amp;S$1&amp;""" vk="""&amp;S156&amp;""""&amp;IF(Scan2VKFlags!O156&lt;&gt;""," flags="""&amp;Scan2VKFlags!O156&amp;"""","")&amp;"/&gt;","")</f>
        <v>&lt;vk kbd="20" vk="_none_"/&gt;</v>
      </c>
      <c r="AT156" s="15" t="str">
        <f>IF(T156&lt;&gt;"","&lt;vk kbd="""&amp;T$1&amp;""" vk="""&amp;T156&amp;""""&amp;IF(Scan2VKFlags!P156&lt;&gt;""," flags="""&amp;Scan2VKFlags!P156&amp;"""","")&amp;"/&gt;","")</f>
        <v>&lt;vk kbd="21" vk="_none_"/&gt;</v>
      </c>
      <c r="AU156" s="16" t="str">
        <f>IF(U156&lt;&gt;"","&lt;vk kbd="""&amp;U$1&amp;""" vk="""&amp;U156&amp;""""&amp;IF(Scan2VKFlags!Q156&lt;&gt;""," flags="""&amp;Scan2VKFlags!Q156&amp;"""","")&amp;"/&gt;","")</f>
        <v>&lt;vk kbd="22" vk="UP"/&gt;</v>
      </c>
      <c r="AV156" s="3" t="str">
        <f>IF(W156&lt;&gt;"","&lt;vk kbd="""&amp;W$1&amp;""" vk="""&amp;W156&amp;""""&amp;IF(Scan2VKFlags!R156&lt;&gt;""," flags="""&amp;Scan2VKFlags!R156&amp;"""","")&amp;"/&gt;","")</f>
        <v>&lt;vk kbd="30" vk="UP"/&gt;</v>
      </c>
      <c r="AW156" s="15" t="str">
        <f>IF(X156&lt;&gt;"","&lt;vk kbd="""&amp;X$1&amp;""" vk="""&amp;X156&amp;""""&amp;IF(Scan2VKFlags!S156&lt;&gt;""," flags="""&amp;Scan2VKFlags!S156&amp;"""","")&amp;"/&gt;","")</f>
        <v>&lt;vk kbd="33" vk="UP"/&gt;</v>
      </c>
      <c r="AX156" s="15" t="str">
        <f>IF(Y156&lt;&gt;"","&lt;vk kbd="""&amp;Y$1&amp;""" vk="""&amp;Y156&amp;""""&amp;IF(Scan2VKFlags!T156&lt;&gt;""," flags="""&amp;Scan2VKFlags!T156&amp;"""","")&amp;"/&gt;","")</f>
        <v>&lt;vk kbd="34" vk="UP"/&gt;</v>
      </c>
      <c r="AY156" s="18" t="str">
        <f>IF(AA156&lt;&gt;"","&lt;vk kbd="""&amp;AA$1&amp;""" vk="""&amp;AA156&amp;""""&amp;IF(Scan2VKFlags!U156&lt;&gt;""," flags="""&amp;Scan2VKFlags!U156&amp;"""","")&amp;"/&gt;","")</f>
        <v/>
      </c>
      <c r="AZ156" s="3" t="str">
        <f>IF(AC156&lt;&gt;"","&lt;vk kbd="""&amp;AC$1&amp;""" vk="""&amp;AC156&amp;""""&amp;IF(Scan2VKFlags!V156&lt;&gt;""," flags="""&amp;Scan2VKFlags!V156&amp;"""","")&amp;"/&gt;","")</f>
        <v>&lt;vk kbd="40" vk="UP"/&gt;</v>
      </c>
      <c r="BA156" s="16" t="str">
        <f>IF(AD156&lt;&gt;"","&lt;vk kbd="""&amp;AD$1&amp;""" vk="""&amp;AD156&amp;""""&amp;IF(Scan2VKFlags!W156&lt;&gt;""," flags="""&amp;Scan2VKFlags!W156&amp;"""","")&amp;"/&gt;","")</f>
        <v>&lt;vk kbd="41" vk="UP"/&gt;</v>
      </c>
      <c r="BB156" s="15" t="s">
        <v>854</v>
      </c>
    </row>
    <row r="157" spans="2:54" s="15" customFormat="1" x14ac:dyDescent="0.25">
      <c r="B157" s="52" t="s">
        <v>163</v>
      </c>
      <c r="C157" s="7" t="s">
        <v>73</v>
      </c>
      <c r="D157" s="44" t="str">
        <f>trimtext(SplitText($C157,",",0))</f>
        <v>PRIOR</v>
      </c>
      <c r="E157" s="44" t="str">
        <f>IF(SplitText($C157,",",COLUMN(E:E)-COLUMN($D:$D))="",$D157,trimtext(SplitText($C157,",",COLUMN(E:E)-COLUMN($D:$D))))</f>
        <v>PRIOR</v>
      </c>
      <c r="F157" s="44" t="str">
        <f>IF(SplitText($C157,",",COLUMN(F:F)-COLUMN($D:$D))="",$D157,trimtext(SplitText($C157,",",COLUMN(F:F)-COLUMN($D:$D))))</f>
        <v>PRIOR</v>
      </c>
      <c r="G157" s="44" t="str">
        <f>IF(SplitText($C157,",",COLUMN(G:G)-COLUMN($D:$D))="",$D157,trimtext(SplitText($C157,",",COLUMN(G:G)-COLUMN($D:$D))))</f>
        <v>PRIOR</v>
      </c>
      <c r="H157" s="44" t="str">
        <f>IF(SplitText($C157,",",COLUMN(H:H)-COLUMN($D:$D))="",$D157,trimtext(SplitText($C157,",",COLUMN(H:H)-COLUMN($D:$D))))</f>
        <v>PRIOR</v>
      </c>
      <c r="I157" s="44" t="str">
        <f>IF(SplitText($C157,",",COLUMN(I:I)-COLUMN($D:$D))="",$D157,trimtext(SplitText($C157,",",COLUMN(I:I)-COLUMN($D:$D))))</f>
        <v>PRIOR</v>
      </c>
      <c r="J157" s="9" t="s">
        <v>258</v>
      </c>
      <c r="K157" s="44" t="str">
        <f>trimtext(SplitText($J157,",",0))</f>
        <v>PRIOR</v>
      </c>
      <c r="L157" s="44" t="str">
        <f>IF(SplitText($J157,",",COLUMN(L:L)-COLUMN($K:$K))="",$K157,trimtext(SplitText($J157,",",COLUMN(L:L)-COLUMN($K:$K))))</f>
        <v>PRIOR</v>
      </c>
      <c r="M157" s="44" t="str">
        <f>IF(SplitText($J157,",",COLUMN(M:M)-COLUMN($K:$K))="",$K157,trimtext(SplitText($J157,",",COLUMN(M:M)-COLUMN($K:$K))))</f>
        <v>PRIOR</v>
      </c>
      <c r="N157" s="44" t="str">
        <f>IF(SplitText($J157,",",COLUMN(N:N)-COLUMN($K:$K))="",$K157,trimtext(SplitText($J157,",",COLUMN(N:N)-COLUMN($K:$K))))</f>
        <v>PRIOR</v>
      </c>
      <c r="O157" s="44" t="str">
        <f>IF(SplitText($J157,",",COLUMN(O:O)-COLUMN($K:$K))="",$K157,trimtext(SplitText($J157,",",COLUMN(O:O)-COLUMN($K:$K))))</f>
        <v>PRIOR</v>
      </c>
      <c r="P157" s="44" t="str">
        <f>IF(SplitText($J157,",",COLUMN(P:P)-COLUMN($K:$K))="",$K157,trimtext(SplitText($J157,",",COLUMN(P:P)-COLUMN($K:$K))))</f>
        <v>PRIOR</v>
      </c>
      <c r="Q157" s="44" t="str">
        <f>IF(SplitText($J157,",",COLUMN(Q:Q)-COLUMN($K:$K))="",$K157,trimtext(SplitText($J157,",",COLUMN(Q:Q)-COLUMN($K:$K))))</f>
        <v>PRIOR</v>
      </c>
      <c r="R157" s="2" t="s">
        <v>476</v>
      </c>
      <c r="S157" s="44" t="str">
        <f>trimtext(SplitText($R157,",",0))</f>
        <v>_none_</v>
      </c>
      <c r="T157" s="44" t="str">
        <f>IF(SplitText($R157,",",COLUMN(T:T)-COLUMN($S:$S))="",$S157,trimtext(SplitText($R157,",",COLUMN(T:T)-COLUMN($S:$S))))</f>
        <v>_none_</v>
      </c>
      <c r="U157" s="45" t="str">
        <f>IF(SplitText($R157,",",COLUMN(U:U)-COLUMN($S:$S))="",$S157,trimtext(SplitText($R157,",",COLUMN(U:U)-COLUMN($S:$S))))</f>
        <v>PRIOR</v>
      </c>
      <c r="V157" s="53" t="s">
        <v>579</v>
      </c>
      <c r="W157" s="44" t="str">
        <f>trimtext(SplitText($V157,",",0))</f>
        <v>PRIOR</v>
      </c>
      <c r="X157" s="44" t="str">
        <f>IF(SplitText($V157,",",COLUMN(X:X)-COLUMN($W:$W))="",$W157,trimtext(SplitText($V157,",",COLUMN(X:X)-COLUMN($W:$W))))</f>
        <v>PRIOR</v>
      </c>
      <c r="Y157" s="44" t="str">
        <f>IF(SplitText($V157,",",COLUMN(Y:Y)-COLUMN($W:$W))="",$W157,trimtext(SplitText($V157,",",COLUMN(Y:Y)-COLUMN($W:$W))))</f>
        <v>PRIOR</v>
      </c>
      <c r="Z157" s="24"/>
      <c r="AA157" s="44" t="str">
        <f t="shared" si="13"/>
        <v/>
      </c>
      <c r="AB157" s="2" t="s">
        <v>816</v>
      </c>
      <c r="AC157" s="44" t="str">
        <f>trimtext(SplitText($AB157,",",0))</f>
        <v>PRIOR</v>
      </c>
      <c r="AD157" s="44" t="str">
        <f>IF(SplitText($AB157,",",COLUMN(AD:AD)-COLUMN($AC:$AC))="",$AC157,trimtext(SplitText($AB157,",",COLUMN(AD:AD)-COLUMN($AC:$AC))))</f>
        <v>PRIOR</v>
      </c>
      <c r="AE157" s="18" t="str">
        <f t="shared" si="12"/>
        <v>&lt;xs:enumeration value="X49"&gt;&lt;xs:annotation&gt;&lt;xs:documentation&gt;Typically PRIOR for keyboard type 4, different values for different keyboard types&lt;/xs:documentation&gt;&lt;xs:appinfo&gt;&lt;default-vk&gt;</v>
      </c>
      <c r="AF157" s="15" t="str">
        <f>IF(D157&lt;&gt;"","&lt;vk kbd="""&amp;D$1&amp;""" vk="""&amp;D157&amp;""""&amp;IF(Scan2VKFlags!B157&lt;&gt;""," flags="""&amp;Scan2VKFlags!B157&amp;"""","")&amp;"/&gt;","")</f>
        <v>&lt;vk kbd="1" vk="PRIOR"/&gt;</v>
      </c>
      <c r="AG157" s="15" t="str">
        <f>IF(E157&lt;&gt;"","&lt;vk kbd="""&amp;E$1&amp;""" vk="""&amp;E157&amp;""""&amp;IF(Scan2VKFlags!C157&lt;&gt;""," flags="""&amp;Scan2VKFlags!C157&amp;"""","")&amp;"/&gt;","")</f>
        <v>&lt;vk kbd="2" vk="PRIOR"/&gt;</v>
      </c>
      <c r="AH157" s="15" t="str">
        <f>IF(F157&lt;&gt;"","&lt;vk kbd="""&amp;F$1&amp;""" vk="""&amp;F157&amp;""""&amp;IF(Scan2VKFlags!D157&lt;&gt;""," flags="""&amp;Scan2VKFlags!D157&amp;"""","")&amp;"/&gt;","")</f>
        <v>&lt;vk kbd="3" vk="PRIOR"/&gt;</v>
      </c>
      <c r="AI157" s="15" t="str">
        <f>IF(G157&lt;&gt;"","&lt;vk kbd="""&amp;G$1&amp;""" vk="""&amp;G157&amp;""""&amp;IF(Scan2VKFlags!E157&lt;&gt;""," flags="""&amp;Scan2VKFlags!E157&amp;"""","")&amp;"/&gt;","")</f>
        <v>&lt;vk kbd="4" vk="PRIOR" flags="KBDEXT"/&gt;</v>
      </c>
      <c r="AJ157" s="15" t="str">
        <f>IF(H157&lt;&gt;"","&lt;vk kbd="""&amp;H$1&amp;""" vk="""&amp;H157&amp;""""&amp;IF(Scan2VKFlags!F157&lt;&gt;""," flags="""&amp;Scan2VKFlags!F157&amp;"""","")&amp;"/&gt;","")</f>
        <v>&lt;vk kbd="5" vk="PRIOR"/&gt;</v>
      </c>
      <c r="AK157" s="16" t="str">
        <f>IF(I157&lt;&gt;"","&lt;vk kbd="""&amp;I$1&amp;""" vk="""&amp;I157&amp;""""&amp;IF(Scan2VKFlags!G157&lt;&gt;""," flags="""&amp;Scan2VKFlags!G157&amp;"""","")&amp;"/&gt;","")</f>
        <v>&lt;vk kbd="6" vk="PRIOR"/&gt;</v>
      </c>
      <c r="AL157" s="3" t="str">
        <f>IF(K157&lt;&gt;"","&lt;vk kbd="""&amp;K$1&amp;""" vk="""&amp;K157&amp;""""&amp;IF(Scan2VKFlags!H157&lt;&gt;""," flags="""&amp;Scan2VKFlags!H157&amp;"""","")&amp;"/&gt;","")</f>
        <v>&lt;vk kbd="7" vk="PRIOR"/&gt;</v>
      </c>
      <c r="AM157" s="15" t="str">
        <f>IF(L157&lt;&gt;"","&lt;vk kbd="""&amp;L$1&amp;""" vk="""&amp;L157&amp;""""&amp;IF(Scan2VKFlags!I157&lt;&gt;""," flags="""&amp;Scan2VKFlags!I157&amp;"""","")&amp;"/&gt;","")</f>
        <v>&lt;vk kbd="8" vk="PRIOR"/&gt;</v>
      </c>
      <c r="AN157" s="15" t="str">
        <f>IF(M157&lt;&gt;"","&lt;vk kbd="""&amp;M$1&amp;""" vk="""&amp;M157&amp;""""&amp;IF(Scan2VKFlags!J157&lt;&gt;""," flags="""&amp;Scan2VKFlags!J157&amp;"""","")&amp;"/&gt;","")</f>
        <v>&lt;vk kbd="16" vk="PRIOR"/&gt;</v>
      </c>
      <c r="AO157" s="15" t="str">
        <f>IF(N157&lt;&gt;"","&lt;vk kbd="""&amp;N$1&amp;""" vk="""&amp;N157&amp;""""&amp;IF(Scan2VKFlags!K157&lt;&gt;""," flags="""&amp;Scan2VKFlags!K157&amp;"""","")&amp;"/&gt;","")</f>
        <v>&lt;vk kbd="10" vk="PRIOR"/&gt;</v>
      </c>
      <c r="AP157" s="15" t="str">
        <f>IF(O157&lt;&gt;"","&lt;vk kbd="""&amp;O$1&amp;""" vk="""&amp;O157&amp;""""&amp;IF(Scan2VKFlags!L157&lt;&gt;""," flags="""&amp;Scan2VKFlags!L157&amp;"""","")&amp;"/&gt;","")</f>
        <v>&lt;vk kbd="11" vk="PRIOR"/&gt;</v>
      </c>
      <c r="AQ157" s="15" t="str">
        <f>IF(P157&lt;&gt;"","&lt;vk kbd="""&amp;P$1&amp;""" vk="""&amp;P157&amp;""""&amp;IF(Scan2VKFlags!M157&lt;&gt;""," flags="""&amp;Scan2VKFlags!M157&amp;"""","")&amp;"/&gt;","")</f>
        <v>&lt;vk kbd="12" vk="PRIOR"/&gt;</v>
      </c>
      <c r="AR157" s="16" t="str">
        <f>IF(Q157&lt;&gt;"","&lt;vk kbd="""&amp;Q$1&amp;""" vk="""&amp;Q157&amp;""""&amp;IF(Scan2VKFlags!N157&lt;&gt;""," flags="""&amp;Scan2VKFlags!N157&amp;"""","")&amp;"/&gt;","")</f>
        <v>&lt;vk kbd="13" vk="PRIOR"/&gt;</v>
      </c>
      <c r="AS157" s="3" t="str">
        <f>IF(S157&lt;&gt;"","&lt;vk kbd="""&amp;S$1&amp;""" vk="""&amp;S157&amp;""""&amp;IF(Scan2VKFlags!O157&lt;&gt;""," flags="""&amp;Scan2VKFlags!O157&amp;"""","")&amp;"/&gt;","")</f>
        <v>&lt;vk kbd="20" vk="_none_"/&gt;</v>
      </c>
      <c r="AT157" s="15" t="str">
        <f>IF(T157&lt;&gt;"","&lt;vk kbd="""&amp;T$1&amp;""" vk="""&amp;T157&amp;""""&amp;IF(Scan2VKFlags!P157&lt;&gt;""," flags="""&amp;Scan2VKFlags!P157&amp;"""","")&amp;"/&gt;","")</f>
        <v>&lt;vk kbd="21" vk="_none_"/&gt;</v>
      </c>
      <c r="AU157" s="16" t="str">
        <f>IF(U157&lt;&gt;"","&lt;vk kbd="""&amp;U$1&amp;""" vk="""&amp;U157&amp;""""&amp;IF(Scan2VKFlags!Q157&lt;&gt;""," flags="""&amp;Scan2VKFlags!Q157&amp;"""","")&amp;"/&gt;","")</f>
        <v>&lt;vk kbd="22" vk="PRIOR"/&gt;</v>
      </c>
      <c r="AV157" s="3" t="str">
        <f>IF(W157&lt;&gt;"","&lt;vk kbd="""&amp;W$1&amp;""" vk="""&amp;W157&amp;""""&amp;IF(Scan2VKFlags!R157&lt;&gt;""," flags="""&amp;Scan2VKFlags!R157&amp;"""","")&amp;"/&gt;","")</f>
        <v>&lt;vk kbd="30" vk="PRIOR"/&gt;</v>
      </c>
      <c r="AW157" s="15" t="str">
        <f>IF(X157&lt;&gt;"","&lt;vk kbd="""&amp;X$1&amp;""" vk="""&amp;X157&amp;""""&amp;IF(Scan2VKFlags!S157&lt;&gt;""," flags="""&amp;Scan2VKFlags!S157&amp;"""","")&amp;"/&gt;","")</f>
        <v>&lt;vk kbd="33" vk="PRIOR"/&gt;</v>
      </c>
      <c r="AX157" s="15" t="str">
        <f>IF(Y157&lt;&gt;"","&lt;vk kbd="""&amp;Y$1&amp;""" vk="""&amp;Y157&amp;""""&amp;IF(Scan2VKFlags!T157&lt;&gt;""," flags="""&amp;Scan2VKFlags!T157&amp;"""","")&amp;"/&gt;","")</f>
        <v>&lt;vk kbd="34" vk="PRIOR"/&gt;</v>
      </c>
      <c r="AY157" s="18" t="str">
        <f>IF(AA157&lt;&gt;"","&lt;vk kbd="""&amp;AA$1&amp;""" vk="""&amp;AA157&amp;""""&amp;IF(Scan2VKFlags!U157&lt;&gt;""," flags="""&amp;Scan2VKFlags!U157&amp;"""","")&amp;"/&gt;","")</f>
        <v/>
      </c>
      <c r="AZ157" s="3" t="str">
        <f>IF(AC157&lt;&gt;"","&lt;vk kbd="""&amp;AC$1&amp;""" vk="""&amp;AC157&amp;""""&amp;IF(Scan2VKFlags!V157&lt;&gt;""," flags="""&amp;Scan2VKFlags!V157&amp;"""","")&amp;"/&gt;","")</f>
        <v>&lt;vk kbd="40" vk="PRIOR"/&gt;</v>
      </c>
      <c r="BA157" s="16" t="str">
        <f>IF(AD157&lt;&gt;"","&lt;vk kbd="""&amp;AD$1&amp;""" vk="""&amp;AD157&amp;""""&amp;IF(Scan2VKFlags!W157&lt;&gt;""," flags="""&amp;Scan2VKFlags!W157&amp;"""","")&amp;"/&gt;","")</f>
        <v>&lt;vk kbd="41" vk="PRIOR"/&gt;</v>
      </c>
      <c r="BB157" s="15" t="s">
        <v>854</v>
      </c>
    </row>
    <row r="158" spans="2:54" s="15" customFormat="1" x14ac:dyDescent="0.25">
      <c r="B158" s="52" t="s">
        <v>164</v>
      </c>
      <c r="C158" s="7" t="s">
        <v>75</v>
      </c>
      <c r="D158" s="44" t="str">
        <f>trimtext(SplitText($C158,",",0))</f>
        <v>LEFT</v>
      </c>
      <c r="E158" s="44" t="str">
        <f>IF(SplitText($C158,",",COLUMN(E:E)-COLUMN($D:$D))="",$D158,trimtext(SplitText($C158,",",COLUMN(E:E)-COLUMN($D:$D))))</f>
        <v>LEFT</v>
      </c>
      <c r="F158" s="44" t="str">
        <f>IF(SplitText($C158,",",COLUMN(F:F)-COLUMN($D:$D))="",$D158,trimtext(SplitText($C158,",",COLUMN(F:F)-COLUMN($D:$D))))</f>
        <v>LEFT</v>
      </c>
      <c r="G158" s="44" t="str">
        <f>IF(SplitText($C158,",",COLUMN(G:G)-COLUMN($D:$D))="",$D158,trimtext(SplitText($C158,",",COLUMN(G:G)-COLUMN($D:$D))))</f>
        <v>LEFT</v>
      </c>
      <c r="H158" s="44" t="str">
        <f>IF(SplitText($C158,",",COLUMN(H:H)-COLUMN($D:$D))="",$D158,trimtext(SplitText($C158,",",COLUMN(H:H)-COLUMN($D:$D))))</f>
        <v>LEFT</v>
      </c>
      <c r="I158" s="44" t="str">
        <f>IF(SplitText($C158,",",COLUMN(I:I)-COLUMN($D:$D))="",$D158,trimtext(SplitText($C158,",",COLUMN(I:I)-COLUMN($D:$D))))</f>
        <v>LEFT</v>
      </c>
      <c r="J158" s="9" t="s">
        <v>260</v>
      </c>
      <c r="K158" s="44" t="str">
        <f>trimtext(SplitText($J158,",",0))</f>
        <v>LEFT</v>
      </c>
      <c r="L158" s="44" t="str">
        <f>IF(SplitText($J158,",",COLUMN(L:L)-COLUMN($K:$K))="",$K158,trimtext(SplitText($J158,",",COLUMN(L:L)-COLUMN($K:$K))))</f>
        <v>LEFT</v>
      </c>
      <c r="M158" s="44" t="str">
        <f>IF(SplitText($J158,",",COLUMN(M:M)-COLUMN($K:$K))="",$K158,trimtext(SplitText($J158,",",COLUMN(M:M)-COLUMN($K:$K))))</f>
        <v>LEFT</v>
      </c>
      <c r="N158" s="44" t="str">
        <f>IF(SplitText($J158,",",COLUMN(N:N)-COLUMN($K:$K))="",$K158,trimtext(SplitText($J158,",",COLUMN(N:N)-COLUMN($K:$K))))</f>
        <v>LEFT</v>
      </c>
      <c r="O158" s="44" t="str">
        <f>IF(SplitText($J158,",",COLUMN(O:O)-COLUMN($K:$K))="",$K158,trimtext(SplitText($J158,",",COLUMN(O:O)-COLUMN($K:$K))))</f>
        <v>LEFT</v>
      </c>
      <c r="P158" s="44" t="str">
        <f>IF(SplitText($J158,",",COLUMN(P:P)-COLUMN($K:$K))="",$K158,trimtext(SplitText($J158,",",COLUMN(P:P)-COLUMN($K:$K))))</f>
        <v>LEFT</v>
      </c>
      <c r="Q158" s="44" t="str">
        <f>IF(SplitText($J158,",",COLUMN(Q:Q)-COLUMN($K:$K))="",$K158,trimtext(SplitText($J158,",",COLUMN(Q:Q)-COLUMN($K:$K))))</f>
        <v>LEFT</v>
      </c>
      <c r="R158" s="2" t="s">
        <v>477</v>
      </c>
      <c r="S158" s="44" t="str">
        <f>trimtext(SplitText($R158,",",0))</f>
        <v>_none_</v>
      </c>
      <c r="T158" s="44" t="str">
        <f>IF(SplitText($R158,",",COLUMN(T:T)-COLUMN($S:$S))="",$S158,trimtext(SplitText($R158,",",COLUMN(T:T)-COLUMN($S:$S))))</f>
        <v>_none_</v>
      </c>
      <c r="U158" s="45" t="str">
        <f>IF(SplitText($R158,",",COLUMN(U:U)-COLUMN($S:$S))="",$S158,trimtext(SplitText($R158,",",COLUMN(U:U)-COLUMN($S:$S))))</f>
        <v>LEFT</v>
      </c>
      <c r="V158" s="53" t="s">
        <v>581</v>
      </c>
      <c r="W158" s="44" t="str">
        <f>trimtext(SplitText($V158,",",0))</f>
        <v>LEFT</v>
      </c>
      <c r="X158" s="44" t="str">
        <f>IF(SplitText($V158,",",COLUMN(X:X)-COLUMN($W:$W))="",$W158,trimtext(SplitText($V158,",",COLUMN(X:X)-COLUMN($W:$W))))</f>
        <v>LEFT</v>
      </c>
      <c r="Y158" s="44" t="str">
        <f>IF(SplitText($V158,",",COLUMN(Y:Y)-COLUMN($W:$W))="",$W158,trimtext(SplitText($V158,",",COLUMN(Y:Y)-COLUMN($W:$W))))</f>
        <v>LEFT</v>
      </c>
      <c r="Z158" s="24"/>
      <c r="AA158" s="44" t="str">
        <f t="shared" si="13"/>
        <v/>
      </c>
      <c r="AB158" s="2" t="s">
        <v>818</v>
      </c>
      <c r="AC158" s="44" t="str">
        <f>trimtext(SplitText($AB158,",",0))</f>
        <v>LEFT</v>
      </c>
      <c r="AD158" s="44" t="str">
        <f>IF(SplitText($AB158,",",COLUMN(AD:AD)-COLUMN($AC:$AC))="",$AC158,trimtext(SplitText($AB158,",",COLUMN(AD:AD)-COLUMN($AC:$AC))))</f>
        <v>LEFT</v>
      </c>
      <c r="AE158" s="18" t="str">
        <f t="shared" si="12"/>
        <v>&lt;xs:enumeration value="X4B"&gt;&lt;xs:annotation&gt;&lt;xs:documentation&gt;Typically LEFT for keyboard type 4, different values for different keyboard types&lt;/xs:documentation&gt;&lt;xs:appinfo&gt;&lt;default-vk&gt;</v>
      </c>
      <c r="AF158" s="15" t="str">
        <f>IF(D158&lt;&gt;"","&lt;vk kbd="""&amp;D$1&amp;""" vk="""&amp;D158&amp;""""&amp;IF(Scan2VKFlags!B158&lt;&gt;""," flags="""&amp;Scan2VKFlags!B158&amp;"""","")&amp;"/&gt;","")</f>
        <v>&lt;vk kbd="1" vk="LEFT"/&gt;</v>
      </c>
      <c r="AG158" s="15" t="str">
        <f>IF(E158&lt;&gt;"","&lt;vk kbd="""&amp;E$1&amp;""" vk="""&amp;E158&amp;""""&amp;IF(Scan2VKFlags!C158&lt;&gt;""," flags="""&amp;Scan2VKFlags!C158&amp;"""","")&amp;"/&gt;","")</f>
        <v>&lt;vk kbd="2" vk="LEFT"/&gt;</v>
      </c>
      <c r="AH158" s="15" t="str">
        <f>IF(F158&lt;&gt;"","&lt;vk kbd="""&amp;F$1&amp;""" vk="""&amp;F158&amp;""""&amp;IF(Scan2VKFlags!D158&lt;&gt;""," flags="""&amp;Scan2VKFlags!D158&amp;"""","")&amp;"/&gt;","")</f>
        <v>&lt;vk kbd="3" vk="LEFT"/&gt;</v>
      </c>
      <c r="AI158" s="15" t="str">
        <f>IF(G158&lt;&gt;"","&lt;vk kbd="""&amp;G$1&amp;""" vk="""&amp;G158&amp;""""&amp;IF(Scan2VKFlags!E158&lt;&gt;""," flags="""&amp;Scan2VKFlags!E158&amp;"""","")&amp;"/&gt;","")</f>
        <v>&lt;vk kbd="4" vk="LEFT" flags="KBDEXT"/&gt;</v>
      </c>
      <c r="AJ158" s="15" t="str">
        <f>IF(H158&lt;&gt;"","&lt;vk kbd="""&amp;H$1&amp;""" vk="""&amp;H158&amp;""""&amp;IF(Scan2VKFlags!F158&lt;&gt;""," flags="""&amp;Scan2VKFlags!F158&amp;"""","")&amp;"/&gt;","")</f>
        <v>&lt;vk kbd="5" vk="LEFT"/&gt;</v>
      </c>
      <c r="AK158" s="16" t="str">
        <f>IF(I158&lt;&gt;"","&lt;vk kbd="""&amp;I$1&amp;""" vk="""&amp;I158&amp;""""&amp;IF(Scan2VKFlags!G158&lt;&gt;""," flags="""&amp;Scan2VKFlags!G158&amp;"""","")&amp;"/&gt;","")</f>
        <v>&lt;vk kbd="6" vk="LEFT"/&gt;</v>
      </c>
      <c r="AL158" s="3" t="str">
        <f>IF(K158&lt;&gt;"","&lt;vk kbd="""&amp;K$1&amp;""" vk="""&amp;K158&amp;""""&amp;IF(Scan2VKFlags!H158&lt;&gt;""," flags="""&amp;Scan2VKFlags!H158&amp;"""","")&amp;"/&gt;","")</f>
        <v>&lt;vk kbd="7" vk="LEFT"/&gt;</v>
      </c>
      <c r="AM158" s="15" t="str">
        <f>IF(L158&lt;&gt;"","&lt;vk kbd="""&amp;L$1&amp;""" vk="""&amp;L158&amp;""""&amp;IF(Scan2VKFlags!I158&lt;&gt;""," flags="""&amp;Scan2VKFlags!I158&amp;"""","")&amp;"/&gt;","")</f>
        <v>&lt;vk kbd="8" vk="LEFT"/&gt;</v>
      </c>
      <c r="AN158" s="15" t="str">
        <f>IF(M158&lt;&gt;"","&lt;vk kbd="""&amp;M$1&amp;""" vk="""&amp;M158&amp;""""&amp;IF(Scan2VKFlags!J158&lt;&gt;""," flags="""&amp;Scan2VKFlags!J158&amp;"""","")&amp;"/&gt;","")</f>
        <v>&lt;vk kbd="16" vk="LEFT"/&gt;</v>
      </c>
      <c r="AO158" s="15" t="str">
        <f>IF(N158&lt;&gt;"","&lt;vk kbd="""&amp;N$1&amp;""" vk="""&amp;N158&amp;""""&amp;IF(Scan2VKFlags!K158&lt;&gt;""," flags="""&amp;Scan2VKFlags!K158&amp;"""","")&amp;"/&gt;","")</f>
        <v>&lt;vk kbd="10" vk="LEFT"/&gt;</v>
      </c>
      <c r="AP158" s="15" t="str">
        <f>IF(O158&lt;&gt;"","&lt;vk kbd="""&amp;O$1&amp;""" vk="""&amp;O158&amp;""""&amp;IF(Scan2VKFlags!L158&lt;&gt;""," flags="""&amp;Scan2VKFlags!L158&amp;"""","")&amp;"/&gt;","")</f>
        <v>&lt;vk kbd="11" vk="LEFT"/&gt;</v>
      </c>
      <c r="AQ158" s="15" t="str">
        <f>IF(P158&lt;&gt;"","&lt;vk kbd="""&amp;P$1&amp;""" vk="""&amp;P158&amp;""""&amp;IF(Scan2VKFlags!M158&lt;&gt;""," flags="""&amp;Scan2VKFlags!M158&amp;"""","")&amp;"/&gt;","")</f>
        <v>&lt;vk kbd="12" vk="LEFT"/&gt;</v>
      </c>
      <c r="AR158" s="16" t="str">
        <f>IF(Q158&lt;&gt;"","&lt;vk kbd="""&amp;Q$1&amp;""" vk="""&amp;Q158&amp;""""&amp;IF(Scan2VKFlags!N158&lt;&gt;""," flags="""&amp;Scan2VKFlags!N158&amp;"""","")&amp;"/&gt;","")</f>
        <v>&lt;vk kbd="13" vk="LEFT"/&gt;</v>
      </c>
      <c r="AS158" s="3" t="str">
        <f>IF(S158&lt;&gt;"","&lt;vk kbd="""&amp;S$1&amp;""" vk="""&amp;S158&amp;""""&amp;IF(Scan2VKFlags!O158&lt;&gt;""," flags="""&amp;Scan2VKFlags!O158&amp;"""","")&amp;"/&gt;","")</f>
        <v>&lt;vk kbd="20" vk="_none_"/&gt;</v>
      </c>
      <c r="AT158" s="15" t="str">
        <f>IF(T158&lt;&gt;"","&lt;vk kbd="""&amp;T$1&amp;""" vk="""&amp;T158&amp;""""&amp;IF(Scan2VKFlags!P158&lt;&gt;""," flags="""&amp;Scan2VKFlags!P158&amp;"""","")&amp;"/&gt;","")</f>
        <v>&lt;vk kbd="21" vk="_none_"/&gt;</v>
      </c>
      <c r="AU158" s="16" t="str">
        <f>IF(U158&lt;&gt;"","&lt;vk kbd="""&amp;U$1&amp;""" vk="""&amp;U158&amp;""""&amp;IF(Scan2VKFlags!Q158&lt;&gt;""," flags="""&amp;Scan2VKFlags!Q158&amp;"""","")&amp;"/&gt;","")</f>
        <v>&lt;vk kbd="22" vk="LEFT"/&gt;</v>
      </c>
      <c r="AV158" s="3" t="str">
        <f>IF(W158&lt;&gt;"","&lt;vk kbd="""&amp;W$1&amp;""" vk="""&amp;W158&amp;""""&amp;IF(Scan2VKFlags!R158&lt;&gt;""," flags="""&amp;Scan2VKFlags!R158&amp;"""","")&amp;"/&gt;","")</f>
        <v>&lt;vk kbd="30" vk="LEFT"/&gt;</v>
      </c>
      <c r="AW158" s="15" t="str">
        <f>IF(X158&lt;&gt;"","&lt;vk kbd="""&amp;X$1&amp;""" vk="""&amp;X158&amp;""""&amp;IF(Scan2VKFlags!S158&lt;&gt;""," flags="""&amp;Scan2VKFlags!S158&amp;"""","")&amp;"/&gt;","")</f>
        <v>&lt;vk kbd="33" vk="LEFT"/&gt;</v>
      </c>
      <c r="AX158" s="15" t="str">
        <f>IF(Y158&lt;&gt;"","&lt;vk kbd="""&amp;Y$1&amp;""" vk="""&amp;Y158&amp;""""&amp;IF(Scan2VKFlags!T158&lt;&gt;""," flags="""&amp;Scan2VKFlags!T158&amp;"""","")&amp;"/&gt;","")</f>
        <v>&lt;vk kbd="34" vk="LEFT"/&gt;</v>
      </c>
      <c r="AY158" s="18" t="str">
        <f>IF(AA158&lt;&gt;"","&lt;vk kbd="""&amp;AA$1&amp;""" vk="""&amp;AA158&amp;""""&amp;IF(Scan2VKFlags!U158&lt;&gt;""," flags="""&amp;Scan2VKFlags!U158&amp;"""","")&amp;"/&gt;","")</f>
        <v/>
      </c>
      <c r="AZ158" s="3" t="str">
        <f>IF(AC158&lt;&gt;"","&lt;vk kbd="""&amp;AC$1&amp;""" vk="""&amp;AC158&amp;""""&amp;IF(Scan2VKFlags!V158&lt;&gt;""," flags="""&amp;Scan2VKFlags!V158&amp;"""","")&amp;"/&gt;","")</f>
        <v>&lt;vk kbd="40" vk="LEFT"/&gt;</v>
      </c>
      <c r="BA158" s="16" t="str">
        <f>IF(AD158&lt;&gt;"","&lt;vk kbd="""&amp;AD$1&amp;""" vk="""&amp;AD158&amp;""""&amp;IF(Scan2VKFlags!W158&lt;&gt;""," flags="""&amp;Scan2VKFlags!W158&amp;"""","")&amp;"/&gt;","")</f>
        <v>&lt;vk kbd="41" vk="LEFT"/&gt;</v>
      </c>
      <c r="BB158" s="15" t="s">
        <v>854</v>
      </c>
    </row>
    <row r="159" spans="2:54" s="15" customFormat="1" x14ac:dyDescent="0.25">
      <c r="B159" s="52" t="s">
        <v>165</v>
      </c>
      <c r="C159" s="7" t="s">
        <v>77</v>
      </c>
      <c r="D159" s="44" t="str">
        <f>trimtext(SplitText($C159,",",0))</f>
        <v>RIGHT</v>
      </c>
      <c r="E159" s="44" t="str">
        <f>IF(SplitText($C159,",",COLUMN(E:E)-COLUMN($D:$D))="",$D159,trimtext(SplitText($C159,",",COLUMN(E:E)-COLUMN($D:$D))))</f>
        <v>RIGHT</v>
      </c>
      <c r="F159" s="44" t="str">
        <f>IF(SplitText($C159,",",COLUMN(F:F)-COLUMN($D:$D))="",$D159,trimtext(SplitText($C159,",",COLUMN(F:F)-COLUMN($D:$D))))</f>
        <v>RIGHT</v>
      </c>
      <c r="G159" s="44" t="str">
        <f>IF(SplitText($C159,",",COLUMN(G:G)-COLUMN($D:$D))="",$D159,trimtext(SplitText($C159,",",COLUMN(G:G)-COLUMN($D:$D))))</f>
        <v>RIGHT</v>
      </c>
      <c r="H159" s="44" t="str">
        <f>IF(SplitText($C159,",",COLUMN(H:H)-COLUMN($D:$D))="",$D159,trimtext(SplitText($C159,",",COLUMN(H:H)-COLUMN($D:$D))))</f>
        <v>RIGHT</v>
      </c>
      <c r="I159" s="44" t="str">
        <f>IF(SplitText($C159,",",COLUMN(I:I)-COLUMN($D:$D))="",$D159,trimtext(SplitText($C159,",",COLUMN(I:I)-COLUMN($D:$D))))</f>
        <v>RIGHT</v>
      </c>
      <c r="J159" s="9" t="s">
        <v>262</v>
      </c>
      <c r="K159" s="44" t="str">
        <f>trimtext(SplitText($J159,",",0))</f>
        <v>RIGHT</v>
      </c>
      <c r="L159" s="44" t="str">
        <f>IF(SplitText($J159,",",COLUMN(L:L)-COLUMN($K:$K))="",$K159,trimtext(SplitText($J159,",",COLUMN(L:L)-COLUMN($K:$K))))</f>
        <v>RIGHT</v>
      </c>
      <c r="M159" s="44" t="str">
        <f>IF(SplitText($J159,",",COLUMN(M:M)-COLUMN($K:$K))="",$K159,trimtext(SplitText($J159,",",COLUMN(M:M)-COLUMN($K:$K))))</f>
        <v>RIGHT</v>
      </c>
      <c r="N159" s="44" t="str">
        <f>IF(SplitText($J159,",",COLUMN(N:N)-COLUMN($K:$K))="",$K159,trimtext(SplitText($J159,",",COLUMN(N:N)-COLUMN($K:$K))))</f>
        <v>RIGHT</v>
      </c>
      <c r="O159" s="44" t="str">
        <f>IF(SplitText($J159,",",COLUMN(O:O)-COLUMN($K:$K))="",$K159,trimtext(SplitText($J159,",",COLUMN(O:O)-COLUMN($K:$K))))</f>
        <v>RIGHT</v>
      </c>
      <c r="P159" s="44" t="str">
        <f>IF(SplitText($J159,",",COLUMN(P:P)-COLUMN($K:$K))="",$K159,trimtext(SplitText($J159,",",COLUMN(P:P)-COLUMN($K:$K))))</f>
        <v>RIGHT</v>
      </c>
      <c r="Q159" s="44" t="str">
        <f>IF(SplitText($J159,",",COLUMN(Q:Q)-COLUMN($K:$K))="",$K159,trimtext(SplitText($J159,",",COLUMN(Q:Q)-COLUMN($K:$K))))</f>
        <v>RIGHT</v>
      </c>
      <c r="R159" s="2" t="s">
        <v>478</v>
      </c>
      <c r="S159" s="44" t="str">
        <f>trimtext(SplitText($R159,",",0))</f>
        <v>_none_</v>
      </c>
      <c r="T159" s="44" t="str">
        <f>IF(SplitText($R159,",",COLUMN(T:T)-COLUMN($S:$S))="",$S159,trimtext(SplitText($R159,",",COLUMN(T:T)-COLUMN($S:$S))))</f>
        <v>_none_</v>
      </c>
      <c r="U159" s="45" t="str">
        <f>IF(SplitText($R159,",",COLUMN(U:U)-COLUMN($S:$S))="",$S159,trimtext(SplitText($R159,",",COLUMN(U:U)-COLUMN($S:$S))))</f>
        <v>RIGHT</v>
      </c>
      <c r="V159" s="53" t="s">
        <v>583</v>
      </c>
      <c r="W159" s="44" t="str">
        <f>trimtext(SplitText($V159,",",0))</f>
        <v>RIGHT</v>
      </c>
      <c r="X159" s="44" t="str">
        <f>IF(SplitText($V159,",",COLUMN(X:X)-COLUMN($W:$W))="",$W159,trimtext(SplitText($V159,",",COLUMN(X:X)-COLUMN($W:$W))))</f>
        <v>RIGHT</v>
      </c>
      <c r="Y159" s="44" t="str">
        <f>IF(SplitText($V159,",",COLUMN(Y:Y)-COLUMN($W:$W))="",$W159,trimtext(SplitText($V159,",",COLUMN(Y:Y)-COLUMN($W:$W))))</f>
        <v>RIGHT</v>
      </c>
      <c r="Z159" s="24"/>
      <c r="AA159" s="44" t="str">
        <f t="shared" si="13"/>
        <v/>
      </c>
      <c r="AB159" s="2" t="s">
        <v>820</v>
      </c>
      <c r="AC159" s="44" t="str">
        <f>trimtext(SplitText($AB159,",",0))</f>
        <v>RIGHT</v>
      </c>
      <c r="AD159" s="44" t="str">
        <f>IF(SplitText($AB159,",",COLUMN(AD:AD)-COLUMN($AC:$AC))="",$AC159,trimtext(SplitText($AB159,",",COLUMN(AD:AD)-COLUMN($AC:$AC))))</f>
        <v>RIGHT</v>
      </c>
      <c r="AE159" s="18" t="str">
        <f t="shared" si="12"/>
        <v>&lt;xs:enumeration value="X4D"&gt;&lt;xs:annotation&gt;&lt;xs:documentation&gt;Typically RIGHT for keyboard type 4, different values for different keyboard types&lt;/xs:documentation&gt;&lt;xs:appinfo&gt;&lt;default-vk&gt;</v>
      </c>
      <c r="AF159" s="15" t="str">
        <f>IF(D159&lt;&gt;"","&lt;vk kbd="""&amp;D$1&amp;""" vk="""&amp;D159&amp;""""&amp;IF(Scan2VKFlags!B159&lt;&gt;""," flags="""&amp;Scan2VKFlags!B159&amp;"""","")&amp;"/&gt;","")</f>
        <v>&lt;vk kbd="1" vk="RIGHT"/&gt;</v>
      </c>
      <c r="AG159" s="15" t="str">
        <f>IF(E159&lt;&gt;"","&lt;vk kbd="""&amp;E$1&amp;""" vk="""&amp;E159&amp;""""&amp;IF(Scan2VKFlags!C159&lt;&gt;""," flags="""&amp;Scan2VKFlags!C159&amp;"""","")&amp;"/&gt;","")</f>
        <v>&lt;vk kbd="2" vk="RIGHT"/&gt;</v>
      </c>
      <c r="AH159" s="15" t="str">
        <f>IF(F159&lt;&gt;"","&lt;vk kbd="""&amp;F$1&amp;""" vk="""&amp;F159&amp;""""&amp;IF(Scan2VKFlags!D159&lt;&gt;""," flags="""&amp;Scan2VKFlags!D159&amp;"""","")&amp;"/&gt;","")</f>
        <v>&lt;vk kbd="3" vk="RIGHT"/&gt;</v>
      </c>
      <c r="AI159" s="15" t="str">
        <f>IF(G159&lt;&gt;"","&lt;vk kbd="""&amp;G$1&amp;""" vk="""&amp;G159&amp;""""&amp;IF(Scan2VKFlags!E159&lt;&gt;""," flags="""&amp;Scan2VKFlags!E159&amp;"""","")&amp;"/&gt;","")</f>
        <v>&lt;vk kbd="4" vk="RIGHT" flags="KBDEXT"/&gt;</v>
      </c>
      <c r="AJ159" s="15" t="str">
        <f>IF(H159&lt;&gt;"","&lt;vk kbd="""&amp;H$1&amp;""" vk="""&amp;H159&amp;""""&amp;IF(Scan2VKFlags!F159&lt;&gt;""," flags="""&amp;Scan2VKFlags!F159&amp;"""","")&amp;"/&gt;","")</f>
        <v>&lt;vk kbd="5" vk="RIGHT"/&gt;</v>
      </c>
      <c r="AK159" s="16" t="str">
        <f>IF(I159&lt;&gt;"","&lt;vk kbd="""&amp;I$1&amp;""" vk="""&amp;I159&amp;""""&amp;IF(Scan2VKFlags!G159&lt;&gt;""," flags="""&amp;Scan2VKFlags!G159&amp;"""","")&amp;"/&gt;","")</f>
        <v>&lt;vk kbd="6" vk="RIGHT"/&gt;</v>
      </c>
      <c r="AL159" s="3" t="str">
        <f>IF(K159&lt;&gt;"","&lt;vk kbd="""&amp;K$1&amp;""" vk="""&amp;K159&amp;""""&amp;IF(Scan2VKFlags!H159&lt;&gt;""," flags="""&amp;Scan2VKFlags!H159&amp;"""","")&amp;"/&gt;","")</f>
        <v>&lt;vk kbd="7" vk="RIGHT"/&gt;</v>
      </c>
      <c r="AM159" s="15" t="str">
        <f>IF(L159&lt;&gt;"","&lt;vk kbd="""&amp;L$1&amp;""" vk="""&amp;L159&amp;""""&amp;IF(Scan2VKFlags!I159&lt;&gt;""," flags="""&amp;Scan2VKFlags!I159&amp;"""","")&amp;"/&gt;","")</f>
        <v>&lt;vk kbd="8" vk="RIGHT"/&gt;</v>
      </c>
      <c r="AN159" s="15" t="str">
        <f>IF(M159&lt;&gt;"","&lt;vk kbd="""&amp;M$1&amp;""" vk="""&amp;M159&amp;""""&amp;IF(Scan2VKFlags!J159&lt;&gt;""," flags="""&amp;Scan2VKFlags!J159&amp;"""","")&amp;"/&gt;","")</f>
        <v>&lt;vk kbd="16" vk="RIGHT"/&gt;</v>
      </c>
      <c r="AO159" s="15" t="str">
        <f>IF(N159&lt;&gt;"","&lt;vk kbd="""&amp;N$1&amp;""" vk="""&amp;N159&amp;""""&amp;IF(Scan2VKFlags!K159&lt;&gt;""," flags="""&amp;Scan2VKFlags!K159&amp;"""","")&amp;"/&gt;","")</f>
        <v>&lt;vk kbd="10" vk="RIGHT"/&gt;</v>
      </c>
      <c r="AP159" s="15" t="str">
        <f>IF(O159&lt;&gt;"","&lt;vk kbd="""&amp;O$1&amp;""" vk="""&amp;O159&amp;""""&amp;IF(Scan2VKFlags!L159&lt;&gt;""," flags="""&amp;Scan2VKFlags!L159&amp;"""","")&amp;"/&gt;","")</f>
        <v>&lt;vk kbd="11" vk="RIGHT"/&gt;</v>
      </c>
      <c r="AQ159" s="15" t="str">
        <f>IF(P159&lt;&gt;"","&lt;vk kbd="""&amp;P$1&amp;""" vk="""&amp;P159&amp;""""&amp;IF(Scan2VKFlags!M159&lt;&gt;""," flags="""&amp;Scan2VKFlags!M159&amp;"""","")&amp;"/&gt;","")</f>
        <v>&lt;vk kbd="12" vk="RIGHT"/&gt;</v>
      </c>
      <c r="AR159" s="16" t="str">
        <f>IF(Q159&lt;&gt;"","&lt;vk kbd="""&amp;Q$1&amp;""" vk="""&amp;Q159&amp;""""&amp;IF(Scan2VKFlags!N159&lt;&gt;""," flags="""&amp;Scan2VKFlags!N159&amp;"""","")&amp;"/&gt;","")</f>
        <v>&lt;vk kbd="13" vk="RIGHT"/&gt;</v>
      </c>
      <c r="AS159" s="3" t="str">
        <f>IF(S159&lt;&gt;"","&lt;vk kbd="""&amp;S$1&amp;""" vk="""&amp;S159&amp;""""&amp;IF(Scan2VKFlags!O159&lt;&gt;""," flags="""&amp;Scan2VKFlags!O159&amp;"""","")&amp;"/&gt;","")</f>
        <v>&lt;vk kbd="20" vk="_none_"/&gt;</v>
      </c>
      <c r="AT159" s="15" t="str">
        <f>IF(T159&lt;&gt;"","&lt;vk kbd="""&amp;T$1&amp;""" vk="""&amp;T159&amp;""""&amp;IF(Scan2VKFlags!P159&lt;&gt;""," flags="""&amp;Scan2VKFlags!P159&amp;"""","")&amp;"/&gt;","")</f>
        <v>&lt;vk kbd="21" vk="_none_"/&gt;</v>
      </c>
      <c r="AU159" s="16" t="str">
        <f>IF(U159&lt;&gt;"","&lt;vk kbd="""&amp;U$1&amp;""" vk="""&amp;U159&amp;""""&amp;IF(Scan2VKFlags!Q159&lt;&gt;""," flags="""&amp;Scan2VKFlags!Q159&amp;"""","")&amp;"/&gt;","")</f>
        <v>&lt;vk kbd="22" vk="RIGHT"/&gt;</v>
      </c>
      <c r="AV159" s="3" t="str">
        <f>IF(W159&lt;&gt;"","&lt;vk kbd="""&amp;W$1&amp;""" vk="""&amp;W159&amp;""""&amp;IF(Scan2VKFlags!R159&lt;&gt;""," flags="""&amp;Scan2VKFlags!R159&amp;"""","")&amp;"/&gt;","")</f>
        <v>&lt;vk kbd="30" vk="RIGHT"/&gt;</v>
      </c>
      <c r="AW159" s="15" t="str">
        <f>IF(X159&lt;&gt;"","&lt;vk kbd="""&amp;X$1&amp;""" vk="""&amp;X159&amp;""""&amp;IF(Scan2VKFlags!S159&lt;&gt;""," flags="""&amp;Scan2VKFlags!S159&amp;"""","")&amp;"/&gt;","")</f>
        <v>&lt;vk kbd="33" vk="RIGHT"/&gt;</v>
      </c>
      <c r="AX159" s="15" t="str">
        <f>IF(Y159&lt;&gt;"","&lt;vk kbd="""&amp;Y$1&amp;""" vk="""&amp;Y159&amp;""""&amp;IF(Scan2VKFlags!T159&lt;&gt;""," flags="""&amp;Scan2VKFlags!T159&amp;"""","")&amp;"/&gt;","")</f>
        <v>&lt;vk kbd="34" vk="RIGHT"/&gt;</v>
      </c>
      <c r="AY159" s="18" t="str">
        <f>IF(AA159&lt;&gt;"","&lt;vk kbd="""&amp;AA$1&amp;""" vk="""&amp;AA159&amp;""""&amp;IF(Scan2VKFlags!U159&lt;&gt;""," flags="""&amp;Scan2VKFlags!U159&amp;"""","")&amp;"/&gt;","")</f>
        <v/>
      </c>
      <c r="AZ159" s="3" t="str">
        <f>IF(AC159&lt;&gt;"","&lt;vk kbd="""&amp;AC$1&amp;""" vk="""&amp;AC159&amp;""""&amp;IF(Scan2VKFlags!V159&lt;&gt;""," flags="""&amp;Scan2VKFlags!V159&amp;"""","")&amp;"/&gt;","")</f>
        <v>&lt;vk kbd="40" vk="RIGHT"/&gt;</v>
      </c>
      <c r="BA159" s="16" t="str">
        <f>IF(AD159&lt;&gt;"","&lt;vk kbd="""&amp;AD$1&amp;""" vk="""&amp;AD159&amp;""""&amp;IF(Scan2VKFlags!W159&lt;&gt;""," flags="""&amp;Scan2VKFlags!W159&amp;"""","")&amp;"/&gt;","")</f>
        <v>&lt;vk kbd="41" vk="RIGHT"/&gt;</v>
      </c>
      <c r="BB159" s="15" t="s">
        <v>854</v>
      </c>
    </row>
    <row r="160" spans="2:54" s="15" customFormat="1" x14ac:dyDescent="0.25">
      <c r="B160" s="52" t="s">
        <v>166</v>
      </c>
      <c r="C160" s="7" t="s">
        <v>79</v>
      </c>
      <c r="D160" s="44" t="str">
        <f>trimtext(SplitText($C160,",",0))</f>
        <v>END</v>
      </c>
      <c r="E160" s="44" t="str">
        <f>IF(SplitText($C160,",",COLUMN(E:E)-COLUMN($D:$D))="",$D160,trimtext(SplitText($C160,",",COLUMN(E:E)-COLUMN($D:$D))))</f>
        <v>END</v>
      </c>
      <c r="F160" s="44" t="str">
        <f>IF(SplitText($C160,",",COLUMN(F:F)-COLUMN($D:$D))="",$D160,trimtext(SplitText($C160,",",COLUMN(F:F)-COLUMN($D:$D))))</f>
        <v>END</v>
      </c>
      <c r="G160" s="44" t="str">
        <f>IF(SplitText($C160,",",COLUMN(G:G)-COLUMN($D:$D))="",$D160,trimtext(SplitText($C160,",",COLUMN(G:G)-COLUMN($D:$D))))</f>
        <v>END</v>
      </c>
      <c r="H160" s="44" t="str">
        <f>IF(SplitText($C160,",",COLUMN(H:H)-COLUMN($D:$D))="",$D160,trimtext(SplitText($C160,",",COLUMN(H:H)-COLUMN($D:$D))))</f>
        <v>END</v>
      </c>
      <c r="I160" s="44" t="str">
        <f>IF(SplitText($C160,",",COLUMN(I:I)-COLUMN($D:$D))="",$D160,trimtext(SplitText($C160,",",COLUMN(I:I)-COLUMN($D:$D))))</f>
        <v>END</v>
      </c>
      <c r="J160" s="9" t="s">
        <v>264</v>
      </c>
      <c r="K160" s="44" t="str">
        <f>trimtext(SplitText($J160,",",0))</f>
        <v>END</v>
      </c>
      <c r="L160" s="44" t="str">
        <f>IF(SplitText($J160,",",COLUMN(L:L)-COLUMN($K:$K))="",$K160,trimtext(SplitText($J160,",",COLUMN(L:L)-COLUMN($K:$K))))</f>
        <v>END</v>
      </c>
      <c r="M160" s="44" t="str">
        <f>IF(SplitText($J160,",",COLUMN(M:M)-COLUMN($K:$K))="",$K160,trimtext(SplitText($J160,",",COLUMN(M:M)-COLUMN($K:$K))))</f>
        <v>END</v>
      </c>
      <c r="N160" s="44" t="str">
        <f>IF(SplitText($J160,",",COLUMN(N:N)-COLUMN($K:$K))="",$K160,trimtext(SplitText($J160,",",COLUMN(N:N)-COLUMN($K:$K))))</f>
        <v>END</v>
      </c>
      <c r="O160" s="44" t="str">
        <f>IF(SplitText($J160,",",COLUMN(O:O)-COLUMN($K:$K))="",$K160,trimtext(SplitText($J160,",",COLUMN(O:O)-COLUMN($K:$K))))</f>
        <v>END</v>
      </c>
      <c r="P160" s="44" t="str">
        <f>IF(SplitText($J160,",",COLUMN(P:P)-COLUMN($K:$K))="",$K160,trimtext(SplitText($J160,",",COLUMN(P:P)-COLUMN($K:$K))))</f>
        <v>END</v>
      </c>
      <c r="Q160" s="44" t="str">
        <f>IF(SplitText($J160,",",COLUMN(Q:Q)-COLUMN($K:$K))="",$K160,trimtext(SplitText($J160,",",COLUMN(Q:Q)-COLUMN($K:$K))))</f>
        <v>END</v>
      </c>
      <c r="R160" s="2" t="s">
        <v>479</v>
      </c>
      <c r="S160" s="44" t="str">
        <f>trimtext(SplitText($R160,",",0))</f>
        <v>_none_</v>
      </c>
      <c r="T160" s="44" t="str">
        <f>IF(SplitText($R160,",",COLUMN(T:T)-COLUMN($S:$S))="",$S160,trimtext(SplitText($R160,",",COLUMN(T:T)-COLUMN($S:$S))))</f>
        <v>_none_</v>
      </c>
      <c r="U160" s="45" t="str">
        <f>IF(SplitText($R160,",",COLUMN(U:U)-COLUMN($S:$S))="",$S160,trimtext(SplitText($R160,",",COLUMN(U:U)-COLUMN($S:$S))))</f>
        <v>END</v>
      </c>
      <c r="V160" s="53" t="s">
        <v>585</v>
      </c>
      <c r="W160" s="44" t="str">
        <f>trimtext(SplitText($V160,",",0))</f>
        <v>END</v>
      </c>
      <c r="X160" s="44" t="str">
        <f>IF(SplitText($V160,",",COLUMN(X:X)-COLUMN($W:$W))="",$W160,trimtext(SplitText($V160,",",COLUMN(X:X)-COLUMN($W:$W))))</f>
        <v>END</v>
      </c>
      <c r="Y160" s="44" t="str">
        <f>IF(SplitText($V160,",",COLUMN(Y:Y)-COLUMN($W:$W))="",$W160,trimtext(SplitText($V160,",",COLUMN(Y:Y)-COLUMN($W:$W))))</f>
        <v>END</v>
      </c>
      <c r="Z160" s="24"/>
      <c r="AA160" s="44" t="str">
        <f t="shared" si="13"/>
        <v/>
      </c>
      <c r="AB160" s="2" t="s">
        <v>821</v>
      </c>
      <c r="AC160" s="44" t="str">
        <f>trimtext(SplitText($AB160,",",0))</f>
        <v>ADD</v>
      </c>
      <c r="AD160" s="44" t="str">
        <f>IF(SplitText($AB160,",",COLUMN(AD:AD)-COLUMN($AC:$AC))="",$AC160,trimtext(SplitText($AB160,",",COLUMN(AD:AD)-COLUMN($AC:$AC))))</f>
        <v>ADD</v>
      </c>
      <c r="AE160" s="18" t="str">
        <f t="shared" si="12"/>
        <v>&lt;xs:enumeration value="X4F"&gt;&lt;xs:annotation&gt;&lt;xs:documentation&gt;Typically END for keyboard type 4, different values for different keyboard types&lt;/xs:documentation&gt;&lt;xs:appinfo&gt;&lt;default-vk&gt;</v>
      </c>
      <c r="AF160" s="15" t="str">
        <f>IF(D160&lt;&gt;"","&lt;vk kbd="""&amp;D$1&amp;""" vk="""&amp;D160&amp;""""&amp;IF(Scan2VKFlags!B160&lt;&gt;""," flags="""&amp;Scan2VKFlags!B160&amp;"""","")&amp;"/&gt;","")</f>
        <v>&lt;vk kbd="1" vk="END"/&gt;</v>
      </c>
      <c r="AG160" s="15" t="str">
        <f>IF(E160&lt;&gt;"","&lt;vk kbd="""&amp;E$1&amp;""" vk="""&amp;E160&amp;""""&amp;IF(Scan2VKFlags!C160&lt;&gt;""," flags="""&amp;Scan2VKFlags!C160&amp;"""","")&amp;"/&gt;","")</f>
        <v>&lt;vk kbd="2" vk="END"/&gt;</v>
      </c>
      <c r="AH160" s="15" t="str">
        <f>IF(F160&lt;&gt;"","&lt;vk kbd="""&amp;F$1&amp;""" vk="""&amp;F160&amp;""""&amp;IF(Scan2VKFlags!D160&lt;&gt;""," flags="""&amp;Scan2VKFlags!D160&amp;"""","")&amp;"/&gt;","")</f>
        <v>&lt;vk kbd="3" vk="END"/&gt;</v>
      </c>
      <c r="AI160" s="15" t="str">
        <f>IF(G160&lt;&gt;"","&lt;vk kbd="""&amp;G$1&amp;""" vk="""&amp;G160&amp;""""&amp;IF(Scan2VKFlags!E160&lt;&gt;""," flags="""&amp;Scan2VKFlags!E160&amp;"""","")&amp;"/&gt;","")</f>
        <v>&lt;vk kbd="4" vk="END" flags="KBDEXT"/&gt;</v>
      </c>
      <c r="AJ160" s="15" t="str">
        <f>IF(H160&lt;&gt;"","&lt;vk kbd="""&amp;H$1&amp;""" vk="""&amp;H160&amp;""""&amp;IF(Scan2VKFlags!F160&lt;&gt;""," flags="""&amp;Scan2VKFlags!F160&amp;"""","")&amp;"/&gt;","")</f>
        <v>&lt;vk kbd="5" vk="END"/&gt;</v>
      </c>
      <c r="AK160" s="16" t="str">
        <f>IF(I160&lt;&gt;"","&lt;vk kbd="""&amp;I$1&amp;""" vk="""&amp;I160&amp;""""&amp;IF(Scan2VKFlags!G160&lt;&gt;""," flags="""&amp;Scan2VKFlags!G160&amp;"""","")&amp;"/&gt;","")</f>
        <v>&lt;vk kbd="6" vk="END"/&gt;</v>
      </c>
      <c r="AL160" s="3" t="str">
        <f>IF(K160&lt;&gt;"","&lt;vk kbd="""&amp;K$1&amp;""" vk="""&amp;K160&amp;""""&amp;IF(Scan2VKFlags!H160&lt;&gt;""," flags="""&amp;Scan2VKFlags!H160&amp;"""","")&amp;"/&gt;","")</f>
        <v>&lt;vk kbd="7" vk="END"/&gt;</v>
      </c>
      <c r="AM160" s="15" t="str">
        <f>IF(L160&lt;&gt;"","&lt;vk kbd="""&amp;L$1&amp;""" vk="""&amp;L160&amp;""""&amp;IF(Scan2VKFlags!I160&lt;&gt;""," flags="""&amp;Scan2VKFlags!I160&amp;"""","")&amp;"/&gt;","")</f>
        <v>&lt;vk kbd="8" vk="END"/&gt;</v>
      </c>
      <c r="AN160" s="15" t="str">
        <f>IF(M160&lt;&gt;"","&lt;vk kbd="""&amp;M$1&amp;""" vk="""&amp;M160&amp;""""&amp;IF(Scan2VKFlags!J160&lt;&gt;""," flags="""&amp;Scan2VKFlags!J160&amp;"""","")&amp;"/&gt;","")</f>
        <v>&lt;vk kbd="16" vk="END"/&gt;</v>
      </c>
      <c r="AO160" s="15" t="str">
        <f>IF(N160&lt;&gt;"","&lt;vk kbd="""&amp;N$1&amp;""" vk="""&amp;N160&amp;""""&amp;IF(Scan2VKFlags!K160&lt;&gt;""," flags="""&amp;Scan2VKFlags!K160&amp;"""","")&amp;"/&gt;","")</f>
        <v>&lt;vk kbd="10" vk="END"/&gt;</v>
      </c>
      <c r="AP160" s="15" t="str">
        <f>IF(O160&lt;&gt;"","&lt;vk kbd="""&amp;O$1&amp;""" vk="""&amp;O160&amp;""""&amp;IF(Scan2VKFlags!L160&lt;&gt;""," flags="""&amp;Scan2VKFlags!L160&amp;"""","")&amp;"/&gt;","")</f>
        <v>&lt;vk kbd="11" vk="END"/&gt;</v>
      </c>
      <c r="AQ160" s="15" t="str">
        <f>IF(P160&lt;&gt;"","&lt;vk kbd="""&amp;P$1&amp;""" vk="""&amp;P160&amp;""""&amp;IF(Scan2VKFlags!M160&lt;&gt;""," flags="""&amp;Scan2VKFlags!M160&amp;"""","")&amp;"/&gt;","")</f>
        <v>&lt;vk kbd="12" vk="END"/&gt;</v>
      </c>
      <c r="AR160" s="16" t="str">
        <f>IF(Q160&lt;&gt;"","&lt;vk kbd="""&amp;Q$1&amp;""" vk="""&amp;Q160&amp;""""&amp;IF(Scan2VKFlags!N160&lt;&gt;""," flags="""&amp;Scan2VKFlags!N160&amp;"""","")&amp;"/&gt;","")</f>
        <v>&lt;vk kbd="13" vk="END"/&gt;</v>
      </c>
      <c r="AS160" s="3" t="str">
        <f>IF(S160&lt;&gt;"","&lt;vk kbd="""&amp;S$1&amp;""" vk="""&amp;S160&amp;""""&amp;IF(Scan2VKFlags!O160&lt;&gt;""," flags="""&amp;Scan2VKFlags!O160&amp;"""","")&amp;"/&gt;","")</f>
        <v>&lt;vk kbd="20" vk="_none_"/&gt;</v>
      </c>
      <c r="AT160" s="15" t="str">
        <f>IF(T160&lt;&gt;"","&lt;vk kbd="""&amp;T$1&amp;""" vk="""&amp;T160&amp;""""&amp;IF(Scan2VKFlags!P160&lt;&gt;""," flags="""&amp;Scan2VKFlags!P160&amp;"""","")&amp;"/&gt;","")</f>
        <v>&lt;vk kbd="21" vk="_none_"/&gt;</v>
      </c>
      <c r="AU160" s="16" t="str">
        <f>IF(U160&lt;&gt;"","&lt;vk kbd="""&amp;U$1&amp;""" vk="""&amp;U160&amp;""""&amp;IF(Scan2VKFlags!Q160&lt;&gt;""," flags="""&amp;Scan2VKFlags!Q160&amp;"""","")&amp;"/&gt;","")</f>
        <v>&lt;vk kbd="22" vk="END"/&gt;</v>
      </c>
      <c r="AV160" s="3" t="str">
        <f>IF(W160&lt;&gt;"","&lt;vk kbd="""&amp;W$1&amp;""" vk="""&amp;W160&amp;""""&amp;IF(Scan2VKFlags!R160&lt;&gt;""," flags="""&amp;Scan2VKFlags!R160&amp;"""","")&amp;"/&gt;","")</f>
        <v>&lt;vk kbd="30" vk="END"/&gt;</v>
      </c>
      <c r="AW160" s="15" t="str">
        <f>IF(X160&lt;&gt;"","&lt;vk kbd="""&amp;X$1&amp;""" vk="""&amp;X160&amp;""""&amp;IF(Scan2VKFlags!S160&lt;&gt;""," flags="""&amp;Scan2VKFlags!S160&amp;"""","")&amp;"/&gt;","")</f>
        <v>&lt;vk kbd="33" vk="END"/&gt;</v>
      </c>
      <c r="AX160" s="15" t="str">
        <f>IF(Y160&lt;&gt;"","&lt;vk kbd="""&amp;Y$1&amp;""" vk="""&amp;Y160&amp;""""&amp;IF(Scan2VKFlags!T160&lt;&gt;""," flags="""&amp;Scan2VKFlags!T160&amp;"""","")&amp;"/&gt;","")</f>
        <v>&lt;vk kbd="34" vk="END"/&gt;</v>
      </c>
      <c r="AY160" s="18" t="str">
        <f>IF(AA160&lt;&gt;"","&lt;vk kbd="""&amp;AA$1&amp;""" vk="""&amp;AA160&amp;""""&amp;IF(Scan2VKFlags!U160&lt;&gt;""," flags="""&amp;Scan2VKFlags!U160&amp;"""","")&amp;"/&gt;","")</f>
        <v/>
      </c>
      <c r="AZ160" s="3" t="str">
        <f>IF(AC160&lt;&gt;"","&lt;vk kbd="""&amp;AC$1&amp;""" vk="""&amp;AC160&amp;""""&amp;IF(Scan2VKFlags!V160&lt;&gt;""," flags="""&amp;Scan2VKFlags!V160&amp;"""","")&amp;"/&gt;","")</f>
        <v>&lt;vk kbd="40" vk="ADD"/&gt;</v>
      </c>
      <c r="BA160" s="16" t="str">
        <f>IF(AD160&lt;&gt;"","&lt;vk kbd="""&amp;AD$1&amp;""" vk="""&amp;AD160&amp;""""&amp;IF(Scan2VKFlags!W160&lt;&gt;""," flags="""&amp;Scan2VKFlags!W160&amp;"""","")&amp;"/&gt;","")</f>
        <v>&lt;vk kbd="41" vk="ADD"/&gt;</v>
      </c>
      <c r="BB160" s="15" t="s">
        <v>854</v>
      </c>
    </row>
    <row r="161" spans="2:54" s="15" customFormat="1" x14ac:dyDescent="0.25">
      <c r="B161" s="52" t="s">
        <v>167</v>
      </c>
      <c r="C161" s="7" t="s">
        <v>80</v>
      </c>
      <c r="D161" s="44" t="str">
        <f>trimtext(SplitText($C161,",",0))</f>
        <v>DOWN</v>
      </c>
      <c r="E161" s="44" t="str">
        <f>IF(SplitText($C161,",",COLUMN(E:E)-COLUMN($D:$D))="",$D161,trimtext(SplitText($C161,",",COLUMN(E:E)-COLUMN($D:$D))))</f>
        <v>DOWN</v>
      </c>
      <c r="F161" s="44" t="str">
        <f>IF(SplitText($C161,",",COLUMN(F:F)-COLUMN($D:$D))="",$D161,trimtext(SplitText($C161,",",COLUMN(F:F)-COLUMN($D:$D))))</f>
        <v>DOWN</v>
      </c>
      <c r="G161" s="44" t="str">
        <f>IF(SplitText($C161,",",COLUMN(G:G)-COLUMN($D:$D))="",$D161,trimtext(SplitText($C161,",",COLUMN(G:G)-COLUMN($D:$D))))</f>
        <v>DOWN</v>
      </c>
      <c r="H161" s="44" t="str">
        <f>IF(SplitText($C161,",",COLUMN(H:H)-COLUMN($D:$D))="",$D161,trimtext(SplitText($C161,",",COLUMN(H:H)-COLUMN($D:$D))))</f>
        <v>DOWN</v>
      </c>
      <c r="I161" s="44" t="str">
        <f>IF(SplitText($C161,",",COLUMN(I:I)-COLUMN($D:$D))="",$D161,trimtext(SplitText($C161,",",COLUMN(I:I)-COLUMN($D:$D))))</f>
        <v>DOWN</v>
      </c>
      <c r="J161" s="9" t="s">
        <v>265</v>
      </c>
      <c r="K161" s="44" t="str">
        <f>trimtext(SplitText($J161,",",0))</f>
        <v>DOWN</v>
      </c>
      <c r="L161" s="44" t="str">
        <f>IF(SplitText($J161,",",COLUMN(L:L)-COLUMN($K:$K))="",$K161,trimtext(SplitText($J161,",",COLUMN(L:L)-COLUMN($K:$K))))</f>
        <v>DOWN</v>
      </c>
      <c r="M161" s="44" t="str">
        <f>IF(SplitText($J161,",",COLUMN(M:M)-COLUMN($K:$K))="",$K161,trimtext(SplitText($J161,",",COLUMN(M:M)-COLUMN($K:$K))))</f>
        <v>DOWN</v>
      </c>
      <c r="N161" s="44" t="str">
        <f>IF(SplitText($J161,",",COLUMN(N:N)-COLUMN($K:$K))="",$K161,trimtext(SplitText($J161,",",COLUMN(N:N)-COLUMN($K:$K))))</f>
        <v>DOWN</v>
      </c>
      <c r="O161" s="44" t="str">
        <f>IF(SplitText($J161,",",COLUMN(O:O)-COLUMN($K:$K))="",$K161,trimtext(SplitText($J161,",",COLUMN(O:O)-COLUMN($K:$K))))</f>
        <v>DOWN</v>
      </c>
      <c r="P161" s="44" t="str">
        <f>IF(SplitText($J161,",",COLUMN(P:P)-COLUMN($K:$K))="",$K161,trimtext(SplitText($J161,",",COLUMN(P:P)-COLUMN($K:$K))))</f>
        <v>DOWN</v>
      </c>
      <c r="Q161" s="44" t="str">
        <f>IF(SplitText($J161,",",COLUMN(Q:Q)-COLUMN($K:$K))="",$K161,trimtext(SplitText($J161,",",COLUMN(Q:Q)-COLUMN($K:$K))))</f>
        <v>DOWN</v>
      </c>
      <c r="R161" s="2" t="s">
        <v>480</v>
      </c>
      <c r="S161" s="44" t="str">
        <f>trimtext(SplitText($R161,",",0))</f>
        <v>_none_</v>
      </c>
      <c r="T161" s="44" t="str">
        <f>IF(SplitText($R161,",",COLUMN(T:T)-COLUMN($S:$S))="",$S161,trimtext(SplitText($R161,",",COLUMN(T:T)-COLUMN($S:$S))))</f>
        <v>_none_</v>
      </c>
      <c r="U161" s="45" t="str">
        <f>IF(SplitText($R161,",",COLUMN(U:U)-COLUMN($S:$S))="",$S161,trimtext(SplitText($R161,",",COLUMN(U:U)-COLUMN($S:$S))))</f>
        <v>DOWN</v>
      </c>
      <c r="V161" s="53" t="s">
        <v>586</v>
      </c>
      <c r="W161" s="44" t="str">
        <f>trimtext(SplitText($V161,",",0))</f>
        <v>DOWN</v>
      </c>
      <c r="X161" s="44" t="str">
        <f>IF(SplitText($V161,",",COLUMN(X:X)-COLUMN($W:$W))="",$W161,trimtext(SplitText($V161,",",COLUMN(X:X)-COLUMN($W:$W))))</f>
        <v>DOWN</v>
      </c>
      <c r="Y161" s="44" t="str">
        <f>IF(SplitText($V161,",",COLUMN(Y:Y)-COLUMN($W:$W))="",$W161,trimtext(SplitText($V161,",",COLUMN(Y:Y)-COLUMN($W:$W))))</f>
        <v>DOWN</v>
      </c>
      <c r="Z161" s="24"/>
      <c r="AA161" s="44" t="str">
        <f t="shared" si="13"/>
        <v/>
      </c>
      <c r="AB161" s="2" t="s">
        <v>822</v>
      </c>
      <c r="AC161" s="44" t="str">
        <f>trimtext(SplitText($AB161,",",0))</f>
        <v>END</v>
      </c>
      <c r="AD161" s="44" t="str">
        <f>IF(SplitText($AB161,",",COLUMN(AD:AD)-COLUMN($AC:$AC))="",$AC161,trimtext(SplitText($AB161,",",COLUMN(AD:AD)-COLUMN($AC:$AC))))</f>
        <v>END</v>
      </c>
      <c r="AE161" s="18" t="str">
        <f t="shared" si="12"/>
        <v>&lt;xs:enumeration value="X50"&gt;&lt;xs:annotation&gt;&lt;xs:documentation&gt;Typically DOWN for keyboard type 4, different values for different keyboard types&lt;/xs:documentation&gt;&lt;xs:appinfo&gt;&lt;default-vk&gt;</v>
      </c>
      <c r="AF161" s="15" t="str">
        <f>IF(D161&lt;&gt;"","&lt;vk kbd="""&amp;D$1&amp;""" vk="""&amp;D161&amp;""""&amp;IF(Scan2VKFlags!B161&lt;&gt;""," flags="""&amp;Scan2VKFlags!B161&amp;"""","")&amp;"/&gt;","")</f>
        <v>&lt;vk kbd="1" vk="DOWN"/&gt;</v>
      </c>
      <c r="AG161" s="15" t="str">
        <f>IF(E161&lt;&gt;"","&lt;vk kbd="""&amp;E$1&amp;""" vk="""&amp;E161&amp;""""&amp;IF(Scan2VKFlags!C161&lt;&gt;""," flags="""&amp;Scan2VKFlags!C161&amp;"""","")&amp;"/&gt;","")</f>
        <v>&lt;vk kbd="2" vk="DOWN"/&gt;</v>
      </c>
      <c r="AH161" s="15" t="str">
        <f>IF(F161&lt;&gt;"","&lt;vk kbd="""&amp;F$1&amp;""" vk="""&amp;F161&amp;""""&amp;IF(Scan2VKFlags!D161&lt;&gt;""," flags="""&amp;Scan2VKFlags!D161&amp;"""","")&amp;"/&gt;","")</f>
        <v>&lt;vk kbd="3" vk="DOWN"/&gt;</v>
      </c>
      <c r="AI161" s="15" t="str">
        <f>IF(G161&lt;&gt;"","&lt;vk kbd="""&amp;G$1&amp;""" vk="""&amp;G161&amp;""""&amp;IF(Scan2VKFlags!E161&lt;&gt;""," flags="""&amp;Scan2VKFlags!E161&amp;"""","")&amp;"/&gt;","")</f>
        <v>&lt;vk kbd="4" vk="DOWN" flags="KBDEXT"/&gt;</v>
      </c>
      <c r="AJ161" s="15" t="str">
        <f>IF(H161&lt;&gt;"","&lt;vk kbd="""&amp;H$1&amp;""" vk="""&amp;H161&amp;""""&amp;IF(Scan2VKFlags!F161&lt;&gt;""," flags="""&amp;Scan2VKFlags!F161&amp;"""","")&amp;"/&gt;","")</f>
        <v>&lt;vk kbd="5" vk="DOWN"/&gt;</v>
      </c>
      <c r="AK161" s="16" t="str">
        <f>IF(I161&lt;&gt;"","&lt;vk kbd="""&amp;I$1&amp;""" vk="""&amp;I161&amp;""""&amp;IF(Scan2VKFlags!G161&lt;&gt;""," flags="""&amp;Scan2VKFlags!G161&amp;"""","")&amp;"/&gt;","")</f>
        <v>&lt;vk kbd="6" vk="DOWN"/&gt;</v>
      </c>
      <c r="AL161" s="3" t="str">
        <f>IF(K161&lt;&gt;"","&lt;vk kbd="""&amp;K$1&amp;""" vk="""&amp;K161&amp;""""&amp;IF(Scan2VKFlags!H161&lt;&gt;""," flags="""&amp;Scan2VKFlags!H161&amp;"""","")&amp;"/&gt;","")</f>
        <v>&lt;vk kbd="7" vk="DOWN"/&gt;</v>
      </c>
      <c r="AM161" s="15" t="str">
        <f>IF(L161&lt;&gt;"","&lt;vk kbd="""&amp;L$1&amp;""" vk="""&amp;L161&amp;""""&amp;IF(Scan2VKFlags!I161&lt;&gt;""," flags="""&amp;Scan2VKFlags!I161&amp;"""","")&amp;"/&gt;","")</f>
        <v>&lt;vk kbd="8" vk="DOWN"/&gt;</v>
      </c>
      <c r="AN161" s="15" t="str">
        <f>IF(M161&lt;&gt;"","&lt;vk kbd="""&amp;M$1&amp;""" vk="""&amp;M161&amp;""""&amp;IF(Scan2VKFlags!J161&lt;&gt;""," flags="""&amp;Scan2VKFlags!J161&amp;"""","")&amp;"/&gt;","")</f>
        <v>&lt;vk kbd="16" vk="DOWN"/&gt;</v>
      </c>
      <c r="AO161" s="15" t="str">
        <f>IF(N161&lt;&gt;"","&lt;vk kbd="""&amp;N$1&amp;""" vk="""&amp;N161&amp;""""&amp;IF(Scan2VKFlags!K161&lt;&gt;""," flags="""&amp;Scan2VKFlags!K161&amp;"""","")&amp;"/&gt;","")</f>
        <v>&lt;vk kbd="10" vk="DOWN"/&gt;</v>
      </c>
      <c r="AP161" s="15" t="str">
        <f>IF(O161&lt;&gt;"","&lt;vk kbd="""&amp;O$1&amp;""" vk="""&amp;O161&amp;""""&amp;IF(Scan2VKFlags!L161&lt;&gt;""," flags="""&amp;Scan2VKFlags!L161&amp;"""","")&amp;"/&gt;","")</f>
        <v>&lt;vk kbd="11" vk="DOWN"/&gt;</v>
      </c>
      <c r="AQ161" s="15" t="str">
        <f>IF(P161&lt;&gt;"","&lt;vk kbd="""&amp;P$1&amp;""" vk="""&amp;P161&amp;""""&amp;IF(Scan2VKFlags!M161&lt;&gt;""," flags="""&amp;Scan2VKFlags!M161&amp;"""","")&amp;"/&gt;","")</f>
        <v>&lt;vk kbd="12" vk="DOWN"/&gt;</v>
      </c>
      <c r="AR161" s="16" t="str">
        <f>IF(Q161&lt;&gt;"","&lt;vk kbd="""&amp;Q$1&amp;""" vk="""&amp;Q161&amp;""""&amp;IF(Scan2VKFlags!N161&lt;&gt;""," flags="""&amp;Scan2VKFlags!N161&amp;"""","")&amp;"/&gt;","")</f>
        <v>&lt;vk kbd="13" vk="DOWN"/&gt;</v>
      </c>
      <c r="AS161" s="3" t="str">
        <f>IF(S161&lt;&gt;"","&lt;vk kbd="""&amp;S$1&amp;""" vk="""&amp;S161&amp;""""&amp;IF(Scan2VKFlags!O161&lt;&gt;""," flags="""&amp;Scan2VKFlags!O161&amp;"""","")&amp;"/&gt;","")</f>
        <v>&lt;vk kbd="20" vk="_none_"/&gt;</v>
      </c>
      <c r="AT161" s="15" t="str">
        <f>IF(T161&lt;&gt;"","&lt;vk kbd="""&amp;T$1&amp;""" vk="""&amp;T161&amp;""""&amp;IF(Scan2VKFlags!P161&lt;&gt;""," flags="""&amp;Scan2VKFlags!P161&amp;"""","")&amp;"/&gt;","")</f>
        <v>&lt;vk kbd="21" vk="_none_"/&gt;</v>
      </c>
      <c r="AU161" s="16" t="str">
        <f>IF(U161&lt;&gt;"","&lt;vk kbd="""&amp;U$1&amp;""" vk="""&amp;U161&amp;""""&amp;IF(Scan2VKFlags!Q161&lt;&gt;""," flags="""&amp;Scan2VKFlags!Q161&amp;"""","")&amp;"/&gt;","")</f>
        <v>&lt;vk kbd="22" vk="DOWN"/&gt;</v>
      </c>
      <c r="AV161" s="3" t="str">
        <f>IF(W161&lt;&gt;"","&lt;vk kbd="""&amp;W$1&amp;""" vk="""&amp;W161&amp;""""&amp;IF(Scan2VKFlags!R161&lt;&gt;""," flags="""&amp;Scan2VKFlags!R161&amp;"""","")&amp;"/&gt;","")</f>
        <v>&lt;vk kbd="30" vk="DOWN"/&gt;</v>
      </c>
      <c r="AW161" s="15" t="str">
        <f>IF(X161&lt;&gt;"","&lt;vk kbd="""&amp;X$1&amp;""" vk="""&amp;X161&amp;""""&amp;IF(Scan2VKFlags!S161&lt;&gt;""," flags="""&amp;Scan2VKFlags!S161&amp;"""","")&amp;"/&gt;","")</f>
        <v>&lt;vk kbd="33" vk="DOWN"/&gt;</v>
      </c>
      <c r="AX161" s="15" t="str">
        <f>IF(Y161&lt;&gt;"","&lt;vk kbd="""&amp;Y$1&amp;""" vk="""&amp;Y161&amp;""""&amp;IF(Scan2VKFlags!T161&lt;&gt;""," flags="""&amp;Scan2VKFlags!T161&amp;"""","")&amp;"/&gt;","")</f>
        <v>&lt;vk kbd="34" vk="DOWN"/&gt;</v>
      </c>
      <c r="AY161" s="18" t="str">
        <f>IF(AA161&lt;&gt;"","&lt;vk kbd="""&amp;AA$1&amp;""" vk="""&amp;AA161&amp;""""&amp;IF(Scan2VKFlags!U161&lt;&gt;""," flags="""&amp;Scan2VKFlags!U161&amp;"""","")&amp;"/&gt;","")</f>
        <v/>
      </c>
      <c r="AZ161" s="3" t="str">
        <f>IF(AC161&lt;&gt;"","&lt;vk kbd="""&amp;AC$1&amp;""" vk="""&amp;AC161&amp;""""&amp;IF(Scan2VKFlags!V161&lt;&gt;""," flags="""&amp;Scan2VKFlags!V161&amp;"""","")&amp;"/&gt;","")</f>
        <v>&lt;vk kbd="40" vk="END"/&gt;</v>
      </c>
      <c r="BA161" s="16" t="str">
        <f>IF(AD161&lt;&gt;"","&lt;vk kbd="""&amp;AD$1&amp;""" vk="""&amp;AD161&amp;""""&amp;IF(Scan2VKFlags!W161&lt;&gt;""," flags="""&amp;Scan2VKFlags!W161&amp;"""","")&amp;"/&gt;","")</f>
        <v>&lt;vk kbd="41" vk="END"/&gt;</v>
      </c>
      <c r="BB161" s="15" t="s">
        <v>854</v>
      </c>
    </row>
    <row r="162" spans="2:54" s="15" customFormat="1" x14ac:dyDescent="0.25">
      <c r="B162" s="52" t="s">
        <v>168</v>
      </c>
      <c r="C162" s="7" t="s">
        <v>131</v>
      </c>
      <c r="D162" s="44" t="str">
        <f>trimtext(SplitText($C162,",",0))</f>
        <v>NEXT</v>
      </c>
      <c r="E162" s="44" t="str">
        <f>IF(SplitText($C162,",",COLUMN(E:E)-COLUMN($D:$D))="",$D162,trimtext(SplitText($C162,",",COLUMN(E:E)-COLUMN($D:$D))))</f>
        <v>F1</v>
      </c>
      <c r="F162" s="44" t="str">
        <f>IF(SplitText($C162,",",COLUMN(F:F)-COLUMN($D:$D))="",$D162,trimtext(SplitText($C162,",",COLUMN(F:F)-COLUMN($D:$D))))</f>
        <v>NEXT</v>
      </c>
      <c r="G162" s="44" t="str">
        <f>IF(SplitText($C162,",",COLUMN(G:G)-COLUMN($D:$D))="",$D162,trimtext(SplitText($C162,",",COLUMN(G:G)-COLUMN($D:$D))))</f>
        <v>NEXT</v>
      </c>
      <c r="H162" s="44" t="str">
        <f>IF(SplitText($C162,",",COLUMN(H:H)-COLUMN($D:$D))="",$D162,trimtext(SplitText($C162,",",COLUMN(H:H)-COLUMN($D:$D))))</f>
        <v>_none_</v>
      </c>
      <c r="I162" s="44" t="str">
        <f>IF(SplitText($C162,",",COLUMN(I:I)-COLUMN($D:$D))="",$D162,trimtext(SplitText($C162,",",COLUMN(I:I)-COLUMN($D:$D))))</f>
        <v>OEM_PA2</v>
      </c>
      <c r="J162" s="9" t="s">
        <v>266</v>
      </c>
      <c r="K162" s="44" t="str">
        <f>trimtext(SplitText($J162,",",0))</f>
        <v>NEXT</v>
      </c>
      <c r="L162" s="44" t="str">
        <f>IF(SplitText($J162,",",COLUMN(L:L)-COLUMN($K:$K))="",$K162,trimtext(SplitText($J162,",",COLUMN(L:L)-COLUMN($K:$K))))</f>
        <v>NEXT</v>
      </c>
      <c r="M162" s="44" t="str">
        <f>IF(SplitText($J162,",",COLUMN(M:M)-COLUMN($K:$K))="",$K162,trimtext(SplitText($J162,",",COLUMN(M:M)-COLUMN($K:$K))))</f>
        <v>NEXT</v>
      </c>
      <c r="N162" s="44" t="str">
        <f>IF(SplitText($J162,",",COLUMN(N:N)-COLUMN($K:$K))="",$K162,trimtext(SplitText($J162,",",COLUMN(N:N)-COLUMN($K:$K))))</f>
        <v>NEXT</v>
      </c>
      <c r="O162" s="44" t="str">
        <f>IF(SplitText($J162,",",COLUMN(O:O)-COLUMN($K:$K))="",$K162,trimtext(SplitText($J162,",",COLUMN(O:O)-COLUMN($K:$K))))</f>
        <v>NEXT</v>
      </c>
      <c r="P162" s="44" t="str">
        <f>IF(SplitText($J162,",",COLUMN(P:P)-COLUMN($K:$K))="",$K162,trimtext(SplitText($J162,",",COLUMN(P:P)-COLUMN($K:$K))))</f>
        <v>NEXT</v>
      </c>
      <c r="Q162" s="44" t="str">
        <f>IF(SplitText($J162,",",COLUMN(Q:Q)-COLUMN($K:$K))="",$K162,trimtext(SplitText($J162,",",COLUMN(Q:Q)-COLUMN($K:$K))))</f>
        <v>NEXT</v>
      </c>
      <c r="R162" s="2" t="s">
        <v>481</v>
      </c>
      <c r="S162" s="44" t="str">
        <f>trimtext(SplitText($R162,",",0))</f>
        <v>_none_</v>
      </c>
      <c r="T162" s="44" t="str">
        <f>IF(SplitText($R162,",",COLUMN(T:T)-COLUMN($S:$S))="",$S162,trimtext(SplitText($R162,",",COLUMN(T:T)-COLUMN($S:$S))))</f>
        <v>_none_</v>
      </c>
      <c r="U162" s="45" t="str">
        <f>IF(SplitText($R162,",",COLUMN(U:U)-COLUMN($S:$S))="",$S162,trimtext(SplitText($R162,",",COLUMN(U:U)-COLUMN($S:$S))))</f>
        <v>NEXT</v>
      </c>
      <c r="V162" s="53" t="s">
        <v>587</v>
      </c>
      <c r="W162" s="44" t="str">
        <f>trimtext(SplitText($V162,",",0))</f>
        <v>NEXT</v>
      </c>
      <c r="X162" s="44" t="str">
        <f>IF(SplitText($V162,",",COLUMN(X:X)-COLUMN($W:$W))="",$W162,trimtext(SplitText($V162,",",COLUMN(X:X)-COLUMN($W:$W))))</f>
        <v>NEXT</v>
      </c>
      <c r="Y162" s="44" t="str">
        <f>IF(SplitText($V162,",",COLUMN(Y:Y)-COLUMN($W:$W))="",$W162,trimtext(SplitText($V162,",",COLUMN(Y:Y)-COLUMN($W:$W))))</f>
        <v>NEXT</v>
      </c>
      <c r="Z162" s="24"/>
      <c r="AA162" s="44" t="str">
        <f t="shared" si="13"/>
        <v/>
      </c>
      <c r="AB162" s="2" t="s">
        <v>823</v>
      </c>
      <c r="AC162" s="44" t="str">
        <f>trimtext(SplitText($AB162,",",0))</f>
        <v>DOWN</v>
      </c>
      <c r="AD162" s="44" t="str">
        <f>IF(SplitText($AB162,",",COLUMN(AD:AD)-COLUMN($AC:$AC))="",$AC162,trimtext(SplitText($AB162,",",COLUMN(AD:AD)-COLUMN($AC:$AC))))</f>
        <v>DOWN</v>
      </c>
      <c r="AE162" s="18" t="str">
        <f t="shared" si="12"/>
        <v>&lt;xs:enumeration value="X51"&gt;&lt;xs:annotation&gt;&lt;xs:documentation&gt;Typically NEXT for keyboard type 4, different values for different keyboard types&lt;/xs:documentation&gt;&lt;xs:appinfo&gt;&lt;default-vk&gt;</v>
      </c>
      <c r="AF162" s="15" t="str">
        <f>IF(D162&lt;&gt;"","&lt;vk kbd="""&amp;D$1&amp;""" vk="""&amp;D162&amp;""""&amp;IF(Scan2VKFlags!B162&lt;&gt;""," flags="""&amp;Scan2VKFlags!B162&amp;"""","")&amp;"/&gt;","")</f>
        <v>&lt;vk kbd="1" vk="NEXT"/&gt;</v>
      </c>
      <c r="AG162" s="15" t="str">
        <f>IF(E162&lt;&gt;"","&lt;vk kbd="""&amp;E$1&amp;""" vk="""&amp;E162&amp;""""&amp;IF(Scan2VKFlags!C162&lt;&gt;""," flags="""&amp;Scan2VKFlags!C162&amp;"""","")&amp;"/&gt;","")</f>
        <v>&lt;vk kbd="2" vk="F1"/&gt;</v>
      </c>
      <c r="AH162" s="15" t="str">
        <f>IF(F162&lt;&gt;"","&lt;vk kbd="""&amp;F$1&amp;""" vk="""&amp;F162&amp;""""&amp;IF(Scan2VKFlags!D162&lt;&gt;""," flags="""&amp;Scan2VKFlags!D162&amp;"""","")&amp;"/&gt;","")</f>
        <v>&lt;vk kbd="3" vk="NEXT"/&gt;</v>
      </c>
      <c r="AI162" s="15" t="str">
        <f>IF(G162&lt;&gt;"","&lt;vk kbd="""&amp;G$1&amp;""" vk="""&amp;G162&amp;""""&amp;IF(Scan2VKFlags!E162&lt;&gt;""," flags="""&amp;Scan2VKFlags!E162&amp;"""","")&amp;"/&gt;","")</f>
        <v>&lt;vk kbd="4" vk="NEXT" flags="KBDEXT"/&gt;</v>
      </c>
      <c r="AJ162" s="15" t="str">
        <f>IF(H162&lt;&gt;"","&lt;vk kbd="""&amp;H$1&amp;""" vk="""&amp;H162&amp;""""&amp;IF(Scan2VKFlags!F162&lt;&gt;""," flags="""&amp;Scan2VKFlags!F162&amp;"""","")&amp;"/&gt;","")</f>
        <v>&lt;vk kbd="5" vk="_none_"/&gt;</v>
      </c>
      <c r="AK162" s="16" t="str">
        <f>IF(I162&lt;&gt;"","&lt;vk kbd="""&amp;I$1&amp;""" vk="""&amp;I162&amp;""""&amp;IF(Scan2VKFlags!G162&lt;&gt;""," flags="""&amp;Scan2VKFlags!G162&amp;"""","")&amp;"/&gt;","")</f>
        <v>&lt;vk kbd="6" vk="OEM_PA2"/&gt;</v>
      </c>
      <c r="AL162" s="3" t="str">
        <f>IF(K162&lt;&gt;"","&lt;vk kbd="""&amp;K$1&amp;""" vk="""&amp;K162&amp;""""&amp;IF(Scan2VKFlags!H162&lt;&gt;""," flags="""&amp;Scan2VKFlags!H162&amp;"""","")&amp;"/&gt;","")</f>
        <v>&lt;vk kbd="7" vk="NEXT"/&gt;</v>
      </c>
      <c r="AM162" s="15" t="str">
        <f>IF(L162&lt;&gt;"","&lt;vk kbd="""&amp;L$1&amp;""" vk="""&amp;L162&amp;""""&amp;IF(Scan2VKFlags!I162&lt;&gt;""," flags="""&amp;Scan2VKFlags!I162&amp;"""","")&amp;"/&gt;","")</f>
        <v>&lt;vk kbd="8" vk="NEXT"/&gt;</v>
      </c>
      <c r="AN162" s="15" t="str">
        <f>IF(M162&lt;&gt;"","&lt;vk kbd="""&amp;M$1&amp;""" vk="""&amp;M162&amp;""""&amp;IF(Scan2VKFlags!J162&lt;&gt;""," flags="""&amp;Scan2VKFlags!J162&amp;"""","")&amp;"/&gt;","")</f>
        <v>&lt;vk kbd="16" vk="NEXT"/&gt;</v>
      </c>
      <c r="AO162" s="15" t="str">
        <f>IF(N162&lt;&gt;"","&lt;vk kbd="""&amp;N$1&amp;""" vk="""&amp;N162&amp;""""&amp;IF(Scan2VKFlags!K162&lt;&gt;""," flags="""&amp;Scan2VKFlags!K162&amp;"""","")&amp;"/&gt;","")</f>
        <v>&lt;vk kbd="10" vk="NEXT"/&gt;</v>
      </c>
      <c r="AP162" s="15" t="str">
        <f>IF(O162&lt;&gt;"","&lt;vk kbd="""&amp;O$1&amp;""" vk="""&amp;O162&amp;""""&amp;IF(Scan2VKFlags!L162&lt;&gt;""," flags="""&amp;Scan2VKFlags!L162&amp;"""","")&amp;"/&gt;","")</f>
        <v>&lt;vk kbd="11" vk="NEXT"/&gt;</v>
      </c>
      <c r="AQ162" s="15" t="str">
        <f>IF(P162&lt;&gt;"","&lt;vk kbd="""&amp;P$1&amp;""" vk="""&amp;P162&amp;""""&amp;IF(Scan2VKFlags!M162&lt;&gt;""," flags="""&amp;Scan2VKFlags!M162&amp;"""","")&amp;"/&gt;","")</f>
        <v>&lt;vk kbd="12" vk="NEXT"/&gt;</v>
      </c>
      <c r="AR162" s="16" t="str">
        <f>IF(Q162&lt;&gt;"","&lt;vk kbd="""&amp;Q$1&amp;""" vk="""&amp;Q162&amp;""""&amp;IF(Scan2VKFlags!N162&lt;&gt;""," flags="""&amp;Scan2VKFlags!N162&amp;"""","")&amp;"/&gt;","")</f>
        <v>&lt;vk kbd="13" vk="NEXT"/&gt;</v>
      </c>
      <c r="AS162" s="3" t="str">
        <f>IF(S162&lt;&gt;"","&lt;vk kbd="""&amp;S$1&amp;""" vk="""&amp;S162&amp;""""&amp;IF(Scan2VKFlags!O162&lt;&gt;""," flags="""&amp;Scan2VKFlags!O162&amp;"""","")&amp;"/&gt;","")</f>
        <v>&lt;vk kbd="20" vk="_none_"/&gt;</v>
      </c>
      <c r="AT162" s="15" t="str">
        <f>IF(T162&lt;&gt;"","&lt;vk kbd="""&amp;T$1&amp;""" vk="""&amp;T162&amp;""""&amp;IF(Scan2VKFlags!P162&lt;&gt;""," flags="""&amp;Scan2VKFlags!P162&amp;"""","")&amp;"/&gt;","")</f>
        <v>&lt;vk kbd="21" vk="_none_"/&gt;</v>
      </c>
      <c r="AU162" s="16" t="str">
        <f>IF(U162&lt;&gt;"","&lt;vk kbd="""&amp;U$1&amp;""" vk="""&amp;U162&amp;""""&amp;IF(Scan2VKFlags!Q162&lt;&gt;""," flags="""&amp;Scan2VKFlags!Q162&amp;"""","")&amp;"/&gt;","")</f>
        <v>&lt;vk kbd="22" vk="NEXT"/&gt;</v>
      </c>
      <c r="AV162" s="3" t="str">
        <f>IF(W162&lt;&gt;"","&lt;vk kbd="""&amp;W$1&amp;""" vk="""&amp;W162&amp;""""&amp;IF(Scan2VKFlags!R162&lt;&gt;""," flags="""&amp;Scan2VKFlags!R162&amp;"""","")&amp;"/&gt;","")</f>
        <v>&lt;vk kbd="30" vk="NEXT"/&gt;</v>
      </c>
      <c r="AW162" s="15" t="str">
        <f>IF(X162&lt;&gt;"","&lt;vk kbd="""&amp;X$1&amp;""" vk="""&amp;X162&amp;""""&amp;IF(Scan2VKFlags!S162&lt;&gt;""," flags="""&amp;Scan2VKFlags!S162&amp;"""","")&amp;"/&gt;","")</f>
        <v>&lt;vk kbd="33" vk="NEXT"/&gt;</v>
      </c>
      <c r="AX162" s="15" t="str">
        <f>IF(Y162&lt;&gt;"","&lt;vk kbd="""&amp;Y$1&amp;""" vk="""&amp;Y162&amp;""""&amp;IF(Scan2VKFlags!T162&lt;&gt;""," flags="""&amp;Scan2VKFlags!T162&amp;"""","")&amp;"/&gt;","")</f>
        <v>&lt;vk kbd="34" vk="NEXT"/&gt;</v>
      </c>
      <c r="AY162" s="18" t="str">
        <f>IF(AA162&lt;&gt;"","&lt;vk kbd="""&amp;AA$1&amp;""" vk="""&amp;AA162&amp;""""&amp;IF(Scan2VKFlags!U162&lt;&gt;""," flags="""&amp;Scan2VKFlags!U162&amp;"""","")&amp;"/&gt;","")</f>
        <v/>
      </c>
      <c r="AZ162" s="3" t="str">
        <f>IF(AC162&lt;&gt;"","&lt;vk kbd="""&amp;AC$1&amp;""" vk="""&amp;AC162&amp;""""&amp;IF(Scan2VKFlags!V162&lt;&gt;""," flags="""&amp;Scan2VKFlags!V162&amp;"""","")&amp;"/&gt;","")</f>
        <v>&lt;vk kbd="40" vk="DOWN"/&gt;</v>
      </c>
      <c r="BA162" s="16" t="str">
        <f>IF(AD162&lt;&gt;"","&lt;vk kbd="""&amp;AD$1&amp;""" vk="""&amp;AD162&amp;""""&amp;IF(Scan2VKFlags!W162&lt;&gt;""," flags="""&amp;Scan2VKFlags!W162&amp;"""","")&amp;"/&gt;","")</f>
        <v>&lt;vk kbd="41" vk="DOWN"/&gt;</v>
      </c>
      <c r="BB162" s="15" t="s">
        <v>854</v>
      </c>
    </row>
    <row r="163" spans="2:54" s="15" customFormat="1" x14ac:dyDescent="0.25">
      <c r="B163" s="52" t="s">
        <v>169</v>
      </c>
      <c r="C163" s="7" t="s">
        <v>82</v>
      </c>
      <c r="D163" s="44" t="str">
        <f>trimtext(SplitText($C163,",",0))</f>
        <v>INSERT</v>
      </c>
      <c r="E163" s="44" t="str">
        <f>IF(SplitText($C163,",",COLUMN(E:E)-COLUMN($D:$D))="",$D163,trimtext(SplitText($C163,",",COLUMN(E:E)-COLUMN($D:$D))))</f>
        <v>INSERT</v>
      </c>
      <c r="F163" s="44" t="str">
        <f>IF(SplitText($C163,",",COLUMN(F:F)-COLUMN($D:$D))="",$D163,trimtext(SplitText($C163,",",COLUMN(F:F)-COLUMN($D:$D))))</f>
        <v>INSERT</v>
      </c>
      <c r="G163" s="44" t="str">
        <f>IF(SplitText($C163,",",COLUMN(G:G)-COLUMN($D:$D))="",$D163,trimtext(SplitText($C163,",",COLUMN(G:G)-COLUMN($D:$D))))</f>
        <v>INSERT</v>
      </c>
      <c r="H163" s="44" t="str">
        <f>IF(SplitText($C163,",",COLUMN(H:H)-COLUMN($D:$D))="",$D163,trimtext(SplitText($C163,",",COLUMN(H:H)-COLUMN($D:$D))))</f>
        <v>INSERT</v>
      </c>
      <c r="I163" s="44" t="str">
        <f>IF(SplitText($C163,",",COLUMN(I:I)-COLUMN($D:$D))="",$D163,trimtext(SplitText($C163,",",COLUMN(I:I)-COLUMN($D:$D))))</f>
        <v>INSERT</v>
      </c>
      <c r="J163" s="9" t="s">
        <v>267</v>
      </c>
      <c r="K163" s="44" t="str">
        <f>trimtext(SplitText($J163,",",0))</f>
        <v>INSERT</v>
      </c>
      <c r="L163" s="44" t="str">
        <f>IF(SplitText($J163,",",COLUMN(L:L)-COLUMN($K:$K))="",$K163,trimtext(SplitText($J163,",",COLUMN(L:L)-COLUMN($K:$K))))</f>
        <v>INSERT</v>
      </c>
      <c r="M163" s="44" t="str">
        <f>IF(SplitText($J163,",",COLUMN(M:M)-COLUMN($K:$K))="",$K163,trimtext(SplitText($J163,",",COLUMN(M:M)-COLUMN($K:$K))))</f>
        <v>INSERT</v>
      </c>
      <c r="N163" s="44" t="str">
        <f>IF(SplitText($J163,",",COLUMN(N:N)-COLUMN($K:$K))="",$K163,trimtext(SplitText($J163,",",COLUMN(N:N)-COLUMN($K:$K))))</f>
        <v>INSERT</v>
      </c>
      <c r="O163" s="44" t="str">
        <f>IF(SplitText($J163,",",COLUMN(O:O)-COLUMN($K:$K))="",$K163,trimtext(SplitText($J163,",",COLUMN(O:O)-COLUMN($K:$K))))</f>
        <v>INSERT</v>
      </c>
      <c r="P163" s="44" t="str">
        <f>IF(SplitText($J163,",",COLUMN(P:P)-COLUMN($K:$K))="",$K163,trimtext(SplitText($J163,",",COLUMN(P:P)-COLUMN($K:$K))))</f>
        <v>INSERT</v>
      </c>
      <c r="Q163" s="44" t="str">
        <f>IF(SplitText($J163,",",COLUMN(Q:Q)-COLUMN($K:$K))="",$K163,trimtext(SplitText($J163,",",COLUMN(Q:Q)-COLUMN($K:$K))))</f>
        <v>INSERT</v>
      </c>
      <c r="R163" s="2" t="s">
        <v>482</v>
      </c>
      <c r="S163" s="44" t="str">
        <f>trimtext(SplitText($R163,",",0))</f>
        <v>_none_</v>
      </c>
      <c r="T163" s="44" t="str">
        <f>IF(SplitText($R163,",",COLUMN(T:T)-COLUMN($S:$S))="",$S163,trimtext(SplitText($R163,",",COLUMN(T:T)-COLUMN($S:$S))))</f>
        <v>_none_</v>
      </c>
      <c r="U163" s="45" t="str">
        <f>IF(SplitText($R163,",",COLUMN(U:U)-COLUMN($S:$S))="",$S163,trimtext(SplitText($R163,",",COLUMN(U:U)-COLUMN($S:$S))))</f>
        <v>INSERT</v>
      </c>
      <c r="V163" s="53" t="s">
        <v>588</v>
      </c>
      <c r="W163" s="44" t="str">
        <f>trimtext(SplitText($V163,",",0))</f>
        <v>INSERT</v>
      </c>
      <c r="X163" s="44" t="str">
        <f>IF(SplitText($V163,",",COLUMN(X:X)-COLUMN($W:$W))="",$W163,trimtext(SplitText($V163,",",COLUMN(X:X)-COLUMN($W:$W))))</f>
        <v>INSERT</v>
      </c>
      <c r="Y163" s="44" t="str">
        <f>IF(SplitText($V163,",",COLUMN(Y:Y)-COLUMN($W:$W))="",$W163,trimtext(SplitText($V163,",",COLUMN(Y:Y)-COLUMN($W:$W))))</f>
        <v>INSERT</v>
      </c>
      <c r="Z163" s="24"/>
      <c r="AA163" s="44" t="str">
        <f t="shared" si="13"/>
        <v/>
      </c>
      <c r="AB163" s="2" t="s">
        <v>824</v>
      </c>
      <c r="AC163" s="44" t="str">
        <f>trimtext(SplitText($AB163,",",0))</f>
        <v>NEXT</v>
      </c>
      <c r="AD163" s="44" t="str">
        <f>IF(SplitText($AB163,",",COLUMN(AD:AD)-COLUMN($AC:$AC))="",$AC163,trimtext(SplitText($AB163,",",COLUMN(AD:AD)-COLUMN($AC:$AC))))</f>
        <v>NEXT</v>
      </c>
      <c r="AE163" s="18" t="str">
        <f t="shared" si="12"/>
        <v>&lt;xs:enumeration value="X52"&gt;&lt;xs:annotation&gt;&lt;xs:documentation&gt;Typically INSERT for keyboard type 4, different values for different keyboard types&lt;/xs:documentation&gt;&lt;xs:appinfo&gt;&lt;default-vk&gt;</v>
      </c>
      <c r="AF163" s="15" t="str">
        <f>IF(D163&lt;&gt;"","&lt;vk kbd="""&amp;D$1&amp;""" vk="""&amp;D163&amp;""""&amp;IF(Scan2VKFlags!B163&lt;&gt;""," flags="""&amp;Scan2VKFlags!B163&amp;"""","")&amp;"/&gt;","")</f>
        <v>&lt;vk kbd="1" vk="INSERT"/&gt;</v>
      </c>
      <c r="AG163" s="15" t="str">
        <f>IF(E163&lt;&gt;"","&lt;vk kbd="""&amp;E$1&amp;""" vk="""&amp;E163&amp;""""&amp;IF(Scan2VKFlags!C163&lt;&gt;""," flags="""&amp;Scan2VKFlags!C163&amp;"""","")&amp;"/&gt;","")</f>
        <v>&lt;vk kbd="2" vk="INSERT"/&gt;</v>
      </c>
      <c r="AH163" s="15" t="str">
        <f>IF(F163&lt;&gt;"","&lt;vk kbd="""&amp;F$1&amp;""" vk="""&amp;F163&amp;""""&amp;IF(Scan2VKFlags!D163&lt;&gt;""," flags="""&amp;Scan2VKFlags!D163&amp;"""","")&amp;"/&gt;","")</f>
        <v>&lt;vk kbd="3" vk="INSERT"/&gt;</v>
      </c>
      <c r="AI163" s="15" t="str">
        <f>IF(G163&lt;&gt;"","&lt;vk kbd="""&amp;G$1&amp;""" vk="""&amp;G163&amp;""""&amp;IF(Scan2VKFlags!E163&lt;&gt;""," flags="""&amp;Scan2VKFlags!E163&amp;"""","")&amp;"/&gt;","")</f>
        <v>&lt;vk kbd="4" vk="INSERT" flags="KBDEXT"/&gt;</v>
      </c>
      <c r="AJ163" s="15" t="str">
        <f>IF(H163&lt;&gt;"","&lt;vk kbd="""&amp;H$1&amp;""" vk="""&amp;H163&amp;""""&amp;IF(Scan2VKFlags!F163&lt;&gt;""," flags="""&amp;Scan2VKFlags!F163&amp;"""","")&amp;"/&gt;","")</f>
        <v>&lt;vk kbd="5" vk="INSERT"/&gt;</v>
      </c>
      <c r="AK163" s="16" t="str">
        <f>IF(I163&lt;&gt;"","&lt;vk kbd="""&amp;I$1&amp;""" vk="""&amp;I163&amp;""""&amp;IF(Scan2VKFlags!G163&lt;&gt;""," flags="""&amp;Scan2VKFlags!G163&amp;"""","")&amp;"/&gt;","")</f>
        <v>&lt;vk kbd="6" vk="INSERT"/&gt;</v>
      </c>
      <c r="AL163" s="3" t="str">
        <f>IF(K163&lt;&gt;"","&lt;vk kbd="""&amp;K$1&amp;""" vk="""&amp;K163&amp;""""&amp;IF(Scan2VKFlags!H163&lt;&gt;""," flags="""&amp;Scan2VKFlags!H163&amp;"""","")&amp;"/&gt;","")</f>
        <v>&lt;vk kbd="7" vk="INSERT"/&gt;</v>
      </c>
      <c r="AM163" s="15" t="str">
        <f>IF(L163&lt;&gt;"","&lt;vk kbd="""&amp;L$1&amp;""" vk="""&amp;L163&amp;""""&amp;IF(Scan2VKFlags!I163&lt;&gt;""," flags="""&amp;Scan2VKFlags!I163&amp;"""","")&amp;"/&gt;","")</f>
        <v>&lt;vk kbd="8" vk="INSERT"/&gt;</v>
      </c>
      <c r="AN163" s="15" t="str">
        <f>IF(M163&lt;&gt;"","&lt;vk kbd="""&amp;M$1&amp;""" vk="""&amp;M163&amp;""""&amp;IF(Scan2VKFlags!J163&lt;&gt;""," flags="""&amp;Scan2VKFlags!J163&amp;"""","")&amp;"/&gt;","")</f>
        <v>&lt;vk kbd="16" vk="INSERT"/&gt;</v>
      </c>
      <c r="AO163" s="15" t="str">
        <f>IF(N163&lt;&gt;"","&lt;vk kbd="""&amp;N$1&amp;""" vk="""&amp;N163&amp;""""&amp;IF(Scan2VKFlags!K163&lt;&gt;""," flags="""&amp;Scan2VKFlags!K163&amp;"""","")&amp;"/&gt;","")</f>
        <v>&lt;vk kbd="10" vk="INSERT"/&gt;</v>
      </c>
      <c r="AP163" s="15" t="str">
        <f>IF(O163&lt;&gt;"","&lt;vk kbd="""&amp;O$1&amp;""" vk="""&amp;O163&amp;""""&amp;IF(Scan2VKFlags!L163&lt;&gt;""," flags="""&amp;Scan2VKFlags!L163&amp;"""","")&amp;"/&gt;","")</f>
        <v>&lt;vk kbd="11" vk="INSERT"/&gt;</v>
      </c>
      <c r="AQ163" s="15" t="str">
        <f>IF(P163&lt;&gt;"","&lt;vk kbd="""&amp;P$1&amp;""" vk="""&amp;P163&amp;""""&amp;IF(Scan2VKFlags!M163&lt;&gt;""," flags="""&amp;Scan2VKFlags!M163&amp;"""","")&amp;"/&gt;","")</f>
        <v>&lt;vk kbd="12" vk="INSERT"/&gt;</v>
      </c>
      <c r="AR163" s="16" t="str">
        <f>IF(Q163&lt;&gt;"","&lt;vk kbd="""&amp;Q$1&amp;""" vk="""&amp;Q163&amp;""""&amp;IF(Scan2VKFlags!N163&lt;&gt;""," flags="""&amp;Scan2VKFlags!N163&amp;"""","")&amp;"/&gt;","")</f>
        <v>&lt;vk kbd="13" vk="INSERT"/&gt;</v>
      </c>
      <c r="AS163" s="3" t="str">
        <f>IF(S163&lt;&gt;"","&lt;vk kbd="""&amp;S$1&amp;""" vk="""&amp;S163&amp;""""&amp;IF(Scan2VKFlags!O163&lt;&gt;""," flags="""&amp;Scan2VKFlags!O163&amp;"""","")&amp;"/&gt;","")</f>
        <v>&lt;vk kbd="20" vk="_none_"/&gt;</v>
      </c>
      <c r="AT163" s="15" t="str">
        <f>IF(T163&lt;&gt;"","&lt;vk kbd="""&amp;T$1&amp;""" vk="""&amp;T163&amp;""""&amp;IF(Scan2VKFlags!P163&lt;&gt;""," flags="""&amp;Scan2VKFlags!P163&amp;"""","")&amp;"/&gt;","")</f>
        <v>&lt;vk kbd="21" vk="_none_"/&gt;</v>
      </c>
      <c r="AU163" s="16" t="str">
        <f>IF(U163&lt;&gt;"","&lt;vk kbd="""&amp;U$1&amp;""" vk="""&amp;U163&amp;""""&amp;IF(Scan2VKFlags!Q163&lt;&gt;""," flags="""&amp;Scan2VKFlags!Q163&amp;"""","")&amp;"/&gt;","")</f>
        <v>&lt;vk kbd="22" vk="INSERT"/&gt;</v>
      </c>
      <c r="AV163" s="3" t="str">
        <f>IF(W163&lt;&gt;"","&lt;vk kbd="""&amp;W$1&amp;""" vk="""&amp;W163&amp;""""&amp;IF(Scan2VKFlags!R163&lt;&gt;""," flags="""&amp;Scan2VKFlags!R163&amp;"""","")&amp;"/&gt;","")</f>
        <v>&lt;vk kbd="30" vk="INSERT"/&gt;</v>
      </c>
      <c r="AW163" s="15" t="str">
        <f>IF(X163&lt;&gt;"","&lt;vk kbd="""&amp;X$1&amp;""" vk="""&amp;X163&amp;""""&amp;IF(Scan2VKFlags!S163&lt;&gt;""," flags="""&amp;Scan2VKFlags!S163&amp;"""","")&amp;"/&gt;","")</f>
        <v>&lt;vk kbd="33" vk="INSERT"/&gt;</v>
      </c>
      <c r="AX163" s="15" t="str">
        <f>IF(Y163&lt;&gt;"","&lt;vk kbd="""&amp;Y$1&amp;""" vk="""&amp;Y163&amp;""""&amp;IF(Scan2VKFlags!T163&lt;&gt;""," flags="""&amp;Scan2VKFlags!T163&amp;"""","")&amp;"/&gt;","")</f>
        <v>&lt;vk kbd="34" vk="INSERT"/&gt;</v>
      </c>
      <c r="AY163" s="18" t="str">
        <f>IF(AA163&lt;&gt;"","&lt;vk kbd="""&amp;AA$1&amp;""" vk="""&amp;AA163&amp;""""&amp;IF(Scan2VKFlags!U163&lt;&gt;""," flags="""&amp;Scan2VKFlags!U163&amp;"""","")&amp;"/&gt;","")</f>
        <v/>
      </c>
      <c r="AZ163" s="3" t="str">
        <f>IF(AC163&lt;&gt;"","&lt;vk kbd="""&amp;AC$1&amp;""" vk="""&amp;AC163&amp;""""&amp;IF(Scan2VKFlags!V163&lt;&gt;""," flags="""&amp;Scan2VKFlags!V163&amp;"""","")&amp;"/&gt;","")</f>
        <v>&lt;vk kbd="40" vk="NEXT"/&gt;</v>
      </c>
      <c r="BA163" s="16" t="str">
        <f>IF(AD163&lt;&gt;"","&lt;vk kbd="""&amp;AD$1&amp;""" vk="""&amp;AD163&amp;""""&amp;IF(Scan2VKFlags!W163&lt;&gt;""," flags="""&amp;Scan2VKFlags!W163&amp;"""","")&amp;"/&gt;","")</f>
        <v>&lt;vk kbd="41" vk="NEXT"/&gt;</v>
      </c>
      <c r="BB163" s="15" t="s">
        <v>854</v>
      </c>
    </row>
    <row r="164" spans="2:54" s="15" customFormat="1" x14ac:dyDescent="0.25">
      <c r="B164" s="52" t="s">
        <v>170</v>
      </c>
      <c r="C164" s="7" t="s">
        <v>83</v>
      </c>
      <c r="D164" s="44" t="str">
        <f>trimtext(SplitText($C164,",",0))</f>
        <v>DELETE</v>
      </c>
      <c r="E164" s="44" t="str">
        <f>IF(SplitText($C164,",",COLUMN(E:E)-COLUMN($D:$D))="",$D164,trimtext(SplitText($C164,",",COLUMN(E:E)-COLUMN($D:$D))))</f>
        <v>DELETE</v>
      </c>
      <c r="F164" s="44" t="str">
        <f>IF(SplitText($C164,",",COLUMN(F:F)-COLUMN($D:$D))="",$D164,trimtext(SplitText($C164,",",COLUMN(F:F)-COLUMN($D:$D))))</f>
        <v>DELETE</v>
      </c>
      <c r="G164" s="44" t="str">
        <f>IF(SplitText($C164,",",COLUMN(G:G)-COLUMN($D:$D))="",$D164,trimtext(SplitText($C164,",",COLUMN(G:G)-COLUMN($D:$D))))</f>
        <v>DELETE</v>
      </c>
      <c r="H164" s="44" t="str">
        <f>IF(SplitText($C164,",",COLUMN(H:H)-COLUMN($D:$D))="",$D164,trimtext(SplitText($C164,",",COLUMN(H:H)-COLUMN($D:$D))))</f>
        <v>DELETE</v>
      </c>
      <c r="I164" s="44" t="str">
        <f>IF(SplitText($C164,",",COLUMN(I:I)-COLUMN($D:$D))="",$D164,trimtext(SplitText($C164,",",COLUMN(I:I)-COLUMN($D:$D))))</f>
        <v>DELETE</v>
      </c>
      <c r="J164" s="9" t="s">
        <v>268</v>
      </c>
      <c r="K164" s="44" t="str">
        <f>trimtext(SplitText($J164,",",0))</f>
        <v>DELETE</v>
      </c>
      <c r="L164" s="44" t="str">
        <f>IF(SplitText($J164,",",COLUMN(L:L)-COLUMN($K:$K))="",$K164,trimtext(SplitText($J164,",",COLUMN(L:L)-COLUMN($K:$K))))</f>
        <v>DELETE</v>
      </c>
      <c r="M164" s="44" t="str">
        <f>IF(SplitText($J164,",",COLUMN(M:M)-COLUMN($K:$K))="",$K164,trimtext(SplitText($J164,",",COLUMN(M:M)-COLUMN($K:$K))))</f>
        <v>DELETE</v>
      </c>
      <c r="N164" s="44" t="str">
        <f>IF(SplitText($J164,",",COLUMN(N:N)-COLUMN($K:$K))="",$K164,trimtext(SplitText($J164,",",COLUMN(N:N)-COLUMN($K:$K))))</f>
        <v>DELETE</v>
      </c>
      <c r="O164" s="44" t="str">
        <f>IF(SplitText($J164,",",COLUMN(O:O)-COLUMN($K:$K))="",$K164,trimtext(SplitText($J164,",",COLUMN(O:O)-COLUMN($K:$K))))</f>
        <v>DELETE</v>
      </c>
      <c r="P164" s="44" t="str">
        <f>IF(SplitText($J164,",",COLUMN(P:P)-COLUMN($K:$K))="",$K164,trimtext(SplitText($J164,",",COLUMN(P:P)-COLUMN($K:$K))))</f>
        <v>DELETE</v>
      </c>
      <c r="Q164" s="44" t="str">
        <f>IF(SplitText($J164,",",COLUMN(Q:Q)-COLUMN($K:$K))="",$K164,trimtext(SplitText($J164,",",COLUMN(Q:Q)-COLUMN($K:$K))))</f>
        <v>DELETE</v>
      </c>
      <c r="R164" s="2" t="s">
        <v>483</v>
      </c>
      <c r="S164" s="44" t="str">
        <f>trimtext(SplitText($R164,",",0))</f>
        <v>_none_</v>
      </c>
      <c r="T164" s="44" t="str">
        <f>IF(SplitText($R164,",",COLUMN(T:T)-COLUMN($S:$S))="",$S164,trimtext(SplitText($R164,",",COLUMN(T:T)-COLUMN($S:$S))))</f>
        <v>_none_</v>
      </c>
      <c r="U164" s="45" t="str">
        <f>IF(SplitText($R164,",",COLUMN(U:U)-COLUMN($S:$S))="",$S164,trimtext(SplitText($R164,",",COLUMN(U:U)-COLUMN($S:$S))))</f>
        <v>DELETE</v>
      </c>
      <c r="V164" s="53" t="s">
        <v>589</v>
      </c>
      <c r="W164" s="44" t="str">
        <f>trimtext(SplitText($V164,",",0))</f>
        <v>DELETE</v>
      </c>
      <c r="X164" s="44" t="str">
        <f>IF(SplitText($V164,",",COLUMN(X:X)-COLUMN($W:$W))="",$W164,trimtext(SplitText($V164,",",COLUMN(X:X)-COLUMN($W:$W))))</f>
        <v>DELETE</v>
      </c>
      <c r="Y164" s="44" t="str">
        <f>IF(SplitText($V164,",",COLUMN(Y:Y)-COLUMN($W:$W))="",$W164,trimtext(SplitText($V164,",",COLUMN(Y:Y)-COLUMN($W:$W))))</f>
        <v>DELETE</v>
      </c>
      <c r="Z164" s="24"/>
      <c r="AA164" s="44" t="str">
        <f t="shared" si="13"/>
        <v/>
      </c>
      <c r="AB164" s="2" t="s">
        <v>825</v>
      </c>
      <c r="AC164" s="44" t="str">
        <f>trimtext(SplitText($AB164,",",0))</f>
        <v>INSERT</v>
      </c>
      <c r="AD164" s="44" t="str">
        <f>IF(SplitText($AB164,",",COLUMN(AD:AD)-COLUMN($AC:$AC))="",$AC164,trimtext(SplitText($AB164,",",COLUMN(AD:AD)-COLUMN($AC:$AC))))</f>
        <v>INSERT</v>
      </c>
      <c r="AE164" s="18" t="str">
        <f t="shared" si="12"/>
        <v>&lt;xs:enumeration value="X53"&gt;&lt;xs:annotation&gt;&lt;xs:documentation&gt;Typically DELETE for keyboard type 4, different values for different keyboard types&lt;/xs:documentation&gt;&lt;xs:appinfo&gt;&lt;default-vk&gt;</v>
      </c>
      <c r="AF164" s="15" t="str">
        <f>IF(D164&lt;&gt;"","&lt;vk kbd="""&amp;D$1&amp;""" vk="""&amp;D164&amp;""""&amp;IF(Scan2VKFlags!B164&lt;&gt;""," flags="""&amp;Scan2VKFlags!B164&amp;"""","")&amp;"/&gt;","")</f>
        <v>&lt;vk kbd="1" vk="DELETE"/&gt;</v>
      </c>
      <c r="AG164" s="15" t="str">
        <f>IF(E164&lt;&gt;"","&lt;vk kbd="""&amp;E$1&amp;""" vk="""&amp;E164&amp;""""&amp;IF(Scan2VKFlags!C164&lt;&gt;""," flags="""&amp;Scan2VKFlags!C164&amp;"""","")&amp;"/&gt;","")</f>
        <v>&lt;vk kbd="2" vk="DELETE"/&gt;</v>
      </c>
      <c r="AH164" s="15" t="str">
        <f>IF(F164&lt;&gt;"","&lt;vk kbd="""&amp;F$1&amp;""" vk="""&amp;F164&amp;""""&amp;IF(Scan2VKFlags!D164&lt;&gt;""," flags="""&amp;Scan2VKFlags!D164&amp;"""","")&amp;"/&gt;","")</f>
        <v>&lt;vk kbd="3" vk="DELETE"/&gt;</v>
      </c>
      <c r="AI164" s="15" t="str">
        <f>IF(G164&lt;&gt;"","&lt;vk kbd="""&amp;G$1&amp;""" vk="""&amp;G164&amp;""""&amp;IF(Scan2VKFlags!E164&lt;&gt;""," flags="""&amp;Scan2VKFlags!E164&amp;"""","")&amp;"/&gt;","")</f>
        <v>&lt;vk kbd="4" vk="DELETE" flags="KBDEXT"/&gt;</v>
      </c>
      <c r="AJ164" s="15" t="str">
        <f>IF(H164&lt;&gt;"","&lt;vk kbd="""&amp;H$1&amp;""" vk="""&amp;H164&amp;""""&amp;IF(Scan2VKFlags!F164&lt;&gt;""," flags="""&amp;Scan2VKFlags!F164&amp;"""","")&amp;"/&gt;","")</f>
        <v>&lt;vk kbd="5" vk="DELETE"/&gt;</v>
      </c>
      <c r="AK164" s="16" t="str">
        <f>IF(I164&lt;&gt;"","&lt;vk kbd="""&amp;I$1&amp;""" vk="""&amp;I164&amp;""""&amp;IF(Scan2VKFlags!G164&lt;&gt;""," flags="""&amp;Scan2VKFlags!G164&amp;"""","")&amp;"/&gt;","")</f>
        <v>&lt;vk kbd="6" vk="DELETE"/&gt;</v>
      </c>
      <c r="AL164" s="3" t="str">
        <f>IF(K164&lt;&gt;"","&lt;vk kbd="""&amp;K$1&amp;""" vk="""&amp;K164&amp;""""&amp;IF(Scan2VKFlags!H164&lt;&gt;""," flags="""&amp;Scan2VKFlags!H164&amp;"""","")&amp;"/&gt;","")</f>
        <v>&lt;vk kbd="7" vk="DELETE"/&gt;</v>
      </c>
      <c r="AM164" s="15" t="str">
        <f>IF(L164&lt;&gt;"","&lt;vk kbd="""&amp;L$1&amp;""" vk="""&amp;L164&amp;""""&amp;IF(Scan2VKFlags!I164&lt;&gt;""," flags="""&amp;Scan2VKFlags!I164&amp;"""","")&amp;"/&gt;","")</f>
        <v>&lt;vk kbd="8" vk="DELETE"/&gt;</v>
      </c>
      <c r="AN164" s="15" t="str">
        <f>IF(M164&lt;&gt;"","&lt;vk kbd="""&amp;M$1&amp;""" vk="""&amp;M164&amp;""""&amp;IF(Scan2VKFlags!J164&lt;&gt;""," flags="""&amp;Scan2VKFlags!J164&amp;"""","")&amp;"/&gt;","")</f>
        <v>&lt;vk kbd="16" vk="DELETE"/&gt;</v>
      </c>
      <c r="AO164" s="15" t="str">
        <f>IF(N164&lt;&gt;"","&lt;vk kbd="""&amp;N$1&amp;""" vk="""&amp;N164&amp;""""&amp;IF(Scan2VKFlags!K164&lt;&gt;""," flags="""&amp;Scan2VKFlags!K164&amp;"""","")&amp;"/&gt;","")</f>
        <v>&lt;vk kbd="10" vk="DELETE"/&gt;</v>
      </c>
      <c r="AP164" s="15" t="str">
        <f>IF(O164&lt;&gt;"","&lt;vk kbd="""&amp;O$1&amp;""" vk="""&amp;O164&amp;""""&amp;IF(Scan2VKFlags!L164&lt;&gt;""," flags="""&amp;Scan2VKFlags!L164&amp;"""","")&amp;"/&gt;","")</f>
        <v>&lt;vk kbd="11" vk="DELETE"/&gt;</v>
      </c>
      <c r="AQ164" s="15" t="str">
        <f>IF(P164&lt;&gt;"","&lt;vk kbd="""&amp;P$1&amp;""" vk="""&amp;P164&amp;""""&amp;IF(Scan2VKFlags!M164&lt;&gt;""," flags="""&amp;Scan2VKFlags!M164&amp;"""","")&amp;"/&gt;","")</f>
        <v>&lt;vk kbd="12" vk="DELETE"/&gt;</v>
      </c>
      <c r="AR164" s="16" t="str">
        <f>IF(Q164&lt;&gt;"","&lt;vk kbd="""&amp;Q$1&amp;""" vk="""&amp;Q164&amp;""""&amp;IF(Scan2VKFlags!N164&lt;&gt;""," flags="""&amp;Scan2VKFlags!N164&amp;"""","")&amp;"/&gt;","")</f>
        <v>&lt;vk kbd="13" vk="DELETE"/&gt;</v>
      </c>
      <c r="AS164" s="3" t="str">
        <f>IF(S164&lt;&gt;"","&lt;vk kbd="""&amp;S$1&amp;""" vk="""&amp;S164&amp;""""&amp;IF(Scan2VKFlags!O164&lt;&gt;""," flags="""&amp;Scan2VKFlags!O164&amp;"""","")&amp;"/&gt;","")</f>
        <v>&lt;vk kbd="20" vk="_none_"/&gt;</v>
      </c>
      <c r="AT164" s="15" t="str">
        <f>IF(T164&lt;&gt;"","&lt;vk kbd="""&amp;T$1&amp;""" vk="""&amp;T164&amp;""""&amp;IF(Scan2VKFlags!P164&lt;&gt;""," flags="""&amp;Scan2VKFlags!P164&amp;"""","")&amp;"/&gt;","")</f>
        <v>&lt;vk kbd="21" vk="_none_"/&gt;</v>
      </c>
      <c r="AU164" s="16" t="str">
        <f>IF(U164&lt;&gt;"","&lt;vk kbd="""&amp;U$1&amp;""" vk="""&amp;U164&amp;""""&amp;IF(Scan2VKFlags!Q164&lt;&gt;""," flags="""&amp;Scan2VKFlags!Q164&amp;"""","")&amp;"/&gt;","")</f>
        <v>&lt;vk kbd="22" vk="DELETE"/&gt;</v>
      </c>
      <c r="AV164" s="3" t="str">
        <f>IF(W164&lt;&gt;"","&lt;vk kbd="""&amp;W$1&amp;""" vk="""&amp;W164&amp;""""&amp;IF(Scan2VKFlags!R164&lt;&gt;""," flags="""&amp;Scan2VKFlags!R164&amp;"""","")&amp;"/&gt;","")</f>
        <v>&lt;vk kbd="30" vk="DELETE"/&gt;</v>
      </c>
      <c r="AW164" s="15" t="str">
        <f>IF(X164&lt;&gt;"","&lt;vk kbd="""&amp;X$1&amp;""" vk="""&amp;X164&amp;""""&amp;IF(Scan2VKFlags!S164&lt;&gt;""," flags="""&amp;Scan2VKFlags!S164&amp;"""","")&amp;"/&gt;","")</f>
        <v>&lt;vk kbd="33" vk="DELETE"/&gt;</v>
      </c>
      <c r="AX164" s="15" t="str">
        <f>IF(Y164&lt;&gt;"","&lt;vk kbd="""&amp;Y$1&amp;""" vk="""&amp;Y164&amp;""""&amp;IF(Scan2VKFlags!T164&lt;&gt;""," flags="""&amp;Scan2VKFlags!T164&amp;"""","")&amp;"/&gt;","")</f>
        <v>&lt;vk kbd="34" vk="DELETE"/&gt;</v>
      </c>
      <c r="AY164" s="18" t="str">
        <f>IF(AA164&lt;&gt;"","&lt;vk kbd="""&amp;AA$1&amp;""" vk="""&amp;AA164&amp;""""&amp;IF(Scan2VKFlags!U164&lt;&gt;""," flags="""&amp;Scan2VKFlags!U164&amp;"""","")&amp;"/&gt;","")</f>
        <v/>
      </c>
      <c r="AZ164" s="3" t="str">
        <f>IF(AC164&lt;&gt;"","&lt;vk kbd="""&amp;AC$1&amp;""" vk="""&amp;AC164&amp;""""&amp;IF(Scan2VKFlags!V164&lt;&gt;""," flags="""&amp;Scan2VKFlags!V164&amp;"""","")&amp;"/&gt;","")</f>
        <v>&lt;vk kbd="40" vk="INSERT"/&gt;</v>
      </c>
      <c r="BA164" s="16" t="str">
        <f>IF(AD164&lt;&gt;"","&lt;vk kbd="""&amp;AD$1&amp;""" vk="""&amp;AD164&amp;""""&amp;IF(Scan2VKFlags!W164&lt;&gt;""," flags="""&amp;Scan2VKFlags!W164&amp;"""","")&amp;"/&gt;","")</f>
        <v>&lt;vk kbd="41" vk="INSERT"/&gt;</v>
      </c>
      <c r="BB164" s="15" t="s">
        <v>854</v>
      </c>
    </row>
    <row r="165" spans="2:54" s="15" customFormat="1" x14ac:dyDescent="0.25">
      <c r="B165" s="52" t="s">
        <v>171</v>
      </c>
      <c r="C165" s="7" t="s">
        <v>132</v>
      </c>
      <c r="D165" s="44" t="str">
        <f>trimtext(SplitText($C165,",",0))</f>
        <v>LWIN</v>
      </c>
      <c r="E165" s="44" t="str">
        <f>IF(SplitText($C165,",",COLUMN(E:E)-COLUMN($D:$D))="",$D165,trimtext(SplitText($C165,",",COLUMN(E:E)-COLUMN($D:$D))))</f>
        <v>LWIN</v>
      </c>
      <c r="F165" s="44" t="str">
        <f>IF(SplitText($C165,",",COLUMN(F:F)-COLUMN($D:$D))="",$D165,trimtext(SplitText($C165,",",COLUMN(F:F)-COLUMN($D:$D))))</f>
        <v>LWIN</v>
      </c>
      <c r="G165" s="44" t="str">
        <f>IF(SplitText($C165,",",COLUMN(G:G)-COLUMN($D:$D))="",$D165,trimtext(SplitText($C165,",",COLUMN(G:G)-COLUMN($D:$D))))</f>
        <v>LWIN</v>
      </c>
      <c r="H165" s="44" t="str">
        <f>IF(SplitText($C165,",",COLUMN(H:H)-COLUMN($D:$D))="",$D165,trimtext(SplitText($C165,",",COLUMN(H:H)-COLUMN($D:$D))))</f>
        <v>LWIN</v>
      </c>
      <c r="I165" s="44" t="str">
        <f>IF(SplitText($C165,",",COLUMN(I:I)-COLUMN($D:$D))="",$D165,trimtext(SplitText($C165,",",COLUMN(I:I)-COLUMN($D:$D))))</f>
        <v>LWIN</v>
      </c>
      <c r="J165" s="9" t="s">
        <v>317</v>
      </c>
      <c r="K165" s="44" t="str">
        <f>trimtext(SplitText($J165,",",0))</f>
        <v>LWIN</v>
      </c>
      <c r="L165" s="44" t="str">
        <f>IF(SplitText($J165,",",COLUMN(L:L)-COLUMN($K:$K))="",$K165,trimtext(SplitText($J165,",",COLUMN(L:L)-COLUMN($K:$K))))</f>
        <v>LWIN</v>
      </c>
      <c r="M165" s="44" t="str">
        <f>IF(SplitText($J165,",",COLUMN(M:M)-COLUMN($K:$K))="",$K165,trimtext(SplitText($J165,",",COLUMN(M:M)-COLUMN($K:$K))))</f>
        <v>LWIN</v>
      </c>
      <c r="N165" s="44" t="str">
        <f>IF(SplitText($J165,",",COLUMN(N:N)-COLUMN($K:$K))="",$K165,trimtext(SplitText($J165,",",COLUMN(N:N)-COLUMN($K:$K))))</f>
        <v>LWIN</v>
      </c>
      <c r="O165" s="44" t="str">
        <f>IF(SplitText($J165,",",COLUMN(O:O)-COLUMN($K:$K))="",$K165,trimtext(SplitText($J165,",",COLUMN(O:O)-COLUMN($K:$K))))</f>
        <v>LWIN</v>
      </c>
      <c r="P165" s="44" t="str">
        <f>IF(SplitText($J165,",",COLUMN(P:P)-COLUMN($K:$K))="",$K165,trimtext(SplitText($J165,",",COLUMN(P:P)-COLUMN($K:$K))))</f>
        <v>LWIN</v>
      </c>
      <c r="Q165" s="44" t="str">
        <f>IF(SplitText($J165,",",COLUMN(Q:Q)-COLUMN($K:$K))="",$K165,trimtext(SplitText($J165,",",COLUMN(Q:Q)-COLUMN($K:$K))))</f>
        <v>LWIN</v>
      </c>
      <c r="R165" s="2" t="s">
        <v>484</v>
      </c>
      <c r="S165" s="44" t="str">
        <f>trimtext(SplitText($R165,",",0))</f>
        <v>_none_</v>
      </c>
      <c r="T165" s="44" t="str">
        <f>IF(SplitText($R165,",",COLUMN(T:T)-COLUMN($S:$S))="",$S165,trimtext(SplitText($R165,",",COLUMN(T:T)-COLUMN($S:$S))))</f>
        <v>_none_</v>
      </c>
      <c r="U165" s="45" t="str">
        <f>IF(SplitText($R165,",",COLUMN(U:U)-COLUMN($S:$S))="",$S165,trimtext(SplitText($R165,",",COLUMN(U:U)-COLUMN($S:$S))))</f>
        <v>LWIN</v>
      </c>
      <c r="V165" s="53" t="s">
        <v>627</v>
      </c>
      <c r="W165" s="44" t="str">
        <f>trimtext(SplitText($V165,",",0))</f>
        <v>LWIN</v>
      </c>
      <c r="X165" s="44" t="str">
        <f>IF(SplitText($V165,",",COLUMN(X:X)-COLUMN($W:$W))="",$W165,trimtext(SplitText($V165,",",COLUMN(X:X)-COLUMN($W:$W))))</f>
        <v>LWIN</v>
      </c>
      <c r="Y165" s="44" t="str">
        <f>IF(SplitText($V165,",",COLUMN(Y:Y)-COLUMN($W:$W))="",$W165,trimtext(SplitText($V165,",",COLUMN(Y:Y)-COLUMN($W:$W))))</f>
        <v>LWIN</v>
      </c>
      <c r="Z165" s="24"/>
      <c r="AA165" s="44" t="str">
        <f t="shared" si="13"/>
        <v/>
      </c>
      <c r="AB165" s="2" t="s">
        <v>826</v>
      </c>
      <c r="AC165" s="44" t="str">
        <f>trimtext(SplitText($AB165,",",0))</f>
        <v>DELETE</v>
      </c>
      <c r="AD165" s="44" t="str">
        <f>IF(SplitText($AB165,",",COLUMN(AD:AD)-COLUMN($AC:$AC))="",$AC165,trimtext(SplitText($AB165,",",COLUMN(AD:AD)-COLUMN($AC:$AC))))</f>
        <v>DELETE</v>
      </c>
      <c r="AE165" s="18" t="str">
        <f t="shared" si="12"/>
        <v>&lt;xs:enumeration value="X5B"&gt;&lt;xs:annotation&gt;&lt;xs:documentation&gt;Typically LWIN for keyboard type 4, different values for different keyboard types&lt;/xs:documentation&gt;&lt;xs:appinfo&gt;&lt;default-vk&gt;</v>
      </c>
      <c r="AF165" s="15" t="str">
        <f>IF(D165&lt;&gt;"","&lt;vk kbd="""&amp;D$1&amp;""" vk="""&amp;D165&amp;""""&amp;IF(Scan2VKFlags!B165&lt;&gt;""," flags="""&amp;Scan2VKFlags!B165&amp;"""","")&amp;"/&gt;","")</f>
        <v>&lt;vk kbd="1" vk="LWIN"/&gt;</v>
      </c>
      <c r="AG165" s="15" t="str">
        <f>IF(E165&lt;&gt;"","&lt;vk kbd="""&amp;E$1&amp;""" vk="""&amp;E165&amp;""""&amp;IF(Scan2VKFlags!C165&lt;&gt;""," flags="""&amp;Scan2VKFlags!C165&amp;"""","")&amp;"/&gt;","")</f>
        <v>&lt;vk kbd="2" vk="LWIN"/&gt;</v>
      </c>
      <c r="AH165" s="15" t="str">
        <f>IF(F165&lt;&gt;"","&lt;vk kbd="""&amp;F$1&amp;""" vk="""&amp;F165&amp;""""&amp;IF(Scan2VKFlags!D165&lt;&gt;""," flags="""&amp;Scan2VKFlags!D165&amp;"""","")&amp;"/&gt;","")</f>
        <v>&lt;vk kbd="3" vk="LWIN"/&gt;</v>
      </c>
      <c r="AI165" s="15" t="str">
        <f>IF(G165&lt;&gt;"","&lt;vk kbd="""&amp;G$1&amp;""" vk="""&amp;G165&amp;""""&amp;IF(Scan2VKFlags!E165&lt;&gt;""," flags="""&amp;Scan2VKFlags!E165&amp;"""","")&amp;"/&gt;","")</f>
        <v>&lt;vk kbd="4" vk="LWIN" flags="KBDEXT"/&gt;</v>
      </c>
      <c r="AJ165" s="15" t="str">
        <f>IF(H165&lt;&gt;"","&lt;vk kbd="""&amp;H$1&amp;""" vk="""&amp;H165&amp;""""&amp;IF(Scan2VKFlags!F165&lt;&gt;""," flags="""&amp;Scan2VKFlags!F165&amp;"""","")&amp;"/&gt;","")</f>
        <v>&lt;vk kbd="5" vk="LWIN"/&gt;</v>
      </c>
      <c r="AK165" s="16" t="str">
        <f>IF(I165&lt;&gt;"","&lt;vk kbd="""&amp;I$1&amp;""" vk="""&amp;I165&amp;""""&amp;IF(Scan2VKFlags!G165&lt;&gt;""," flags="""&amp;Scan2VKFlags!G165&amp;"""","")&amp;"/&gt;","")</f>
        <v>&lt;vk kbd="6" vk="LWIN"/&gt;</v>
      </c>
      <c r="AL165" s="3" t="str">
        <f>IF(K165&lt;&gt;"","&lt;vk kbd="""&amp;K$1&amp;""" vk="""&amp;K165&amp;""""&amp;IF(Scan2VKFlags!H165&lt;&gt;""," flags="""&amp;Scan2VKFlags!H165&amp;"""","")&amp;"/&gt;","")</f>
        <v>&lt;vk kbd="7" vk="LWIN"/&gt;</v>
      </c>
      <c r="AM165" s="15" t="str">
        <f>IF(L165&lt;&gt;"","&lt;vk kbd="""&amp;L$1&amp;""" vk="""&amp;L165&amp;""""&amp;IF(Scan2VKFlags!I165&lt;&gt;""," flags="""&amp;Scan2VKFlags!I165&amp;"""","")&amp;"/&gt;","")</f>
        <v>&lt;vk kbd="8" vk="LWIN"/&gt;</v>
      </c>
      <c r="AN165" s="15" t="str">
        <f>IF(M165&lt;&gt;"","&lt;vk kbd="""&amp;M$1&amp;""" vk="""&amp;M165&amp;""""&amp;IF(Scan2VKFlags!J165&lt;&gt;""," flags="""&amp;Scan2VKFlags!J165&amp;"""","")&amp;"/&gt;","")</f>
        <v>&lt;vk kbd="16" vk="LWIN"/&gt;</v>
      </c>
      <c r="AO165" s="15" t="str">
        <f>IF(N165&lt;&gt;"","&lt;vk kbd="""&amp;N$1&amp;""" vk="""&amp;N165&amp;""""&amp;IF(Scan2VKFlags!K165&lt;&gt;""," flags="""&amp;Scan2VKFlags!K165&amp;"""","")&amp;"/&gt;","")</f>
        <v>&lt;vk kbd="10" vk="LWIN"/&gt;</v>
      </c>
      <c r="AP165" s="15" t="str">
        <f>IF(O165&lt;&gt;"","&lt;vk kbd="""&amp;O$1&amp;""" vk="""&amp;O165&amp;""""&amp;IF(Scan2VKFlags!L165&lt;&gt;""," flags="""&amp;Scan2VKFlags!L165&amp;"""","")&amp;"/&gt;","")</f>
        <v>&lt;vk kbd="11" vk="LWIN"/&gt;</v>
      </c>
      <c r="AQ165" s="15" t="str">
        <f>IF(P165&lt;&gt;"","&lt;vk kbd="""&amp;P$1&amp;""" vk="""&amp;P165&amp;""""&amp;IF(Scan2VKFlags!M165&lt;&gt;""," flags="""&amp;Scan2VKFlags!M165&amp;"""","")&amp;"/&gt;","")</f>
        <v>&lt;vk kbd="12" vk="LWIN"/&gt;</v>
      </c>
      <c r="AR165" s="16" t="str">
        <f>IF(Q165&lt;&gt;"","&lt;vk kbd="""&amp;Q$1&amp;""" vk="""&amp;Q165&amp;""""&amp;IF(Scan2VKFlags!N165&lt;&gt;""," flags="""&amp;Scan2VKFlags!N165&amp;"""","")&amp;"/&gt;","")</f>
        <v>&lt;vk kbd="13" vk="LWIN"/&gt;</v>
      </c>
      <c r="AS165" s="3" t="str">
        <f>IF(S165&lt;&gt;"","&lt;vk kbd="""&amp;S$1&amp;""" vk="""&amp;S165&amp;""""&amp;IF(Scan2VKFlags!O165&lt;&gt;""," flags="""&amp;Scan2VKFlags!O165&amp;"""","")&amp;"/&gt;","")</f>
        <v>&lt;vk kbd="20" vk="_none_"/&gt;</v>
      </c>
      <c r="AT165" s="15" t="str">
        <f>IF(T165&lt;&gt;"","&lt;vk kbd="""&amp;T$1&amp;""" vk="""&amp;T165&amp;""""&amp;IF(Scan2VKFlags!P165&lt;&gt;""," flags="""&amp;Scan2VKFlags!P165&amp;"""","")&amp;"/&gt;","")</f>
        <v>&lt;vk kbd="21" vk="_none_"/&gt;</v>
      </c>
      <c r="AU165" s="16" t="str">
        <f>IF(U165&lt;&gt;"","&lt;vk kbd="""&amp;U$1&amp;""" vk="""&amp;U165&amp;""""&amp;IF(Scan2VKFlags!Q165&lt;&gt;""," flags="""&amp;Scan2VKFlags!Q165&amp;"""","")&amp;"/&gt;","")</f>
        <v>&lt;vk kbd="22" vk="LWIN"/&gt;</v>
      </c>
      <c r="AV165" s="3" t="str">
        <f>IF(W165&lt;&gt;"","&lt;vk kbd="""&amp;W$1&amp;""" vk="""&amp;W165&amp;""""&amp;IF(Scan2VKFlags!R165&lt;&gt;""," flags="""&amp;Scan2VKFlags!R165&amp;"""","")&amp;"/&gt;","")</f>
        <v>&lt;vk kbd="30" vk="LWIN"/&gt;</v>
      </c>
      <c r="AW165" s="15" t="str">
        <f>IF(X165&lt;&gt;"","&lt;vk kbd="""&amp;X$1&amp;""" vk="""&amp;X165&amp;""""&amp;IF(Scan2VKFlags!S165&lt;&gt;""," flags="""&amp;Scan2VKFlags!S165&amp;"""","")&amp;"/&gt;","")</f>
        <v>&lt;vk kbd="33" vk="LWIN"/&gt;</v>
      </c>
      <c r="AX165" s="15" t="str">
        <f>IF(Y165&lt;&gt;"","&lt;vk kbd="""&amp;Y$1&amp;""" vk="""&amp;Y165&amp;""""&amp;IF(Scan2VKFlags!T165&lt;&gt;""," flags="""&amp;Scan2VKFlags!T165&amp;"""","")&amp;"/&gt;","")</f>
        <v>&lt;vk kbd="34" vk="LWIN"/&gt;</v>
      </c>
      <c r="AY165" s="18" t="str">
        <f>IF(AA165&lt;&gt;"","&lt;vk kbd="""&amp;AA$1&amp;""" vk="""&amp;AA165&amp;""""&amp;IF(Scan2VKFlags!U165&lt;&gt;""," flags="""&amp;Scan2VKFlags!U165&amp;"""","")&amp;"/&gt;","")</f>
        <v/>
      </c>
      <c r="AZ165" s="3" t="str">
        <f>IF(AC165&lt;&gt;"","&lt;vk kbd="""&amp;AC$1&amp;""" vk="""&amp;AC165&amp;""""&amp;IF(Scan2VKFlags!V165&lt;&gt;""," flags="""&amp;Scan2VKFlags!V165&amp;"""","")&amp;"/&gt;","")</f>
        <v>&lt;vk kbd="40" vk="DELETE"/&gt;</v>
      </c>
      <c r="BA165" s="16" t="str">
        <f>IF(AD165&lt;&gt;"","&lt;vk kbd="""&amp;AD$1&amp;""" vk="""&amp;AD165&amp;""""&amp;IF(Scan2VKFlags!W165&lt;&gt;""," flags="""&amp;Scan2VKFlags!W165&amp;"""","")&amp;"/&gt;","")</f>
        <v>&lt;vk kbd="41" vk="DELETE"/&gt;</v>
      </c>
      <c r="BB165" s="15" t="s">
        <v>854</v>
      </c>
    </row>
    <row r="166" spans="2:54" s="15" customFormat="1" x14ac:dyDescent="0.25">
      <c r="B166" s="52" t="s">
        <v>172</v>
      </c>
      <c r="C166" s="7" t="s">
        <v>133</v>
      </c>
      <c r="D166" s="44" t="str">
        <f>trimtext(SplitText($C166,",",0))</f>
        <v>RWIN</v>
      </c>
      <c r="E166" s="44" t="str">
        <f>IF(SplitText($C166,",",COLUMN(E:E)-COLUMN($D:$D))="",$D166,trimtext(SplitText($C166,",",COLUMN(E:E)-COLUMN($D:$D))))</f>
        <v>RWIN</v>
      </c>
      <c r="F166" s="44" t="str">
        <f>IF(SplitText($C166,",",COLUMN(F:F)-COLUMN($D:$D))="",$D166,trimtext(SplitText($C166,",",COLUMN(F:F)-COLUMN($D:$D))))</f>
        <v>RWIN</v>
      </c>
      <c r="G166" s="44" t="str">
        <f>IF(SplitText($C166,",",COLUMN(G:G)-COLUMN($D:$D))="",$D166,trimtext(SplitText($C166,",",COLUMN(G:G)-COLUMN($D:$D))))</f>
        <v>RWIN</v>
      </c>
      <c r="H166" s="44" t="str">
        <f>IF(SplitText($C166,",",COLUMN(H:H)-COLUMN($D:$D))="",$D166,trimtext(SplitText($C166,",",COLUMN(H:H)-COLUMN($D:$D))))</f>
        <v>RWIN</v>
      </c>
      <c r="I166" s="44" t="str">
        <f>IF(SplitText($C166,",",COLUMN(I:I)-COLUMN($D:$D))="",$D166,trimtext(SplitText($C166,",",COLUMN(I:I)-COLUMN($D:$D))))</f>
        <v>RWIN</v>
      </c>
      <c r="J166" s="9" t="s">
        <v>318</v>
      </c>
      <c r="K166" s="44" t="str">
        <f>trimtext(SplitText($J166,",",0))</f>
        <v>RWIN</v>
      </c>
      <c r="L166" s="44" t="str">
        <f>IF(SplitText($J166,",",COLUMN(L:L)-COLUMN($K:$K))="",$K166,trimtext(SplitText($J166,",",COLUMN(L:L)-COLUMN($K:$K))))</f>
        <v>RWIN</v>
      </c>
      <c r="M166" s="44" t="str">
        <f>IF(SplitText($J166,",",COLUMN(M:M)-COLUMN($K:$K))="",$K166,trimtext(SplitText($J166,",",COLUMN(M:M)-COLUMN($K:$K))))</f>
        <v>RWIN</v>
      </c>
      <c r="N166" s="44" t="str">
        <f>IF(SplitText($J166,",",COLUMN(N:N)-COLUMN($K:$K))="",$K166,trimtext(SplitText($J166,",",COLUMN(N:N)-COLUMN($K:$K))))</f>
        <v>RWIN</v>
      </c>
      <c r="O166" s="44" t="str">
        <f>IF(SplitText($J166,",",COLUMN(O:O)-COLUMN($K:$K))="",$K166,trimtext(SplitText($J166,",",COLUMN(O:O)-COLUMN($K:$K))))</f>
        <v>RWIN</v>
      </c>
      <c r="P166" s="44" t="str">
        <f>IF(SplitText($J166,",",COLUMN(P:P)-COLUMN($K:$K))="",$K166,trimtext(SplitText($J166,",",COLUMN(P:P)-COLUMN($K:$K))))</f>
        <v>RWIN</v>
      </c>
      <c r="Q166" s="44" t="str">
        <f>IF(SplitText($J166,",",COLUMN(Q:Q)-COLUMN($K:$K))="",$K166,trimtext(SplitText($J166,",",COLUMN(Q:Q)-COLUMN($K:$K))))</f>
        <v>RWIN</v>
      </c>
      <c r="R166" s="2" t="s">
        <v>485</v>
      </c>
      <c r="S166" s="44" t="str">
        <f>trimtext(SplitText($R166,",",0))</f>
        <v>_none_</v>
      </c>
      <c r="T166" s="44" t="str">
        <f>IF(SplitText($R166,",",COLUMN(T:T)-COLUMN($S:$S))="",$S166,trimtext(SplitText($R166,",",COLUMN(T:T)-COLUMN($S:$S))))</f>
        <v>_none_</v>
      </c>
      <c r="U166" s="45" t="str">
        <f>IF(SplitText($R166,",",COLUMN(U:U)-COLUMN($S:$S))="",$S166,trimtext(SplitText($R166,",",COLUMN(U:U)-COLUMN($S:$S))))</f>
        <v>RWIN</v>
      </c>
      <c r="V166" s="53" t="s">
        <v>628</v>
      </c>
      <c r="W166" s="44" t="str">
        <f>trimtext(SplitText($V166,",",0))</f>
        <v>RWIN</v>
      </c>
      <c r="X166" s="44" t="str">
        <f>IF(SplitText($V166,",",COLUMN(X:X)-COLUMN($W:$W))="",$W166,trimtext(SplitText($V166,",",COLUMN(X:X)-COLUMN($W:$W))))</f>
        <v>RWIN</v>
      </c>
      <c r="Y166" s="44" t="str">
        <f>IF(SplitText($V166,",",COLUMN(Y:Y)-COLUMN($W:$W))="",$W166,trimtext(SplitText($V166,",",COLUMN(Y:Y)-COLUMN($W:$W))))</f>
        <v>RWIN</v>
      </c>
      <c r="Z166" s="24"/>
      <c r="AA166" s="44" t="str">
        <f t="shared" si="13"/>
        <v/>
      </c>
      <c r="AB166" s="2" t="s">
        <v>743</v>
      </c>
      <c r="AC166" s="44" t="str">
        <f>trimtext(SplitText($AB166,",",0))</f>
        <v>_none_</v>
      </c>
      <c r="AD166" s="44" t="str">
        <f>IF(SplitText($AB166,",",COLUMN(AD:AD)-COLUMN($AC:$AC))="",$AC166,trimtext(SplitText($AB166,",",COLUMN(AD:AD)-COLUMN($AC:$AC))))</f>
        <v>_none_</v>
      </c>
      <c r="AE166" s="18" t="str">
        <f t="shared" si="12"/>
        <v>&lt;xs:enumeration value="X5C"&gt;&lt;xs:annotation&gt;&lt;xs:documentation&gt;Typically RWIN for keyboard type 4, different values for different keyboard types&lt;/xs:documentation&gt;&lt;xs:appinfo&gt;&lt;default-vk&gt;</v>
      </c>
      <c r="AF166" s="15" t="str">
        <f>IF(D166&lt;&gt;"","&lt;vk kbd="""&amp;D$1&amp;""" vk="""&amp;D166&amp;""""&amp;IF(Scan2VKFlags!B166&lt;&gt;""," flags="""&amp;Scan2VKFlags!B166&amp;"""","")&amp;"/&gt;","")</f>
        <v>&lt;vk kbd="1" vk="RWIN"/&gt;</v>
      </c>
      <c r="AG166" s="15" t="str">
        <f>IF(E166&lt;&gt;"","&lt;vk kbd="""&amp;E$1&amp;""" vk="""&amp;E166&amp;""""&amp;IF(Scan2VKFlags!C166&lt;&gt;""," flags="""&amp;Scan2VKFlags!C166&amp;"""","")&amp;"/&gt;","")</f>
        <v>&lt;vk kbd="2" vk="RWIN"/&gt;</v>
      </c>
      <c r="AH166" s="15" t="str">
        <f>IF(F166&lt;&gt;"","&lt;vk kbd="""&amp;F$1&amp;""" vk="""&amp;F166&amp;""""&amp;IF(Scan2VKFlags!D166&lt;&gt;""," flags="""&amp;Scan2VKFlags!D166&amp;"""","")&amp;"/&gt;","")</f>
        <v>&lt;vk kbd="3" vk="RWIN"/&gt;</v>
      </c>
      <c r="AI166" s="15" t="str">
        <f>IF(G166&lt;&gt;"","&lt;vk kbd="""&amp;G$1&amp;""" vk="""&amp;G166&amp;""""&amp;IF(Scan2VKFlags!E166&lt;&gt;""," flags="""&amp;Scan2VKFlags!E166&amp;"""","")&amp;"/&gt;","")</f>
        <v>&lt;vk kbd="4" vk="RWIN" flags="KBDEXT"/&gt;</v>
      </c>
      <c r="AJ166" s="15" t="str">
        <f>IF(H166&lt;&gt;"","&lt;vk kbd="""&amp;H$1&amp;""" vk="""&amp;H166&amp;""""&amp;IF(Scan2VKFlags!F166&lt;&gt;""," flags="""&amp;Scan2VKFlags!F166&amp;"""","")&amp;"/&gt;","")</f>
        <v>&lt;vk kbd="5" vk="RWIN"/&gt;</v>
      </c>
      <c r="AK166" s="16" t="str">
        <f>IF(I166&lt;&gt;"","&lt;vk kbd="""&amp;I$1&amp;""" vk="""&amp;I166&amp;""""&amp;IF(Scan2VKFlags!G166&lt;&gt;""," flags="""&amp;Scan2VKFlags!G166&amp;"""","")&amp;"/&gt;","")</f>
        <v>&lt;vk kbd="6" vk="RWIN"/&gt;</v>
      </c>
      <c r="AL166" s="3" t="str">
        <f>IF(K166&lt;&gt;"","&lt;vk kbd="""&amp;K$1&amp;""" vk="""&amp;K166&amp;""""&amp;IF(Scan2VKFlags!H166&lt;&gt;""," flags="""&amp;Scan2VKFlags!H166&amp;"""","")&amp;"/&gt;","")</f>
        <v>&lt;vk kbd="7" vk="RWIN"/&gt;</v>
      </c>
      <c r="AM166" s="15" t="str">
        <f>IF(L166&lt;&gt;"","&lt;vk kbd="""&amp;L$1&amp;""" vk="""&amp;L166&amp;""""&amp;IF(Scan2VKFlags!I166&lt;&gt;""," flags="""&amp;Scan2VKFlags!I166&amp;"""","")&amp;"/&gt;","")</f>
        <v>&lt;vk kbd="8" vk="RWIN"/&gt;</v>
      </c>
      <c r="AN166" s="15" t="str">
        <f>IF(M166&lt;&gt;"","&lt;vk kbd="""&amp;M$1&amp;""" vk="""&amp;M166&amp;""""&amp;IF(Scan2VKFlags!J166&lt;&gt;""," flags="""&amp;Scan2VKFlags!J166&amp;"""","")&amp;"/&gt;","")</f>
        <v>&lt;vk kbd="16" vk="RWIN"/&gt;</v>
      </c>
      <c r="AO166" s="15" t="str">
        <f>IF(N166&lt;&gt;"","&lt;vk kbd="""&amp;N$1&amp;""" vk="""&amp;N166&amp;""""&amp;IF(Scan2VKFlags!K166&lt;&gt;""," flags="""&amp;Scan2VKFlags!K166&amp;"""","")&amp;"/&gt;","")</f>
        <v>&lt;vk kbd="10" vk="RWIN"/&gt;</v>
      </c>
      <c r="AP166" s="15" t="str">
        <f>IF(O166&lt;&gt;"","&lt;vk kbd="""&amp;O$1&amp;""" vk="""&amp;O166&amp;""""&amp;IF(Scan2VKFlags!L166&lt;&gt;""," flags="""&amp;Scan2VKFlags!L166&amp;"""","")&amp;"/&gt;","")</f>
        <v>&lt;vk kbd="11" vk="RWIN"/&gt;</v>
      </c>
      <c r="AQ166" s="15" t="str">
        <f>IF(P166&lt;&gt;"","&lt;vk kbd="""&amp;P$1&amp;""" vk="""&amp;P166&amp;""""&amp;IF(Scan2VKFlags!M166&lt;&gt;""," flags="""&amp;Scan2VKFlags!M166&amp;"""","")&amp;"/&gt;","")</f>
        <v>&lt;vk kbd="12" vk="RWIN"/&gt;</v>
      </c>
      <c r="AR166" s="16" t="str">
        <f>IF(Q166&lt;&gt;"","&lt;vk kbd="""&amp;Q$1&amp;""" vk="""&amp;Q166&amp;""""&amp;IF(Scan2VKFlags!N166&lt;&gt;""," flags="""&amp;Scan2VKFlags!N166&amp;"""","")&amp;"/&gt;","")</f>
        <v>&lt;vk kbd="13" vk="RWIN"/&gt;</v>
      </c>
      <c r="AS166" s="3" t="str">
        <f>IF(S166&lt;&gt;"","&lt;vk kbd="""&amp;S$1&amp;""" vk="""&amp;S166&amp;""""&amp;IF(Scan2VKFlags!O166&lt;&gt;""," flags="""&amp;Scan2VKFlags!O166&amp;"""","")&amp;"/&gt;","")</f>
        <v>&lt;vk kbd="20" vk="_none_"/&gt;</v>
      </c>
      <c r="AT166" s="15" t="str">
        <f>IF(T166&lt;&gt;"","&lt;vk kbd="""&amp;T$1&amp;""" vk="""&amp;T166&amp;""""&amp;IF(Scan2VKFlags!P166&lt;&gt;""," flags="""&amp;Scan2VKFlags!P166&amp;"""","")&amp;"/&gt;","")</f>
        <v>&lt;vk kbd="21" vk="_none_"/&gt;</v>
      </c>
      <c r="AU166" s="16" t="str">
        <f>IF(U166&lt;&gt;"","&lt;vk kbd="""&amp;U$1&amp;""" vk="""&amp;U166&amp;""""&amp;IF(Scan2VKFlags!Q166&lt;&gt;""," flags="""&amp;Scan2VKFlags!Q166&amp;"""","")&amp;"/&gt;","")</f>
        <v>&lt;vk kbd="22" vk="RWIN"/&gt;</v>
      </c>
      <c r="AV166" s="3" t="str">
        <f>IF(W166&lt;&gt;"","&lt;vk kbd="""&amp;W$1&amp;""" vk="""&amp;W166&amp;""""&amp;IF(Scan2VKFlags!R166&lt;&gt;""," flags="""&amp;Scan2VKFlags!R166&amp;"""","")&amp;"/&gt;","")</f>
        <v>&lt;vk kbd="30" vk="RWIN"/&gt;</v>
      </c>
      <c r="AW166" s="15" t="str">
        <f>IF(X166&lt;&gt;"","&lt;vk kbd="""&amp;X$1&amp;""" vk="""&amp;X166&amp;""""&amp;IF(Scan2VKFlags!S166&lt;&gt;""," flags="""&amp;Scan2VKFlags!S166&amp;"""","")&amp;"/&gt;","")</f>
        <v>&lt;vk kbd="33" vk="RWIN"/&gt;</v>
      </c>
      <c r="AX166" s="15" t="str">
        <f>IF(Y166&lt;&gt;"","&lt;vk kbd="""&amp;Y$1&amp;""" vk="""&amp;Y166&amp;""""&amp;IF(Scan2VKFlags!T166&lt;&gt;""," flags="""&amp;Scan2VKFlags!T166&amp;"""","")&amp;"/&gt;","")</f>
        <v>&lt;vk kbd="34" vk="RWIN"/&gt;</v>
      </c>
      <c r="AY166" s="18" t="str">
        <f>IF(AA166&lt;&gt;"","&lt;vk kbd="""&amp;AA$1&amp;""" vk="""&amp;AA166&amp;""""&amp;IF(Scan2VKFlags!U166&lt;&gt;""," flags="""&amp;Scan2VKFlags!U166&amp;"""","")&amp;"/&gt;","")</f>
        <v/>
      </c>
      <c r="AZ166" s="3" t="str">
        <f>IF(AC166&lt;&gt;"","&lt;vk kbd="""&amp;AC$1&amp;""" vk="""&amp;AC166&amp;""""&amp;IF(Scan2VKFlags!V166&lt;&gt;""," flags="""&amp;Scan2VKFlags!V166&amp;"""","")&amp;"/&gt;","")</f>
        <v>&lt;vk kbd="40" vk="_none_"/&gt;</v>
      </c>
      <c r="BA166" s="16" t="str">
        <f>IF(AD166&lt;&gt;"","&lt;vk kbd="""&amp;AD$1&amp;""" vk="""&amp;AD166&amp;""""&amp;IF(Scan2VKFlags!W166&lt;&gt;""," flags="""&amp;Scan2VKFlags!W166&amp;"""","")&amp;"/&gt;","")</f>
        <v>&lt;vk kbd="41" vk="_none_"/&gt;</v>
      </c>
      <c r="BB166" s="15" t="s">
        <v>854</v>
      </c>
    </row>
    <row r="167" spans="2:54" s="15" customFormat="1" x14ac:dyDescent="0.25">
      <c r="B167" s="52" t="s">
        <v>173</v>
      </c>
      <c r="C167" s="7" t="s">
        <v>134</v>
      </c>
      <c r="D167" s="44" t="str">
        <f>trimtext(SplitText($C167,",",0))</f>
        <v>APPS</v>
      </c>
      <c r="E167" s="44" t="str">
        <f>IF(SplitText($C167,",",COLUMN(E:E)-COLUMN($D:$D))="",$D167,trimtext(SplitText($C167,",",COLUMN(E:E)-COLUMN($D:$D))))</f>
        <v>APPS</v>
      </c>
      <c r="F167" s="44" t="str">
        <f>IF(SplitText($C167,",",COLUMN(F:F)-COLUMN($D:$D))="",$D167,trimtext(SplitText($C167,",",COLUMN(F:F)-COLUMN($D:$D))))</f>
        <v>APPS</v>
      </c>
      <c r="G167" s="44" t="str">
        <f>IF(SplitText($C167,",",COLUMN(G:G)-COLUMN($D:$D))="",$D167,trimtext(SplitText($C167,",",COLUMN(G:G)-COLUMN($D:$D))))</f>
        <v>APPS</v>
      </c>
      <c r="H167" s="44" t="str">
        <f>IF(SplitText($C167,",",COLUMN(H:H)-COLUMN($D:$D))="",$D167,trimtext(SplitText($C167,",",COLUMN(H:H)-COLUMN($D:$D))))</f>
        <v>APPS</v>
      </c>
      <c r="I167" s="44" t="str">
        <f>IF(SplitText($C167,",",COLUMN(I:I)-COLUMN($D:$D))="",$D167,trimtext(SplitText($C167,",",COLUMN(I:I)-COLUMN($D:$D))))</f>
        <v>APPS</v>
      </c>
      <c r="J167" s="9" t="s">
        <v>319</v>
      </c>
      <c r="K167" s="44" t="str">
        <f>trimtext(SplitText($J167,",",0))</f>
        <v>APPS</v>
      </c>
      <c r="L167" s="44" t="str">
        <f>IF(SplitText($J167,",",COLUMN(L:L)-COLUMN($K:$K))="",$K167,trimtext(SplitText($J167,",",COLUMN(L:L)-COLUMN($K:$K))))</f>
        <v>APPS</v>
      </c>
      <c r="M167" s="44" t="str">
        <f>IF(SplitText($J167,",",COLUMN(M:M)-COLUMN($K:$K))="",$K167,trimtext(SplitText($J167,",",COLUMN(M:M)-COLUMN($K:$K))))</f>
        <v>APPS</v>
      </c>
      <c r="N167" s="44" t="str">
        <f>IF(SplitText($J167,",",COLUMN(N:N)-COLUMN($K:$K))="",$K167,trimtext(SplitText($J167,",",COLUMN(N:N)-COLUMN($K:$K))))</f>
        <v>APPS</v>
      </c>
      <c r="O167" s="44" t="str">
        <f>IF(SplitText($J167,",",COLUMN(O:O)-COLUMN($K:$K))="",$K167,trimtext(SplitText($J167,",",COLUMN(O:O)-COLUMN($K:$K))))</f>
        <v>APPS</v>
      </c>
      <c r="P167" s="44" t="str">
        <f>IF(SplitText($J167,",",COLUMN(P:P)-COLUMN($K:$K))="",$K167,trimtext(SplitText($J167,",",COLUMN(P:P)-COLUMN($K:$K))))</f>
        <v>APPS</v>
      </c>
      <c r="Q167" s="44" t="str">
        <f>IF(SplitText($J167,",",COLUMN(Q:Q)-COLUMN($K:$K))="",$K167,trimtext(SplitText($J167,",",COLUMN(Q:Q)-COLUMN($K:$K))))</f>
        <v>APPS</v>
      </c>
      <c r="R167" s="2" t="s">
        <v>486</v>
      </c>
      <c r="S167" s="44" t="str">
        <f>trimtext(SplitText($R167,",",0))</f>
        <v>_none_</v>
      </c>
      <c r="T167" s="44" t="str">
        <f>IF(SplitText($R167,",",COLUMN(T:T)-COLUMN($S:$S))="",$S167,trimtext(SplitText($R167,",",COLUMN(T:T)-COLUMN($S:$S))))</f>
        <v>_none_</v>
      </c>
      <c r="U167" s="45" t="str">
        <f>IF(SplitText($R167,",",COLUMN(U:U)-COLUMN($S:$S))="",$S167,trimtext(SplitText($R167,",",COLUMN(U:U)-COLUMN($S:$S))))</f>
        <v>APPS</v>
      </c>
      <c r="V167" s="53" t="s">
        <v>629</v>
      </c>
      <c r="W167" s="44" t="str">
        <f>trimtext(SplitText($V167,",",0))</f>
        <v>APPS</v>
      </c>
      <c r="X167" s="44" t="str">
        <f>IF(SplitText($V167,",",COLUMN(X:X)-COLUMN($W:$W))="",$W167,trimtext(SplitText($V167,",",COLUMN(X:X)-COLUMN($W:$W))))</f>
        <v>APPS</v>
      </c>
      <c r="Y167" s="44" t="str">
        <f>IF(SplitText($V167,",",COLUMN(Y:Y)-COLUMN($W:$W))="",$W167,trimtext(SplitText($V167,",",COLUMN(Y:Y)-COLUMN($W:$W))))</f>
        <v>APPS</v>
      </c>
      <c r="Z167" s="24"/>
      <c r="AA167" s="44" t="str">
        <f t="shared" si="13"/>
        <v/>
      </c>
      <c r="AB167" s="2" t="s">
        <v>743</v>
      </c>
      <c r="AC167" s="44" t="str">
        <f>trimtext(SplitText($AB167,",",0))</f>
        <v>_none_</v>
      </c>
      <c r="AD167" s="44" t="str">
        <f>IF(SplitText($AB167,",",COLUMN(AD:AD)-COLUMN($AC:$AC))="",$AC167,trimtext(SplitText($AB167,",",COLUMN(AD:AD)-COLUMN($AC:$AC))))</f>
        <v>_none_</v>
      </c>
      <c r="AE167" s="18" t="str">
        <f t="shared" si="12"/>
        <v>&lt;xs:enumeration value="X5D"&gt;&lt;xs:annotation&gt;&lt;xs:documentation&gt;Typically APPS for keyboard type 4, different values for different keyboard types&lt;/xs:documentation&gt;&lt;xs:appinfo&gt;&lt;default-vk&gt;</v>
      </c>
      <c r="AF167" s="15" t="str">
        <f>IF(D167&lt;&gt;"","&lt;vk kbd="""&amp;D$1&amp;""" vk="""&amp;D167&amp;""""&amp;IF(Scan2VKFlags!B167&lt;&gt;""," flags="""&amp;Scan2VKFlags!B167&amp;"""","")&amp;"/&gt;","")</f>
        <v>&lt;vk kbd="1" vk="APPS"/&gt;</v>
      </c>
      <c r="AG167" s="15" t="str">
        <f>IF(E167&lt;&gt;"","&lt;vk kbd="""&amp;E$1&amp;""" vk="""&amp;E167&amp;""""&amp;IF(Scan2VKFlags!C167&lt;&gt;""," flags="""&amp;Scan2VKFlags!C167&amp;"""","")&amp;"/&gt;","")</f>
        <v>&lt;vk kbd="2" vk="APPS"/&gt;</v>
      </c>
      <c r="AH167" s="15" t="str">
        <f>IF(F167&lt;&gt;"","&lt;vk kbd="""&amp;F$1&amp;""" vk="""&amp;F167&amp;""""&amp;IF(Scan2VKFlags!D167&lt;&gt;""," flags="""&amp;Scan2VKFlags!D167&amp;"""","")&amp;"/&gt;","")</f>
        <v>&lt;vk kbd="3" vk="APPS"/&gt;</v>
      </c>
      <c r="AI167" s="15" t="str">
        <f>IF(G167&lt;&gt;"","&lt;vk kbd="""&amp;G$1&amp;""" vk="""&amp;G167&amp;""""&amp;IF(Scan2VKFlags!E167&lt;&gt;""," flags="""&amp;Scan2VKFlags!E167&amp;"""","")&amp;"/&gt;","")</f>
        <v>&lt;vk kbd="4" vk="APPS" flags="KBDEXT"/&gt;</v>
      </c>
      <c r="AJ167" s="15" t="str">
        <f>IF(H167&lt;&gt;"","&lt;vk kbd="""&amp;H$1&amp;""" vk="""&amp;H167&amp;""""&amp;IF(Scan2VKFlags!F167&lt;&gt;""," flags="""&amp;Scan2VKFlags!F167&amp;"""","")&amp;"/&gt;","")</f>
        <v>&lt;vk kbd="5" vk="APPS"/&gt;</v>
      </c>
      <c r="AK167" s="16" t="str">
        <f>IF(I167&lt;&gt;"","&lt;vk kbd="""&amp;I$1&amp;""" vk="""&amp;I167&amp;""""&amp;IF(Scan2VKFlags!G167&lt;&gt;""," flags="""&amp;Scan2VKFlags!G167&amp;"""","")&amp;"/&gt;","")</f>
        <v>&lt;vk kbd="6" vk="APPS"/&gt;</v>
      </c>
      <c r="AL167" s="3" t="str">
        <f>IF(K167&lt;&gt;"","&lt;vk kbd="""&amp;K$1&amp;""" vk="""&amp;K167&amp;""""&amp;IF(Scan2VKFlags!H167&lt;&gt;""," flags="""&amp;Scan2VKFlags!H167&amp;"""","")&amp;"/&gt;","")</f>
        <v>&lt;vk kbd="7" vk="APPS"/&gt;</v>
      </c>
      <c r="AM167" s="15" t="str">
        <f>IF(L167&lt;&gt;"","&lt;vk kbd="""&amp;L$1&amp;""" vk="""&amp;L167&amp;""""&amp;IF(Scan2VKFlags!I167&lt;&gt;""," flags="""&amp;Scan2VKFlags!I167&amp;"""","")&amp;"/&gt;","")</f>
        <v>&lt;vk kbd="8" vk="APPS"/&gt;</v>
      </c>
      <c r="AN167" s="15" t="str">
        <f>IF(M167&lt;&gt;"","&lt;vk kbd="""&amp;M$1&amp;""" vk="""&amp;M167&amp;""""&amp;IF(Scan2VKFlags!J167&lt;&gt;""," flags="""&amp;Scan2VKFlags!J167&amp;"""","")&amp;"/&gt;","")</f>
        <v>&lt;vk kbd="16" vk="APPS"/&gt;</v>
      </c>
      <c r="AO167" s="15" t="str">
        <f>IF(N167&lt;&gt;"","&lt;vk kbd="""&amp;N$1&amp;""" vk="""&amp;N167&amp;""""&amp;IF(Scan2VKFlags!K167&lt;&gt;""," flags="""&amp;Scan2VKFlags!K167&amp;"""","")&amp;"/&gt;","")</f>
        <v>&lt;vk kbd="10" vk="APPS"/&gt;</v>
      </c>
      <c r="AP167" s="15" t="str">
        <f>IF(O167&lt;&gt;"","&lt;vk kbd="""&amp;O$1&amp;""" vk="""&amp;O167&amp;""""&amp;IF(Scan2VKFlags!L167&lt;&gt;""," flags="""&amp;Scan2VKFlags!L167&amp;"""","")&amp;"/&gt;","")</f>
        <v>&lt;vk kbd="11" vk="APPS"/&gt;</v>
      </c>
      <c r="AQ167" s="15" t="str">
        <f>IF(P167&lt;&gt;"","&lt;vk kbd="""&amp;P$1&amp;""" vk="""&amp;P167&amp;""""&amp;IF(Scan2VKFlags!M167&lt;&gt;""," flags="""&amp;Scan2VKFlags!M167&amp;"""","")&amp;"/&gt;","")</f>
        <v>&lt;vk kbd="12" vk="APPS"/&gt;</v>
      </c>
      <c r="AR167" s="16" t="str">
        <f>IF(Q167&lt;&gt;"","&lt;vk kbd="""&amp;Q$1&amp;""" vk="""&amp;Q167&amp;""""&amp;IF(Scan2VKFlags!N167&lt;&gt;""," flags="""&amp;Scan2VKFlags!N167&amp;"""","")&amp;"/&gt;","")</f>
        <v>&lt;vk kbd="13" vk="APPS"/&gt;</v>
      </c>
      <c r="AS167" s="3" t="str">
        <f>IF(S167&lt;&gt;"","&lt;vk kbd="""&amp;S$1&amp;""" vk="""&amp;S167&amp;""""&amp;IF(Scan2VKFlags!O167&lt;&gt;""," flags="""&amp;Scan2VKFlags!O167&amp;"""","")&amp;"/&gt;","")</f>
        <v>&lt;vk kbd="20" vk="_none_"/&gt;</v>
      </c>
      <c r="AT167" s="15" t="str">
        <f>IF(T167&lt;&gt;"","&lt;vk kbd="""&amp;T$1&amp;""" vk="""&amp;T167&amp;""""&amp;IF(Scan2VKFlags!P167&lt;&gt;""," flags="""&amp;Scan2VKFlags!P167&amp;"""","")&amp;"/&gt;","")</f>
        <v>&lt;vk kbd="21" vk="_none_"/&gt;</v>
      </c>
      <c r="AU167" s="16" t="str">
        <f>IF(U167&lt;&gt;"","&lt;vk kbd="""&amp;U$1&amp;""" vk="""&amp;U167&amp;""""&amp;IF(Scan2VKFlags!Q167&lt;&gt;""," flags="""&amp;Scan2VKFlags!Q167&amp;"""","")&amp;"/&gt;","")</f>
        <v>&lt;vk kbd="22" vk="APPS"/&gt;</v>
      </c>
      <c r="AV167" s="3" t="str">
        <f>IF(W167&lt;&gt;"","&lt;vk kbd="""&amp;W$1&amp;""" vk="""&amp;W167&amp;""""&amp;IF(Scan2VKFlags!R167&lt;&gt;""," flags="""&amp;Scan2VKFlags!R167&amp;"""","")&amp;"/&gt;","")</f>
        <v>&lt;vk kbd="30" vk="APPS"/&gt;</v>
      </c>
      <c r="AW167" s="15" t="str">
        <f>IF(X167&lt;&gt;"","&lt;vk kbd="""&amp;X$1&amp;""" vk="""&amp;X167&amp;""""&amp;IF(Scan2VKFlags!S167&lt;&gt;""," flags="""&amp;Scan2VKFlags!S167&amp;"""","")&amp;"/&gt;","")</f>
        <v>&lt;vk kbd="33" vk="APPS"/&gt;</v>
      </c>
      <c r="AX167" s="15" t="str">
        <f>IF(Y167&lt;&gt;"","&lt;vk kbd="""&amp;Y$1&amp;""" vk="""&amp;Y167&amp;""""&amp;IF(Scan2VKFlags!T167&lt;&gt;""," flags="""&amp;Scan2VKFlags!T167&amp;"""","")&amp;"/&gt;","")</f>
        <v>&lt;vk kbd="34" vk="APPS"/&gt;</v>
      </c>
      <c r="AY167" s="18" t="str">
        <f>IF(AA167&lt;&gt;"","&lt;vk kbd="""&amp;AA$1&amp;""" vk="""&amp;AA167&amp;""""&amp;IF(Scan2VKFlags!U167&lt;&gt;""," flags="""&amp;Scan2VKFlags!U167&amp;"""","")&amp;"/&gt;","")</f>
        <v/>
      </c>
      <c r="AZ167" s="3" t="str">
        <f>IF(AC167&lt;&gt;"","&lt;vk kbd="""&amp;AC$1&amp;""" vk="""&amp;AC167&amp;""""&amp;IF(Scan2VKFlags!V167&lt;&gt;""," flags="""&amp;Scan2VKFlags!V167&amp;"""","")&amp;"/&gt;","")</f>
        <v>&lt;vk kbd="40" vk="_none_"/&gt;</v>
      </c>
      <c r="BA167" s="16" t="str">
        <f>IF(AD167&lt;&gt;"","&lt;vk kbd="""&amp;AD$1&amp;""" vk="""&amp;AD167&amp;""""&amp;IF(Scan2VKFlags!W167&lt;&gt;""," flags="""&amp;Scan2VKFlags!W167&amp;"""","")&amp;"/&gt;","")</f>
        <v>&lt;vk kbd="41" vk="_none_"/&gt;</v>
      </c>
      <c r="BB167" s="15" t="s">
        <v>854</v>
      </c>
    </row>
    <row r="168" spans="2:54" s="15" customFormat="1" x14ac:dyDescent="0.25">
      <c r="B168" s="52" t="s">
        <v>174</v>
      </c>
      <c r="C168" s="7" t="s">
        <v>135</v>
      </c>
      <c r="D168" s="44" t="str">
        <f>trimtext(SplitText($C168,",",0))</f>
        <v>POWER</v>
      </c>
      <c r="E168" s="44" t="str">
        <f>IF(SplitText($C168,",",COLUMN(E:E)-COLUMN($D:$D))="",$D168,trimtext(SplitText($C168,",",COLUMN(E:E)-COLUMN($D:$D))))</f>
        <v>POWER</v>
      </c>
      <c r="F168" s="44" t="str">
        <f>IF(SplitText($C168,",",COLUMN(F:F)-COLUMN($D:$D))="",$D168,trimtext(SplitText($C168,",",COLUMN(F:F)-COLUMN($D:$D))))</f>
        <v>POWER</v>
      </c>
      <c r="G168" s="44" t="str">
        <f>IF(SplitText($C168,",",COLUMN(G:G)-COLUMN($D:$D))="",$D168,trimtext(SplitText($C168,",",COLUMN(G:G)-COLUMN($D:$D))))</f>
        <v>POWER</v>
      </c>
      <c r="H168" s="44" t="str">
        <f>IF(SplitText($C168,",",COLUMN(H:H)-COLUMN($D:$D))="",$D168,trimtext(SplitText($C168,",",COLUMN(H:H)-COLUMN($D:$D))))</f>
        <v>POWER</v>
      </c>
      <c r="I168" s="44" t="str">
        <f>IF(SplitText($C168,",",COLUMN(I:I)-COLUMN($D:$D))="",$D168,trimtext(SplitText($C168,",",COLUMN(I:I)-COLUMN($D:$D))))</f>
        <v>POWER</v>
      </c>
      <c r="J168" s="9" t="s">
        <v>320</v>
      </c>
      <c r="K168" s="44" t="str">
        <f>trimtext(SplitText($J168,",",0))</f>
        <v>POWER</v>
      </c>
      <c r="L168" s="44" t="str">
        <f>IF(SplitText($J168,",",COLUMN(L:L)-COLUMN($K:$K))="",$K168,trimtext(SplitText($J168,",",COLUMN(L:L)-COLUMN($K:$K))))</f>
        <v>POWER</v>
      </c>
      <c r="M168" s="44" t="str">
        <f>IF(SplitText($J168,",",COLUMN(M:M)-COLUMN($K:$K))="",$K168,trimtext(SplitText($J168,",",COLUMN(M:M)-COLUMN($K:$K))))</f>
        <v>POWER</v>
      </c>
      <c r="N168" s="44" t="str">
        <f>IF(SplitText($J168,",",COLUMN(N:N)-COLUMN($K:$K))="",$K168,trimtext(SplitText($J168,",",COLUMN(N:N)-COLUMN($K:$K))))</f>
        <v>POWER</v>
      </c>
      <c r="O168" s="44" t="str">
        <f>IF(SplitText($J168,",",COLUMN(O:O)-COLUMN($K:$K))="",$K168,trimtext(SplitText($J168,",",COLUMN(O:O)-COLUMN($K:$K))))</f>
        <v>POWER</v>
      </c>
      <c r="P168" s="44" t="str">
        <f>IF(SplitText($J168,",",COLUMN(P:P)-COLUMN($K:$K))="",$K168,trimtext(SplitText($J168,",",COLUMN(P:P)-COLUMN($K:$K))))</f>
        <v>POWER</v>
      </c>
      <c r="Q168" s="44" t="str">
        <f>IF(SplitText($J168,",",COLUMN(Q:Q)-COLUMN($K:$K))="",$K168,trimtext(SplitText($J168,",",COLUMN(Q:Q)-COLUMN($K:$K))))</f>
        <v>POWER</v>
      </c>
      <c r="R168" s="2" t="s">
        <v>487</v>
      </c>
      <c r="S168" s="44" t="str">
        <f>trimtext(SplitText($R168,",",0))</f>
        <v>POWER</v>
      </c>
      <c r="T168" s="44" t="str">
        <f>IF(SplitText($R168,",",COLUMN(T:T)-COLUMN($S:$S))="",$S168,trimtext(SplitText($R168,",",COLUMN(T:T)-COLUMN($S:$S))))</f>
        <v>POWER</v>
      </c>
      <c r="U168" s="45" t="str">
        <f>IF(SplitText($R168,",",COLUMN(U:U)-COLUMN($S:$S))="",$S168,trimtext(SplitText($R168,",",COLUMN(U:U)-COLUMN($S:$S))))</f>
        <v>POWER</v>
      </c>
      <c r="V168" s="53" t="s">
        <v>630</v>
      </c>
      <c r="W168" s="44" t="str">
        <f>trimtext(SplitText($V168,",",0))</f>
        <v>POWER</v>
      </c>
      <c r="X168" s="44" t="str">
        <f>IF(SplitText($V168,",",COLUMN(X:X)-COLUMN($W:$W))="",$W168,trimtext(SplitText($V168,",",COLUMN(X:X)-COLUMN($W:$W))))</f>
        <v>POWER</v>
      </c>
      <c r="Y168" s="44" t="str">
        <f>IF(SplitText($V168,",",COLUMN(Y:Y)-COLUMN($W:$W))="",$W168,trimtext(SplitText($V168,",",COLUMN(Y:Y)-COLUMN($W:$W))))</f>
        <v>POWER</v>
      </c>
      <c r="Z168" s="24"/>
      <c r="AA168" s="44" t="str">
        <f t="shared" si="13"/>
        <v/>
      </c>
      <c r="AB168" s="2" t="s">
        <v>743</v>
      </c>
      <c r="AC168" s="44" t="str">
        <f>trimtext(SplitText($AB168,",",0))</f>
        <v>_none_</v>
      </c>
      <c r="AD168" s="44" t="str">
        <f>IF(SplitText($AB168,",",COLUMN(AD:AD)-COLUMN($AC:$AC))="",$AC168,trimtext(SplitText($AB168,",",COLUMN(AD:AD)-COLUMN($AC:$AC))))</f>
        <v>_none_</v>
      </c>
      <c r="AE168" s="18" t="str">
        <f t="shared" si="12"/>
        <v>&lt;xs:enumeration value="X5E"&gt;&lt;xs:annotation&gt;&lt;xs:documentation&gt;Typically POWER for keyboard type 4, different values for different keyboard types&lt;/xs:documentation&gt;&lt;xs:appinfo&gt;&lt;default-vk&gt;</v>
      </c>
      <c r="AF168" s="15" t="str">
        <f>IF(D168&lt;&gt;"","&lt;vk kbd="""&amp;D$1&amp;""" vk="""&amp;D168&amp;""""&amp;IF(Scan2VKFlags!B168&lt;&gt;""," flags="""&amp;Scan2VKFlags!B168&amp;"""","")&amp;"/&gt;","")</f>
        <v>&lt;vk kbd="1" vk="POWER"/&gt;</v>
      </c>
      <c r="AG168" s="15" t="str">
        <f>IF(E168&lt;&gt;"","&lt;vk kbd="""&amp;E$1&amp;""" vk="""&amp;E168&amp;""""&amp;IF(Scan2VKFlags!C168&lt;&gt;""," flags="""&amp;Scan2VKFlags!C168&amp;"""","")&amp;"/&gt;","")</f>
        <v>&lt;vk kbd="2" vk="POWER"/&gt;</v>
      </c>
      <c r="AH168" s="15" t="str">
        <f>IF(F168&lt;&gt;"","&lt;vk kbd="""&amp;F$1&amp;""" vk="""&amp;F168&amp;""""&amp;IF(Scan2VKFlags!D168&lt;&gt;""," flags="""&amp;Scan2VKFlags!D168&amp;"""","")&amp;"/&gt;","")</f>
        <v>&lt;vk kbd="3" vk="POWER"/&gt;</v>
      </c>
      <c r="AI168" s="15" t="str">
        <f>IF(G168&lt;&gt;"","&lt;vk kbd="""&amp;G$1&amp;""" vk="""&amp;G168&amp;""""&amp;IF(Scan2VKFlags!E168&lt;&gt;""," flags="""&amp;Scan2VKFlags!E168&amp;"""","")&amp;"/&gt;","")</f>
        <v>&lt;vk kbd="4" vk="POWER" flags="KBDEXT"/&gt;</v>
      </c>
      <c r="AJ168" s="15" t="str">
        <f>IF(H168&lt;&gt;"","&lt;vk kbd="""&amp;H$1&amp;""" vk="""&amp;H168&amp;""""&amp;IF(Scan2VKFlags!F168&lt;&gt;""," flags="""&amp;Scan2VKFlags!F168&amp;"""","")&amp;"/&gt;","")</f>
        <v>&lt;vk kbd="5" vk="POWER"/&gt;</v>
      </c>
      <c r="AK168" s="16" t="str">
        <f>IF(I168&lt;&gt;"","&lt;vk kbd="""&amp;I$1&amp;""" vk="""&amp;I168&amp;""""&amp;IF(Scan2VKFlags!G168&lt;&gt;""," flags="""&amp;Scan2VKFlags!G168&amp;"""","")&amp;"/&gt;","")</f>
        <v>&lt;vk kbd="6" vk="POWER"/&gt;</v>
      </c>
      <c r="AL168" s="3" t="str">
        <f>IF(K168&lt;&gt;"","&lt;vk kbd="""&amp;K$1&amp;""" vk="""&amp;K168&amp;""""&amp;IF(Scan2VKFlags!H168&lt;&gt;""," flags="""&amp;Scan2VKFlags!H168&amp;"""","")&amp;"/&gt;","")</f>
        <v>&lt;vk kbd="7" vk="POWER"/&gt;</v>
      </c>
      <c r="AM168" s="15" t="str">
        <f>IF(L168&lt;&gt;"","&lt;vk kbd="""&amp;L$1&amp;""" vk="""&amp;L168&amp;""""&amp;IF(Scan2VKFlags!I168&lt;&gt;""," flags="""&amp;Scan2VKFlags!I168&amp;"""","")&amp;"/&gt;","")</f>
        <v>&lt;vk kbd="8" vk="POWER"/&gt;</v>
      </c>
      <c r="AN168" s="15" t="str">
        <f>IF(M168&lt;&gt;"","&lt;vk kbd="""&amp;M$1&amp;""" vk="""&amp;M168&amp;""""&amp;IF(Scan2VKFlags!J168&lt;&gt;""," flags="""&amp;Scan2VKFlags!J168&amp;"""","")&amp;"/&gt;","")</f>
        <v>&lt;vk kbd="16" vk="POWER"/&gt;</v>
      </c>
      <c r="AO168" s="15" t="str">
        <f>IF(N168&lt;&gt;"","&lt;vk kbd="""&amp;N$1&amp;""" vk="""&amp;N168&amp;""""&amp;IF(Scan2VKFlags!K168&lt;&gt;""," flags="""&amp;Scan2VKFlags!K168&amp;"""","")&amp;"/&gt;","")</f>
        <v>&lt;vk kbd="10" vk="POWER"/&gt;</v>
      </c>
      <c r="AP168" s="15" t="str">
        <f>IF(O168&lt;&gt;"","&lt;vk kbd="""&amp;O$1&amp;""" vk="""&amp;O168&amp;""""&amp;IF(Scan2VKFlags!L168&lt;&gt;""," flags="""&amp;Scan2VKFlags!L168&amp;"""","")&amp;"/&gt;","")</f>
        <v>&lt;vk kbd="11" vk="POWER"/&gt;</v>
      </c>
      <c r="AQ168" s="15" t="str">
        <f>IF(P168&lt;&gt;"","&lt;vk kbd="""&amp;P$1&amp;""" vk="""&amp;P168&amp;""""&amp;IF(Scan2VKFlags!M168&lt;&gt;""," flags="""&amp;Scan2VKFlags!M168&amp;"""","")&amp;"/&gt;","")</f>
        <v>&lt;vk kbd="12" vk="POWER"/&gt;</v>
      </c>
      <c r="AR168" s="16" t="str">
        <f>IF(Q168&lt;&gt;"","&lt;vk kbd="""&amp;Q$1&amp;""" vk="""&amp;Q168&amp;""""&amp;IF(Scan2VKFlags!N168&lt;&gt;""," flags="""&amp;Scan2VKFlags!N168&amp;"""","")&amp;"/&gt;","")</f>
        <v>&lt;vk kbd="13" vk="POWER"/&gt;</v>
      </c>
      <c r="AS168" s="3" t="str">
        <f>IF(S168&lt;&gt;"","&lt;vk kbd="""&amp;S$1&amp;""" vk="""&amp;S168&amp;""""&amp;IF(Scan2VKFlags!O168&lt;&gt;""," flags="""&amp;Scan2VKFlags!O168&amp;"""","")&amp;"/&gt;","")</f>
        <v>&lt;vk kbd="20" vk="POWER"/&gt;</v>
      </c>
      <c r="AT168" s="15" t="str">
        <f>IF(T168&lt;&gt;"","&lt;vk kbd="""&amp;T$1&amp;""" vk="""&amp;T168&amp;""""&amp;IF(Scan2VKFlags!P168&lt;&gt;""," flags="""&amp;Scan2VKFlags!P168&amp;"""","")&amp;"/&gt;","")</f>
        <v>&lt;vk kbd="21" vk="POWER"/&gt;</v>
      </c>
      <c r="AU168" s="16" t="str">
        <f>IF(U168&lt;&gt;"","&lt;vk kbd="""&amp;U$1&amp;""" vk="""&amp;U168&amp;""""&amp;IF(Scan2VKFlags!Q168&lt;&gt;""," flags="""&amp;Scan2VKFlags!Q168&amp;"""","")&amp;"/&gt;","")</f>
        <v>&lt;vk kbd="22" vk="POWER"/&gt;</v>
      </c>
      <c r="AV168" s="3" t="str">
        <f>IF(W168&lt;&gt;"","&lt;vk kbd="""&amp;W$1&amp;""" vk="""&amp;W168&amp;""""&amp;IF(Scan2VKFlags!R168&lt;&gt;""," flags="""&amp;Scan2VKFlags!R168&amp;"""","")&amp;"/&gt;","")</f>
        <v>&lt;vk kbd="30" vk="POWER"/&gt;</v>
      </c>
      <c r="AW168" s="15" t="str">
        <f>IF(X168&lt;&gt;"","&lt;vk kbd="""&amp;X$1&amp;""" vk="""&amp;X168&amp;""""&amp;IF(Scan2VKFlags!S168&lt;&gt;""," flags="""&amp;Scan2VKFlags!S168&amp;"""","")&amp;"/&gt;","")</f>
        <v>&lt;vk kbd="33" vk="POWER"/&gt;</v>
      </c>
      <c r="AX168" s="15" t="str">
        <f>IF(Y168&lt;&gt;"","&lt;vk kbd="""&amp;Y$1&amp;""" vk="""&amp;Y168&amp;""""&amp;IF(Scan2VKFlags!T168&lt;&gt;""," flags="""&amp;Scan2VKFlags!T168&amp;"""","")&amp;"/&gt;","")</f>
        <v>&lt;vk kbd="34" vk="POWER"/&gt;</v>
      </c>
      <c r="AY168" s="18" t="str">
        <f>IF(AA168&lt;&gt;"","&lt;vk kbd="""&amp;AA$1&amp;""" vk="""&amp;AA168&amp;""""&amp;IF(Scan2VKFlags!U168&lt;&gt;""," flags="""&amp;Scan2VKFlags!U168&amp;"""","")&amp;"/&gt;","")</f>
        <v/>
      </c>
      <c r="AZ168" s="3" t="str">
        <f>IF(AC168&lt;&gt;"","&lt;vk kbd="""&amp;AC$1&amp;""" vk="""&amp;AC168&amp;""""&amp;IF(Scan2VKFlags!V168&lt;&gt;""," flags="""&amp;Scan2VKFlags!V168&amp;"""","")&amp;"/&gt;","")</f>
        <v>&lt;vk kbd="40" vk="_none_"/&gt;</v>
      </c>
      <c r="BA168" s="16" t="str">
        <f>IF(AD168&lt;&gt;"","&lt;vk kbd="""&amp;AD$1&amp;""" vk="""&amp;AD168&amp;""""&amp;IF(Scan2VKFlags!W168&lt;&gt;""," flags="""&amp;Scan2VKFlags!W168&amp;"""","")&amp;"/&gt;","")</f>
        <v>&lt;vk kbd="41" vk="_none_"/&gt;</v>
      </c>
      <c r="BB168" s="15" t="s">
        <v>854</v>
      </c>
    </row>
    <row r="169" spans="2:54" s="15" customFormat="1" x14ac:dyDescent="0.25">
      <c r="B169" s="52" t="s">
        <v>175</v>
      </c>
      <c r="C169" s="7" t="s">
        <v>136</v>
      </c>
      <c r="D169" s="44" t="str">
        <f>trimtext(SplitText($C169,",",0))</f>
        <v>SLEEP</v>
      </c>
      <c r="E169" s="44" t="str">
        <f>IF(SplitText($C169,",",COLUMN(E:E)-COLUMN($D:$D))="",$D169,trimtext(SplitText($C169,",",COLUMN(E:E)-COLUMN($D:$D))))</f>
        <v>SLEEP</v>
      </c>
      <c r="F169" s="44" t="str">
        <f>IF(SplitText($C169,",",COLUMN(F:F)-COLUMN($D:$D))="",$D169,trimtext(SplitText($C169,",",COLUMN(F:F)-COLUMN($D:$D))))</f>
        <v>SLEEP</v>
      </c>
      <c r="G169" s="44" t="str">
        <f>IF(SplitText($C169,",",COLUMN(G:G)-COLUMN($D:$D))="",$D169,trimtext(SplitText($C169,",",COLUMN(G:G)-COLUMN($D:$D))))</f>
        <v>SLEEP</v>
      </c>
      <c r="H169" s="44" t="str">
        <f>IF(SplitText($C169,",",COLUMN(H:H)-COLUMN($D:$D))="",$D169,trimtext(SplitText($C169,",",COLUMN(H:H)-COLUMN($D:$D))))</f>
        <v>SLEEP</v>
      </c>
      <c r="I169" s="44" t="str">
        <f>IF(SplitText($C169,",",COLUMN(I:I)-COLUMN($D:$D))="",$D169,trimtext(SplitText($C169,",",COLUMN(I:I)-COLUMN($D:$D))))</f>
        <v>SLEEP</v>
      </c>
      <c r="J169" s="9" t="s">
        <v>321</v>
      </c>
      <c r="K169" s="44" t="str">
        <f>trimtext(SplitText($J169,",",0))</f>
        <v>SLEEP</v>
      </c>
      <c r="L169" s="44" t="str">
        <f>IF(SplitText($J169,",",COLUMN(L:L)-COLUMN($K:$K))="",$K169,trimtext(SplitText($J169,",",COLUMN(L:L)-COLUMN($K:$K))))</f>
        <v>SLEEP</v>
      </c>
      <c r="M169" s="44" t="str">
        <f>IF(SplitText($J169,",",COLUMN(M:M)-COLUMN($K:$K))="",$K169,trimtext(SplitText($J169,",",COLUMN(M:M)-COLUMN($K:$K))))</f>
        <v>SLEEP</v>
      </c>
      <c r="N169" s="44" t="str">
        <f>IF(SplitText($J169,",",COLUMN(N:N)-COLUMN($K:$K))="",$K169,trimtext(SplitText($J169,",",COLUMN(N:N)-COLUMN($K:$K))))</f>
        <v>SLEEP</v>
      </c>
      <c r="O169" s="44" t="str">
        <f>IF(SplitText($J169,",",COLUMN(O:O)-COLUMN($K:$K))="",$K169,trimtext(SplitText($J169,",",COLUMN(O:O)-COLUMN($K:$K))))</f>
        <v>SLEEP</v>
      </c>
      <c r="P169" s="44" t="str">
        <f>IF(SplitText($J169,",",COLUMN(P:P)-COLUMN($K:$K))="",$K169,trimtext(SplitText($J169,",",COLUMN(P:P)-COLUMN($K:$K))))</f>
        <v>SLEEP</v>
      </c>
      <c r="Q169" s="44" t="str">
        <f>IF(SplitText($J169,",",COLUMN(Q:Q)-COLUMN($K:$K))="",$K169,trimtext(SplitText($J169,",",COLUMN(Q:Q)-COLUMN($K:$K))))</f>
        <v>SLEEP</v>
      </c>
      <c r="R169" s="2" t="s">
        <v>488</v>
      </c>
      <c r="S169" s="44" t="str">
        <f>trimtext(SplitText($R169,",",0))</f>
        <v>SLEEP</v>
      </c>
      <c r="T169" s="44" t="str">
        <f>IF(SplitText($R169,",",COLUMN(T:T)-COLUMN($S:$S))="",$S169,trimtext(SplitText($R169,",",COLUMN(T:T)-COLUMN($S:$S))))</f>
        <v>SLEEP</v>
      </c>
      <c r="U169" s="45" t="str">
        <f>IF(SplitText($R169,",",COLUMN(U:U)-COLUMN($S:$S))="",$S169,trimtext(SplitText($R169,",",COLUMN(U:U)-COLUMN($S:$S))))</f>
        <v>SLEEP</v>
      </c>
      <c r="V169" s="53" t="s">
        <v>631</v>
      </c>
      <c r="W169" s="44" t="str">
        <f>trimtext(SplitText($V169,",",0))</f>
        <v>SLEEP</v>
      </c>
      <c r="X169" s="44" t="str">
        <f>IF(SplitText($V169,",",COLUMN(X:X)-COLUMN($W:$W))="",$W169,trimtext(SplitText($V169,",",COLUMN(X:X)-COLUMN($W:$W))))</f>
        <v>SLEEP</v>
      </c>
      <c r="Y169" s="44" t="str">
        <f>IF(SplitText($V169,",",COLUMN(Y:Y)-COLUMN($W:$W))="",$W169,trimtext(SplitText($V169,",",COLUMN(Y:Y)-COLUMN($W:$W))))</f>
        <v>SLEEP</v>
      </c>
      <c r="Z169" s="24"/>
      <c r="AA169" s="44" t="str">
        <f t="shared" si="13"/>
        <v/>
      </c>
      <c r="AB169" s="2" t="s">
        <v>851</v>
      </c>
      <c r="AC169" s="44" t="str">
        <f>trimtext(SplitText($AB169,",",0))</f>
        <v>POWER</v>
      </c>
      <c r="AD169" s="44" t="str">
        <f>IF(SplitText($AB169,",",COLUMN(AD:AD)-COLUMN($AC:$AC))="",$AC169,trimtext(SplitText($AB169,",",COLUMN(AD:AD)-COLUMN($AC:$AC))))</f>
        <v>POWER</v>
      </c>
      <c r="AE169" s="18" t="str">
        <f t="shared" si="12"/>
        <v>&lt;xs:enumeration value="X5F"&gt;&lt;xs:annotation&gt;&lt;xs:documentation&gt;Typically SLEEP for keyboard type 4, different values for different keyboard types&lt;/xs:documentation&gt;&lt;xs:appinfo&gt;&lt;default-vk&gt;</v>
      </c>
      <c r="AF169" s="15" t="str">
        <f>IF(D169&lt;&gt;"","&lt;vk kbd="""&amp;D$1&amp;""" vk="""&amp;D169&amp;""""&amp;IF(Scan2VKFlags!B169&lt;&gt;""," flags="""&amp;Scan2VKFlags!B169&amp;"""","")&amp;"/&gt;","")</f>
        <v>&lt;vk kbd="1" vk="SLEEP"/&gt;</v>
      </c>
      <c r="AG169" s="15" t="str">
        <f>IF(E169&lt;&gt;"","&lt;vk kbd="""&amp;E$1&amp;""" vk="""&amp;E169&amp;""""&amp;IF(Scan2VKFlags!C169&lt;&gt;""," flags="""&amp;Scan2VKFlags!C169&amp;"""","")&amp;"/&gt;","")</f>
        <v>&lt;vk kbd="2" vk="SLEEP"/&gt;</v>
      </c>
      <c r="AH169" s="15" t="str">
        <f>IF(F169&lt;&gt;"","&lt;vk kbd="""&amp;F$1&amp;""" vk="""&amp;F169&amp;""""&amp;IF(Scan2VKFlags!D169&lt;&gt;""," flags="""&amp;Scan2VKFlags!D169&amp;"""","")&amp;"/&gt;","")</f>
        <v>&lt;vk kbd="3" vk="SLEEP"/&gt;</v>
      </c>
      <c r="AI169" s="15" t="str">
        <f>IF(G169&lt;&gt;"","&lt;vk kbd="""&amp;G$1&amp;""" vk="""&amp;G169&amp;""""&amp;IF(Scan2VKFlags!E169&lt;&gt;""," flags="""&amp;Scan2VKFlags!E169&amp;"""","")&amp;"/&gt;","")</f>
        <v>&lt;vk kbd="4" vk="SLEEP" flags="KBDEXT"/&gt;</v>
      </c>
      <c r="AJ169" s="15" t="str">
        <f>IF(H169&lt;&gt;"","&lt;vk kbd="""&amp;H$1&amp;""" vk="""&amp;H169&amp;""""&amp;IF(Scan2VKFlags!F169&lt;&gt;""," flags="""&amp;Scan2VKFlags!F169&amp;"""","")&amp;"/&gt;","")</f>
        <v>&lt;vk kbd="5" vk="SLEEP"/&gt;</v>
      </c>
      <c r="AK169" s="16" t="str">
        <f>IF(I169&lt;&gt;"","&lt;vk kbd="""&amp;I$1&amp;""" vk="""&amp;I169&amp;""""&amp;IF(Scan2VKFlags!G169&lt;&gt;""," flags="""&amp;Scan2VKFlags!G169&amp;"""","")&amp;"/&gt;","")</f>
        <v>&lt;vk kbd="6" vk="SLEEP"/&gt;</v>
      </c>
      <c r="AL169" s="3" t="str">
        <f>IF(K169&lt;&gt;"","&lt;vk kbd="""&amp;K$1&amp;""" vk="""&amp;K169&amp;""""&amp;IF(Scan2VKFlags!H169&lt;&gt;""," flags="""&amp;Scan2VKFlags!H169&amp;"""","")&amp;"/&gt;","")</f>
        <v>&lt;vk kbd="7" vk="SLEEP"/&gt;</v>
      </c>
      <c r="AM169" s="15" t="str">
        <f>IF(L169&lt;&gt;"","&lt;vk kbd="""&amp;L$1&amp;""" vk="""&amp;L169&amp;""""&amp;IF(Scan2VKFlags!I169&lt;&gt;""," flags="""&amp;Scan2VKFlags!I169&amp;"""","")&amp;"/&gt;","")</f>
        <v>&lt;vk kbd="8" vk="SLEEP"/&gt;</v>
      </c>
      <c r="AN169" s="15" t="str">
        <f>IF(M169&lt;&gt;"","&lt;vk kbd="""&amp;M$1&amp;""" vk="""&amp;M169&amp;""""&amp;IF(Scan2VKFlags!J169&lt;&gt;""," flags="""&amp;Scan2VKFlags!J169&amp;"""","")&amp;"/&gt;","")</f>
        <v>&lt;vk kbd="16" vk="SLEEP"/&gt;</v>
      </c>
      <c r="AO169" s="15" t="str">
        <f>IF(N169&lt;&gt;"","&lt;vk kbd="""&amp;N$1&amp;""" vk="""&amp;N169&amp;""""&amp;IF(Scan2VKFlags!K169&lt;&gt;""," flags="""&amp;Scan2VKFlags!K169&amp;"""","")&amp;"/&gt;","")</f>
        <v>&lt;vk kbd="10" vk="SLEEP"/&gt;</v>
      </c>
      <c r="AP169" s="15" t="str">
        <f>IF(O169&lt;&gt;"","&lt;vk kbd="""&amp;O$1&amp;""" vk="""&amp;O169&amp;""""&amp;IF(Scan2VKFlags!L169&lt;&gt;""," flags="""&amp;Scan2VKFlags!L169&amp;"""","")&amp;"/&gt;","")</f>
        <v>&lt;vk kbd="11" vk="SLEEP"/&gt;</v>
      </c>
      <c r="AQ169" s="15" t="str">
        <f>IF(P169&lt;&gt;"","&lt;vk kbd="""&amp;P$1&amp;""" vk="""&amp;P169&amp;""""&amp;IF(Scan2VKFlags!M169&lt;&gt;""," flags="""&amp;Scan2VKFlags!M169&amp;"""","")&amp;"/&gt;","")</f>
        <v>&lt;vk kbd="12" vk="SLEEP"/&gt;</v>
      </c>
      <c r="AR169" s="16" t="str">
        <f>IF(Q169&lt;&gt;"","&lt;vk kbd="""&amp;Q$1&amp;""" vk="""&amp;Q169&amp;""""&amp;IF(Scan2VKFlags!N169&lt;&gt;""," flags="""&amp;Scan2VKFlags!N169&amp;"""","")&amp;"/&gt;","")</f>
        <v>&lt;vk kbd="13" vk="SLEEP"/&gt;</v>
      </c>
      <c r="AS169" s="3" t="str">
        <f>IF(S169&lt;&gt;"","&lt;vk kbd="""&amp;S$1&amp;""" vk="""&amp;S169&amp;""""&amp;IF(Scan2VKFlags!O169&lt;&gt;""," flags="""&amp;Scan2VKFlags!O169&amp;"""","")&amp;"/&gt;","")</f>
        <v>&lt;vk kbd="20" vk="SLEEP"/&gt;</v>
      </c>
      <c r="AT169" s="15" t="str">
        <f>IF(T169&lt;&gt;"","&lt;vk kbd="""&amp;T$1&amp;""" vk="""&amp;T169&amp;""""&amp;IF(Scan2VKFlags!P169&lt;&gt;""," flags="""&amp;Scan2VKFlags!P169&amp;"""","")&amp;"/&gt;","")</f>
        <v>&lt;vk kbd="21" vk="SLEEP"/&gt;</v>
      </c>
      <c r="AU169" s="16" t="str">
        <f>IF(U169&lt;&gt;"","&lt;vk kbd="""&amp;U$1&amp;""" vk="""&amp;U169&amp;""""&amp;IF(Scan2VKFlags!Q169&lt;&gt;""," flags="""&amp;Scan2VKFlags!Q169&amp;"""","")&amp;"/&gt;","")</f>
        <v>&lt;vk kbd="22" vk="SLEEP"/&gt;</v>
      </c>
      <c r="AV169" s="3" t="str">
        <f>IF(W169&lt;&gt;"","&lt;vk kbd="""&amp;W$1&amp;""" vk="""&amp;W169&amp;""""&amp;IF(Scan2VKFlags!R169&lt;&gt;""," flags="""&amp;Scan2VKFlags!R169&amp;"""","")&amp;"/&gt;","")</f>
        <v>&lt;vk kbd="30" vk="SLEEP"/&gt;</v>
      </c>
      <c r="AW169" s="15" t="str">
        <f>IF(X169&lt;&gt;"","&lt;vk kbd="""&amp;X$1&amp;""" vk="""&amp;X169&amp;""""&amp;IF(Scan2VKFlags!S169&lt;&gt;""," flags="""&amp;Scan2VKFlags!S169&amp;"""","")&amp;"/&gt;","")</f>
        <v>&lt;vk kbd="33" vk="SLEEP"/&gt;</v>
      </c>
      <c r="AX169" s="15" t="str">
        <f>IF(Y169&lt;&gt;"","&lt;vk kbd="""&amp;Y$1&amp;""" vk="""&amp;Y169&amp;""""&amp;IF(Scan2VKFlags!T169&lt;&gt;""," flags="""&amp;Scan2VKFlags!T169&amp;"""","")&amp;"/&gt;","")</f>
        <v>&lt;vk kbd="34" vk="SLEEP"/&gt;</v>
      </c>
      <c r="AY169" s="18" t="str">
        <f>IF(AA169&lt;&gt;"","&lt;vk kbd="""&amp;AA$1&amp;""" vk="""&amp;AA169&amp;""""&amp;IF(Scan2VKFlags!U169&lt;&gt;""," flags="""&amp;Scan2VKFlags!U169&amp;"""","")&amp;"/&gt;","")</f>
        <v/>
      </c>
      <c r="AZ169" s="3" t="str">
        <f>IF(AC169&lt;&gt;"","&lt;vk kbd="""&amp;AC$1&amp;""" vk="""&amp;AC169&amp;""""&amp;IF(Scan2VKFlags!V169&lt;&gt;""," flags="""&amp;Scan2VKFlags!V169&amp;"""","")&amp;"/&gt;","")</f>
        <v>&lt;vk kbd="40" vk="POWER"/&gt;</v>
      </c>
      <c r="BA169" s="16" t="str">
        <f>IF(AD169&lt;&gt;"","&lt;vk kbd="""&amp;AD$1&amp;""" vk="""&amp;AD169&amp;""""&amp;IF(Scan2VKFlags!W169&lt;&gt;""," flags="""&amp;Scan2VKFlags!W169&amp;"""","")&amp;"/&gt;","")</f>
        <v>&lt;vk kbd="41" vk="POWER"/&gt;</v>
      </c>
      <c r="BB169" s="15" t="s">
        <v>854</v>
      </c>
    </row>
    <row r="170" spans="2:54" s="15" customFormat="1" x14ac:dyDescent="0.25">
      <c r="B170" s="52" t="s">
        <v>489</v>
      </c>
      <c r="C170" s="7"/>
      <c r="D170" s="44"/>
      <c r="E170" s="44"/>
      <c r="F170" s="44"/>
      <c r="G170" s="44"/>
      <c r="H170" s="44"/>
      <c r="I170" s="44"/>
      <c r="J170" s="9"/>
      <c r="K170" s="44"/>
      <c r="L170" s="44"/>
      <c r="M170" s="44"/>
      <c r="N170" s="44"/>
      <c r="O170" s="44"/>
      <c r="P170" s="44"/>
      <c r="Q170" s="44"/>
      <c r="R170" s="2" t="s">
        <v>494</v>
      </c>
      <c r="S170" s="44"/>
      <c r="T170" s="44"/>
      <c r="U170" s="45"/>
      <c r="V170" s="53" t="s">
        <v>507</v>
      </c>
      <c r="W170" s="44" t="str">
        <f>trimtext(SplitText($V170,",",0))</f>
        <v>_none_</v>
      </c>
      <c r="X170" s="44" t="str">
        <f>IF(SplitText($V170,",",COLUMN(X:X)-COLUMN($W:$W))="",$W170,trimtext(SplitText($V170,",",COLUMN(X:X)-COLUMN($W:$W))))</f>
        <v>_none_</v>
      </c>
      <c r="Y170" s="44" t="str">
        <f>IF(SplitText($V170,",",COLUMN(Y:Y)-COLUMN($W:$W))="",$W170,trimtext(SplitText($V170,",",COLUMN(Y:Y)-COLUMN($W:$W))))</f>
        <v>_none_</v>
      </c>
      <c r="Z170" s="24"/>
      <c r="AA170" s="44" t="str">
        <f t="shared" si="13"/>
        <v/>
      </c>
      <c r="AB170" s="2" t="s">
        <v>852</v>
      </c>
      <c r="AC170" s="44" t="str">
        <f>trimtext(SplitText($AB170,",",0))</f>
        <v>SLEEP</v>
      </c>
      <c r="AD170" s="44" t="str">
        <f>IF(SplitText($AB170,",",COLUMN(AD:AD)-COLUMN($AC:$AC))="",$AC170,trimtext(SplitText($AB170,",",COLUMN(AD:AD)-COLUMN($AC:$AC))))</f>
        <v>SLEEP</v>
      </c>
      <c r="AE170" s="18" t="str">
        <f t="shared" si="12"/>
        <v>&lt;xs:enumeration value="X60"&gt;&lt;xs:annotation&gt;&lt;xs:documentation&gt;Typically &lt;/xs:documentation&gt;&lt;xs:appinfo&gt;&lt;default-vk&gt;</v>
      </c>
      <c r="AF170" s="15" t="str">
        <f>IF(D170&lt;&gt;"","&lt;vk kbd="""&amp;D$1&amp;""" vk="""&amp;D170&amp;""""&amp;IF(Scan2VKFlags!B170&lt;&gt;""," flags="""&amp;Scan2VKFlags!B170&amp;"""","")&amp;"/&gt;","")</f>
        <v/>
      </c>
      <c r="AG170" s="15" t="str">
        <f>IF(E170&lt;&gt;"","&lt;vk kbd="""&amp;E$1&amp;""" vk="""&amp;E170&amp;""""&amp;IF(Scan2VKFlags!C170&lt;&gt;""," flags="""&amp;Scan2VKFlags!C170&amp;"""","")&amp;"/&gt;","")</f>
        <v/>
      </c>
      <c r="AH170" s="15" t="str">
        <f>IF(F170&lt;&gt;"","&lt;vk kbd="""&amp;F$1&amp;""" vk="""&amp;F170&amp;""""&amp;IF(Scan2VKFlags!D170&lt;&gt;""," flags="""&amp;Scan2VKFlags!D170&amp;"""","")&amp;"/&gt;","")</f>
        <v/>
      </c>
      <c r="AI170" s="15" t="str">
        <f>IF(G170&lt;&gt;"","&lt;vk kbd="""&amp;G$1&amp;""" vk="""&amp;G170&amp;""""&amp;IF(Scan2VKFlags!E170&lt;&gt;""," flags="""&amp;Scan2VKFlags!E170&amp;"""","")&amp;"/&gt;","")</f>
        <v/>
      </c>
      <c r="AJ170" s="15" t="str">
        <f>IF(H170&lt;&gt;"","&lt;vk kbd="""&amp;H$1&amp;""" vk="""&amp;H170&amp;""""&amp;IF(Scan2VKFlags!F170&lt;&gt;""," flags="""&amp;Scan2VKFlags!F170&amp;"""","")&amp;"/&gt;","")</f>
        <v/>
      </c>
      <c r="AK170" s="16" t="str">
        <f>IF(I170&lt;&gt;"","&lt;vk kbd="""&amp;I$1&amp;""" vk="""&amp;I170&amp;""""&amp;IF(Scan2VKFlags!G170&lt;&gt;""," flags="""&amp;Scan2VKFlags!G170&amp;"""","")&amp;"/&gt;","")</f>
        <v/>
      </c>
      <c r="AL170" s="3" t="str">
        <f>IF(K170&lt;&gt;"","&lt;vk kbd="""&amp;K$1&amp;""" vk="""&amp;K170&amp;""""&amp;IF(Scan2VKFlags!H170&lt;&gt;""," flags="""&amp;Scan2VKFlags!H170&amp;"""","")&amp;"/&gt;","")</f>
        <v/>
      </c>
      <c r="AM170" s="15" t="str">
        <f>IF(L170&lt;&gt;"","&lt;vk kbd="""&amp;L$1&amp;""" vk="""&amp;L170&amp;""""&amp;IF(Scan2VKFlags!I170&lt;&gt;""," flags="""&amp;Scan2VKFlags!I170&amp;"""","")&amp;"/&gt;","")</f>
        <v/>
      </c>
      <c r="AN170" s="15" t="str">
        <f>IF(M170&lt;&gt;"","&lt;vk kbd="""&amp;M$1&amp;""" vk="""&amp;M170&amp;""""&amp;IF(Scan2VKFlags!J170&lt;&gt;""," flags="""&amp;Scan2VKFlags!J170&amp;"""","")&amp;"/&gt;","")</f>
        <v/>
      </c>
      <c r="AO170" s="15" t="str">
        <f>IF(N170&lt;&gt;"","&lt;vk kbd="""&amp;N$1&amp;""" vk="""&amp;N170&amp;""""&amp;IF(Scan2VKFlags!K170&lt;&gt;""," flags="""&amp;Scan2VKFlags!K170&amp;"""","")&amp;"/&gt;","")</f>
        <v/>
      </c>
      <c r="AP170" s="15" t="str">
        <f>IF(O170&lt;&gt;"","&lt;vk kbd="""&amp;O$1&amp;""" vk="""&amp;O170&amp;""""&amp;IF(Scan2VKFlags!L170&lt;&gt;""," flags="""&amp;Scan2VKFlags!L170&amp;"""","")&amp;"/&gt;","")</f>
        <v/>
      </c>
      <c r="AQ170" s="15" t="str">
        <f>IF(P170&lt;&gt;"","&lt;vk kbd="""&amp;P$1&amp;""" vk="""&amp;P170&amp;""""&amp;IF(Scan2VKFlags!M170&lt;&gt;""," flags="""&amp;Scan2VKFlags!M170&amp;"""","")&amp;"/&gt;","")</f>
        <v/>
      </c>
      <c r="AR170" s="16" t="str">
        <f>IF(Q170&lt;&gt;"","&lt;vk kbd="""&amp;Q$1&amp;""" vk="""&amp;Q170&amp;""""&amp;IF(Scan2VKFlags!N170&lt;&gt;""," flags="""&amp;Scan2VKFlags!N170&amp;"""","")&amp;"/&gt;","")</f>
        <v/>
      </c>
      <c r="AS170" s="3" t="str">
        <f>IF(S170&lt;&gt;"","&lt;vk kbd="""&amp;S$1&amp;""" vk="""&amp;S170&amp;""""&amp;IF(Scan2VKFlags!O170&lt;&gt;""," flags="""&amp;Scan2VKFlags!O170&amp;"""","")&amp;"/&gt;","")</f>
        <v/>
      </c>
      <c r="AT170" s="15" t="str">
        <f>IF(T170&lt;&gt;"","&lt;vk kbd="""&amp;T$1&amp;""" vk="""&amp;T170&amp;""""&amp;IF(Scan2VKFlags!P170&lt;&gt;""," flags="""&amp;Scan2VKFlags!P170&amp;"""","")&amp;"/&gt;","")</f>
        <v/>
      </c>
      <c r="AU170" s="16" t="str">
        <f>IF(U170&lt;&gt;"","&lt;vk kbd="""&amp;U$1&amp;""" vk="""&amp;U170&amp;""""&amp;IF(Scan2VKFlags!Q170&lt;&gt;""," flags="""&amp;Scan2VKFlags!Q170&amp;"""","")&amp;"/&gt;","")</f>
        <v/>
      </c>
      <c r="AV170" s="3" t="str">
        <f>IF(W170&lt;&gt;"","&lt;vk kbd="""&amp;W$1&amp;""" vk="""&amp;W170&amp;""""&amp;IF(Scan2VKFlags!R170&lt;&gt;""," flags="""&amp;Scan2VKFlags!R170&amp;"""","")&amp;"/&gt;","")</f>
        <v>&lt;vk kbd="30" vk="_none_"/&gt;</v>
      </c>
      <c r="AW170" s="15" t="str">
        <f>IF(X170&lt;&gt;"","&lt;vk kbd="""&amp;X$1&amp;""" vk="""&amp;X170&amp;""""&amp;IF(Scan2VKFlags!S170&lt;&gt;""," flags="""&amp;Scan2VKFlags!S170&amp;"""","")&amp;"/&gt;","")</f>
        <v>&lt;vk kbd="33" vk="_none_"/&gt;</v>
      </c>
      <c r="AX170" s="15" t="str">
        <f>IF(Y170&lt;&gt;"","&lt;vk kbd="""&amp;Y$1&amp;""" vk="""&amp;Y170&amp;""""&amp;IF(Scan2VKFlags!T170&lt;&gt;""," flags="""&amp;Scan2VKFlags!T170&amp;"""","")&amp;"/&gt;","")</f>
        <v>&lt;vk kbd="34" vk="_none_"/&gt;</v>
      </c>
      <c r="AY170" s="18" t="str">
        <f>IF(AA170&lt;&gt;"","&lt;vk kbd="""&amp;AA$1&amp;""" vk="""&amp;AA170&amp;""""&amp;IF(Scan2VKFlags!U170&lt;&gt;""," flags="""&amp;Scan2VKFlags!U170&amp;"""","")&amp;"/&gt;","")</f>
        <v/>
      </c>
      <c r="AZ170" s="3" t="str">
        <f>IF(AC170&lt;&gt;"","&lt;vk kbd="""&amp;AC$1&amp;""" vk="""&amp;AC170&amp;""""&amp;IF(Scan2VKFlags!V170&lt;&gt;""," flags="""&amp;Scan2VKFlags!V170&amp;"""","")&amp;"/&gt;","")</f>
        <v>&lt;vk kbd="40" vk="SLEEP"/&gt;</v>
      </c>
      <c r="BA170" s="16" t="str">
        <f>IF(AD170&lt;&gt;"","&lt;vk kbd="""&amp;AD$1&amp;""" vk="""&amp;AD170&amp;""""&amp;IF(Scan2VKFlags!W170&lt;&gt;""," flags="""&amp;Scan2VKFlags!W170&amp;"""","")&amp;"/&gt;","")</f>
        <v>&lt;vk kbd="41" vk="SLEEP"/&gt;</v>
      </c>
      <c r="BB170" s="15" t="s">
        <v>854</v>
      </c>
    </row>
    <row r="171" spans="2:54" s="15" customFormat="1" x14ac:dyDescent="0.25">
      <c r="B171" s="52" t="s">
        <v>490</v>
      </c>
      <c r="C171" s="7"/>
      <c r="D171" s="44"/>
      <c r="E171" s="44"/>
      <c r="F171" s="44"/>
      <c r="G171" s="44"/>
      <c r="H171" s="44"/>
      <c r="I171" s="44"/>
      <c r="J171" s="9"/>
      <c r="K171" s="44"/>
      <c r="L171" s="44"/>
      <c r="M171" s="44"/>
      <c r="N171" s="44"/>
      <c r="O171" s="44"/>
      <c r="P171" s="44"/>
      <c r="Q171" s="44"/>
      <c r="R171" s="2" t="s">
        <v>495</v>
      </c>
      <c r="S171" s="44"/>
      <c r="T171" s="44"/>
      <c r="U171" s="45"/>
      <c r="V171" s="53" t="s">
        <v>507</v>
      </c>
      <c r="W171" s="44" t="str">
        <f>trimtext(SplitText($V171,",",0))</f>
        <v>_none_</v>
      </c>
      <c r="X171" s="44" t="str">
        <f>IF(SplitText($V171,",",COLUMN(X:X)-COLUMN($W:$W))="",$W171,trimtext(SplitText($V171,",",COLUMN(X:X)-COLUMN($W:$W))))</f>
        <v>_none_</v>
      </c>
      <c r="Y171" s="44" t="str">
        <f>IF(SplitText($V171,",",COLUMN(Y:Y)-COLUMN($W:$W))="",$W171,trimtext(SplitText($V171,",",COLUMN(Y:Y)-COLUMN($W:$W))))</f>
        <v>_none_</v>
      </c>
      <c r="Z171" s="24"/>
      <c r="AA171" s="44" t="str">
        <f t="shared" si="13"/>
        <v/>
      </c>
      <c r="AB171" s="24"/>
      <c r="AC171" s="44" t="str">
        <f>trimtext(SplitText($AB171,",",0))</f>
        <v/>
      </c>
      <c r="AD171" s="44" t="str">
        <f>IF(SplitText($AB171,",",COLUMN(AD:AD)-COLUMN($AC:$AC))="",$AC171,trimtext(SplitText($AB171,",",COLUMN(AD:AD)-COLUMN($AC:$AC))))</f>
        <v/>
      </c>
      <c r="AE171" s="18" t="str">
        <f t="shared" si="12"/>
        <v>&lt;xs:enumeration value="X61"&gt;&lt;xs:annotation&gt;&lt;xs:documentation&gt;Typically &lt;/xs:documentation&gt;&lt;xs:appinfo&gt;&lt;default-vk&gt;</v>
      </c>
      <c r="AF171" s="15" t="str">
        <f>IF(D171&lt;&gt;"","&lt;vk kbd="""&amp;D$1&amp;""" vk="""&amp;D171&amp;""""&amp;IF(Scan2VKFlags!B171&lt;&gt;""," flags="""&amp;Scan2VKFlags!B171&amp;"""","")&amp;"/&gt;","")</f>
        <v/>
      </c>
      <c r="AG171" s="15" t="str">
        <f>IF(E171&lt;&gt;"","&lt;vk kbd="""&amp;E$1&amp;""" vk="""&amp;E171&amp;""""&amp;IF(Scan2VKFlags!C171&lt;&gt;""," flags="""&amp;Scan2VKFlags!C171&amp;"""","")&amp;"/&gt;","")</f>
        <v/>
      </c>
      <c r="AH171" s="15" t="str">
        <f>IF(F171&lt;&gt;"","&lt;vk kbd="""&amp;F$1&amp;""" vk="""&amp;F171&amp;""""&amp;IF(Scan2VKFlags!D171&lt;&gt;""," flags="""&amp;Scan2VKFlags!D171&amp;"""","")&amp;"/&gt;","")</f>
        <v/>
      </c>
      <c r="AI171" s="15" t="str">
        <f>IF(G171&lt;&gt;"","&lt;vk kbd="""&amp;G$1&amp;""" vk="""&amp;G171&amp;""""&amp;IF(Scan2VKFlags!E171&lt;&gt;""," flags="""&amp;Scan2VKFlags!E171&amp;"""","")&amp;"/&gt;","")</f>
        <v/>
      </c>
      <c r="AJ171" s="15" t="str">
        <f>IF(H171&lt;&gt;"","&lt;vk kbd="""&amp;H$1&amp;""" vk="""&amp;H171&amp;""""&amp;IF(Scan2VKFlags!F171&lt;&gt;""," flags="""&amp;Scan2VKFlags!F171&amp;"""","")&amp;"/&gt;","")</f>
        <v/>
      </c>
      <c r="AK171" s="16" t="str">
        <f>IF(I171&lt;&gt;"","&lt;vk kbd="""&amp;I$1&amp;""" vk="""&amp;I171&amp;""""&amp;IF(Scan2VKFlags!G171&lt;&gt;""," flags="""&amp;Scan2VKFlags!G171&amp;"""","")&amp;"/&gt;","")</f>
        <v/>
      </c>
      <c r="AL171" s="3" t="str">
        <f>IF(K171&lt;&gt;"","&lt;vk kbd="""&amp;K$1&amp;""" vk="""&amp;K171&amp;""""&amp;IF(Scan2VKFlags!H171&lt;&gt;""," flags="""&amp;Scan2VKFlags!H171&amp;"""","")&amp;"/&gt;","")</f>
        <v/>
      </c>
      <c r="AM171" s="15" t="str">
        <f>IF(L171&lt;&gt;"","&lt;vk kbd="""&amp;L$1&amp;""" vk="""&amp;L171&amp;""""&amp;IF(Scan2VKFlags!I171&lt;&gt;""," flags="""&amp;Scan2VKFlags!I171&amp;"""","")&amp;"/&gt;","")</f>
        <v/>
      </c>
      <c r="AN171" s="15" t="str">
        <f>IF(M171&lt;&gt;"","&lt;vk kbd="""&amp;M$1&amp;""" vk="""&amp;M171&amp;""""&amp;IF(Scan2VKFlags!J171&lt;&gt;""," flags="""&amp;Scan2VKFlags!J171&amp;"""","")&amp;"/&gt;","")</f>
        <v/>
      </c>
      <c r="AO171" s="15" t="str">
        <f>IF(N171&lt;&gt;"","&lt;vk kbd="""&amp;N$1&amp;""" vk="""&amp;N171&amp;""""&amp;IF(Scan2VKFlags!K171&lt;&gt;""," flags="""&amp;Scan2VKFlags!K171&amp;"""","")&amp;"/&gt;","")</f>
        <v/>
      </c>
      <c r="AP171" s="15" t="str">
        <f>IF(O171&lt;&gt;"","&lt;vk kbd="""&amp;O$1&amp;""" vk="""&amp;O171&amp;""""&amp;IF(Scan2VKFlags!L171&lt;&gt;""," flags="""&amp;Scan2VKFlags!L171&amp;"""","")&amp;"/&gt;","")</f>
        <v/>
      </c>
      <c r="AQ171" s="15" t="str">
        <f>IF(P171&lt;&gt;"","&lt;vk kbd="""&amp;P$1&amp;""" vk="""&amp;P171&amp;""""&amp;IF(Scan2VKFlags!M171&lt;&gt;""," flags="""&amp;Scan2VKFlags!M171&amp;"""","")&amp;"/&gt;","")</f>
        <v/>
      </c>
      <c r="AR171" s="16" t="str">
        <f>IF(Q171&lt;&gt;"","&lt;vk kbd="""&amp;Q$1&amp;""" vk="""&amp;Q171&amp;""""&amp;IF(Scan2VKFlags!N171&lt;&gt;""," flags="""&amp;Scan2VKFlags!N171&amp;"""","")&amp;"/&gt;","")</f>
        <v/>
      </c>
      <c r="AS171" s="3" t="str">
        <f>IF(S171&lt;&gt;"","&lt;vk kbd="""&amp;S$1&amp;""" vk="""&amp;S171&amp;""""&amp;IF(Scan2VKFlags!O171&lt;&gt;""," flags="""&amp;Scan2VKFlags!O171&amp;"""","")&amp;"/&gt;","")</f>
        <v/>
      </c>
      <c r="AT171" s="15" t="str">
        <f>IF(T171&lt;&gt;"","&lt;vk kbd="""&amp;T$1&amp;""" vk="""&amp;T171&amp;""""&amp;IF(Scan2VKFlags!P171&lt;&gt;""," flags="""&amp;Scan2VKFlags!P171&amp;"""","")&amp;"/&gt;","")</f>
        <v/>
      </c>
      <c r="AU171" s="16" t="str">
        <f>IF(U171&lt;&gt;"","&lt;vk kbd="""&amp;U$1&amp;""" vk="""&amp;U171&amp;""""&amp;IF(Scan2VKFlags!Q171&lt;&gt;""," flags="""&amp;Scan2VKFlags!Q171&amp;"""","")&amp;"/&gt;","")</f>
        <v/>
      </c>
      <c r="AV171" s="3" t="str">
        <f>IF(W171&lt;&gt;"","&lt;vk kbd="""&amp;W$1&amp;""" vk="""&amp;W171&amp;""""&amp;IF(Scan2VKFlags!R171&lt;&gt;""," flags="""&amp;Scan2VKFlags!R171&amp;"""","")&amp;"/&gt;","")</f>
        <v>&lt;vk kbd="30" vk="_none_"/&gt;</v>
      </c>
      <c r="AW171" s="15" t="str">
        <f>IF(X171&lt;&gt;"","&lt;vk kbd="""&amp;X$1&amp;""" vk="""&amp;X171&amp;""""&amp;IF(Scan2VKFlags!S171&lt;&gt;""," flags="""&amp;Scan2VKFlags!S171&amp;"""","")&amp;"/&gt;","")</f>
        <v>&lt;vk kbd="33" vk="_none_"/&gt;</v>
      </c>
      <c r="AX171" s="15" t="str">
        <f>IF(Y171&lt;&gt;"","&lt;vk kbd="""&amp;Y$1&amp;""" vk="""&amp;Y171&amp;""""&amp;IF(Scan2VKFlags!T171&lt;&gt;""," flags="""&amp;Scan2VKFlags!T171&amp;"""","")&amp;"/&gt;","")</f>
        <v>&lt;vk kbd="34" vk="_none_"/&gt;</v>
      </c>
      <c r="AY171" s="18" t="str">
        <f>IF(AA171&lt;&gt;"","&lt;vk kbd="""&amp;AA$1&amp;""" vk="""&amp;AA171&amp;""""&amp;IF(Scan2VKFlags!U171&lt;&gt;""," flags="""&amp;Scan2VKFlags!U171&amp;"""","")&amp;"/&gt;","")</f>
        <v/>
      </c>
      <c r="AZ171" s="3" t="str">
        <f>IF(AC171&lt;&gt;"","&lt;vk kbd="""&amp;AC$1&amp;""" vk="""&amp;AC171&amp;""""&amp;IF(Scan2VKFlags!V171&lt;&gt;""," flags="""&amp;Scan2VKFlags!V171&amp;"""","")&amp;"/&gt;","")</f>
        <v/>
      </c>
      <c r="BA171" s="16" t="str">
        <f>IF(AD171&lt;&gt;"","&lt;vk kbd="""&amp;AD$1&amp;""" vk="""&amp;AD171&amp;""""&amp;IF(Scan2VKFlags!W171&lt;&gt;""," flags="""&amp;Scan2VKFlags!W171&amp;"""","")&amp;"/&gt;","")</f>
        <v/>
      </c>
      <c r="BB171" s="15" t="s">
        <v>854</v>
      </c>
    </row>
    <row r="172" spans="2:54" s="15" customFormat="1" x14ac:dyDescent="0.25">
      <c r="B172" s="52" t="s">
        <v>491</v>
      </c>
      <c r="C172" s="7"/>
      <c r="D172" s="44"/>
      <c r="E172" s="44"/>
      <c r="F172" s="44"/>
      <c r="G172" s="44"/>
      <c r="H172" s="44"/>
      <c r="I172" s="44"/>
      <c r="J172" s="9"/>
      <c r="K172" s="44"/>
      <c r="L172" s="44"/>
      <c r="M172" s="44"/>
      <c r="N172" s="44"/>
      <c r="O172" s="44"/>
      <c r="P172" s="44"/>
      <c r="Q172" s="44"/>
      <c r="R172" s="2" t="s">
        <v>463</v>
      </c>
      <c r="S172" s="44"/>
      <c r="T172" s="44"/>
      <c r="U172" s="45"/>
      <c r="V172" s="53" t="s">
        <v>507</v>
      </c>
      <c r="W172" s="44" t="str">
        <f>trimtext(SplitText($V172,",",0))</f>
        <v>_none_</v>
      </c>
      <c r="X172" s="44" t="str">
        <f>IF(SplitText($V172,",",COLUMN(X:X)-COLUMN($W:$W))="",$W172,trimtext(SplitText($V172,",",COLUMN(X:X)-COLUMN($W:$W))))</f>
        <v>_none_</v>
      </c>
      <c r="Y172" s="44" t="str">
        <f>IF(SplitText($V172,",",COLUMN(Y:Y)-COLUMN($W:$W))="",$W172,trimtext(SplitText($V172,",",COLUMN(Y:Y)-COLUMN($W:$W))))</f>
        <v>_none_</v>
      </c>
      <c r="Z172" s="24"/>
      <c r="AA172" s="44" t="str">
        <f t="shared" si="13"/>
        <v/>
      </c>
      <c r="AB172" s="24"/>
      <c r="AC172" s="44" t="str">
        <f>trimtext(SplitText($AB172,",",0))</f>
        <v/>
      </c>
      <c r="AD172" s="44" t="str">
        <f>IF(SplitText($AB172,",",COLUMN(AD:AD)-COLUMN($AC:$AC))="",$AC172,trimtext(SplitText($AB172,",",COLUMN(AD:AD)-COLUMN($AC:$AC))))</f>
        <v/>
      </c>
      <c r="AE172" s="18" t="str">
        <f t="shared" si="12"/>
        <v>&lt;xs:enumeration value="X62"&gt;&lt;xs:annotation&gt;&lt;xs:documentation&gt;Typically &lt;/xs:documentation&gt;&lt;xs:appinfo&gt;&lt;default-vk&gt;</v>
      </c>
      <c r="AF172" s="15" t="str">
        <f>IF(D172&lt;&gt;"","&lt;vk kbd="""&amp;D$1&amp;""" vk="""&amp;D172&amp;""""&amp;IF(Scan2VKFlags!B172&lt;&gt;""," flags="""&amp;Scan2VKFlags!B172&amp;"""","")&amp;"/&gt;","")</f>
        <v/>
      </c>
      <c r="AG172" s="15" t="str">
        <f>IF(E172&lt;&gt;"","&lt;vk kbd="""&amp;E$1&amp;""" vk="""&amp;E172&amp;""""&amp;IF(Scan2VKFlags!C172&lt;&gt;""," flags="""&amp;Scan2VKFlags!C172&amp;"""","")&amp;"/&gt;","")</f>
        <v/>
      </c>
      <c r="AH172" s="15" t="str">
        <f>IF(F172&lt;&gt;"","&lt;vk kbd="""&amp;F$1&amp;""" vk="""&amp;F172&amp;""""&amp;IF(Scan2VKFlags!D172&lt;&gt;""," flags="""&amp;Scan2VKFlags!D172&amp;"""","")&amp;"/&gt;","")</f>
        <v/>
      </c>
      <c r="AI172" s="15" t="str">
        <f>IF(G172&lt;&gt;"","&lt;vk kbd="""&amp;G$1&amp;""" vk="""&amp;G172&amp;""""&amp;IF(Scan2VKFlags!E172&lt;&gt;""," flags="""&amp;Scan2VKFlags!E172&amp;"""","")&amp;"/&gt;","")</f>
        <v/>
      </c>
      <c r="AJ172" s="15" t="str">
        <f>IF(H172&lt;&gt;"","&lt;vk kbd="""&amp;H$1&amp;""" vk="""&amp;H172&amp;""""&amp;IF(Scan2VKFlags!F172&lt;&gt;""," flags="""&amp;Scan2VKFlags!F172&amp;"""","")&amp;"/&gt;","")</f>
        <v/>
      </c>
      <c r="AK172" s="16" t="str">
        <f>IF(I172&lt;&gt;"","&lt;vk kbd="""&amp;I$1&amp;""" vk="""&amp;I172&amp;""""&amp;IF(Scan2VKFlags!G172&lt;&gt;""," flags="""&amp;Scan2VKFlags!G172&amp;"""","")&amp;"/&gt;","")</f>
        <v/>
      </c>
      <c r="AL172" s="3" t="str">
        <f>IF(K172&lt;&gt;"","&lt;vk kbd="""&amp;K$1&amp;""" vk="""&amp;K172&amp;""""&amp;IF(Scan2VKFlags!H172&lt;&gt;""," flags="""&amp;Scan2VKFlags!H172&amp;"""","")&amp;"/&gt;","")</f>
        <v/>
      </c>
      <c r="AM172" s="15" t="str">
        <f>IF(L172&lt;&gt;"","&lt;vk kbd="""&amp;L$1&amp;""" vk="""&amp;L172&amp;""""&amp;IF(Scan2VKFlags!I172&lt;&gt;""," flags="""&amp;Scan2VKFlags!I172&amp;"""","")&amp;"/&gt;","")</f>
        <v/>
      </c>
      <c r="AN172" s="15" t="str">
        <f>IF(M172&lt;&gt;"","&lt;vk kbd="""&amp;M$1&amp;""" vk="""&amp;M172&amp;""""&amp;IF(Scan2VKFlags!J172&lt;&gt;""," flags="""&amp;Scan2VKFlags!J172&amp;"""","")&amp;"/&gt;","")</f>
        <v/>
      </c>
      <c r="AO172" s="15" t="str">
        <f>IF(N172&lt;&gt;"","&lt;vk kbd="""&amp;N$1&amp;""" vk="""&amp;N172&amp;""""&amp;IF(Scan2VKFlags!K172&lt;&gt;""," flags="""&amp;Scan2VKFlags!K172&amp;"""","")&amp;"/&gt;","")</f>
        <v/>
      </c>
      <c r="AP172" s="15" t="str">
        <f>IF(O172&lt;&gt;"","&lt;vk kbd="""&amp;O$1&amp;""" vk="""&amp;O172&amp;""""&amp;IF(Scan2VKFlags!L172&lt;&gt;""," flags="""&amp;Scan2VKFlags!L172&amp;"""","")&amp;"/&gt;","")</f>
        <v/>
      </c>
      <c r="AQ172" s="15" t="str">
        <f>IF(P172&lt;&gt;"","&lt;vk kbd="""&amp;P$1&amp;""" vk="""&amp;P172&amp;""""&amp;IF(Scan2VKFlags!M172&lt;&gt;""," flags="""&amp;Scan2VKFlags!M172&amp;"""","")&amp;"/&gt;","")</f>
        <v/>
      </c>
      <c r="AR172" s="16" t="str">
        <f>IF(Q172&lt;&gt;"","&lt;vk kbd="""&amp;Q$1&amp;""" vk="""&amp;Q172&amp;""""&amp;IF(Scan2VKFlags!N172&lt;&gt;""," flags="""&amp;Scan2VKFlags!N172&amp;"""","")&amp;"/&gt;","")</f>
        <v/>
      </c>
      <c r="AS172" s="3" t="str">
        <f>IF(S172&lt;&gt;"","&lt;vk kbd="""&amp;S$1&amp;""" vk="""&amp;S172&amp;""""&amp;IF(Scan2VKFlags!O172&lt;&gt;""," flags="""&amp;Scan2VKFlags!O172&amp;"""","")&amp;"/&gt;","")</f>
        <v/>
      </c>
      <c r="AT172" s="15" t="str">
        <f>IF(T172&lt;&gt;"","&lt;vk kbd="""&amp;T$1&amp;""" vk="""&amp;T172&amp;""""&amp;IF(Scan2VKFlags!P172&lt;&gt;""," flags="""&amp;Scan2VKFlags!P172&amp;"""","")&amp;"/&gt;","")</f>
        <v/>
      </c>
      <c r="AU172" s="16" t="str">
        <f>IF(U172&lt;&gt;"","&lt;vk kbd="""&amp;U$1&amp;""" vk="""&amp;U172&amp;""""&amp;IF(Scan2VKFlags!Q172&lt;&gt;""," flags="""&amp;Scan2VKFlags!Q172&amp;"""","")&amp;"/&gt;","")</f>
        <v/>
      </c>
      <c r="AV172" s="3" t="str">
        <f>IF(W172&lt;&gt;"","&lt;vk kbd="""&amp;W$1&amp;""" vk="""&amp;W172&amp;""""&amp;IF(Scan2VKFlags!R172&lt;&gt;""," flags="""&amp;Scan2VKFlags!R172&amp;"""","")&amp;"/&gt;","")</f>
        <v>&lt;vk kbd="30" vk="_none_"/&gt;</v>
      </c>
      <c r="AW172" s="15" t="str">
        <f>IF(X172&lt;&gt;"","&lt;vk kbd="""&amp;X$1&amp;""" vk="""&amp;X172&amp;""""&amp;IF(Scan2VKFlags!S172&lt;&gt;""," flags="""&amp;Scan2VKFlags!S172&amp;"""","")&amp;"/&gt;","")</f>
        <v>&lt;vk kbd="33" vk="_none_"/&gt;</v>
      </c>
      <c r="AX172" s="15" t="str">
        <f>IF(Y172&lt;&gt;"","&lt;vk kbd="""&amp;Y$1&amp;""" vk="""&amp;Y172&amp;""""&amp;IF(Scan2VKFlags!T172&lt;&gt;""," flags="""&amp;Scan2VKFlags!T172&amp;"""","")&amp;"/&gt;","")</f>
        <v>&lt;vk kbd="34" vk="_none_"/&gt;</v>
      </c>
      <c r="AY172" s="18" t="str">
        <f>IF(AA172&lt;&gt;"","&lt;vk kbd="""&amp;AA$1&amp;""" vk="""&amp;AA172&amp;""""&amp;IF(Scan2VKFlags!U172&lt;&gt;""," flags="""&amp;Scan2VKFlags!U172&amp;"""","")&amp;"/&gt;","")</f>
        <v/>
      </c>
      <c r="AZ172" s="3" t="str">
        <f>IF(AC172&lt;&gt;"","&lt;vk kbd="""&amp;AC$1&amp;""" vk="""&amp;AC172&amp;""""&amp;IF(Scan2VKFlags!V172&lt;&gt;""," flags="""&amp;Scan2VKFlags!V172&amp;"""","")&amp;"/&gt;","")</f>
        <v/>
      </c>
      <c r="BA172" s="16" t="str">
        <f>IF(AD172&lt;&gt;"","&lt;vk kbd="""&amp;AD$1&amp;""" vk="""&amp;AD172&amp;""""&amp;IF(Scan2VKFlags!W172&lt;&gt;""," flags="""&amp;Scan2VKFlags!W172&amp;"""","")&amp;"/&gt;","")</f>
        <v/>
      </c>
      <c r="BB172" s="15" t="s">
        <v>854</v>
      </c>
    </row>
    <row r="173" spans="2:54" s="15" customFormat="1" x14ac:dyDescent="0.25">
      <c r="B173" s="52" t="s">
        <v>492</v>
      </c>
      <c r="C173" s="7"/>
      <c r="D173" s="44"/>
      <c r="E173" s="44"/>
      <c r="F173" s="44"/>
      <c r="G173" s="44"/>
      <c r="H173" s="44"/>
      <c r="I173" s="44"/>
      <c r="J173" s="9"/>
      <c r="K173" s="44"/>
      <c r="L173" s="44"/>
      <c r="M173" s="44"/>
      <c r="N173" s="44"/>
      <c r="O173" s="44"/>
      <c r="P173" s="44"/>
      <c r="Q173" s="44"/>
      <c r="R173" s="2" t="s">
        <v>342</v>
      </c>
      <c r="S173" s="44"/>
      <c r="T173" s="44"/>
      <c r="U173" s="45"/>
      <c r="V173" s="53" t="s">
        <v>507</v>
      </c>
      <c r="W173" s="44" t="str">
        <f>trimtext(SplitText($V173,",",0))</f>
        <v>_none_</v>
      </c>
      <c r="X173" s="44" t="str">
        <f>IF(SplitText($V173,",",COLUMN(X:X)-COLUMN($W:$W))="",$W173,trimtext(SplitText($V173,",",COLUMN(X:X)-COLUMN($W:$W))))</f>
        <v>_none_</v>
      </c>
      <c r="Y173" s="44" t="str">
        <f>IF(SplitText($V173,",",COLUMN(Y:Y)-COLUMN($W:$W))="",$W173,trimtext(SplitText($V173,",",COLUMN(Y:Y)-COLUMN($W:$W))))</f>
        <v>_none_</v>
      </c>
      <c r="Z173" s="24"/>
      <c r="AA173" s="44" t="str">
        <f t="shared" si="13"/>
        <v/>
      </c>
      <c r="AB173" s="24"/>
      <c r="AC173" s="44" t="str">
        <f>trimtext(SplitText($AB173,",",0))</f>
        <v/>
      </c>
      <c r="AD173" s="44" t="str">
        <f>IF(SplitText($AB173,",",COLUMN(AD:AD)-COLUMN($AC:$AC))="",$AC173,trimtext(SplitText($AB173,",",COLUMN(AD:AD)-COLUMN($AC:$AC))))</f>
        <v/>
      </c>
      <c r="AE173" s="18" t="str">
        <f t="shared" si="12"/>
        <v>&lt;xs:enumeration value="X63"&gt;&lt;xs:annotation&gt;&lt;xs:documentation&gt;Typically &lt;/xs:documentation&gt;&lt;xs:appinfo&gt;&lt;default-vk&gt;</v>
      </c>
      <c r="AF173" s="15" t="str">
        <f>IF(D173&lt;&gt;"","&lt;vk kbd="""&amp;D$1&amp;""" vk="""&amp;D173&amp;""""&amp;IF(Scan2VKFlags!B173&lt;&gt;""," flags="""&amp;Scan2VKFlags!B173&amp;"""","")&amp;"/&gt;","")</f>
        <v/>
      </c>
      <c r="AG173" s="15" t="str">
        <f>IF(E173&lt;&gt;"","&lt;vk kbd="""&amp;E$1&amp;""" vk="""&amp;E173&amp;""""&amp;IF(Scan2VKFlags!C173&lt;&gt;""," flags="""&amp;Scan2VKFlags!C173&amp;"""","")&amp;"/&gt;","")</f>
        <v/>
      </c>
      <c r="AH173" s="15" t="str">
        <f>IF(F173&lt;&gt;"","&lt;vk kbd="""&amp;F$1&amp;""" vk="""&amp;F173&amp;""""&amp;IF(Scan2VKFlags!D173&lt;&gt;""," flags="""&amp;Scan2VKFlags!D173&amp;"""","")&amp;"/&gt;","")</f>
        <v/>
      </c>
      <c r="AI173" s="15" t="str">
        <f>IF(G173&lt;&gt;"","&lt;vk kbd="""&amp;G$1&amp;""" vk="""&amp;G173&amp;""""&amp;IF(Scan2VKFlags!E173&lt;&gt;""," flags="""&amp;Scan2VKFlags!E173&amp;"""","")&amp;"/&gt;","")</f>
        <v/>
      </c>
      <c r="AJ173" s="15" t="str">
        <f>IF(H173&lt;&gt;"","&lt;vk kbd="""&amp;H$1&amp;""" vk="""&amp;H173&amp;""""&amp;IF(Scan2VKFlags!F173&lt;&gt;""," flags="""&amp;Scan2VKFlags!F173&amp;"""","")&amp;"/&gt;","")</f>
        <v/>
      </c>
      <c r="AK173" s="16" t="str">
        <f>IF(I173&lt;&gt;"","&lt;vk kbd="""&amp;I$1&amp;""" vk="""&amp;I173&amp;""""&amp;IF(Scan2VKFlags!G173&lt;&gt;""," flags="""&amp;Scan2VKFlags!G173&amp;"""","")&amp;"/&gt;","")</f>
        <v/>
      </c>
      <c r="AL173" s="3" t="str">
        <f>IF(K173&lt;&gt;"","&lt;vk kbd="""&amp;K$1&amp;""" vk="""&amp;K173&amp;""""&amp;IF(Scan2VKFlags!H173&lt;&gt;""," flags="""&amp;Scan2VKFlags!H173&amp;"""","")&amp;"/&gt;","")</f>
        <v/>
      </c>
      <c r="AM173" s="15" t="str">
        <f>IF(L173&lt;&gt;"","&lt;vk kbd="""&amp;L$1&amp;""" vk="""&amp;L173&amp;""""&amp;IF(Scan2VKFlags!I173&lt;&gt;""," flags="""&amp;Scan2VKFlags!I173&amp;"""","")&amp;"/&gt;","")</f>
        <v/>
      </c>
      <c r="AN173" s="15" t="str">
        <f>IF(M173&lt;&gt;"","&lt;vk kbd="""&amp;M$1&amp;""" vk="""&amp;M173&amp;""""&amp;IF(Scan2VKFlags!J173&lt;&gt;""," flags="""&amp;Scan2VKFlags!J173&amp;"""","")&amp;"/&gt;","")</f>
        <v/>
      </c>
      <c r="AO173" s="15" t="str">
        <f>IF(N173&lt;&gt;"","&lt;vk kbd="""&amp;N$1&amp;""" vk="""&amp;N173&amp;""""&amp;IF(Scan2VKFlags!K173&lt;&gt;""," flags="""&amp;Scan2VKFlags!K173&amp;"""","")&amp;"/&gt;","")</f>
        <v/>
      </c>
      <c r="AP173" s="15" t="str">
        <f>IF(O173&lt;&gt;"","&lt;vk kbd="""&amp;O$1&amp;""" vk="""&amp;O173&amp;""""&amp;IF(Scan2VKFlags!L173&lt;&gt;""," flags="""&amp;Scan2VKFlags!L173&amp;"""","")&amp;"/&gt;","")</f>
        <v/>
      </c>
      <c r="AQ173" s="15" t="str">
        <f>IF(P173&lt;&gt;"","&lt;vk kbd="""&amp;P$1&amp;""" vk="""&amp;P173&amp;""""&amp;IF(Scan2VKFlags!M173&lt;&gt;""," flags="""&amp;Scan2VKFlags!M173&amp;"""","")&amp;"/&gt;","")</f>
        <v/>
      </c>
      <c r="AR173" s="16" t="str">
        <f>IF(Q173&lt;&gt;"","&lt;vk kbd="""&amp;Q$1&amp;""" vk="""&amp;Q173&amp;""""&amp;IF(Scan2VKFlags!N173&lt;&gt;""," flags="""&amp;Scan2VKFlags!N173&amp;"""","")&amp;"/&gt;","")</f>
        <v/>
      </c>
      <c r="AS173" s="3" t="str">
        <f>IF(S173&lt;&gt;"","&lt;vk kbd="""&amp;S$1&amp;""" vk="""&amp;S173&amp;""""&amp;IF(Scan2VKFlags!O173&lt;&gt;""," flags="""&amp;Scan2VKFlags!O173&amp;"""","")&amp;"/&gt;","")</f>
        <v/>
      </c>
      <c r="AT173" s="15" t="str">
        <f>IF(T173&lt;&gt;"","&lt;vk kbd="""&amp;T$1&amp;""" vk="""&amp;T173&amp;""""&amp;IF(Scan2VKFlags!P173&lt;&gt;""," flags="""&amp;Scan2VKFlags!P173&amp;"""","")&amp;"/&gt;","")</f>
        <v/>
      </c>
      <c r="AU173" s="16" t="str">
        <f>IF(U173&lt;&gt;"","&lt;vk kbd="""&amp;U$1&amp;""" vk="""&amp;U173&amp;""""&amp;IF(Scan2VKFlags!Q173&lt;&gt;""," flags="""&amp;Scan2VKFlags!Q173&amp;"""","")&amp;"/&gt;","")</f>
        <v/>
      </c>
      <c r="AV173" s="3" t="str">
        <f>IF(W173&lt;&gt;"","&lt;vk kbd="""&amp;W$1&amp;""" vk="""&amp;W173&amp;""""&amp;IF(Scan2VKFlags!R173&lt;&gt;""," flags="""&amp;Scan2VKFlags!R173&amp;"""","")&amp;"/&gt;","")</f>
        <v>&lt;vk kbd="30" vk="_none_"/&gt;</v>
      </c>
      <c r="AW173" s="15" t="str">
        <f>IF(X173&lt;&gt;"","&lt;vk kbd="""&amp;X$1&amp;""" vk="""&amp;X173&amp;""""&amp;IF(Scan2VKFlags!S173&lt;&gt;""," flags="""&amp;Scan2VKFlags!S173&amp;"""","")&amp;"/&gt;","")</f>
        <v>&lt;vk kbd="33" vk="_none_"/&gt;</v>
      </c>
      <c r="AX173" s="15" t="str">
        <f>IF(Y173&lt;&gt;"","&lt;vk kbd="""&amp;Y$1&amp;""" vk="""&amp;Y173&amp;""""&amp;IF(Scan2VKFlags!T173&lt;&gt;""," flags="""&amp;Scan2VKFlags!T173&amp;"""","")&amp;"/&gt;","")</f>
        <v>&lt;vk kbd="34" vk="_none_"/&gt;</v>
      </c>
      <c r="AY173" s="18" t="str">
        <f>IF(AA173&lt;&gt;"","&lt;vk kbd="""&amp;AA$1&amp;""" vk="""&amp;AA173&amp;""""&amp;IF(Scan2VKFlags!U173&lt;&gt;""," flags="""&amp;Scan2VKFlags!U173&amp;"""","")&amp;"/&gt;","")</f>
        <v/>
      </c>
      <c r="AZ173" s="3" t="str">
        <f>IF(AC173&lt;&gt;"","&lt;vk kbd="""&amp;AC$1&amp;""" vk="""&amp;AC173&amp;""""&amp;IF(Scan2VKFlags!V173&lt;&gt;""," flags="""&amp;Scan2VKFlags!V173&amp;"""","")&amp;"/&gt;","")</f>
        <v/>
      </c>
      <c r="BA173" s="16" t="str">
        <f>IF(AD173&lt;&gt;"","&lt;vk kbd="""&amp;AD$1&amp;""" vk="""&amp;AD173&amp;""""&amp;IF(Scan2VKFlags!W173&lt;&gt;""," flags="""&amp;Scan2VKFlags!W173&amp;"""","")&amp;"/&gt;","")</f>
        <v/>
      </c>
      <c r="BB173" s="15" t="s">
        <v>854</v>
      </c>
    </row>
    <row r="174" spans="2:54" s="15" customFormat="1" x14ac:dyDescent="0.25">
      <c r="B174" s="52" t="s">
        <v>493</v>
      </c>
      <c r="C174" s="7"/>
      <c r="D174" s="44"/>
      <c r="E174" s="44"/>
      <c r="F174" s="44"/>
      <c r="G174" s="44"/>
      <c r="H174" s="44"/>
      <c r="I174" s="44"/>
      <c r="J174" s="9"/>
      <c r="K174" s="44"/>
      <c r="L174" s="44"/>
      <c r="M174" s="44"/>
      <c r="N174" s="44"/>
      <c r="O174" s="44"/>
      <c r="P174" s="44"/>
      <c r="Q174" s="44"/>
      <c r="R174" s="2" t="s">
        <v>342</v>
      </c>
      <c r="S174" s="44"/>
      <c r="T174" s="44"/>
      <c r="U174" s="45"/>
      <c r="V174" s="53" t="s">
        <v>507</v>
      </c>
      <c r="W174" s="44" t="str">
        <f>trimtext(SplitText($V174,",",0))</f>
        <v>_none_</v>
      </c>
      <c r="X174" s="44" t="str">
        <f>IF(SplitText($V174,",",COLUMN(X:X)-COLUMN($W:$W))="",$W174,trimtext(SplitText($V174,",",COLUMN(X:X)-COLUMN($W:$W))))</f>
        <v>_none_</v>
      </c>
      <c r="Y174" s="44" t="str">
        <f>IF(SplitText($V174,",",COLUMN(Y:Y)-COLUMN($W:$W))="",$W174,trimtext(SplitText($V174,",",COLUMN(Y:Y)-COLUMN($W:$W))))</f>
        <v>_none_</v>
      </c>
      <c r="Z174" s="24"/>
      <c r="AA174" s="44" t="str">
        <f t="shared" si="13"/>
        <v/>
      </c>
      <c r="AB174" s="24"/>
      <c r="AC174" s="44" t="str">
        <f>trimtext(SplitText($AB174,",",0))</f>
        <v/>
      </c>
      <c r="AD174" s="44" t="str">
        <f>IF(SplitText($AB174,",",COLUMN(AD:AD)-COLUMN($AC:$AC))="",$AC174,trimtext(SplitText($AB174,",",COLUMN(AD:AD)-COLUMN($AC:$AC))))</f>
        <v/>
      </c>
      <c r="AE174" s="18" t="str">
        <f t="shared" si="12"/>
        <v>&lt;xs:enumeration value="X64"&gt;&lt;xs:annotation&gt;&lt;xs:documentation&gt;Typically &lt;/xs:documentation&gt;&lt;xs:appinfo&gt;&lt;default-vk&gt;</v>
      </c>
      <c r="AF174" s="15" t="str">
        <f>IF(D174&lt;&gt;"","&lt;vk kbd="""&amp;D$1&amp;""" vk="""&amp;D174&amp;""""&amp;IF(Scan2VKFlags!B174&lt;&gt;""," flags="""&amp;Scan2VKFlags!B174&amp;"""","")&amp;"/&gt;","")</f>
        <v/>
      </c>
      <c r="AG174" s="15" t="str">
        <f>IF(E174&lt;&gt;"","&lt;vk kbd="""&amp;E$1&amp;""" vk="""&amp;E174&amp;""""&amp;IF(Scan2VKFlags!C174&lt;&gt;""," flags="""&amp;Scan2VKFlags!C174&amp;"""","")&amp;"/&gt;","")</f>
        <v/>
      </c>
      <c r="AH174" s="15" t="str">
        <f>IF(F174&lt;&gt;"","&lt;vk kbd="""&amp;F$1&amp;""" vk="""&amp;F174&amp;""""&amp;IF(Scan2VKFlags!D174&lt;&gt;""," flags="""&amp;Scan2VKFlags!D174&amp;"""","")&amp;"/&gt;","")</f>
        <v/>
      </c>
      <c r="AI174" s="15" t="str">
        <f>IF(G174&lt;&gt;"","&lt;vk kbd="""&amp;G$1&amp;""" vk="""&amp;G174&amp;""""&amp;IF(Scan2VKFlags!E174&lt;&gt;""," flags="""&amp;Scan2VKFlags!E174&amp;"""","")&amp;"/&gt;","")</f>
        <v/>
      </c>
      <c r="AJ174" s="15" t="str">
        <f>IF(H174&lt;&gt;"","&lt;vk kbd="""&amp;H$1&amp;""" vk="""&amp;H174&amp;""""&amp;IF(Scan2VKFlags!F174&lt;&gt;""," flags="""&amp;Scan2VKFlags!F174&amp;"""","")&amp;"/&gt;","")</f>
        <v/>
      </c>
      <c r="AK174" s="16" t="str">
        <f>IF(I174&lt;&gt;"","&lt;vk kbd="""&amp;I$1&amp;""" vk="""&amp;I174&amp;""""&amp;IF(Scan2VKFlags!G174&lt;&gt;""," flags="""&amp;Scan2VKFlags!G174&amp;"""","")&amp;"/&gt;","")</f>
        <v/>
      </c>
      <c r="AL174" s="3" t="str">
        <f>IF(K174&lt;&gt;"","&lt;vk kbd="""&amp;K$1&amp;""" vk="""&amp;K174&amp;""""&amp;IF(Scan2VKFlags!H174&lt;&gt;""," flags="""&amp;Scan2VKFlags!H174&amp;"""","")&amp;"/&gt;","")</f>
        <v/>
      </c>
      <c r="AM174" s="15" t="str">
        <f>IF(L174&lt;&gt;"","&lt;vk kbd="""&amp;L$1&amp;""" vk="""&amp;L174&amp;""""&amp;IF(Scan2VKFlags!I174&lt;&gt;""," flags="""&amp;Scan2VKFlags!I174&amp;"""","")&amp;"/&gt;","")</f>
        <v/>
      </c>
      <c r="AN174" s="15" t="str">
        <f>IF(M174&lt;&gt;"","&lt;vk kbd="""&amp;M$1&amp;""" vk="""&amp;M174&amp;""""&amp;IF(Scan2VKFlags!J174&lt;&gt;""," flags="""&amp;Scan2VKFlags!J174&amp;"""","")&amp;"/&gt;","")</f>
        <v/>
      </c>
      <c r="AO174" s="15" t="str">
        <f>IF(N174&lt;&gt;"","&lt;vk kbd="""&amp;N$1&amp;""" vk="""&amp;N174&amp;""""&amp;IF(Scan2VKFlags!K174&lt;&gt;""," flags="""&amp;Scan2VKFlags!K174&amp;"""","")&amp;"/&gt;","")</f>
        <v/>
      </c>
      <c r="AP174" s="15" t="str">
        <f>IF(O174&lt;&gt;"","&lt;vk kbd="""&amp;O$1&amp;""" vk="""&amp;O174&amp;""""&amp;IF(Scan2VKFlags!L174&lt;&gt;""," flags="""&amp;Scan2VKFlags!L174&amp;"""","")&amp;"/&gt;","")</f>
        <v/>
      </c>
      <c r="AQ174" s="15" t="str">
        <f>IF(P174&lt;&gt;"","&lt;vk kbd="""&amp;P$1&amp;""" vk="""&amp;P174&amp;""""&amp;IF(Scan2VKFlags!M174&lt;&gt;""," flags="""&amp;Scan2VKFlags!M174&amp;"""","")&amp;"/&gt;","")</f>
        <v/>
      </c>
      <c r="AR174" s="16" t="str">
        <f>IF(Q174&lt;&gt;"","&lt;vk kbd="""&amp;Q$1&amp;""" vk="""&amp;Q174&amp;""""&amp;IF(Scan2VKFlags!N174&lt;&gt;""," flags="""&amp;Scan2VKFlags!N174&amp;"""","")&amp;"/&gt;","")</f>
        <v/>
      </c>
      <c r="AS174" s="3" t="str">
        <f>IF(S174&lt;&gt;"","&lt;vk kbd="""&amp;S$1&amp;""" vk="""&amp;S174&amp;""""&amp;IF(Scan2VKFlags!O174&lt;&gt;""," flags="""&amp;Scan2VKFlags!O174&amp;"""","")&amp;"/&gt;","")</f>
        <v/>
      </c>
      <c r="AT174" s="15" t="str">
        <f>IF(T174&lt;&gt;"","&lt;vk kbd="""&amp;T$1&amp;""" vk="""&amp;T174&amp;""""&amp;IF(Scan2VKFlags!P174&lt;&gt;""," flags="""&amp;Scan2VKFlags!P174&amp;"""","")&amp;"/&gt;","")</f>
        <v/>
      </c>
      <c r="AU174" s="16" t="str">
        <f>IF(U174&lt;&gt;"","&lt;vk kbd="""&amp;U$1&amp;""" vk="""&amp;U174&amp;""""&amp;IF(Scan2VKFlags!Q174&lt;&gt;""," flags="""&amp;Scan2VKFlags!Q174&amp;"""","")&amp;"/&gt;","")</f>
        <v/>
      </c>
      <c r="AV174" s="3" t="str">
        <f>IF(W174&lt;&gt;"","&lt;vk kbd="""&amp;W$1&amp;""" vk="""&amp;W174&amp;""""&amp;IF(Scan2VKFlags!R174&lt;&gt;""," flags="""&amp;Scan2VKFlags!R174&amp;"""","")&amp;"/&gt;","")</f>
        <v>&lt;vk kbd="30" vk="_none_"/&gt;</v>
      </c>
      <c r="AW174" s="15" t="str">
        <f>IF(X174&lt;&gt;"","&lt;vk kbd="""&amp;X$1&amp;""" vk="""&amp;X174&amp;""""&amp;IF(Scan2VKFlags!S174&lt;&gt;""," flags="""&amp;Scan2VKFlags!S174&amp;"""","")&amp;"/&gt;","")</f>
        <v>&lt;vk kbd="33" vk="_none_"/&gt;</v>
      </c>
      <c r="AX174" s="15" t="str">
        <f>IF(Y174&lt;&gt;"","&lt;vk kbd="""&amp;Y$1&amp;""" vk="""&amp;Y174&amp;""""&amp;IF(Scan2VKFlags!T174&lt;&gt;""," flags="""&amp;Scan2VKFlags!T174&amp;"""","")&amp;"/&gt;","")</f>
        <v>&lt;vk kbd="34" vk="_none_"/&gt;</v>
      </c>
      <c r="AY174" s="18" t="str">
        <f>IF(AA174&lt;&gt;"","&lt;vk kbd="""&amp;AA$1&amp;""" vk="""&amp;AA174&amp;""""&amp;IF(Scan2VKFlags!U174&lt;&gt;""," flags="""&amp;Scan2VKFlags!U174&amp;"""","")&amp;"/&gt;","")</f>
        <v/>
      </c>
      <c r="AZ174" s="3" t="str">
        <f>IF(AC174&lt;&gt;"","&lt;vk kbd="""&amp;AC$1&amp;""" vk="""&amp;AC174&amp;""""&amp;IF(Scan2VKFlags!V174&lt;&gt;""," flags="""&amp;Scan2VKFlags!V174&amp;"""","")&amp;"/&gt;","")</f>
        <v/>
      </c>
      <c r="BA174" s="16" t="str">
        <f>IF(AD174&lt;&gt;"","&lt;vk kbd="""&amp;AD$1&amp;""" vk="""&amp;AD174&amp;""""&amp;IF(Scan2VKFlags!W174&lt;&gt;""," flags="""&amp;Scan2VKFlags!W174&amp;"""","")&amp;"/&gt;","")</f>
        <v/>
      </c>
      <c r="BB174" s="15" t="s">
        <v>854</v>
      </c>
    </row>
    <row r="175" spans="2:54" s="15" customFormat="1" x14ac:dyDescent="0.25">
      <c r="B175" s="52" t="s">
        <v>176</v>
      </c>
      <c r="C175" s="7" t="s">
        <v>137</v>
      </c>
      <c r="D175" s="44" t="str">
        <f>trimtext(SplitText($C175,",",0))</f>
        <v>BROWSER_SEARCH</v>
      </c>
      <c r="E175" s="44" t="str">
        <f>IF(SplitText($C175,",",COLUMN(E:E)-COLUMN($D:$D))="",$D175,trimtext(SplitText($C175,",",COLUMN(E:E)-COLUMN($D:$D))))</f>
        <v>BROWSER_SEARCH</v>
      </c>
      <c r="F175" s="44" t="str">
        <f>IF(SplitText($C175,",",COLUMN(F:F)-COLUMN($D:$D))="",$D175,trimtext(SplitText($C175,",",COLUMN(F:F)-COLUMN($D:$D))))</f>
        <v>BROWSER_SEARCH</v>
      </c>
      <c r="G175" s="44" t="str">
        <f>IF(SplitText($C175,",",COLUMN(G:G)-COLUMN($D:$D))="",$D175,trimtext(SplitText($C175,",",COLUMN(G:G)-COLUMN($D:$D))))</f>
        <v>BROWSER_SEARCH</v>
      </c>
      <c r="H175" s="44" t="str">
        <f>IF(SplitText($C175,",",COLUMN(H:H)-COLUMN($D:$D))="",$D175,trimtext(SplitText($C175,",",COLUMN(H:H)-COLUMN($D:$D))))</f>
        <v>BROWSER_SEARCH</v>
      </c>
      <c r="I175" s="44" t="str">
        <f>IF(SplitText($C175,",",COLUMN(I:I)-COLUMN($D:$D))="",$D175,trimtext(SplitText($C175,",",COLUMN(I:I)-COLUMN($D:$D))))</f>
        <v>BROWSER_SEARCH</v>
      </c>
      <c r="J175" s="9" t="s">
        <v>322</v>
      </c>
      <c r="K175" s="44" t="str">
        <f>trimtext(SplitText($J175,",",0))</f>
        <v>BROWSER_SEARCH</v>
      </c>
      <c r="L175" s="44" t="str">
        <f>IF(SplitText($J175,",",COLUMN(L:L)-COLUMN($K:$K))="",$K175,trimtext(SplitText($J175,",",COLUMN(L:L)-COLUMN($K:$K))))</f>
        <v>BROWSER_SEARCH</v>
      </c>
      <c r="M175" s="44" t="str">
        <f>IF(SplitText($J175,",",COLUMN(M:M)-COLUMN($K:$K))="",$K175,trimtext(SplitText($J175,",",COLUMN(M:M)-COLUMN($K:$K))))</f>
        <v>BROWSER_SEARCH</v>
      </c>
      <c r="N175" s="44" t="str">
        <f>IF(SplitText($J175,",",COLUMN(N:N)-COLUMN($K:$K))="",$K175,trimtext(SplitText($J175,",",COLUMN(N:N)-COLUMN($K:$K))))</f>
        <v>BROWSER_SEARCH</v>
      </c>
      <c r="O175" s="44" t="str">
        <f>IF(SplitText($J175,",",COLUMN(O:O)-COLUMN($K:$K))="",$K175,trimtext(SplitText($J175,",",COLUMN(O:O)-COLUMN($K:$K))))</f>
        <v>BROWSER_SEARCH</v>
      </c>
      <c r="P175" s="44" t="str">
        <f>IF(SplitText($J175,",",COLUMN(P:P)-COLUMN($K:$K))="",$K175,trimtext(SplitText($J175,",",COLUMN(P:P)-COLUMN($K:$K))))</f>
        <v>BROWSER_SEARCH</v>
      </c>
      <c r="Q175" s="44" t="str">
        <f>IF(SplitText($J175,",",COLUMN(Q:Q)-COLUMN($K:$K))="",$K175,trimtext(SplitText($J175,",",COLUMN(Q:Q)-COLUMN($K:$K))))</f>
        <v>BROWSER_SEARCH</v>
      </c>
      <c r="R175" s="2" t="s">
        <v>342</v>
      </c>
      <c r="S175" s="44" t="str">
        <f>trimtext(SplitText($R175,",",0))</f>
        <v>_none_</v>
      </c>
      <c r="T175" s="44" t="str">
        <f>IF(SplitText($R175,",",COLUMN(T:T)-COLUMN($S:$S))="",$S175,trimtext(SplitText($R175,",",COLUMN(T:T)-COLUMN($S:$S))))</f>
        <v>_none_</v>
      </c>
      <c r="U175" s="45" t="str">
        <f>IF(SplitText($R175,",",COLUMN(U:U)-COLUMN($S:$S))="",$S175,trimtext(SplitText($R175,",",COLUMN(U:U)-COLUMN($S:$S))))</f>
        <v>_none_</v>
      </c>
      <c r="V175" s="53" t="s">
        <v>507</v>
      </c>
      <c r="W175" s="44" t="str">
        <f>trimtext(SplitText($V175,",",0))</f>
        <v>_none_</v>
      </c>
      <c r="X175" s="44" t="str">
        <f>IF(SplitText($V175,",",COLUMN(X:X)-COLUMN($W:$W))="",$W175,trimtext(SplitText($V175,",",COLUMN(X:X)-COLUMN($W:$W))))</f>
        <v>_none_</v>
      </c>
      <c r="Y175" s="44" t="str">
        <f>IF(SplitText($V175,",",COLUMN(Y:Y)-COLUMN($W:$W))="",$W175,trimtext(SplitText($V175,",",COLUMN(Y:Y)-COLUMN($W:$W))))</f>
        <v>_none_</v>
      </c>
      <c r="Z175" s="24"/>
      <c r="AA175" s="44" t="str">
        <f t="shared" si="13"/>
        <v/>
      </c>
      <c r="AB175" s="24"/>
      <c r="AC175" s="44" t="str">
        <f>trimtext(SplitText($AB175,",",0))</f>
        <v/>
      </c>
      <c r="AD175" s="44" t="str">
        <f>IF(SplitText($AB175,",",COLUMN(AD:AD)-COLUMN($AC:$AC))="",$AC175,trimtext(SplitText($AB175,",",COLUMN(AD:AD)-COLUMN($AC:$AC))))</f>
        <v/>
      </c>
      <c r="AE175" s="18" t="str">
        <f t="shared" si="12"/>
        <v>&lt;xs:enumeration value="X65"&gt;&lt;xs:annotation&gt;&lt;xs:documentation&gt;Typically BROWSER_SEARCH for keyboard type 4, different values for different keyboard types&lt;/xs:documentation&gt;&lt;xs:appinfo&gt;&lt;default-vk&gt;</v>
      </c>
      <c r="AF175" s="15" t="str">
        <f>IF(D175&lt;&gt;"","&lt;vk kbd="""&amp;D$1&amp;""" vk="""&amp;D175&amp;""""&amp;IF(Scan2VKFlags!B175&lt;&gt;""," flags="""&amp;Scan2VKFlags!B175&amp;"""","")&amp;"/&gt;","")</f>
        <v>&lt;vk kbd="1" vk="BROWSER_SEARCH"/&gt;</v>
      </c>
      <c r="AG175" s="15" t="str">
        <f>IF(E175&lt;&gt;"","&lt;vk kbd="""&amp;E$1&amp;""" vk="""&amp;E175&amp;""""&amp;IF(Scan2VKFlags!C175&lt;&gt;""," flags="""&amp;Scan2VKFlags!C175&amp;"""","")&amp;"/&gt;","")</f>
        <v>&lt;vk kbd="2" vk="BROWSER_SEARCH"/&gt;</v>
      </c>
      <c r="AH175" s="15" t="str">
        <f>IF(F175&lt;&gt;"","&lt;vk kbd="""&amp;F$1&amp;""" vk="""&amp;F175&amp;""""&amp;IF(Scan2VKFlags!D175&lt;&gt;""," flags="""&amp;Scan2VKFlags!D175&amp;"""","")&amp;"/&gt;","")</f>
        <v>&lt;vk kbd="3" vk="BROWSER_SEARCH"/&gt;</v>
      </c>
      <c r="AI175" s="15" t="str">
        <f>IF(G175&lt;&gt;"","&lt;vk kbd="""&amp;G$1&amp;""" vk="""&amp;G175&amp;""""&amp;IF(Scan2VKFlags!E175&lt;&gt;""," flags="""&amp;Scan2VKFlags!E175&amp;"""","")&amp;"/&gt;","")</f>
        <v>&lt;vk kbd="4" vk="BROWSER_SEARCH" flags="KBDEXT"/&gt;</v>
      </c>
      <c r="AJ175" s="15" t="str">
        <f>IF(H175&lt;&gt;"","&lt;vk kbd="""&amp;H$1&amp;""" vk="""&amp;H175&amp;""""&amp;IF(Scan2VKFlags!F175&lt;&gt;""," flags="""&amp;Scan2VKFlags!F175&amp;"""","")&amp;"/&gt;","")</f>
        <v>&lt;vk kbd="5" vk="BROWSER_SEARCH"/&gt;</v>
      </c>
      <c r="AK175" s="16" t="str">
        <f>IF(I175&lt;&gt;"","&lt;vk kbd="""&amp;I$1&amp;""" vk="""&amp;I175&amp;""""&amp;IF(Scan2VKFlags!G175&lt;&gt;""," flags="""&amp;Scan2VKFlags!G175&amp;"""","")&amp;"/&gt;","")</f>
        <v>&lt;vk kbd="6" vk="BROWSER_SEARCH"/&gt;</v>
      </c>
      <c r="AL175" s="3" t="str">
        <f>IF(K175&lt;&gt;"","&lt;vk kbd="""&amp;K$1&amp;""" vk="""&amp;K175&amp;""""&amp;IF(Scan2VKFlags!H175&lt;&gt;""," flags="""&amp;Scan2VKFlags!H175&amp;"""","")&amp;"/&gt;","")</f>
        <v>&lt;vk kbd="7" vk="BROWSER_SEARCH"/&gt;</v>
      </c>
      <c r="AM175" s="15" t="str">
        <f>IF(L175&lt;&gt;"","&lt;vk kbd="""&amp;L$1&amp;""" vk="""&amp;L175&amp;""""&amp;IF(Scan2VKFlags!I175&lt;&gt;""," flags="""&amp;Scan2VKFlags!I175&amp;"""","")&amp;"/&gt;","")</f>
        <v>&lt;vk kbd="8" vk="BROWSER_SEARCH"/&gt;</v>
      </c>
      <c r="AN175" s="15" t="str">
        <f>IF(M175&lt;&gt;"","&lt;vk kbd="""&amp;M$1&amp;""" vk="""&amp;M175&amp;""""&amp;IF(Scan2VKFlags!J175&lt;&gt;""," flags="""&amp;Scan2VKFlags!J175&amp;"""","")&amp;"/&gt;","")</f>
        <v>&lt;vk kbd="16" vk="BROWSER_SEARCH"/&gt;</v>
      </c>
      <c r="AO175" s="15" t="str">
        <f>IF(N175&lt;&gt;"","&lt;vk kbd="""&amp;N$1&amp;""" vk="""&amp;N175&amp;""""&amp;IF(Scan2VKFlags!K175&lt;&gt;""," flags="""&amp;Scan2VKFlags!K175&amp;"""","")&amp;"/&gt;","")</f>
        <v>&lt;vk kbd="10" vk="BROWSER_SEARCH"/&gt;</v>
      </c>
      <c r="AP175" s="15" t="str">
        <f>IF(O175&lt;&gt;"","&lt;vk kbd="""&amp;O$1&amp;""" vk="""&amp;O175&amp;""""&amp;IF(Scan2VKFlags!L175&lt;&gt;""," flags="""&amp;Scan2VKFlags!L175&amp;"""","")&amp;"/&gt;","")</f>
        <v>&lt;vk kbd="11" vk="BROWSER_SEARCH"/&gt;</v>
      </c>
      <c r="AQ175" s="15" t="str">
        <f>IF(P175&lt;&gt;"","&lt;vk kbd="""&amp;P$1&amp;""" vk="""&amp;P175&amp;""""&amp;IF(Scan2VKFlags!M175&lt;&gt;""," flags="""&amp;Scan2VKFlags!M175&amp;"""","")&amp;"/&gt;","")</f>
        <v>&lt;vk kbd="12" vk="BROWSER_SEARCH"/&gt;</v>
      </c>
      <c r="AR175" s="16" t="str">
        <f>IF(Q175&lt;&gt;"","&lt;vk kbd="""&amp;Q$1&amp;""" vk="""&amp;Q175&amp;""""&amp;IF(Scan2VKFlags!N175&lt;&gt;""," flags="""&amp;Scan2VKFlags!N175&amp;"""","")&amp;"/&gt;","")</f>
        <v>&lt;vk kbd="13" vk="BROWSER_SEARCH"/&gt;</v>
      </c>
      <c r="AS175" s="3" t="str">
        <f>IF(S175&lt;&gt;"","&lt;vk kbd="""&amp;S$1&amp;""" vk="""&amp;S175&amp;""""&amp;IF(Scan2VKFlags!O175&lt;&gt;""," flags="""&amp;Scan2VKFlags!O175&amp;"""","")&amp;"/&gt;","")</f>
        <v>&lt;vk kbd="20" vk="_none_"/&gt;</v>
      </c>
      <c r="AT175" s="15" t="str">
        <f>IF(T175&lt;&gt;"","&lt;vk kbd="""&amp;T$1&amp;""" vk="""&amp;T175&amp;""""&amp;IF(Scan2VKFlags!P175&lt;&gt;""," flags="""&amp;Scan2VKFlags!P175&amp;"""","")&amp;"/&gt;","")</f>
        <v>&lt;vk kbd="21" vk="_none_"/&gt;</v>
      </c>
      <c r="AU175" s="16" t="str">
        <f>IF(U175&lt;&gt;"","&lt;vk kbd="""&amp;U$1&amp;""" vk="""&amp;U175&amp;""""&amp;IF(Scan2VKFlags!Q175&lt;&gt;""," flags="""&amp;Scan2VKFlags!Q175&amp;"""","")&amp;"/&gt;","")</f>
        <v>&lt;vk kbd="22" vk="_none_"/&gt;</v>
      </c>
      <c r="AV175" s="3" t="str">
        <f>IF(W175&lt;&gt;"","&lt;vk kbd="""&amp;W$1&amp;""" vk="""&amp;W175&amp;""""&amp;IF(Scan2VKFlags!R175&lt;&gt;""," flags="""&amp;Scan2VKFlags!R175&amp;"""","")&amp;"/&gt;","")</f>
        <v>&lt;vk kbd="30" vk="_none_"/&gt;</v>
      </c>
      <c r="AW175" s="15" t="str">
        <f>IF(X175&lt;&gt;"","&lt;vk kbd="""&amp;X$1&amp;""" vk="""&amp;X175&amp;""""&amp;IF(Scan2VKFlags!S175&lt;&gt;""," flags="""&amp;Scan2VKFlags!S175&amp;"""","")&amp;"/&gt;","")</f>
        <v>&lt;vk kbd="33" vk="_none_"/&gt;</v>
      </c>
      <c r="AX175" s="15" t="str">
        <f>IF(Y175&lt;&gt;"","&lt;vk kbd="""&amp;Y$1&amp;""" vk="""&amp;Y175&amp;""""&amp;IF(Scan2VKFlags!T175&lt;&gt;""," flags="""&amp;Scan2VKFlags!T175&amp;"""","")&amp;"/&gt;","")</f>
        <v>&lt;vk kbd="34" vk="_none_"/&gt;</v>
      </c>
      <c r="AY175" s="18" t="str">
        <f>IF(AA175&lt;&gt;"","&lt;vk kbd="""&amp;AA$1&amp;""" vk="""&amp;AA175&amp;""""&amp;IF(Scan2VKFlags!U175&lt;&gt;""," flags="""&amp;Scan2VKFlags!U175&amp;"""","")&amp;"/&gt;","")</f>
        <v/>
      </c>
      <c r="AZ175" s="3" t="str">
        <f>IF(AC175&lt;&gt;"","&lt;vk kbd="""&amp;AC$1&amp;""" vk="""&amp;AC175&amp;""""&amp;IF(Scan2VKFlags!V175&lt;&gt;""," flags="""&amp;Scan2VKFlags!V175&amp;"""","")&amp;"/&gt;","")</f>
        <v/>
      </c>
      <c r="BA175" s="16" t="str">
        <f>IF(AD175&lt;&gt;"","&lt;vk kbd="""&amp;AD$1&amp;""" vk="""&amp;AD175&amp;""""&amp;IF(Scan2VKFlags!W175&lt;&gt;""," flags="""&amp;Scan2VKFlags!W175&amp;"""","")&amp;"/&gt;","")</f>
        <v/>
      </c>
      <c r="BB175" s="15" t="s">
        <v>854</v>
      </c>
    </row>
    <row r="176" spans="2:54" s="15" customFormat="1" x14ac:dyDescent="0.25">
      <c r="B176" s="52" t="s">
        <v>177</v>
      </c>
      <c r="C176" s="7" t="s">
        <v>138</v>
      </c>
      <c r="D176" s="44" t="str">
        <f>trimtext(SplitText($C176,",",0))</f>
        <v>BROWSER_FAVORITES</v>
      </c>
      <c r="E176" s="44" t="str">
        <f>IF(SplitText($C176,",",COLUMN(E:E)-COLUMN($D:$D))="",$D176,trimtext(SplitText($C176,",",COLUMN(E:E)-COLUMN($D:$D))))</f>
        <v>BROWSER_FAVORITES</v>
      </c>
      <c r="F176" s="44" t="str">
        <f>IF(SplitText($C176,",",COLUMN(F:F)-COLUMN($D:$D))="",$D176,trimtext(SplitText($C176,",",COLUMN(F:F)-COLUMN($D:$D))))</f>
        <v>BROWSER_FAVORITES</v>
      </c>
      <c r="G176" s="44" t="str">
        <f>IF(SplitText($C176,",",COLUMN(G:G)-COLUMN($D:$D))="",$D176,trimtext(SplitText($C176,",",COLUMN(G:G)-COLUMN($D:$D))))</f>
        <v>BROWSER_FAVORITES</v>
      </c>
      <c r="H176" s="44" t="str">
        <f>IF(SplitText($C176,",",COLUMN(H:H)-COLUMN($D:$D))="",$D176,trimtext(SplitText($C176,",",COLUMN(H:H)-COLUMN($D:$D))))</f>
        <v>BROWSER_FAVORITES</v>
      </c>
      <c r="I176" s="44" t="str">
        <f>IF(SplitText($C176,",",COLUMN(I:I)-COLUMN($D:$D))="",$D176,trimtext(SplitText($C176,",",COLUMN(I:I)-COLUMN($D:$D))))</f>
        <v>BROWSER_FAVORITES</v>
      </c>
      <c r="J176" s="9" t="s">
        <v>323</v>
      </c>
      <c r="K176" s="44" t="str">
        <f>trimtext(SplitText($J176,",",0))</f>
        <v>BROWSER_FAVORITES</v>
      </c>
      <c r="L176" s="44" t="str">
        <f>IF(SplitText($J176,",",COLUMN(L:L)-COLUMN($K:$K))="",$K176,trimtext(SplitText($J176,",",COLUMN(L:L)-COLUMN($K:$K))))</f>
        <v>BROWSER_FAVORITES</v>
      </c>
      <c r="M176" s="44" t="str">
        <f>IF(SplitText($J176,",",COLUMN(M:M)-COLUMN($K:$K))="",$K176,trimtext(SplitText($J176,",",COLUMN(M:M)-COLUMN($K:$K))))</f>
        <v>BROWSER_FAVORITES</v>
      </c>
      <c r="N176" s="44" t="str">
        <f>IF(SplitText($J176,",",COLUMN(N:N)-COLUMN($K:$K))="",$K176,trimtext(SplitText($J176,",",COLUMN(N:N)-COLUMN($K:$K))))</f>
        <v>BROWSER_FAVORITES</v>
      </c>
      <c r="O176" s="44" t="str">
        <f>IF(SplitText($J176,",",COLUMN(O:O)-COLUMN($K:$K))="",$K176,trimtext(SplitText($J176,",",COLUMN(O:O)-COLUMN($K:$K))))</f>
        <v>BROWSER_FAVORITES</v>
      </c>
      <c r="P176" s="44" t="str">
        <f>IF(SplitText($J176,",",COLUMN(P:P)-COLUMN($K:$K))="",$K176,trimtext(SplitText($J176,",",COLUMN(P:P)-COLUMN($K:$K))))</f>
        <v>BROWSER_FAVORITES</v>
      </c>
      <c r="Q176" s="44" t="str">
        <f>IF(SplitText($J176,",",COLUMN(Q:Q)-COLUMN($K:$K))="",$K176,trimtext(SplitText($J176,",",COLUMN(Q:Q)-COLUMN($K:$K))))</f>
        <v>BROWSER_FAVORITES</v>
      </c>
      <c r="R176" s="2" t="s">
        <v>342</v>
      </c>
      <c r="S176" s="44" t="str">
        <f>trimtext(SplitText($R176,",",0))</f>
        <v>_none_</v>
      </c>
      <c r="T176" s="44" t="str">
        <f>IF(SplitText($R176,",",COLUMN(T:T)-COLUMN($S:$S))="",$S176,trimtext(SplitText($R176,",",COLUMN(T:T)-COLUMN($S:$S))))</f>
        <v>_none_</v>
      </c>
      <c r="U176" s="45" t="str">
        <f>IF(SplitText($R176,",",COLUMN(U:U)-COLUMN($S:$S))="",$S176,trimtext(SplitText($R176,",",COLUMN(U:U)-COLUMN($S:$S))))</f>
        <v>_none_</v>
      </c>
      <c r="V176" s="53" t="s">
        <v>507</v>
      </c>
      <c r="W176" s="44" t="str">
        <f>trimtext(SplitText($V176,",",0))</f>
        <v>_none_</v>
      </c>
      <c r="X176" s="44" t="str">
        <f>IF(SplitText($V176,",",COLUMN(X:X)-COLUMN($W:$W))="",$W176,trimtext(SplitText($V176,",",COLUMN(X:X)-COLUMN($W:$W))))</f>
        <v>_none_</v>
      </c>
      <c r="Y176" s="44" t="str">
        <f>IF(SplitText($V176,",",COLUMN(Y:Y)-COLUMN($W:$W))="",$W176,trimtext(SplitText($V176,",",COLUMN(Y:Y)-COLUMN($W:$W))))</f>
        <v>_none_</v>
      </c>
      <c r="Z176" s="24"/>
      <c r="AA176" s="44" t="str">
        <f t="shared" si="13"/>
        <v/>
      </c>
      <c r="AB176" s="24"/>
      <c r="AC176" s="44" t="str">
        <f>trimtext(SplitText($AB176,",",0))</f>
        <v/>
      </c>
      <c r="AD176" s="44" t="str">
        <f>IF(SplitText($AB176,",",COLUMN(AD:AD)-COLUMN($AC:$AC))="",$AC176,trimtext(SplitText($AB176,",",COLUMN(AD:AD)-COLUMN($AC:$AC))))</f>
        <v/>
      </c>
      <c r="AE176" s="18" t="str">
        <f t="shared" si="12"/>
        <v>&lt;xs:enumeration value="X66"&gt;&lt;xs:annotation&gt;&lt;xs:documentation&gt;Typically BROWSER_FAVORITES for keyboard type 4, different values for different keyboard types&lt;/xs:documentation&gt;&lt;xs:appinfo&gt;&lt;default-vk&gt;</v>
      </c>
      <c r="AF176" s="15" t="str">
        <f>IF(D176&lt;&gt;"","&lt;vk kbd="""&amp;D$1&amp;""" vk="""&amp;D176&amp;""""&amp;IF(Scan2VKFlags!B176&lt;&gt;""," flags="""&amp;Scan2VKFlags!B176&amp;"""","")&amp;"/&gt;","")</f>
        <v>&lt;vk kbd="1" vk="BROWSER_FAVORITES"/&gt;</v>
      </c>
      <c r="AG176" s="15" t="str">
        <f>IF(E176&lt;&gt;"","&lt;vk kbd="""&amp;E$1&amp;""" vk="""&amp;E176&amp;""""&amp;IF(Scan2VKFlags!C176&lt;&gt;""," flags="""&amp;Scan2VKFlags!C176&amp;"""","")&amp;"/&gt;","")</f>
        <v>&lt;vk kbd="2" vk="BROWSER_FAVORITES"/&gt;</v>
      </c>
      <c r="AH176" s="15" t="str">
        <f>IF(F176&lt;&gt;"","&lt;vk kbd="""&amp;F$1&amp;""" vk="""&amp;F176&amp;""""&amp;IF(Scan2VKFlags!D176&lt;&gt;""," flags="""&amp;Scan2VKFlags!D176&amp;"""","")&amp;"/&gt;","")</f>
        <v>&lt;vk kbd="3" vk="BROWSER_FAVORITES"/&gt;</v>
      </c>
      <c r="AI176" s="15" t="str">
        <f>IF(G176&lt;&gt;"","&lt;vk kbd="""&amp;G$1&amp;""" vk="""&amp;G176&amp;""""&amp;IF(Scan2VKFlags!E176&lt;&gt;""," flags="""&amp;Scan2VKFlags!E176&amp;"""","")&amp;"/&gt;","")</f>
        <v>&lt;vk kbd="4" vk="BROWSER_FAVORITES" flags="KBDEXT"/&gt;</v>
      </c>
      <c r="AJ176" s="15" t="str">
        <f>IF(H176&lt;&gt;"","&lt;vk kbd="""&amp;H$1&amp;""" vk="""&amp;H176&amp;""""&amp;IF(Scan2VKFlags!F176&lt;&gt;""," flags="""&amp;Scan2VKFlags!F176&amp;"""","")&amp;"/&gt;","")</f>
        <v>&lt;vk kbd="5" vk="BROWSER_FAVORITES"/&gt;</v>
      </c>
      <c r="AK176" s="16" t="str">
        <f>IF(I176&lt;&gt;"","&lt;vk kbd="""&amp;I$1&amp;""" vk="""&amp;I176&amp;""""&amp;IF(Scan2VKFlags!G176&lt;&gt;""," flags="""&amp;Scan2VKFlags!G176&amp;"""","")&amp;"/&gt;","")</f>
        <v>&lt;vk kbd="6" vk="BROWSER_FAVORITES"/&gt;</v>
      </c>
      <c r="AL176" s="3" t="str">
        <f>IF(K176&lt;&gt;"","&lt;vk kbd="""&amp;K$1&amp;""" vk="""&amp;K176&amp;""""&amp;IF(Scan2VKFlags!H176&lt;&gt;""," flags="""&amp;Scan2VKFlags!H176&amp;"""","")&amp;"/&gt;","")</f>
        <v>&lt;vk kbd="7" vk="BROWSER_FAVORITES"/&gt;</v>
      </c>
      <c r="AM176" s="15" t="str">
        <f>IF(L176&lt;&gt;"","&lt;vk kbd="""&amp;L$1&amp;""" vk="""&amp;L176&amp;""""&amp;IF(Scan2VKFlags!I176&lt;&gt;""," flags="""&amp;Scan2VKFlags!I176&amp;"""","")&amp;"/&gt;","")</f>
        <v>&lt;vk kbd="8" vk="BROWSER_FAVORITES"/&gt;</v>
      </c>
      <c r="AN176" s="15" t="str">
        <f>IF(M176&lt;&gt;"","&lt;vk kbd="""&amp;M$1&amp;""" vk="""&amp;M176&amp;""""&amp;IF(Scan2VKFlags!J176&lt;&gt;""," flags="""&amp;Scan2VKFlags!J176&amp;"""","")&amp;"/&gt;","")</f>
        <v>&lt;vk kbd="16" vk="BROWSER_FAVORITES"/&gt;</v>
      </c>
      <c r="AO176" s="15" t="str">
        <f>IF(N176&lt;&gt;"","&lt;vk kbd="""&amp;N$1&amp;""" vk="""&amp;N176&amp;""""&amp;IF(Scan2VKFlags!K176&lt;&gt;""," flags="""&amp;Scan2VKFlags!K176&amp;"""","")&amp;"/&gt;","")</f>
        <v>&lt;vk kbd="10" vk="BROWSER_FAVORITES"/&gt;</v>
      </c>
      <c r="AP176" s="15" t="str">
        <f>IF(O176&lt;&gt;"","&lt;vk kbd="""&amp;O$1&amp;""" vk="""&amp;O176&amp;""""&amp;IF(Scan2VKFlags!L176&lt;&gt;""," flags="""&amp;Scan2VKFlags!L176&amp;"""","")&amp;"/&gt;","")</f>
        <v>&lt;vk kbd="11" vk="BROWSER_FAVORITES"/&gt;</v>
      </c>
      <c r="AQ176" s="15" t="str">
        <f>IF(P176&lt;&gt;"","&lt;vk kbd="""&amp;P$1&amp;""" vk="""&amp;P176&amp;""""&amp;IF(Scan2VKFlags!M176&lt;&gt;""," flags="""&amp;Scan2VKFlags!M176&amp;"""","")&amp;"/&gt;","")</f>
        <v>&lt;vk kbd="12" vk="BROWSER_FAVORITES"/&gt;</v>
      </c>
      <c r="AR176" s="16" t="str">
        <f>IF(Q176&lt;&gt;"","&lt;vk kbd="""&amp;Q$1&amp;""" vk="""&amp;Q176&amp;""""&amp;IF(Scan2VKFlags!N176&lt;&gt;""," flags="""&amp;Scan2VKFlags!N176&amp;"""","")&amp;"/&gt;","")</f>
        <v>&lt;vk kbd="13" vk="BROWSER_FAVORITES"/&gt;</v>
      </c>
      <c r="AS176" s="3" t="str">
        <f>IF(S176&lt;&gt;"","&lt;vk kbd="""&amp;S$1&amp;""" vk="""&amp;S176&amp;""""&amp;IF(Scan2VKFlags!O176&lt;&gt;""," flags="""&amp;Scan2VKFlags!O176&amp;"""","")&amp;"/&gt;","")</f>
        <v>&lt;vk kbd="20" vk="_none_"/&gt;</v>
      </c>
      <c r="AT176" s="15" t="str">
        <f>IF(T176&lt;&gt;"","&lt;vk kbd="""&amp;T$1&amp;""" vk="""&amp;T176&amp;""""&amp;IF(Scan2VKFlags!P176&lt;&gt;""," flags="""&amp;Scan2VKFlags!P176&amp;"""","")&amp;"/&gt;","")</f>
        <v>&lt;vk kbd="21" vk="_none_"/&gt;</v>
      </c>
      <c r="AU176" s="16" t="str">
        <f>IF(U176&lt;&gt;"","&lt;vk kbd="""&amp;U$1&amp;""" vk="""&amp;U176&amp;""""&amp;IF(Scan2VKFlags!Q176&lt;&gt;""," flags="""&amp;Scan2VKFlags!Q176&amp;"""","")&amp;"/&gt;","")</f>
        <v>&lt;vk kbd="22" vk="_none_"/&gt;</v>
      </c>
      <c r="AV176" s="3" t="str">
        <f>IF(W176&lt;&gt;"","&lt;vk kbd="""&amp;W$1&amp;""" vk="""&amp;W176&amp;""""&amp;IF(Scan2VKFlags!R176&lt;&gt;""," flags="""&amp;Scan2VKFlags!R176&amp;"""","")&amp;"/&gt;","")</f>
        <v>&lt;vk kbd="30" vk="_none_"/&gt;</v>
      </c>
      <c r="AW176" s="15" t="str">
        <f>IF(X176&lt;&gt;"","&lt;vk kbd="""&amp;X$1&amp;""" vk="""&amp;X176&amp;""""&amp;IF(Scan2VKFlags!S176&lt;&gt;""," flags="""&amp;Scan2VKFlags!S176&amp;"""","")&amp;"/&gt;","")</f>
        <v>&lt;vk kbd="33" vk="_none_"/&gt;</v>
      </c>
      <c r="AX176" s="15" t="str">
        <f>IF(Y176&lt;&gt;"","&lt;vk kbd="""&amp;Y$1&amp;""" vk="""&amp;Y176&amp;""""&amp;IF(Scan2VKFlags!T176&lt;&gt;""," flags="""&amp;Scan2VKFlags!T176&amp;"""","")&amp;"/&gt;","")</f>
        <v>&lt;vk kbd="34" vk="_none_"/&gt;</v>
      </c>
      <c r="AY176" s="18" t="str">
        <f>IF(AA176&lt;&gt;"","&lt;vk kbd="""&amp;AA$1&amp;""" vk="""&amp;AA176&amp;""""&amp;IF(Scan2VKFlags!U176&lt;&gt;""," flags="""&amp;Scan2VKFlags!U176&amp;"""","")&amp;"/&gt;","")</f>
        <v/>
      </c>
      <c r="AZ176" s="3" t="str">
        <f>IF(AC176&lt;&gt;"","&lt;vk kbd="""&amp;AC$1&amp;""" vk="""&amp;AC176&amp;""""&amp;IF(Scan2VKFlags!V176&lt;&gt;""," flags="""&amp;Scan2VKFlags!V176&amp;"""","")&amp;"/&gt;","")</f>
        <v/>
      </c>
      <c r="BA176" s="16" t="str">
        <f>IF(AD176&lt;&gt;"","&lt;vk kbd="""&amp;AD$1&amp;""" vk="""&amp;AD176&amp;""""&amp;IF(Scan2VKFlags!W176&lt;&gt;""," flags="""&amp;Scan2VKFlags!W176&amp;"""","")&amp;"/&gt;","")</f>
        <v/>
      </c>
      <c r="BB176" s="15" t="s">
        <v>854</v>
      </c>
    </row>
    <row r="177" spans="2:54" s="15" customFormat="1" x14ac:dyDescent="0.25">
      <c r="B177" s="52" t="s">
        <v>178</v>
      </c>
      <c r="C177" s="7" t="s">
        <v>139</v>
      </c>
      <c r="D177" s="44" t="str">
        <f>trimtext(SplitText($C177,",",0))</f>
        <v>BROWSER_REFRESH</v>
      </c>
      <c r="E177" s="44" t="str">
        <f>IF(SplitText($C177,",",COLUMN(E:E)-COLUMN($D:$D))="",$D177,trimtext(SplitText($C177,",",COLUMN(E:E)-COLUMN($D:$D))))</f>
        <v>BROWSER_REFRESH</v>
      </c>
      <c r="F177" s="44" t="str">
        <f>IF(SplitText($C177,",",COLUMN(F:F)-COLUMN($D:$D))="",$D177,trimtext(SplitText($C177,",",COLUMN(F:F)-COLUMN($D:$D))))</f>
        <v>BROWSER_REFRESH</v>
      </c>
      <c r="G177" s="44" t="str">
        <f>IF(SplitText($C177,",",COLUMN(G:G)-COLUMN($D:$D))="",$D177,trimtext(SplitText($C177,",",COLUMN(G:G)-COLUMN($D:$D))))</f>
        <v>BROWSER_REFRESH</v>
      </c>
      <c r="H177" s="44" t="str">
        <f>IF(SplitText($C177,",",COLUMN(H:H)-COLUMN($D:$D))="",$D177,trimtext(SplitText($C177,",",COLUMN(H:H)-COLUMN($D:$D))))</f>
        <v>BROWSER_REFRESH</v>
      </c>
      <c r="I177" s="44" t="str">
        <f>IF(SplitText($C177,",",COLUMN(I:I)-COLUMN($D:$D))="",$D177,trimtext(SplitText($C177,",",COLUMN(I:I)-COLUMN($D:$D))))</f>
        <v>BROWSER_REFRESH</v>
      </c>
      <c r="J177" s="9" t="s">
        <v>324</v>
      </c>
      <c r="K177" s="44" t="str">
        <f>trimtext(SplitText($J177,",",0))</f>
        <v>BROWSER_REFRESH</v>
      </c>
      <c r="L177" s="44" t="str">
        <f>IF(SplitText($J177,",",COLUMN(L:L)-COLUMN($K:$K))="",$K177,trimtext(SplitText($J177,",",COLUMN(L:L)-COLUMN($K:$K))))</f>
        <v>BROWSER_REFRESH</v>
      </c>
      <c r="M177" s="44" t="str">
        <f>IF(SplitText($J177,",",COLUMN(M:M)-COLUMN($K:$K))="",$K177,trimtext(SplitText($J177,",",COLUMN(M:M)-COLUMN($K:$K))))</f>
        <v>BROWSER_REFRESH</v>
      </c>
      <c r="N177" s="44" t="str">
        <f>IF(SplitText($J177,",",COLUMN(N:N)-COLUMN($K:$K))="",$K177,trimtext(SplitText($J177,",",COLUMN(N:N)-COLUMN($K:$K))))</f>
        <v>BROWSER_REFRESH</v>
      </c>
      <c r="O177" s="44" t="str">
        <f>IF(SplitText($J177,",",COLUMN(O:O)-COLUMN($K:$K))="",$K177,trimtext(SplitText($J177,",",COLUMN(O:O)-COLUMN($K:$K))))</f>
        <v>BROWSER_REFRESH</v>
      </c>
      <c r="P177" s="44" t="str">
        <f>IF(SplitText($J177,",",COLUMN(P:P)-COLUMN($K:$K))="",$K177,trimtext(SplitText($J177,",",COLUMN(P:P)-COLUMN($K:$K))))</f>
        <v>BROWSER_REFRESH</v>
      </c>
      <c r="Q177" s="44" t="str">
        <f>IF(SplitText($J177,",",COLUMN(Q:Q)-COLUMN($K:$K))="",$K177,trimtext(SplitText($J177,",",COLUMN(Q:Q)-COLUMN($K:$K))))</f>
        <v>BROWSER_REFRESH</v>
      </c>
      <c r="R177" s="24"/>
      <c r="S177" s="44" t="str">
        <f>trimtext(SplitText($R177,",",0))</f>
        <v/>
      </c>
      <c r="T177" s="44" t="str">
        <f>IF(SplitText($R177,",",COLUMN(T:T)-COLUMN($S:$S))="",$S177,trimtext(SplitText($R177,",",COLUMN(T:T)-COLUMN($S:$S))))</f>
        <v/>
      </c>
      <c r="U177" s="45" t="str">
        <f>IF(SplitText($R177,",",COLUMN(U:U)-COLUMN($S:$S))="",$S177,trimtext(SplitText($R177,",",COLUMN(U:U)-COLUMN($S:$S))))</f>
        <v/>
      </c>
      <c r="V177" s="42"/>
      <c r="W177" s="44" t="str">
        <f>trimtext(SplitText($V177,",",0))</f>
        <v/>
      </c>
      <c r="X177" s="44" t="str">
        <f>IF(SplitText($V177,",",COLUMN(X:X)-COLUMN($W:$W))="",$W177,trimtext(SplitText($V177,",",COLUMN(X:X)-COLUMN($W:$W))))</f>
        <v/>
      </c>
      <c r="Y177" s="44" t="str">
        <f>IF(SplitText($V177,",",COLUMN(Y:Y)-COLUMN($W:$W))="",$W177,trimtext(SplitText($V177,",",COLUMN(Y:Y)-COLUMN($W:$W))))</f>
        <v/>
      </c>
      <c r="Z177" s="24"/>
      <c r="AA177" s="44" t="str">
        <f t="shared" si="13"/>
        <v/>
      </c>
      <c r="AB177" s="24"/>
      <c r="AC177" s="44" t="str">
        <f>trimtext(SplitText($AB177,",",0))</f>
        <v/>
      </c>
      <c r="AD177" s="44" t="str">
        <f>IF(SplitText($AB177,",",COLUMN(AD:AD)-COLUMN($AC:$AC))="",$AC177,trimtext(SplitText($AB177,",",COLUMN(AD:AD)-COLUMN($AC:$AC))))</f>
        <v/>
      </c>
      <c r="AE177" s="18" t="str">
        <f t="shared" si="12"/>
        <v>&lt;xs:enumeration value="X67"&gt;&lt;xs:annotation&gt;&lt;xs:documentation&gt;Typically BROWSER_REFRESH for keyboard type 4, different values for different keyboard types&lt;/xs:documentation&gt;&lt;xs:appinfo&gt;&lt;default-vk&gt;</v>
      </c>
      <c r="AF177" s="15" t="str">
        <f>IF(D177&lt;&gt;"","&lt;vk kbd="""&amp;D$1&amp;""" vk="""&amp;D177&amp;""""&amp;IF(Scan2VKFlags!B177&lt;&gt;""," flags="""&amp;Scan2VKFlags!B177&amp;"""","")&amp;"/&gt;","")</f>
        <v>&lt;vk kbd="1" vk="BROWSER_REFRESH"/&gt;</v>
      </c>
      <c r="AG177" s="15" t="str">
        <f>IF(E177&lt;&gt;"","&lt;vk kbd="""&amp;E$1&amp;""" vk="""&amp;E177&amp;""""&amp;IF(Scan2VKFlags!C177&lt;&gt;""," flags="""&amp;Scan2VKFlags!C177&amp;"""","")&amp;"/&gt;","")</f>
        <v>&lt;vk kbd="2" vk="BROWSER_REFRESH"/&gt;</v>
      </c>
      <c r="AH177" s="15" t="str">
        <f>IF(F177&lt;&gt;"","&lt;vk kbd="""&amp;F$1&amp;""" vk="""&amp;F177&amp;""""&amp;IF(Scan2VKFlags!D177&lt;&gt;""," flags="""&amp;Scan2VKFlags!D177&amp;"""","")&amp;"/&gt;","")</f>
        <v>&lt;vk kbd="3" vk="BROWSER_REFRESH"/&gt;</v>
      </c>
      <c r="AI177" s="15" t="str">
        <f>IF(G177&lt;&gt;"","&lt;vk kbd="""&amp;G$1&amp;""" vk="""&amp;G177&amp;""""&amp;IF(Scan2VKFlags!E177&lt;&gt;""," flags="""&amp;Scan2VKFlags!E177&amp;"""","")&amp;"/&gt;","")</f>
        <v>&lt;vk kbd="4" vk="BROWSER_REFRESH" flags="KBDEXT"/&gt;</v>
      </c>
      <c r="AJ177" s="15" t="str">
        <f>IF(H177&lt;&gt;"","&lt;vk kbd="""&amp;H$1&amp;""" vk="""&amp;H177&amp;""""&amp;IF(Scan2VKFlags!F177&lt;&gt;""," flags="""&amp;Scan2VKFlags!F177&amp;"""","")&amp;"/&gt;","")</f>
        <v>&lt;vk kbd="5" vk="BROWSER_REFRESH"/&gt;</v>
      </c>
      <c r="AK177" s="16" t="str">
        <f>IF(I177&lt;&gt;"","&lt;vk kbd="""&amp;I$1&amp;""" vk="""&amp;I177&amp;""""&amp;IF(Scan2VKFlags!G177&lt;&gt;""," flags="""&amp;Scan2VKFlags!G177&amp;"""","")&amp;"/&gt;","")</f>
        <v>&lt;vk kbd="6" vk="BROWSER_REFRESH"/&gt;</v>
      </c>
      <c r="AL177" s="3" t="str">
        <f>IF(K177&lt;&gt;"","&lt;vk kbd="""&amp;K$1&amp;""" vk="""&amp;K177&amp;""""&amp;IF(Scan2VKFlags!H177&lt;&gt;""," flags="""&amp;Scan2VKFlags!H177&amp;"""","")&amp;"/&gt;","")</f>
        <v>&lt;vk kbd="7" vk="BROWSER_REFRESH"/&gt;</v>
      </c>
      <c r="AM177" s="15" t="str">
        <f>IF(L177&lt;&gt;"","&lt;vk kbd="""&amp;L$1&amp;""" vk="""&amp;L177&amp;""""&amp;IF(Scan2VKFlags!I177&lt;&gt;""," flags="""&amp;Scan2VKFlags!I177&amp;"""","")&amp;"/&gt;","")</f>
        <v>&lt;vk kbd="8" vk="BROWSER_REFRESH"/&gt;</v>
      </c>
      <c r="AN177" s="15" t="str">
        <f>IF(M177&lt;&gt;"","&lt;vk kbd="""&amp;M$1&amp;""" vk="""&amp;M177&amp;""""&amp;IF(Scan2VKFlags!J177&lt;&gt;""," flags="""&amp;Scan2VKFlags!J177&amp;"""","")&amp;"/&gt;","")</f>
        <v>&lt;vk kbd="16" vk="BROWSER_REFRESH"/&gt;</v>
      </c>
      <c r="AO177" s="15" t="str">
        <f>IF(N177&lt;&gt;"","&lt;vk kbd="""&amp;N$1&amp;""" vk="""&amp;N177&amp;""""&amp;IF(Scan2VKFlags!K177&lt;&gt;""," flags="""&amp;Scan2VKFlags!K177&amp;"""","")&amp;"/&gt;","")</f>
        <v>&lt;vk kbd="10" vk="BROWSER_REFRESH"/&gt;</v>
      </c>
      <c r="AP177" s="15" t="str">
        <f>IF(O177&lt;&gt;"","&lt;vk kbd="""&amp;O$1&amp;""" vk="""&amp;O177&amp;""""&amp;IF(Scan2VKFlags!L177&lt;&gt;""," flags="""&amp;Scan2VKFlags!L177&amp;"""","")&amp;"/&gt;","")</f>
        <v>&lt;vk kbd="11" vk="BROWSER_REFRESH"/&gt;</v>
      </c>
      <c r="AQ177" s="15" t="str">
        <f>IF(P177&lt;&gt;"","&lt;vk kbd="""&amp;P$1&amp;""" vk="""&amp;P177&amp;""""&amp;IF(Scan2VKFlags!M177&lt;&gt;""," flags="""&amp;Scan2VKFlags!M177&amp;"""","")&amp;"/&gt;","")</f>
        <v>&lt;vk kbd="12" vk="BROWSER_REFRESH"/&gt;</v>
      </c>
      <c r="AR177" s="16" t="str">
        <f>IF(Q177&lt;&gt;"","&lt;vk kbd="""&amp;Q$1&amp;""" vk="""&amp;Q177&amp;""""&amp;IF(Scan2VKFlags!N177&lt;&gt;""," flags="""&amp;Scan2VKFlags!N177&amp;"""","")&amp;"/&gt;","")</f>
        <v>&lt;vk kbd="13" vk="BROWSER_REFRESH"/&gt;</v>
      </c>
      <c r="AS177" s="3" t="str">
        <f>IF(S177&lt;&gt;"","&lt;vk kbd="""&amp;S$1&amp;""" vk="""&amp;S177&amp;""""&amp;IF(Scan2VKFlags!O177&lt;&gt;""," flags="""&amp;Scan2VKFlags!O177&amp;"""","")&amp;"/&gt;","")</f>
        <v/>
      </c>
      <c r="AT177" s="15" t="str">
        <f>IF(T177&lt;&gt;"","&lt;vk kbd="""&amp;T$1&amp;""" vk="""&amp;T177&amp;""""&amp;IF(Scan2VKFlags!P177&lt;&gt;""," flags="""&amp;Scan2VKFlags!P177&amp;"""","")&amp;"/&gt;","")</f>
        <v/>
      </c>
      <c r="AU177" s="16" t="str">
        <f>IF(U177&lt;&gt;"","&lt;vk kbd="""&amp;U$1&amp;""" vk="""&amp;U177&amp;""""&amp;IF(Scan2VKFlags!Q177&lt;&gt;""," flags="""&amp;Scan2VKFlags!Q177&amp;"""","")&amp;"/&gt;","")</f>
        <v/>
      </c>
      <c r="AV177" s="3" t="str">
        <f>IF(W177&lt;&gt;"","&lt;vk kbd="""&amp;W$1&amp;""" vk="""&amp;W177&amp;""""&amp;IF(Scan2VKFlags!R177&lt;&gt;""," flags="""&amp;Scan2VKFlags!R177&amp;"""","")&amp;"/&gt;","")</f>
        <v/>
      </c>
      <c r="AW177" s="15" t="str">
        <f>IF(X177&lt;&gt;"","&lt;vk kbd="""&amp;X$1&amp;""" vk="""&amp;X177&amp;""""&amp;IF(Scan2VKFlags!S177&lt;&gt;""," flags="""&amp;Scan2VKFlags!S177&amp;"""","")&amp;"/&gt;","")</f>
        <v/>
      </c>
      <c r="AX177" s="15" t="str">
        <f>IF(Y177&lt;&gt;"","&lt;vk kbd="""&amp;Y$1&amp;""" vk="""&amp;Y177&amp;""""&amp;IF(Scan2VKFlags!T177&lt;&gt;""," flags="""&amp;Scan2VKFlags!T177&amp;"""","")&amp;"/&gt;","")</f>
        <v/>
      </c>
      <c r="AY177" s="18" t="str">
        <f>IF(AA177&lt;&gt;"","&lt;vk kbd="""&amp;AA$1&amp;""" vk="""&amp;AA177&amp;""""&amp;IF(Scan2VKFlags!U177&lt;&gt;""," flags="""&amp;Scan2VKFlags!U177&amp;"""","")&amp;"/&gt;","")</f>
        <v/>
      </c>
      <c r="AZ177" s="3" t="str">
        <f>IF(AC177&lt;&gt;"","&lt;vk kbd="""&amp;AC$1&amp;""" vk="""&amp;AC177&amp;""""&amp;IF(Scan2VKFlags!V177&lt;&gt;""," flags="""&amp;Scan2VKFlags!V177&amp;"""","")&amp;"/&gt;","")</f>
        <v/>
      </c>
      <c r="BA177" s="16" t="str">
        <f>IF(AD177&lt;&gt;"","&lt;vk kbd="""&amp;AD$1&amp;""" vk="""&amp;AD177&amp;""""&amp;IF(Scan2VKFlags!W177&lt;&gt;""," flags="""&amp;Scan2VKFlags!W177&amp;"""","")&amp;"/&gt;","")</f>
        <v/>
      </c>
      <c r="BB177" s="15" t="s">
        <v>854</v>
      </c>
    </row>
    <row r="178" spans="2:54" s="15" customFormat="1" x14ac:dyDescent="0.25">
      <c r="B178" s="52" t="s">
        <v>179</v>
      </c>
      <c r="C178" s="7" t="s">
        <v>140</v>
      </c>
      <c r="D178" s="44" t="str">
        <f>trimtext(SplitText($C178,",",0))</f>
        <v>BROWSER_STOP</v>
      </c>
      <c r="E178" s="44" t="str">
        <f>IF(SplitText($C178,",",COLUMN(E:E)-COLUMN($D:$D))="",$D178,trimtext(SplitText($C178,",",COLUMN(E:E)-COLUMN($D:$D))))</f>
        <v>BROWSER_STOP</v>
      </c>
      <c r="F178" s="44" t="str">
        <f>IF(SplitText($C178,",",COLUMN(F:F)-COLUMN($D:$D))="",$D178,trimtext(SplitText($C178,",",COLUMN(F:F)-COLUMN($D:$D))))</f>
        <v>BROWSER_STOP</v>
      </c>
      <c r="G178" s="44" t="str">
        <f>IF(SplitText($C178,",",COLUMN(G:G)-COLUMN($D:$D))="",$D178,trimtext(SplitText($C178,",",COLUMN(G:G)-COLUMN($D:$D))))</f>
        <v>BROWSER_STOP</v>
      </c>
      <c r="H178" s="44" t="str">
        <f>IF(SplitText($C178,",",COLUMN(H:H)-COLUMN($D:$D))="",$D178,trimtext(SplitText($C178,",",COLUMN(H:H)-COLUMN($D:$D))))</f>
        <v>BROWSER_STOP</v>
      </c>
      <c r="I178" s="44" t="str">
        <f>IF(SplitText($C178,",",COLUMN(I:I)-COLUMN($D:$D))="",$D178,trimtext(SplitText($C178,",",COLUMN(I:I)-COLUMN($D:$D))))</f>
        <v>BROWSER_STOP</v>
      </c>
      <c r="J178" s="9" t="s">
        <v>325</v>
      </c>
      <c r="K178" s="44" t="str">
        <f>trimtext(SplitText($J178,",",0))</f>
        <v>BROWSER_STOP</v>
      </c>
      <c r="L178" s="44" t="str">
        <f>IF(SplitText($J178,",",COLUMN(L:L)-COLUMN($K:$K))="",$K178,trimtext(SplitText($J178,",",COLUMN(L:L)-COLUMN($K:$K))))</f>
        <v>BROWSER_STOP</v>
      </c>
      <c r="M178" s="44" t="str">
        <f>IF(SplitText($J178,",",COLUMN(M:M)-COLUMN($K:$K))="",$K178,trimtext(SplitText($J178,",",COLUMN(M:M)-COLUMN($K:$K))))</f>
        <v>BROWSER_STOP</v>
      </c>
      <c r="N178" s="44" t="str">
        <f>IF(SplitText($J178,",",COLUMN(N:N)-COLUMN($K:$K))="",$K178,trimtext(SplitText($J178,",",COLUMN(N:N)-COLUMN($K:$K))))</f>
        <v>BROWSER_STOP</v>
      </c>
      <c r="O178" s="44" t="str">
        <f>IF(SplitText($J178,",",COLUMN(O:O)-COLUMN($K:$K))="",$K178,trimtext(SplitText($J178,",",COLUMN(O:O)-COLUMN($K:$K))))</f>
        <v>BROWSER_STOP</v>
      </c>
      <c r="P178" s="44" t="str">
        <f>IF(SplitText($J178,",",COLUMN(P:P)-COLUMN($K:$K))="",$K178,trimtext(SplitText($J178,",",COLUMN(P:P)-COLUMN($K:$K))))</f>
        <v>BROWSER_STOP</v>
      </c>
      <c r="Q178" s="44" t="str">
        <f>IF(SplitText($J178,",",COLUMN(Q:Q)-COLUMN($K:$K))="",$K178,trimtext(SplitText($J178,",",COLUMN(Q:Q)-COLUMN($K:$K))))</f>
        <v>BROWSER_STOP</v>
      </c>
      <c r="R178" s="24"/>
      <c r="S178" s="44" t="str">
        <f>trimtext(SplitText($R178,",",0))</f>
        <v/>
      </c>
      <c r="T178" s="44" t="str">
        <f>IF(SplitText($R178,",",COLUMN(T:T)-COLUMN($S:$S))="",$S178,trimtext(SplitText($R178,",",COLUMN(T:T)-COLUMN($S:$S))))</f>
        <v/>
      </c>
      <c r="U178" s="45" t="str">
        <f>IF(SplitText($R178,",",COLUMN(U:U)-COLUMN($S:$S))="",$S178,trimtext(SplitText($R178,",",COLUMN(U:U)-COLUMN($S:$S))))</f>
        <v/>
      </c>
      <c r="V178" s="42"/>
      <c r="W178" s="44" t="str">
        <f>trimtext(SplitText($V178,",",0))</f>
        <v/>
      </c>
      <c r="X178" s="44" t="str">
        <f>IF(SplitText($V178,",",COLUMN(X:X)-COLUMN($W:$W))="",$W178,trimtext(SplitText($V178,",",COLUMN(X:X)-COLUMN($W:$W))))</f>
        <v/>
      </c>
      <c r="Y178" s="44" t="str">
        <f>IF(SplitText($V178,",",COLUMN(Y:Y)-COLUMN($W:$W))="",$W178,trimtext(SplitText($V178,",",COLUMN(Y:Y)-COLUMN($W:$W))))</f>
        <v/>
      </c>
      <c r="Z178" s="24"/>
      <c r="AA178" s="44" t="str">
        <f t="shared" si="13"/>
        <v/>
      </c>
      <c r="AB178" s="24"/>
      <c r="AC178" s="44" t="str">
        <f>trimtext(SplitText($AB178,",",0))</f>
        <v/>
      </c>
      <c r="AD178" s="44" t="str">
        <f>IF(SplitText($AB178,",",COLUMN(AD:AD)-COLUMN($AC:$AC))="",$AC178,trimtext(SplitText($AB178,",",COLUMN(AD:AD)-COLUMN($AC:$AC))))</f>
        <v/>
      </c>
      <c r="AE178" s="18" t="str">
        <f t="shared" si="12"/>
        <v>&lt;xs:enumeration value="X68"&gt;&lt;xs:annotation&gt;&lt;xs:documentation&gt;Typically BROWSER_STOP for keyboard type 4, different values for different keyboard types&lt;/xs:documentation&gt;&lt;xs:appinfo&gt;&lt;default-vk&gt;</v>
      </c>
      <c r="AF178" s="15" t="str">
        <f>IF(D178&lt;&gt;"","&lt;vk kbd="""&amp;D$1&amp;""" vk="""&amp;D178&amp;""""&amp;IF(Scan2VKFlags!B178&lt;&gt;""," flags="""&amp;Scan2VKFlags!B178&amp;"""","")&amp;"/&gt;","")</f>
        <v>&lt;vk kbd="1" vk="BROWSER_STOP"/&gt;</v>
      </c>
      <c r="AG178" s="15" t="str">
        <f>IF(E178&lt;&gt;"","&lt;vk kbd="""&amp;E$1&amp;""" vk="""&amp;E178&amp;""""&amp;IF(Scan2VKFlags!C178&lt;&gt;""," flags="""&amp;Scan2VKFlags!C178&amp;"""","")&amp;"/&gt;","")</f>
        <v>&lt;vk kbd="2" vk="BROWSER_STOP"/&gt;</v>
      </c>
      <c r="AH178" s="15" t="str">
        <f>IF(F178&lt;&gt;"","&lt;vk kbd="""&amp;F$1&amp;""" vk="""&amp;F178&amp;""""&amp;IF(Scan2VKFlags!D178&lt;&gt;""," flags="""&amp;Scan2VKFlags!D178&amp;"""","")&amp;"/&gt;","")</f>
        <v>&lt;vk kbd="3" vk="BROWSER_STOP"/&gt;</v>
      </c>
      <c r="AI178" s="15" t="str">
        <f>IF(G178&lt;&gt;"","&lt;vk kbd="""&amp;G$1&amp;""" vk="""&amp;G178&amp;""""&amp;IF(Scan2VKFlags!E178&lt;&gt;""," flags="""&amp;Scan2VKFlags!E178&amp;"""","")&amp;"/&gt;","")</f>
        <v>&lt;vk kbd="4" vk="BROWSER_STOP" flags="KBDEXT"/&gt;</v>
      </c>
      <c r="AJ178" s="15" t="str">
        <f>IF(H178&lt;&gt;"","&lt;vk kbd="""&amp;H$1&amp;""" vk="""&amp;H178&amp;""""&amp;IF(Scan2VKFlags!F178&lt;&gt;""," flags="""&amp;Scan2VKFlags!F178&amp;"""","")&amp;"/&gt;","")</f>
        <v>&lt;vk kbd="5" vk="BROWSER_STOP"/&gt;</v>
      </c>
      <c r="AK178" s="16" t="str">
        <f>IF(I178&lt;&gt;"","&lt;vk kbd="""&amp;I$1&amp;""" vk="""&amp;I178&amp;""""&amp;IF(Scan2VKFlags!G178&lt;&gt;""," flags="""&amp;Scan2VKFlags!G178&amp;"""","")&amp;"/&gt;","")</f>
        <v>&lt;vk kbd="6" vk="BROWSER_STOP"/&gt;</v>
      </c>
      <c r="AL178" s="3" t="str">
        <f>IF(K178&lt;&gt;"","&lt;vk kbd="""&amp;K$1&amp;""" vk="""&amp;K178&amp;""""&amp;IF(Scan2VKFlags!H178&lt;&gt;""," flags="""&amp;Scan2VKFlags!H178&amp;"""","")&amp;"/&gt;","")</f>
        <v>&lt;vk kbd="7" vk="BROWSER_STOP"/&gt;</v>
      </c>
      <c r="AM178" s="15" t="str">
        <f>IF(L178&lt;&gt;"","&lt;vk kbd="""&amp;L$1&amp;""" vk="""&amp;L178&amp;""""&amp;IF(Scan2VKFlags!I178&lt;&gt;""," flags="""&amp;Scan2VKFlags!I178&amp;"""","")&amp;"/&gt;","")</f>
        <v>&lt;vk kbd="8" vk="BROWSER_STOP"/&gt;</v>
      </c>
      <c r="AN178" s="15" t="str">
        <f>IF(M178&lt;&gt;"","&lt;vk kbd="""&amp;M$1&amp;""" vk="""&amp;M178&amp;""""&amp;IF(Scan2VKFlags!J178&lt;&gt;""," flags="""&amp;Scan2VKFlags!J178&amp;"""","")&amp;"/&gt;","")</f>
        <v>&lt;vk kbd="16" vk="BROWSER_STOP"/&gt;</v>
      </c>
      <c r="AO178" s="15" t="str">
        <f>IF(N178&lt;&gt;"","&lt;vk kbd="""&amp;N$1&amp;""" vk="""&amp;N178&amp;""""&amp;IF(Scan2VKFlags!K178&lt;&gt;""," flags="""&amp;Scan2VKFlags!K178&amp;"""","")&amp;"/&gt;","")</f>
        <v>&lt;vk kbd="10" vk="BROWSER_STOP"/&gt;</v>
      </c>
      <c r="AP178" s="15" t="str">
        <f>IF(O178&lt;&gt;"","&lt;vk kbd="""&amp;O$1&amp;""" vk="""&amp;O178&amp;""""&amp;IF(Scan2VKFlags!L178&lt;&gt;""," flags="""&amp;Scan2VKFlags!L178&amp;"""","")&amp;"/&gt;","")</f>
        <v>&lt;vk kbd="11" vk="BROWSER_STOP"/&gt;</v>
      </c>
      <c r="AQ178" s="15" t="str">
        <f>IF(P178&lt;&gt;"","&lt;vk kbd="""&amp;P$1&amp;""" vk="""&amp;P178&amp;""""&amp;IF(Scan2VKFlags!M178&lt;&gt;""," flags="""&amp;Scan2VKFlags!M178&amp;"""","")&amp;"/&gt;","")</f>
        <v>&lt;vk kbd="12" vk="BROWSER_STOP"/&gt;</v>
      </c>
      <c r="AR178" s="16" t="str">
        <f>IF(Q178&lt;&gt;"","&lt;vk kbd="""&amp;Q$1&amp;""" vk="""&amp;Q178&amp;""""&amp;IF(Scan2VKFlags!N178&lt;&gt;""," flags="""&amp;Scan2VKFlags!N178&amp;"""","")&amp;"/&gt;","")</f>
        <v>&lt;vk kbd="13" vk="BROWSER_STOP"/&gt;</v>
      </c>
      <c r="AS178" s="3" t="str">
        <f>IF(S178&lt;&gt;"","&lt;vk kbd="""&amp;S$1&amp;""" vk="""&amp;S178&amp;""""&amp;IF(Scan2VKFlags!O178&lt;&gt;""," flags="""&amp;Scan2VKFlags!O178&amp;"""","")&amp;"/&gt;","")</f>
        <v/>
      </c>
      <c r="AT178" s="15" t="str">
        <f>IF(T178&lt;&gt;"","&lt;vk kbd="""&amp;T$1&amp;""" vk="""&amp;T178&amp;""""&amp;IF(Scan2VKFlags!P178&lt;&gt;""," flags="""&amp;Scan2VKFlags!P178&amp;"""","")&amp;"/&gt;","")</f>
        <v/>
      </c>
      <c r="AU178" s="16" t="str">
        <f>IF(U178&lt;&gt;"","&lt;vk kbd="""&amp;U$1&amp;""" vk="""&amp;U178&amp;""""&amp;IF(Scan2VKFlags!Q178&lt;&gt;""," flags="""&amp;Scan2VKFlags!Q178&amp;"""","")&amp;"/&gt;","")</f>
        <v/>
      </c>
      <c r="AV178" s="3" t="str">
        <f>IF(W178&lt;&gt;"","&lt;vk kbd="""&amp;W$1&amp;""" vk="""&amp;W178&amp;""""&amp;IF(Scan2VKFlags!R178&lt;&gt;""," flags="""&amp;Scan2VKFlags!R178&amp;"""","")&amp;"/&gt;","")</f>
        <v/>
      </c>
      <c r="AW178" s="15" t="str">
        <f>IF(X178&lt;&gt;"","&lt;vk kbd="""&amp;X$1&amp;""" vk="""&amp;X178&amp;""""&amp;IF(Scan2VKFlags!S178&lt;&gt;""," flags="""&amp;Scan2VKFlags!S178&amp;"""","")&amp;"/&gt;","")</f>
        <v/>
      </c>
      <c r="AX178" s="15" t="str">
        <f>IF(Y178&lt;&gt;"","&lt;vk kbd="""&amp;Y$1&amp;""" vk="""&amp;Y178&amp;""""&amp;IF(Scan2VKFlags!T178&lt;&gt;""," flags="""&amp;Scan2VKFlags!T178&amp;"""","")&amp;"/&gt;","")</f>
        <v/>
      </c>
      <c r="AY178" s="18" t="str">
        <f>IF(AA178&lt;&gt;"","&lt;vk kbd="""&amp;AA$1&amp;""" vk="""&amp;AA178&amp;""""&amp;IF(Scan2VKFlags!U178&lt;&gt;""," flags="""&amp;Scan2VKFlags!U178&amp;"""","")&amp;"/&gt;","")</f>
        <v/>
      </c>
      <c r="AZ178" s="3" t="str">
        <f>IF(AC178&lt;&gt;"","&lt;vk kbd="""&amp;AC$1&amp;""" vk="""&amp;AC178&amp;""""&amp;IF(Scan2VKFlags!V178&lt;&gt;""," flags="""&amp;Scan2VKFlags!V178&amp;"""","")&amp;"/&gt;","")</f>
        <v/>
      </c>
      <c r="BA178" s="16" t="str">
        <f>IF(AD178&lt;&gt;"","&lt;vk kbd="""&amp;AD$1&amp;""" vk="""&amp;AD178&amp;""""&amp;IF(Scan2VKFlags!W178&lt;&gt;""," flags="""&amp;Scan2VKFlags!W178&amp;"""","")&amp;"/&gt;","")</f>
        <v/>
      </c>
      <c r="BB178" s="15" t="s">
        <v>854</v>
      </c>
    </row>
    <row r="179" spans="2:54" s="15" customFormat="1" x14ac:dyDescent="0.25">
      <c r="B179" s="52" t="s">
        <v>180</v>
      </c>
      <c r="C179" s="7" t="s">
        <v>141</v>
      </c>
      <c r="D179" s="44" t="str">
        <f>trimtext(SplitText($C179,",",0))</f>
        <v>BROWSER_FORWARD</v>
      </c>
      <c r="E179" s="44" t="str">
        <f>IF(SplitText($C179,",",COLUMN(E:E)-COLUMN($D:$D))="",$D179,trimtext(SplitText($C179,",",COLUMN(E:E)-COLUMN($D:$D))))</f>
        <v>BROWSER_FORWARD</v>
      </c>
      <c r="F179" s="44" t="str">
        <f>IF(SplitText($C179,",",COLUMN(F:F)-COLUMN($D:$D))="",$D179,trimtext(SplitText($C179,",",COLUMN(F:F)-COLUMN($D:$D))))</f>
        <v>BROWSER_FORWARD</v>
      </c>
      <c r="G179" s="44" t="str">
        <f>IF(SplitText($C179,",",COLUMN(G:G)-COLUMN($D:$D))="",$D179,trimtext(SplitText($C179,",",COLUMN(G:G)-COLUMN($D:$D))))</f>
        <v>BROWSER_FORWARD</v>
      </c>
      <c r="H179" s="44" t="str">
        <f>IF(SplitText($C179,",",COLUMN(H:H)-COLUMN($D:$D))="",$D179,trimtext(SplitText($C179,",",COLUMN(H:H)-COLUMN($D:$D))))</f>
        <v>BROWSER_FORWARD</v>
      </c>
      <c r="I179" s="44" t="str">
        <f>IF(SplitText($C179,",",COLUMN(I:I)-COLUMN($D:$D))="",$D179,trimtext(SplitText($C179,",",COLUMN(I:I)-COLUMN($D:$D))))</f>
        <v>BROWSER_FORWARD</v>
      </c>
      <c r="J179" s="9" t="s">
        <v>326</v>
      </c>
      <c r="K179" s="44" t="str">
        <f>trimtext(SplitText($J179,",",0))</f>
        <v>BROWSER_FORWARD</v>
      </c>
      <c r="L179" s="44" t="str">
        <f>IF(SplitText($J179,",",COLUMN(L:L)-COLUMN($K:$K))="",$K179,trimtext(SplitText($J179,",",COLUMN(L:L)-COLUMN($K:$K))))</f>
        <v>BROWSER_FORWARD</v>
      </c>
      <c r="M179" s="44" t="str">
        <f>IF(SplitText($J179,",",COLUMN(M:M)-COLUMN($K:$K))="",$K179,trimtext(SplitText($J179,",",COLUMN(M:M)-COLUMN($K:$K))))</f>
        <v>BROWSER_FORWARD</v>
      </c>
      <c r="N179" s="44" t="str">
        <f>IF(SplitText($J179,",",COLUMN(N:N)-COLUMN($K:$K))="",$K179,trimtext(SplitText($J179,",",COLUMN(N:N)-COLUMN($K:$K))))</f>
        <v>BROWSER_FORWARD</v>
      </c>
      <c r="O179" s="44" t="str">
        <f>IF(SplitText($J179,",",COLUMN(O:O)-COLUMN($K:$K))="",$K179,trimtext(SplitText($J179,",",COLUMN(O:O)-COLUMN($K:$K))))</f>
        <v>BROWSER_FORWARD</v>
      </c>
      <c r="P179" s="44" t="str">
        <f>IF(SplitText($J179,",",COLUMN(P:P)-COLUMN($K:$K))="",$K179,trimtext(SplitText($J179,",",COLUMN(P:P)-COLUMN($K:$K))))</f>
        <v>BROWSER_FORWARD</v>
      </c>
      <c r="Q179" s="44" t="str">
        <f>IF(SplitText($J179,",",COLUMN(Q:Q)-COLUMN($K:$K))="",$K179,trimtext(SplitText($J179,",",COLUMN(Q:Q)-COLUMN($K:$K))))</f>
        <v>BROWSER_FORWARD</v>
      </c>
      <c r="R179" s="24"/>
      <c r="S179" s="44" t="str">
        <f>trimtext(SplitText($R179,",",0))</f>
        <v/>
      </c>
      <c r="T179" s="44" t="str">
        <f>IF(SplitText($R179,",",COLUMN(T:T)-COLUMN($S:$S))="",$S179,trimtext(SplitText($R179,",",COLUMN(T:T)-COLUMN($S:$S))))</f>
        <v/>
      </c>
      <c r="U179" s="45" t="str">
        <f>IF(SplitText($R179,",",COLUMN(U:U)-COLUMN($S:$S))="",$S179,trimtext(SplitText($R179,",",COLUMN(U:U)-COLUMN($S:$S))))</f>
        <v/>
      </c>
      <c r="V179" s="42"/>
      <c r="W179" s="44" t="str">
        <f>trimtext(SplitText($V179,",",0))</f>
        <v/>
      </c>
      <c r="X179" s="44" t="str">
        <f>IF(SplitText($V179,",",COLUMN(X:X)-COLUMN($W:$W))="",$W179,trimtext(SplitText($V179,",",COLUMN(X:X)-COLUMN($W:$W))))</f>
        <v/>
      </c>
      <c r="Y179" s="44" t="str">
        <f>IF(SplitText($V179,",",COLUMN(Y:Y)-COLUMN($W:$W))="",$W179,trimtext(SplitText($V179,",",COLUMN(Y:Y)-COLUMN($W:$W))))</f>
        <v/>
      </c>
      <c r="Z179" s="24"/>
      <c r="AA179" s="44" t="str">
        <f t="shared" si="13"/>
        <v/>
      </c>
      <c r="AB179" s="24"/>
      <c r="AC179" s="44" t="str">
        <f>trimtext(SplitText($AB179,",",0))</f>
        <v/>
      </c>
      <c r="AD179" s="44" t="str">
        <f>IF(SplitText($AB179,",",COLUMN(AD:AD)-COLUMN($AC:$AC))="",$AC179,trimtext(SplitText($AB179,",",COLUMN(AD:AD)-COLUMN($AC:$AC))))</f>
        <v/>
      </c>
      <c r="AE179" s="18" t="str">
        <f t="shared" si="12"/>
        <v>&lt;xs:enumeration value="X69"&gt;&lt;xs:annotation&gt;&lt;xs:documentation&gt;Typically BROWSER_FORWARD for keyboard type 4, different values for different keyboard types&lt;/xs:documentation&gt;&lt;xs:appinfo&gt;&lt;default-vk&gt;</v>
      </c>
      <c r="AF179" s="15" t="str">
        <f>IF(D179&lt;&gt;"","&lt;vk kbd="""&amp;D$1&amp;""" vk="""&amp;D179&amp;""""&amp;IF(Scan2VKFlags!B179&lt;&gt;""," flags="""&amp;Scan2VKFlags!B179&amp;"""","")&amp;"/&gt;","")</f>
        <v>&lt;vk kbd="1" vk="BROWSER_FORWARD"/&gt;</v>
      </c>
      <c r="AG179" s="15" t="str">
        <f>IF(E179&lt;&gt;"","&lt;vk kbd="""&amp;E$1&amp;""" vk="""&amp;E179&amp;""""&amp;IF(Scan2VKFlags!C179&lt;&gt;""," flags="""&amp;Scan2VKFlags!C179&amp;"""","")&amp;"/&gt;","")</f>
        <v>&lt;vk kbd="2" vk="BROWSER_FORWARD"/&gt;</v>
      </c>
      <c r="AH179" s="15" t="str">
        <f>IF(F179&lt;&gt;"","&lt;vk kbd="""&amp;F$1&amp;""" vk="""&amp;F179&amp;""""&amp;IF(Scan2VKFlags!D179&lt;&gt;""," flags="""&amp;Scan2VKFlags!D179&amp;"""","")&amp;"/&gt;","")</f>
        <v>&lt;vk kbd="3" vk="BROWSER_FORWARD"/&gt;</v>
      </c>
      <c r="AI179" s="15" t="str">
        <f>IF(G179&lt;&gt;"","&lt;vk kbd="""&amp;G$1&amp;""" vk="""&amp;G179&amp;""""&amp;IF(Scan2VKFlags!E179&lt;&gt;""," flags="""&amp;Scan2VKFlags!E179&amp;"""","")&amp;"/&gt;","")</f>
        <v>&lt;vk kbd="4" vk="BROWSER_FORWARD" flags="KBDEXT"/&gt;</v>
      </c>
      <c r="AJ179" s="15" t="str">
        <f>IF(H179&lt;&gt;"","&lt;vk kbd="""&amp;H$1&amp;""" vk="""&amp;H179&amp;""""&amp;IF(Scan2VKFlags!F179&lt;&gt;""," flags="""&amp;Scan2VKFlags!F179&amp;"""","")&amp;"/&gt;","")</f>
        <v>&lt;vk kbd="5" vk="BROWSER_FORWARD"/&gt;</v>
      </c>
      <c r="AK179" s="16" t="str">
        <f>IF(I179&lt;&gt;"","&lt;vk kbd="""&amp;I$1&amp;""" vk="""&amp;I179&amp;""""&amp;IF(Scan2VKFlags!G179&lt;&gt;""," flags="""&amp;Scan2VKFlags!G179&amp;"""","")&amp;"/&gt;","")</f>
        <v>&lt;vk kbd="6" vk="BROWSER_FORWARD"/&gt;</v>
      </c>
      <c r="AL179" s="3" t="str">
        <f>IF(K179&lt;&gt;"","&lt;vk kbd="""&amp;K$1&amp;""" vk="""&amp;K179&amp;""""&amp;IF(Scan2VKFlags!H179&lt;&gt;""," flags="""&amp;Scan2VKFlags!H179&amp;"""","")&amp;"/&gt;","")</f>
        <v>&lt;vk kbd="7" vk="BROWSER_FORWARD"/&gt;</v>
      </c>
      <c r="AM179" s="15" t="str">
        <f>IF(L179&lt;&gt;"","&lt;vk kbd="""&amp;L$1&amp;""" vk="""&amp;L179&amp;""""&amp;IF(Scan2VKFlags!I179&lt;&gt;""," flags="""&amp;Scan2VKFlags!I179&amp;"""","")&amp;"/&gt;","")</f>
        <v>&lt;vk kbd="8" vk="BROWSER_FORWARD"/&gt;</v>
      </c>
      <c r="AN179" s="15" t="str">
        <f>IF(M179&lt;&gt;"","&lt;vk kbd="""&amp;M$1&amp;""" vk="""&amp;M179&amp;""""&amp;IF(Scan2VKFlags!J179&lt;&gt;""," flags="""&amp;Scan2VKFlags!J179&amp;"""","")&amp;"/&gt;","")</f>
        <v>&lt;vk kbd="16" vk="BROWSER_FORWARD"/&gt;</v>
      </c>
      <c r="AO179" s="15" t="str">
        <f>IF(N179&lt;&gt;"","&lt;vk kbd="""&amp;N$1&amp;""" vk="""&amp;N179&amp;""""&amp;IF(Scan2VKFlags!K179&lt;&gt;""," flags="""&amp;Scan2VKFlags!K179&amp;"""","")&amp;"/&gt;","")</f>
        <v>&lt;vk kbd="10" vk="BROWSER_FORWARD"/&gt;</v>
      </c>
      <c r="AP179" s="15" t="str">
        <f>IF(O179&lt;&gt;"","&lt;vk kbd="""&amp;O$1&amp;""" vk="""&amp;O179&amp;""""&amp;IF(Scan2VKFlags!L179&lt;&gt;""," flags="""&amp;Scan2VKFlags!L179&amp;"""","")&amp;"/&gt;","")</f>
        <v>&lt;vk kbd="11" vk="BROWSER_FORWARD"/&gt;</v>
      </c>
      <c r="AQ179" s="15" t="str">
        <f>IF(P179&lt;&gt;"","&lt;vk kbd="""&amp;P$1&amp;""" vk="""&amp;P179&amp;""""&amp;IF(Scan2VKFlags!M179&lt;&gt;""," flags="""&amp;Scan2VKFlags!M179&amp;"""","")&amp;"/&gt;","")</f>
        <v>&lt;vk kbd="12" vk="BROWSER_FORWARD"/&gt;</v>
      </c>
      <c r="AR179" s="16" t="str">
        <f>IF(Q179&lt;&gt;"","&lt;vk kbd="""&amp;Q$1&amp;""" vk="""&amp;Q179&amp;""""&amp;IF(Scan2VKFlags!N179&lt;&gt;""," flags="""&amp;Scan2VKFlags!N179&amp;"""","")&amp;"/&gt;","")</f>
        <v>&lt;vk kbd="13" vk="BROWSER_FORWARD"/&gt;</v>
      </c>
      <c r="AS179" s="3" t="str">
        <f>IF(S179&lt;&gt;"","&lt;vk kbd="""&amp;S$1&amp;""" vk="""&amp;S179&amp;""""&amp;IF(Scan2VKFlags!O179&lt;&gt;""," flags="""&amp;Scan2VKFlags!O179&amp;"""","")&amp;"/&gt;","")</f>
        <v/>
      </c>
      <c r="AT179" s="15" t="str">
        <f>IF(T179&lt;&gt;"","&lt;vk kbd="""&amp;T$1&amp;""" vk="""&amp;T179&amp;""""&amp;IF(Scan2VKFlags!P179&lt;&gt;""," flags="""&amp;Scan2VKFlags!P179&amp;"""","")&amp;"/&gt;","")</f>
        <v/>
      </c>
      <c r="AU179" s="16" t="str">
        <f>IF(U179&lt;&gt;"","&lt;vk kbd="""&amp;U$1&amp;""" vk="""&amp;U179&amp;""""&amp;IF(Scan2VKFlags!Q179&lt;&gt;""," flags="""&amp;Scan2VKFlags!Q179&amp;"""","")&amp;"/&gt;","")</f>
        <v/>
      </c>
      <c r="AV179" s="3" t="str">
        <f>IF(W179&lt;&gt;"","&lt;vk kbd="""&amp;W$1&amp;""" vk="""&amp;W179&amp;""""&amp;IF(Scan2VKFlags!R179&lt;&gt;""," flags="""&amp;Scan2VKFlags!R179&amp;"""","")&amp;"/&gt;","")</f>
        <v/>
      </c>
      <c r="AW179" s="15" t="str">
        <f>IF(X179&lt;&gt;"","&lt;vk kbd="""&amp;X$1&amp;""" vk="""&amp;X179&amp;""""&amp;IF(Scan2VKFlags!S179&lt;&gt;""," flags="""&amp;Scan2VKFlags!S179&amp;"""","")&amp;"/&gt;","")</f>
        <v/>
      </c>
      <c r="AX179" s="15" t="str">
        <f>IF(Y179&lt;&gt;"","&lt;vk kbd="""&amp;Y$1&amp;""" vk="""&amp;Y179&amp;""""&amp;IF(Scan2VKFlags!T179&lt;&gt;""," flags="""&amp;Scan2VKFlags!T179&amp;"""","")&amp;"/&gt;","")</f>
        <v/>
      </c>
      <c r="AY179" s="18" t="str">
        <f>IF(AA179&lt;&gt;"","&lt;vk kbd="""&amp;AA$1&amp;""" vk="""&amp;AA179&amp;""""&amp;IF(Scan2VKFlags!U179&lt;&gt;""," flags="""&amp;Scan2VKFlags!U179&amp;"""","")&amp;"/&gt;","")</f>
        <v/>
      </c>
      <c r="AZ179" s="3" t="str">
        <f>IF(AC179&lt;&gt;"","&lt;vk kbd="""&amp;AC$1&amp;""" vk="""&amp;AC179&amp;""""&amp;IF(Scan2VKFlags!V179&lt;&gt;""," flags="""&amp;Scan2VKFlags!V179&amp;"""","")&amp;"/&gt;","")</f>
        <v/>
      </c>
      <c r="BA179" s="16" t="str">
        <f>IF(AD179&lt;&gt;"","&lt;vk kbd="""&amp;AD$1&amp;""" vk="""&amp;AD179&amp;""""&amp;IF(Scan2VKFlags!W179&lt;&gt;""," flags="""&amp;Scan2VKFlags!W179&amp;"""","")&amp;"/&gt;","")</f>
        <v/>
      </c>
      <c r="BB179" s="15" t="s">
        <v>854</v>
      </c>
    </row>
    <row r="180" spans="2:54" s="15" customFormat="1" x14ac:dyDescent="0.25">
      <c r="B180" s="52" t="s">
        <v>181</v>
      </c>
      <c r="C180" s="7" t="s">
        <v>142</v>
      </c>
      <c r="D180" s="44" t="str">
        <f>trimtext(SplitText($C180,",",0))</f>
        <v>BROWSER_BACK</v>
      </c>
      <c r="E180" s="44" t="str">
        <f>IF(SplitText($C180,",",COLUMN(E:E)-COLUMN($D:$D))="",$D180,trimtext(SplitText($C180,",",COLUMN(E:E)-COLUMN($D:$D))))</f>
        <v>BROWSER_BACK</v>
      </c>
      <c r="F180" s="44" t="str">
        <f>IF(SplitText($C180,",",COLUMN(F:F)-COLUMN($D:$D))="",$D180,trimtext(SplitText($C180,",",COLUMN(F:F)-COLUMN($D:$D))))</f>
        <v>BROWSER_BACK</v>
      </c>
      <c r="G180" s="44" t="str">
        <f>IF(SplitText($C180,",",COLUMN(G:G)-COLUMN($D:$D))="",$D180,trimtext(SplitText($C180,",",COLUMN(G:G)-COLUMN($D:$D))))</f>
        <v>BROWSER_BACK</v>
      </c>
      <c r="H180" s="44" t="str">
        <f>IF(SplitText($C180,",",COLUMN(H:H)-COLUMN($D:$D))="",$D180,trimtext(SplitText($C180,",",COLUMN(H:H)-COLUMN($D:$D))))</f>
        <v>BROWSER_BACK</v>
      </c>
      <c r="I180" s="44" t="str">
        <f>IF(SplitText($C180,",",COLUMN(I:I)-COLUMN($D:$D))="",$D180,trimtext(SplitText($C180,",",COLUMN(I:I)-COLUMN($D:$D))))</f>
        <v>BROWSER_BACK</v>
      </c>
      <c r="J180" s="9" t="s">
        <v>327</v>
      </c>
      <c r="K180" s="44" t="str">
        <f>trimtext(SplitText($J180,",",0))</f>
        <v>BROWSER_BACK</v>
      </c>
      <c r="L180" s="44" t="str">
        <f>IF(SplitText($J180,",",COLUMN(L:L)-COLUMN($K:$K))="",$K180,trimtext(SplitText($J180,",",COLUMN(L:L)-COLUMN($K:$K))))</f>
        <v>BROWSER_BACK</v>
      </c>
      <c r="M180" s="44" t="str">
        <f>IF(SplitText($J180,",",COLUMN(M:M)-COLUMN($K:$K))="",$K180,trimtext(SplitText($J180,",",COLUMN(M:M)-COLUMN($K:$K))))</f>
        <v>BROWSER_BACK</v>
      </c>
      <c r="N180" s="44" t="str">
        <f>IF(SplitText($J180,",",COLUMN(N:N)-COLUMN($K:$K))="",$K180,trimtext(SplitText($J180,",",COLUMN(N:N)-COLUMN($K:$K))))</f>
        <v>BROWSER_BACK</v>
      </c>
      <c r="O180" s="44" t="str">
        <f>IF(SplitText($J180,",",COLUMN(O:O)-COLUMN($K:$K))="",$K180,trimtext(SplitText($J180,",",COLUMN(O:O)-COLUMN($K:$K))))</f>
        <v>BROWSER_BACK</v>
      </c>
      <c r="P180" s="44" t="str">
        <f>IF(SplitText($J180,",",COLUMN(P:P)-COLUMN($K:$K))="",$K180,trimtext(SplitText($J180,",",COLUMN(P:P)-COLUMN($K:$K))))</f>
        <v>BROWSER_BACK</v>
      </c>
      <c r="Q180" s="44" t="str">
        <f>IF(SplitText($J180,",",COLUMN(Q:Q)-COLUMN($K:$K))="",$K180,trimtext(SplitText($J180,",",COLUMN(Q:Q)-COLUMN($K:$K))))</f>
        <v>BROWSER_BACK</v>
      </c>
      <c r="R180" s="24"/>
      <c r="S180" s="44" t="str">
        <f>trimtext(SplitText($R180,",",0))</f>
        <v/>
      </c>
      <c r="T180" s="44" t="str">
        <f>IF(SplitText($R180,",",COLUMN(T:T)-COLUMN($S:$S))="",$S180,trimtext(SplitText($R180,",",COLUMN(T:T)-COLUMN($S:$S))))</f>
        <v/>
      </c>
      <c r="U180" s="45" t="str">
        <f>IF(SplitText($R180,",",COLUMN(U:U)-COLUMN($S:$S))="",$S180,trimtext(SplitText($R180,",",COLUMN(U:U)-COLUMN($S:$S))))</f>
        <v/>
      </c>
      <c r="V180" s="42"/>
      <c r="W180" s="44" t="str">
        <f>trimtext(SplitText($V180,",",0))</f>
        <v/>
      </c>
      <c r="X180" s="44" t="str">
        <f>IF(SplitText($V180,",",COLUMN(X:X)-COLUMN($W:$W))="",$W180,trimtext(SplitText($V180,",",COLUMN(X:X)-COLUMN($W:$W))))</f>
        <v/>
      </c>
      <c r="Y180" s="44" t="str">
        <f>IF(SplitText($V180,",",COLUMN(Y:Y)-COLUMN($W:$W))="",$W180,trimtext(SplitText($V180,",",COLUMN(Y:Y)-COLUMN($W:$W))))</f>
        <v/>
      </c>
      <c r="Z180" s="24"/>
      <c r="AA180" s="44" t="str">
        <f t="shared" si="13"/>
        <v/>
      </c>
      <c r="AB180" s="24"/>
      <c r="AC180" s="44" t="str">
        <f>trimtext(SplitText($AB180,",",0))</f>
        <v/>
      </c>
      <c r="AD180" s="44" t="str">
        <f>IF(SplitText($AB180,",",COLUMN(AD:AD)-COLUMN($AC:$AC))="",$AC180,trimtext(SplitText($AB180,",",COLUMN(AD:AD)-COLUMN($AC:$AC))))</f>
        <v/>
      </c>
      <c r="AE180" s="18" t="str">
        <f t="shared" si="12"/>
        <v>&lt;xs:enumeration value="X6A"&gt;&lt;xs:annotation&gt;&lt;xs:documentation&gt;Typically BROWSER_BACK for keyboard type 4, different values for different keyboard types&lt;/xs:documentation&gt;&lt;xs:appinfo&gt;&lt;default-vk&gt;</v>
      </c>
      <c r="AF180" s="15" t="str">
        <f>IF(D180&lt;&gt;"","&lt;vk kbd="""&amp;D$1&amp;""" vk="""&amp;D180&amp;""""&amp;IF(Scan2VKFlags!B180&lt;&gt;""," flags="""&amp;Scan2VKFlags!B180&amp;"""","")&amp;"/&gt;","")</f>
        <v>&lt;vk kbd="1" vk="BROWSER_BACK"/&gt;</v>
      </c>
      <c r="AG180" s="15" t="str">
        <f>IF(E180&lt;&gt;"","&lt;vk kbd="""&amp;E$1&amp;""" vk="""&amp;E180&amp;""""&amp;IF(Scan2VKFlags!C180&lt;&gt;""," flags="""&amp;Scan2VKFlags!C180&amp;"""","")&amp;"/&gt;","")</f>
        <v>&lt;vk kbd="2" vk="BROWSER_BACK"/&gt;</v>
      </c>
      <c r="AH180" s="15" t="str">
        <f>IF(F180&lt;&gt;"","&lt;vk kbd="""&amp;F$1&amp;""" vk="""&amp;F180&amp;""""&amp;IF(Scan2VKFlags!D180&lt;&gt;""," flags="""&amp;Scan2VKFlags!D180&amp;"""","")&amp;"/&gt;","")</f>
        <v>&lt;vk kbd="3" vk="BROWSER_BACK"/&gt;</v>
      </c>
      <c r="AI180" s="15" t="str">
        <f>IF(G180&lt;&gt;"","&lt;vk kbd="""&amp;G$1&amp;""" vk="""&amp;G180&amp;""""&amp;IF(Scan2VKFlags!E180&lt;&gt;""," flags="""&amp;Scan2VKFlags!E180&amp;"""","")&amp;"/&gt;","")</f>
        <v>&lt;vk kbd="4" vk="BROWSER_BACK" flags="KBDEXT"/&gt;</v>
      </c>
      <c r="AJ180" s="15" t="str">
        <f>IF(H180&lt;&gt;"","&lt;vk kbd="""&amp;H$1&amp;""" vk="""&amp;H180&amp;""""&amp;IF(Scan2VKFlags!F180&lt;&gt;""," flags="""&amp;Scan2VKFlags!F180&amp;"""","")&amp;"/&gt;","")</f>
        <v>&lt;vk kbd="5" vk="BROWSER_BACK"/&gt;</v>
      </c>
      <c r="AK180" s="16" t="str">
        <f>IF(I180&lt;&gt;"","&lt;vk kbd="""&amp;I$1&amp;""" vk="""&amp;I180&amp;""""&amp;IF(Scan2VKFlags!G180&lt;&gt;""," flags="""&amp;Scan2VKFlags!G180&amp;"""","")&amp;"/&gt;","")</f>
        <v>&lt;vk kbd="6" vk="BROWSER_BACK"/&gt;</v>
      </c>
      <c r="AL180" s="3" t="str">
        <f>IF(K180&lt;&gt;"","&lt;vk kbd="""&amp;K$1&amp;""" vk="""&amp;K180&amp;""""&amp;IF(Scan2VKFlags!H180&lt;&gt;""," flags="""&amp;Scan2VKFlags!H180&amp;"""","")&amp;"/&gt;","")</f>
        <v>&lt;vk kbd="7" vk="BROWSER_BACK"/&gt;</v>
      </c>
      <c r="AM180" s="15" t="str">
        <f>IF(L180&lt;&gt;"","&lt;vk kbd="""&amp;L$1&amp;""" vk="""&amp;L180&amp;""""&amp;IF(Scan2VKFlags!I180&lt;&gt;""," flags="""&amp;Scan2VKFlags!I180&amp;"""","")&amp;"/&gt;","")</f>
        <v>&lt;vk kbd="8" vk="BROWSER_BACK"/&gt;</v>
      </c>
      <c r="AN180" s="15" t="str">
        <f>IF(M180&lt;&gt;"","&lt;vk kbd="""&amp;M$1&amp;""" vk="""&amp;M180&amp;""""&amp;IF(Scan2VKFlags!J180&lt;&gt;""," flags="""&amp;Scan2VKFlags!J180&amp;"""","")&amp;"/&gt;","")</f>
        <v>&lt;vk kbd="16" vk="BROWSER_BACK"/&gt;</v>
      </c>
      <c r="AO180" s="15" t="str">
        <f>IF(N180&lt;&gt;"","&lt;vk kbd="""&amp;N$1&amp;""" vk="""&amp;N180&amp;""""&amp;IF(Scan2VKFlags!K180&lt;&gt;""," flags="""&amp;Scan2VKFlags!K180&amp;"""","")&amp;"/&gt;","")</f>
        <v>&lt;vk kbd="10" vk="BROWSER_BACK"/&gt;</v>
      </c>
      <c r="AP180" s="15" t="str">
        <f>IF(O180&lt;&gt;"","&lt;vk kbd="""&amp;O$1&amp;""" vk="""&amp;O180&amp;""""&amp;IF(Scan2VKFlags!L180&lt;&gt;""," flags="""&amp;Scan2VKFlags!L180&amp;"""","")&amp;"/&gt;","")</f>
        <v>&lt;vk kbd="11" vk="BROWSER_BACK"/&gt;</v>
      </c>
      <c r="AQ180" s="15" t="str">
        <f>IF(P180&lt;&gt;"","&lt;vk kbd="""&amp;P$1&amp;""" vk="""&amp;P180&amp;""""&amp;IF(Scan2VKFlags!M180&lt;&gt;""," flags="""&amp;Scan2VKFlags!M180&amp;"""","")&amp;"/&gt;","")</f>
        <v>&lt;vk kbd="12" vk="BROWSER_BACK"/&gt;</v>
      </c>
      <c r="AR180" s="16" t="str">
        <f>IF(Q180&lt;&gt;"","&lt;vk kbd="""&amp;Q$1&amp;""" vk="""&amp;Q180&amp;""""&amp;IF(Scan2VKFlags!N180&lt;&gt;""," flags="""&amp;Scan2VKFlags!N180&amp;"""","")&amp;"/&gt;","")</f>
        <v>&lt;vk kbd="13" vk="BROWSER_BACK"/&gt;</v>
      </c>
      <c r="AS180" s="3" t="str">
        <f>IF(S180&lt;&gt;"","&lt;vk kbd="""&amp;S$1&amp;""" vk="""&amp;S180&amp;""""&amp;IF(Scan2VKFlags!O180&lt;&gt;""," flags="""&amp;Scan2VKFlags!O180&amp;"""","")&amp;"/&gt;","")</f>
        <v/>
      </c>
      <c r="AT180" s="15" t="str">
        <f>IF(T180&lt;&gt;"","&lt;vk kbd="""&amp;T$1&amp;""" vk="""&amp;T180&amp;""""&amp;IF(Scan2VKFlags!P180&lt;&gt;""," flags="""&amp;Scan2VKFlags!P180&amp;"""","")&amp;"/&gt;","")</f>
        <v/>
      </c>
      <c r="AU180" s="16" t="str">
        <f>IF(U180&lt;&gt;"","&lt;vk kbd="""&amp;U$1&amp;""" vk="""&amp;U180&amp;""""&amp;IF(Scan2VKFlags!Q180&lt;&gt;""," flags="""&amp;Scan2VKFlags!Q180&amp;"""","")&amp;"/&gt;","")</f>
        <v/>
      </c>
      <c r="AV180" s="3" t="str">
        <f>IF(W180&lt;&gt;"","&lt;vk kbd="""&amp;W$1&amp;""" vk="""&amp;W180&amp;""""&amp;IF(Scan2VKFlags!R180&lt;&gt;""," flags="""&amp;Scan2VKFlags!R180&amp;"""","")&amp;"/&gt;","")</f>
        <v/>
      </c>
      <c r="AW180" s="15" t="str">
        <f>IF(X180&lt;&gt;"","&lt;vk kbd="""&amp;X$1&amp;""" vk="""&amp;X180&amp;""""&amp;IF(Scan2VKFlags!S180&lt;&gt;""," flags="""&amp;Scan2VKFlags!S180&amp;"""","")&amp;"/&gt;","")</f>
        <v/>
      </c>
      <c r="AX180" s="15" t="str">
        <f>IF(Y180&lt;&gt;"","&lt;vk kbd="""&amp;Y$1&amp;""" vk="""&amp;Y180&amp;""""&amp;IF(Scan2VKFlags!T180&lt;&gt;""," flags="""&amp;Scan2VKFlags!T180&amp;"""","")&amp;"/&gt;","")</f>
        <v/>
      </c>
      <c r="AY180" s="18" t="str">
        <f>IF(AA180&lt;&gt;"","&lt;vk kbd="""&amp;AA$1&amp;""" vk="""&amp;AA180&amp;""""&amp;IF(Scan2VKFlags!U180&lt;&gt;""," flags="""&amp;Scan2VKFlags!U180&amp;"""","")&amp;"/&gt;","")</f>
        <v/>
      </c>
      <c r="AZ180" s="3" t="str">
        <f>IF(AC180&lt;&gt;"","&lt;vk kbd="""&amp;AC$1&amp;""" vk="""&amp;AC180&amp;""""&amp;IF(Scan2VKFlags!V180&lt;&gt;""," flags="""&amp;Scan2VKFlags!V180&amp;"""","")&amp;"/&gt;","")</f>
        <v/>
      </c>
      <c r="BA180" s="16" t="str">
        <f>IF(AD180&lt;&gt;"","&lt;vk kbd="""&amp;AD$1&amp;""" vk="""&amp;AD180&amp;""""&amp;IF(Scan2VKFlags!W180&lt;&gt;""," flags="""&amp;Scan2VKFlags!W180&amp;"""","")&amp;"/&gt;","")</f>
        <v/>
      </c>
      <c r="BB180" s="15" t="s">
        <v>854</v>
      </c>
    </row>
    <row r="181" spans="2:54" s="15" customFormat="1" x14ac:dyDescent="0.25">
      <c r="B181" s="52" t="s">
        <v>182</v>
      </c>
      <c r="C181" s="7" t="s">
        <v>143</v>
      </c>
      <c r="D181" s="44" t="str">
        <f>trimtext(SplitText($C181,",",0))</f>
        <v>LAUNCH_APP1</v>
      </c>
      <c r="E181" s="44" t="str">
        <f>IF(SplitText($C181,",",COLUMN(E:E)-COLUMN($D:$D))="",$D181,trimtext(SplitText($C181,",",COLUMN(E:E)-COLUMN($D:$D))))</f>
        <v>LAUNCH_APP1</v>
      </c>
      <c r="F181" s="44" t="str">
        <f>IF(SplitText($C181,",",COLUMN(F:F)-COLUMN($D:$D))="",$D181,trimtext(SplitText($C181,",",COLUMN(F:F)-COLUMN($D:$D))))</f>
        <v>LAUNCH_APP1</v>
      </c>
      <c r="G181" s="44" t="str">
        <f>IF(SplitText($C181,",",COLUMN(G:G)-COLUMN($D:$D))="",$D181,trimtext(SplitText($C181,",",COLUMN(G:G)-COLUMN($D:$D))))</f>
        <v>LAUNCH_APP1</v>
      </c>
      <c r="H181" s="44" t="str">
        <f>IF(SplitText($C181,",",COLUMN(H:H)-COLUMN($D:$D))="",$D181,trimtext(SplitText($C181,",",COLUMN(H:H)-COLUMN($D:$D))))</f>
        <v>LAUNCH_APP1</v>
      </c>
      <c r="I181" s="44" t="str">
        <f>IF(SplitText($C181,",",COLUMN(I:I)-COLUMN($D:$D))="",$D181,trimtext(SplitText($C181,",",COLUMN(I:I)-COLUMN($D:$D))))</f>
        <v>LAUNCH_APP1</v>
      </c>
      <c r="J181" s="9" t="s">
        <v>328</v>
      </c>
      <c r="K181" s="44" t="str">
        <f>trimtext(SplitText($J181,",",0))</f>
        <v>LAUNCH_APP1</v>
      </c>
      <c r="L181" s="44" t="str">
        <f>IF(SplitText($J181,",",COLUMN(L:L)-COLUMN($K:$K))="",$K181,trimtext(SplitText($J181,",",COLUMN(L:L)-COLUMN($K:$K))))</f>
        <v>LAUNCH_APP1</v>
      </c>
      <c r="M181" s="44" t="str">
        <f>IF(SplitText($J181,",",COLUMN(M:M)-COLUMN($K:$K))="",$K181,trimtext(SplitText($J181,",",COLUMN(M:M)-COLUMN($K:$K))))</f>
        <v>LAUNCH_APP1</v>
      </c>
      <c r="N181" s="44" t="str">
        <f>IF(SplitText($J181,",",COLUMN(N:N)-COLUMN($K:$K))="",$K181,trimtext(SplitText($J181,",",COLUMN(N:N)-COLUMN($K:$K))))</f>
        <v>LAUNCH_APP1</v>
      </c>
      <c r="O181" s="44" t="str">
        <f>IF(SplitText($J181,",",COLUMN(O:O)-COLUMN($K:$K))="",$K181,trimtext(SplitText($J181,",",COLUMN(O:O)-COLUMN($K:$K))))</f>
        <v>LAUNCH_APP1</v>
      </c>
      <c r="P181" s="44" t="str">
        <f>IF(SplitText($J181,",",COLUMN(P:P)-COLUMN($K:$K))="",$K181,trimtext(SplitText($J181,",",COLUMN(P:P)-COLUMN($K:$K))))</f>
        <v>LAUNCH_APP1</v>
      </c>
      <c r="Q181" s="44" t="str">
        <f>IF(SplitText($J181,",",COLUMN(Q:Q)-COLUMN($K:$K))="",$K181,trimtext(SplitText($J181,",",COLUMN(Q:Q)-COLUMN($K:$K))))</f>
        <v>LAUNCH_APP1</v>
      </c>
      <c r="R181" s="24"/>
      <c r="S181" s="44" t="str">
        <f>trimtext(SplitText($R181,",",0))</f>
        <v/>
      </c>
      <c r="T181" s="44" t="str">
        <f>IF(SplitText($R181,",",COLUMN(T:T)-COLUMN($S:$S))="",$S181,trimtext(SplitText($R181,",",COLUMN(T:T)-COLUMN($S:$S))))</f>
        <v/>
      </c>
      <c r="U181" s="45" t="str">
        <f>IF(SplitText($R181,",",COLUMN(U:U)-COLUMN($S:$S))="",$S181,trimtext(SplitText($R181,",",COLUMN(U:U)-COLUMN($S:$S))))</f>
        <v/>
      </c>
      <c r="V181" s="42"/>
      <c r="W181" s="44" t="str">
        <f>trimtext(SplitText($V181,",",0))</f>
        <v/>
      </c>
      <c r="X181" s="44" t="str">
        <f>IF(SplitText($V181,",",COLUMN(X:X)-COLUMN($W:$W))="",$W181,trimtext(SplitText($V181,",",COLUMN(X:X)-COLUMN($W:$W))))</f>
        <v/>
      </c>
      <c r="Y181" s="44" t="str">
        <f>IF(SplitText($V181,",",COLUMN(Y:Y)-COLUMN($W:$W))="",$W181,trimtext(SplitText($V181,",",COLUMN(Y:Y)-COLUMN($W:$W))))</f>
        <v/>
      </c>
      <c r="Z181" s="24"/>
      <c r="AA181" s="44" t="str">
        <f t="shared" si="13"/>
        <v/>
      </c>
      <c r="AB181" s="24"/>
      <c r="AC181" s="44" t="str">
        <f>trimtext(SplitText($AB181,",",0))</f>
        <v/>
      </c>
      <c r="AD181" s="44" t="str">
        <f>IF(SplitText($AB181,",",COLUMN(AD:AD)-COLUMN($AC:$AC))="",$AC181,trimtext(SplitText($AB181,",",COLUMN(AD:AD)-COLUMN($AC:$AC))))</f>
        <v/>
      </c>
      <c r="AE181" s="18" t="str">
        <f t="shared" si="12"/>
        <v>&lt;xs:enumeration value="X6B"&gt;&lt;xs:annotation&gt;&lt;xs:documentation&gt;Typically LAUNCH_APP1 for keyboard type 4, different values for different keyboard types&lt;/xs:documentation&gt;&lt;xs:appinfo&gt;&lt;default-vk&gt;</v>
      </c>
      <c r="AF181" s="15" t="str">
        <f>IF(D181&lt;&gt;"","&lt;vk kbd="""&amp;D$1&amp;""" vk="""&amp;D181&amp;""""&amp;IF(Scan2VKFlags!B181&lt;&gt;""," flags="""&amp;Scan2VKFlags!B181&amp;"""","")&amp;"/&gt;","")</f>
        <v>&lt;vk kbd="1" vk="LAUNCH_APP1"/&gt;</v>
      </c>
      <c r="AG181" s="15" t="str">
        <f>IF(E181&lt;&gt;"","&lt;vk kbd="""&amp;E$1&amp;""" vk="""&amp;E181&amp;""""&amp;IF(Scan2VKFlags!C181&lt;&gt;""," flags="""&amp;Scan2VKFlags!C181&amp;"""","")&amp;"/&gt;","")</f>
        <v>&lt;vk kbd="2" vk="LAUNCH_APP1"/&gt;</v>
      </c>
      <c r="AH181" s="15" t="str">
        <f>IF(F181&lt;&gt;"","&lt;vk kbd="""&amp;F$1&amp;""" vk="""&amp;F181&amp;""""&amp;IF(Scan2VKFlags!D181&lt;&gt;""," flags="""&amp;Scan2VKFlags!D181&amp;"""","")&amp;"/&gt;","")</f>
        <v>&lt;vk kbd="3" vk="LAUNCH_APP1"/&gt;</v>
      </c>
      <c r="AI181" s="15" t="str">
        <f>IF(G181&lt;&gt;"","&lt;vk kbd="""&amp;G$1&amp;""" vk="""&amp;G181&amp;""""&amp;IF(Scan2VKFlags!E181&lt;&gt;""," flags="""&amp;Scan2VKFlags!E181&amp;"""","")&amp;"/&gt;","")</f>
        <v>&lt;vk kbd="4" vk="LAUNCH_APP1" flags="KBDEXT"/&gt;</v>
      </c>
      <c r="AJ181" s="15" t="str">
        <f>IF(H181&lt;&gt;"","&lt;vk kbd="""&amp;H$1&amp;""" vk="""&amp;H181&amp;""""&amp;IF(Scan2VKFlags!F181&lt;&gt;""," flags="""&amp;Scan2VKFlags!F181&amp;"""","")&amp;"/&gt;","")</f>
        <v>&lt;vk kbd="5" vk="LAUNCH_APP1"/&gt;</v>
      </c>
      <c r="AK181" s="16" t="str">
        <f>IF(I181&lt;&gt;"","&lt;vk kbd="""&amp;I$1&amp;""" vk="""&amp;I181&amp;""""&amp;IF(Scan2VKFlags!G181&lt;&gt;""," flags="""&amp;Scan2VKFlags!G181&amp;"""","")&amp;"/&gt;","")</f>
        <v>&lt;vk kbd="6" vk="LAUNCH_APP1"/&gt;</v>
      </c>
      <c r="AL181" s="3" t="str">
        <f>IF(K181&lt;&gt;"","&lt;vk kbd="""&amp;K$1&amp;""" vk="""&amp;K181&amp;""""&amp;IF(Scan2VKFlags!H181&lt;&gt;""," flags="""&amp;Scan2VKFlags!H181&amp;"""","")&amp;"/&gt;","")</f>
        <v>&lt;vk kbd="7" vk="LAUNCH_APP1"/&gt;</v>
      </c>
      <c r="AM181" s="15" t="str">
        <f>IF(L181&lt;&gt;"","&lt;vk kbd="""&amp;L$1&amp;""" vk="""&amp;L181&amp;""""&amp;IF(Scan2VKFlags!I181&lt;&gt;""," flags="""&amp;Scan2VKFlags!I181&amp;"""","")&amp;"/&gt;","")</f>
        <v>&lt;vk kbd="8" vk="LAUNCH_APP1"/&gt;</v>
      </c>
      <c r="AN181" s="15" t="str">
        <f>IF(M181&lt;&gt;"","&lt;vk kbd="""&amp;M$1&amp;""" vk="""&amp;M181&amp;""""&amp;IF(Scan2VKFlags!J181&lt;&gt;""," flags="""&amp;Scan2VKFlags!J181&amp;"""","")&amp;"/&gt;","")</f>
        <v>&lt;vk kbd="16" vk="LAUNCH_APP1"/&gt;</v>
      </c>
      <c r="AO181" s="15" t="str">
        <f>IF(N181&lt;&gt;"","&lt;vk kbd="""&amp;N$1&amp;""" vk="""&amp;N181&amp;""""&amp;IF(Scan2VKFlags!K181&lt;&gt;""," flags="""&amp;Scan2VKFlags!K181&amp;"""","")&amp;"/&gt;","")</f>
        <v>&lt;vk kbd="10" vk="LAUNCH_APP1"/&gt;</v>
      </c>
      <c r="AP181" s="15" t="str">
        <f>IF(O181&lt;&gt;"","&lt;vk kbd="""&amp;O$1&amp;""" vk="""&amp;O181&amp;""""&amp;IF(Scan2VKFlags!L181&lt;&gt;""," flags="""&amp;Scan2VKFlags!L181&amp;"""","")&amp;"/&gt;","")</f>
        <v>&lt;vk kbd="11" vk="LAUNCH_APP1"/&gt;</v>
      </c>
      <c r="AQ181" s="15" t="str">
        <f>IF(P181&lt;&gt;"","&lt;vk kbd="""&amp;P$1&amp;""" vk="""&amp;P181&amp;""""&amp;IF(Scan2VKFlags!M181&lt;&gt;""," flags="""&amp;Scan2VKFlags!M181&amp;"""","")&amp;"/&gt;","")</f>
        <v>&lt;vk kbd="12" vk="LAUNCH_APP1"/&gt;</v>
      </c>
      <c r="AR181" s="16" t="str">
        <f>IF(Q181&lt;&gt;"","&lt;vk kbd="""&amp;Q$1&amp;""" vk="""&amp;Q181&amp;""""&amp;IF(Scan2VKFlags!N181&lt;&gt;""," flags="""&amp;Scan2VKFlags!N181&amp;"""","")&amp;"/&gt;","")</f>
        <v>&lt;vk kbd="13" vk="LAUNCH_APP1"/&gt;</v>
      </c>
      <c r="AS181" s="3" t="str">
        <f>IF(S181&lt;&gt;"","&lt;vk kbd="""&amp;S$1&amp;""" vk="""&amp;S181&amp;""""&amp;IF(Scan2VKFlags!O181&lt;&gt;""," flags="""&amp;Scan2VKFlags!O181&amp;"""","")&amp;"/&gt;","")</f>
        <v/>
      </c>
      <c r="AT181" s="15" t="str">
        <f>IF(T181&lt;&gt;"","&lt;vk kbd="""&amp;T$1&amp;""" vk="""&amp;T181&amp;""""&amp;IF(Scan2VKFlags!P181&lt;&gt;""," flags="""&amp;Scan2VKFlags!P181&amp;"""","")&amp;"/&gt;","")</f>
        <v/>
      </c>
      <c r="AU181" s="16" t="str">
        <f>IF(U181&lt;&gt;"","&lt;vk kbd="""&amp;U$1&amp;""" vk="""&amp;U181&amp;""""&amp;IF(Scan2VKFlags!Q181&lt;&gt;""," flags="""&amp;Scan2VKFlags!Q181&amp;"""","")&amp;"/&gt;","")</f>
        <v/>
      </c>
      <c r="AV181" s="3" t="str">
        <f>IF(W181&lt;&gt;"","&lt;vk kbd="""&amp;W$1&amp;""" vk="""&amp;W181&amp;""""&amp;IF(Scan2VKFlags!R181&lt;&gt;""," flags="""&amp;Scan2VKFlags!R181&amp;"""","")&amp;"/&gt;","")</f>
        <v/>
      </c>
      <c r="AW181" s="15" t="str">
        <f>IF(X181&lt;&gt;"","&lt;vk kbd="""&amp;X$1&amp;""" vk="""&amp;X181&amp;""""&amp;IF(Scan2VKFlags!S181&lt;&gt;""," flags="""&amp;Scan2VKFlags!S181&amp;"""","")&amp;"/&gt;","")</f>
        <v/>
      </c>
      <c r="AX181" s="15" t="str">
        <f>IF(Y181&lt;&gt;"","&lt;vk kbd="""&amp;Y$1&amp;""" vk="""&amp;Y181&amp;""""&amp;IF(Scan2VKFlags!T181&lt;&gt;""," flags="""&amp;Scan2VKFlags!T181&amp;"""","")&amp;"/&gt;","")</f>
        <v/>
      </c>
      <c r="AY181" s="18" t="str">
        <f>IF(AA181&lt;&gt;"","&lt;vk kbd="""&amp;AA$1&amp;""" vk="""&amp;AA181&amp;""""&amp;IF(Scan2VKFlags!U181&lt;&gt;""," flags="""&amp;Scan2VKFlags!U181&amp;"""","")&amp;"/&gt;","")</f>
        <v/>
      </c>
      <c r="AZ181" s="3" t="str">
        <f>IF(AC181&lt;&gt;"","&lt;vk kbd="""&amp;AC$1&amp;""" vk="""&amp;AC181&amp;""""&amp;IF(Scan2VKFlags!V181&lt;&gt;""," flags="""&amp;Scan2VKFlags!V181&amp;"""","")&amp;"/&gt;","")</f>
        <v/>
      </c>
      <c r="BA181" s="16" t="str">
        <f>IF(AD181&lt;&gt;"","&lt;vk kbd="""&amp;AD$1&amp;""" vk="""&amp;AD181&amp;""""&amp;IF(Scan2VKFlags!W181&lt;&gt;""," flags="""&amp;Scan2VKFlags!W181&amp;"""","")&amp;"/&gt;","")</f>
        <v/>
      </c>
      <c r="BB181" s="15" t="s">
        <v>854</v>
      </c>
    </row>
    <row r="182" spans="2:54" s="15" customFormat="1" x14ac:dyDescent="0.25">
      <c r="B182" s="52" t="s">
        <v>183</v>
      </c>
      <c r="C182" s="7" t="s">
        <v>144</v>
      </c>
      <c r="D182" s="44" t="str">
        <f>trimtext(SplitText($C182,",",0))</f>
        <v>LAUNCH_MAIL</v>
      </c>
      <c r="E182" s="44" t="str">
        <f>IF(SplitText($C182,",",COLUMN(E:E)-COLUMN($D:$D))="",$D182,trimtext(SplitText($C182,",",COLUMN(E:E)-COLUMN($D:$D))))</f>
        <v>LAUNCH_MAIL</v>
      </c>
      <c r="F182" s="44" t="str">
        <f>IF(SplitText($C182,",",COLUMN(F:F)-COLUMN($D:$D))="",$D182,trimtext(SplitText($C182,",",COLUMN(F:F)-COLUMN($D:$D))))</f>
        <v>LAUNCH_MAIL</v>
      </c>
      <c r="G182" s="44" t="str">
        <f>IF(SplitText($C182,",",COLUMN(G:G)-COLUMN($D:$D))="",$D182,trimtext(SplitText($C182,",",COLUMN(G:G)-COLUMN($D:$D))))</f>
        <v>LAUNCH_MAIL</v>
      </c>
      <c r="H182" s="44" t="str">
        <f>IF(SplitText($C182,",",COLUMN(H:H)-COLUMN($D:$D))="",$D182,trimtext(SplitText($C182,",",COLUMN(H:H)-COLUMN($D:$D))))</f>
        <v>LAUNCH_MAIL</v>
      </c>
      <c r="I182" s="44" t="str">
        <f>IF(SplitText($C182,",",COLUMN(I:I)-COLUMN($D:$D))="",$D182,trimtext(SplitText($C182,",",COLUMN(I:I)-COLUMN($D:$D))))</f>
        <v>LAUNCH_MAIL</v>
      </c>
      <c r="J182" s="9" t="s">
        <v>329</v>
      </c>
      <c r="K182" s="44" t="str">
        <f>trimtext(SplitText($J182,",",0))</f>
        <v>LAUNCH_MAIL</v>
      </c>
      <c r="L182" s="44" t="str">
        <f>IF(SplitText($J182,",",COLUMN(L:L)-COLUMN($K:$K))="",$K182,trimtext(SplitText($J182,",",COLUMN(L:L)-COLUMN($K:$K))))</f>
        <v>LAUNCH_MAIL</v>
      </c>
      <c r="M182" s="44" t="str">
        <f>IF(SplitText($J182,",",COLUMN(M:M)-COLUMN($K:$K))="",$K182,trimtext(SplitText($J182,",",COLUMN(M:M)-COLUMN($K:$K))))</f>
        <v>LAUNCH_MAIL</v>
      </c>
      <c r="N182" s="44" t="str">
        <f>IF(SplitText($J182,",",COLUMN(N:N)-COLUMN($K:$K))="",$K182,trimtext(SplitText($J182,",",COLUMN(N:N)-COLUMN($K:$K))))</f>
        <v>LAUNCH_MAIL</v>
      </c>
      <c r="O182" s="44" t="str">
        <f>IF(SplitText($J182,",",COLUMN(O:O)-COLUMN($K:$K))="",$K182,trimtext(SplitText($J182,",",COLUMN(O:O)-COLUMN($K:$K))))</f>
        <v>LAUNCH_MAIL</v>
      </c>
      <c r="P182" s="44" t="str">
        <f>IF(SplitText($J182,",",COLUMN(P:P)-COLUMN($K:$K))="",$K182,trimtext(SplitText($J182,",",COLUMN(P:P)-COLUMN($K:$K))))</f>
        <v>LAUNCH_MAIL</v>
      </c>
      <c r="Q182" s="44" t="str">
        <f>IF(SplitText($J182,",",COLUMN(Q:Q)-COLUMN($K:$K))="",$K182,trimtext(SplitText($J182,",",COLUMN(Q:Q)-COLUMN($K:$K))))</f>
        <v>LAUNCH_MAIL</v>
      </c>
      <c r="R182" s="24"/>
      <c r="S182" s="44" t="str">
        <f>trimtext(SplitText($R182,",",0))</f>
        <v/>
      </c>
      <c r="T182" s="44" t="str">
        <f>IF(SplitText($R182,",",COLUMN(T:T)-COLUMN($S:$S))="",$S182,trimtext(SplitText($R182,",",COLUMN(T:T)-COLUMN($S:$S))))</f>
        <v/>
      </c>
      <c r="U182" s="45" t="str">
        <f>IF(SplitText($R182,",",COLUMN(U:U)-COLUMN($S:$S))="",$S182,trimtext(SplitText($R182,",",COLUMN(U:U)-COLUMN($S:$S))))</f>
        <v/>
      </c>
      <c r="V182" s="42"/>
      <c r="W182" s="44" t="str">
        <f>trimtext(SplitText($V182,",",0))</f>
        <v/>
      </c>
      <c r="X182" s="44" t="str">
        <f>IF(SplitText($V182,",",COLUMN(X:X)-COLUMN($W:$W))="",$W182,trimtext(SplitText($V182,",",COLUMN(X:X)-COLUMN($W:$W))))</f>
        <v/>
      </c>
      <c r="Y182" s="44" t="str">
        <f>IF(SplitText($V182,",",COLUMN(Y:Y)-COLUMN($W:$W))="",$W182,trimtext(SplitText($V182,",",COLUMN(Y:Y)-COLUMN($W:$W))))</f>
        <v/>
      </c>
      <c r="Z182" s="24"/>
      <c r="AA182" s="44" t="str">
        <f t="shared" si="13"/>
        <v/>
      </c>
      <c r="AB182" s="24"/>
      <c r="AC182" s="44" t="str">
        <f>trimtext(SplitText($AB182,",",0))</f>
        <v/>
      </c>
      <c r="AD182" s="44" t="str">
        <f>IF(SplitText($AB182,",",COLUMN(AD:AD)-COLUMN($AC:$AC))="",$AC182,trimtext(SplitText($AB182,",",COLUMN(AD:AD)-COLUMN($AC:$AC))))</f>
        <v/>
      </c>
      <c r="AE182" s="18" t="str">
        <f t="shared" si="12"/>
        <v>&lt;xs:enumeration value="X6C"&gt;&lt;xs:annotation&gt;&lt;xs:documentation&gt;Typically LAUNCH_MAIL for keyboard type 4, different values for different keyboard types&lt;/xs:documentation&gt;&lt;xs:appinfo&gt;&lt;default-vk&gt;</v>
      </c>
      <c r="AF182" s="15" t="str">
        <f>IF(D182&lt;&gt;"","&lt;vk kbd="""&amp;D$1&amp;""" vk="""&amp;D182&amp;""""&amp;IF(Scan2VKFlags!B182&lt;&gt;""," flags="""&amp;Scan2VKFlags!B182&amp;"""","")&amp;"/&gt;","")</f>
        <v>&lt;vk kbd="1" vk="LAUNCH_MAIL"/&gt;</v>
      </c>
      <c r="AG182" s="15" t="str">
        <f>IF(E182&lt;&gt;"","&lt;vk kbd="""&amp;E$1&amp;""" vk="""&amp;E182&amp;""""&amp;IF(Scan2VKFlags!C182&lt;&gt;""," flags="""&amp;Scan2VKFlags!C182&amp;"""","")&amp;"/&gt;","")</f>
        <v>&lt;vk kbd="2" vk="LAUNCH_MAIL"/&gt;</v>
      </c>
      <c r="AH182" s="15" t="str">
        <f>IF(F182&lt;&gt;"","&lt;vk kbd="""&amp;F$1&amp;""" vk="""&amp;F182&amp;""""&amp;IF(Scan2VKFlags!D182&lt;&gt;""," flags="""&amp;Scan2VKFlags!D182&amp;"""","")&amp;"/&gt;","")</f>
        <v>&lt;vk kbd="3" vk="LAUNCH_MAIL"/&gt;</v>
      </c>
      <c r="AI182" s="15" t="str">
        <f>IF(G182&lt;&gt;"","&lt;vk kbd="""&amp;G$1&amp;""" vk="""&amp;G182&amp;""""&amp;IF(Scan2VKFlags!E182&lt;&gt;""," flags="""&amp;Scan2VKFlags!E182&amp;"""","")&amp;"/&gt;","")</f>
        <v>&lt;vk kbd="4" vk="LAUNCH_MAIL" flags="KBDEXT"/&gt;</v>
      </c>
      <c r="AJ182" s="15" t="str">
        <f>IF(H182&lt;&gt;"","&lt;vk kbd="""&amp;H$1&amp;""" vk="""&amp;H182&amp;""""&amp;IF(Scan2VKFlags!F182&lt;&gt;""," flags="""&amp;Scan2VKFlags!F182&amp;"""","")&amp;"/&gt;","")</f>
        <v>&lt;vk kbd="5" vk="LAUNCH_MAIL"/&gt;</v>
      </c>
      <c r="AK182" s="16" t="str">
        <f>IF(I182&lt;&gt;"","&lt;vk kbd="""&amp;I$1&amp;""" vk="""&amp;I182&amp;""""&amp;IF(Scan2VKFlags!G182&lt;&gt;""," flags="""&amp;Scan2VKFlags!G182&amp;"""","")&amp;"/&gt;","")</f>
        <v>&lt;vk kbd="6" vk="LAUNCH_MAIL"/&gt;</v>
      </c>
      <c r="AL182" s="3" t="str">
        <f>IF(K182&lt;&gt;"","&lt;vk kbd="""&amp;K$1&amp;""" vk="""&amp;K182&amp;""""&amp;IF(Scan2VKFlags!H182&lt;&gt;""," flags="""&amp;Scan2VKFlags!H182&amp;"""","")&amp;"/&gt;","")</f>
        <v>&lt;vk kbd="7" vk="LAUNCH_MAIL"/&gt;</v>
      </c>
      <c r="AM182" s="15" t="str">
        <f>IF(L182&lt;&gt;"","&lt;vk kbd="""&amp;L$1&amp;""" vk="""&amp;L182&amp;""""&amp;IF(Scan2VKFlags!I182&lt;&gt;""," flags="""&amp;Scan2VKFlags!I182&amp;"""","")&amp;"/&gt;","")</f>
        <v>&lt;vk kbd="8" vk="LAUNCH_MAIL"/&gt;</v>
      </c>
      <c r="AN182" s="15" t="str">
        <f>IF(M182&lt;&gt;"","&lt;vk kbd="""&amp;M$1&amp;""" vk="""&amp;M182&amp;""""&amp;IF(Scan2VKFlags!J182&lt;&gt;""," flags="""&amp;Scan2VKFlags!J182&amp;"""","")&amp;"/&gt;","")</f>
        <v>&lt;vk kbd="16" vk="LAUNCH_MAIL"/&gt;</v>
      </c>
      <c r="AO182" s="15" t="str">
        <f>IF(N182&lt;&gt;"","&lt;vk kbd="""&amp;N$1&amp;""" vk="""&amp;N182&amp;""""&amp;IF(Scan2VKFlags!K182&lt;&gt;""," flags="""&amp;Scan2VKFlags!K182&amp;"""","")&amp;"/&gt;","")</f>
        <v>&lt;vk kbd="10" vk="LAUNCH_MAIL"/&gt;</v>
      </c>
      <c r="AP182" s="15" t="str">
        <f>IF(O182&lt;&gt;"","&lt;vk kbd="""&amp;O$1&amp;""" vk="""&amp;O182&amp;""""&amp;IF(Scan2VKFlags!L182&lt;&gt;""," flags="""&amp;Scan2VKFlags!L182&amp;"""","")&amp;"/&gt;","")</f>
        <v>&lt;vk kbd="11" vk="LAUNCH_MAIL"/&gt;</v>
      </c>
      <c r="AQ182" s="15" t="str">
        <f>IF(P182&lt;&gt;"","&lt;vk kbd="""&amp;P$1&amp;""" vk="""&amp;P182&amp;""""&amp;IF(Scan2VKFlags!M182&lt;&gt;""," flags="""&amp;Scan2VKFlags!M182&amp;"""","")&amp;"/&gt;","")</f>
        <v>&lt;vk kbd="12" vk="LAUNCH_MAIL"/&gt;</v>
      </c>
      <c r="AR182" s="16" t="str">
        <f>IF(Q182&lt;&gt;"","&lt;vk kbd="""&amp;Q$1&amp;""" vk="""&amp;Q182&amp;""""&amp;IF(Scan2VKFlags!N182&lt;&gt;""," flags="""&amp;Scan2VKFlags!N182&amp;"""","")&amp;"/&gt;","")</f>
        <v>&lt;vk kbd="13" vk="LAUNCH_MAIL"/&gt;</v>
      </c>
      <c r="AS182" s="3" t="str">
        <f>IF(S182&lt;&gt;"","&lt;vk kbd="""&amp;S$1&amp;""" vk="""&amp;S182&amp;""""&amp;IF(Scan2VKFlags!O182&lt;&gt;""," flags="""&amp;Scan2VKFlags!O182&amp;"""","")&amp;"/&gt;","")</f>
        <v/>
      </c>
      <c r="AT182" s="15" t="str">
        <f>IF(T182&lt;&gt;"","&lt;vk kbd="""&amp;T$1&amp;""" vk="""&amp;T182&amp;""""&amp;IF(Scan2VKFlags!P182&lt;&gt;""," flags="""&amp;Scan2VKFlags!P182&amp;"""","")&amp;"/&gt;","")</f>
        <v/>
      </c>
      <c r="AU182" s="16" t="str">
        <f>IF(U182&lt;&gt;"","&lt;vk kbd="""&amp;U$1&amp;""" vk="""&amp;U182&amp;""""&amp;IF(Scan2VKFlags!Q182&lt;&gt;""," flags="""&amp;Scan2VKFlags!Q182&amp;"""","")&amp;"/&gt;","")</f>
        <v/>
      </c>
      <c r="AV182" s="3" t="str">
        <f>IF(W182&lt;&gt;"","&lt;vk kbd="""&amp;W$1&amp;""" vk="""&amp;W182&amp;""""&amp;IF(Scan2VKFlags!R182&lt;&gt;""," flags="""&amp;Scan2VKFlags!R182&amp;"""","")&amp;"/&gt;","")</f>
        <v/>
      </c>
      <c r="AW182" s="15" t="str">
        <f>IF(X182&lt;&gt;"","&lt;vk kbd="""&amp;X$1&amp;""" vk="""&amp;X182&amp;""""&amp;IF(Scan2VKFlags!S182&lt;&gt;""," flags="""&amp;Scan2VKFlags!S182&amp;"""","")&amp;"/&gt;","")</f>
        <v/>
      </c>
      <c r="AX182" s="15" t="str">
        <f>IF(Y182&lt;&gt;"","&lt;vk kbd="""&amp;Y$1&amp;""" vk="""&amp;Y182&amp;""""&amp;IF(Scan2VKFlags!T182&lt;&gt;""," flags="""&amp;Scan2VKFlags!T182&amp;"""","")&amp;"/&gt;","")</f>
        <v/>
      </c>
      <c r="AY182" s="18" t="str">
        <f>IF(AA182&lt;&gt;"","&lt;vk kbd="""&amp;AA$1&amp;""" vk="""&amp;AA182&amp;""""&amp;IF(Scan2VKFlags!U182&lt;&gt;""," flags="""&amp;Scan2VKFlags!U182&amp;"""","")&amp;"/&gt;","")</f>
        <v/>
      </c>
      <c r="AZ182" s="3" t="str">
        <f>IF(AC182&lt;&gt;"","&lt;vk kbd="""&amp;AC$1&amp;""" vk="""&amp;AC182&amp;""""&amp;IF(Scan2VKFlags!V182&lt;&gt;""," flags="""&amp;Scan2VKFlags!V182&amp;"""","")&amp;"/&gt;","")</f>
        <v/>
      </c>
      <c r="BA182" s="16" t="str">
        <f>IF(AD182&lt;&gt;"","&lt;vk kbd="""&amp;AD$1&amp;""" vk="""&amp;AD182&amp;""""&amp;IF(Scan2VKFlags!W182&lt;&gt;""," flags="""&amp;Scan2VKFlags!W182&amp;"""","")&amp;"/&gt;","")</f>
        <v/>
      </c>
      <c r="BB182" s="15" t="s">
        <v>854</v>
      </c>
    </row>
    <row r="183" spans="2:54" s="15" customFormat="1" x14ac:dyDescent="0.25">
      <c r="B183" s="52" t="s">
        <v>184</v>
      </c>
      <c r="C183" s="7" t="s">
        <v>145</v>
      </c>
      <c r="D183" s="44" t="str">
        <f>trimtext(SplitText($C183,",",0))</f>
        <v>LAUNCH_MEDIA_SELECT</v>
      </c>
      <c r="E183" s="44" t="str">
        <f>IF(SplitText($C183,",",COLUMN(E:E)-COLUMN($D:$D))="",$D183,trimtext(SplitText($C183,",",COLUMN(E:E)-COLUMN($D:$D))))</f>
        <v>LAUNCH_MEDIA_SELECT</v>
      </c>
      <c r="F183" s="44" t="str">
        <f>IF(SplitText($C183,",",COLUMN(F:F)-COLUMN($D:$D))="",$D183,trimtext(SplitText($C183,",",COLUMN(F:F)-COLUMN($D:$D))))</f>
        <v>LAUNCH_MEDIA_SELECT</v>
      </c>
      <c r="G183" s="44" t="str">
        <f>IF(SplitText($C183,",",COLUMN(G:G)-COLUMN($D:$D))="",$D183,trimtext(SplitText($C183,",",COLUMN(G:G)-COLUMN($D:$D))))</f>
        <v>LAUNCH_MEDIA_SELECT</v>
      </c>
      <c r="H183" s="44" t="str">
        <f>IF(SplitText($C183,",",COLUMN(H:H)-COLUMN($D:$D))="",$D183,trimtext(SplitText($C183,",",COLUMN(H:H)-COLUMN($D:$D))))</f>
        <v>LAUNCH_MEDIA_SELECT</v>
      </c>
      <c r="I183" s="44" t="str">
        <f>IF(SplitText($C183,",",COLUMN(I:I)-COLUMN($D:$D))="",$D183,trimtext(SplitText($C183,",",COLUMN(I:I)-COLUMN($D:$D))))</f>
        <v>LAUNCH_MEDIA_SELECT</v>
      </c>
      <c r="J183" s="9" t="s">
        <v>330</v>
      </c>
      <c r="K183" s="44" t="str">
        <f>trimtext(SplitText($J183,",",0))</f>
        <v>LAUNCH_MEDIA_SELECT</v>
      </c>
      <c r="L183" s="44" t="str">
        <f>IF(SplitText($J183,",",COLUMN(L:L)-COLUMN($K:$K))="",$K183,trimtext(SplitText($J183,",",COLUMN(L:L)-COLUMN($K:$K))))</f>
        <v>LAUNCH_MEDIA_SELECT</v>
      </c>
      <c r="M183" s="44" t="str">
        <f>IF(SplitText($J183,",",COLUMN(M:M)-COLUMN($K:$K))="",$K183,trimtext(SplitText($J183,",",COLUMN(M:M)-COLUMN($K:$K))))</f>
        <v>LAUNCH_MEDIA_SELECT</v>
      </c>
      <c r="N183" s="44" t="str">
        <f>IF(SplitText($J183,",",COLUMN(N:N)-COLUMN($K:$K))="",$K183,trimtext(SplitText($J183,",",COLUMN(N:N)-COLUMN($K:$K))))</f>
        <v>LAUNCH_MEDIA_SELECT</v>
      </c>
      <c r="O183" s="44" t="str">
        <f>IF(SplitText($J183,",",COLUMN(O:O)-COLUMN($K:$K))="",$K183,trimtext(SplitText($J183,",",COLUMN(O:O)-COLUMN($K:$K))))</f>
        <v>LAUNCH_MEDIA_SELECT</v>
      </c>
      <c r="P183" s="44" t="str">
        <f>IF(SplitText($J183,",",COLUMN(P:P)-COLUMN($K:$K))="",$K183,trimtext(SplitText($J183,",",COLUMN(P:P)-COLUMN($K:$K))))</f>
        <v>LAUNCH_MEDIA_SELECT</v>
      </c>
      <c r="Q183" s="44" t="str">
        <f>IF(SplitText($J183,",",COLUMN(Q:Q)-COLUMN($K:$K))="",$K183,trimtext(SplitText($J183,",",COLUMN(Q:Q)-COLUMN($K:$K))))</f>
        <v>LAUNCH_MEDIA_SELECT</v>
      </c>
      <c r="R183" s="2" t="s">
        <v>505</v>
      </c>
      <c r="S183" s="44" t="str">
        <f>trimtext(SplitText($R183,",",0))</f>
        <v>OEM_TOUROKU</v>
      </c>
      <c r="T183" s="44" t="str">
        <f>IF(SplitText($R183,",",COLUMN(T:T)-COLUMN($S:$S))="",$S183,trimtext(SplitText($R183,",",COLUMN(T:T)-COLUMN($S:$S))))</f>
        <v>OEM_TOUROKU</v>
      </c>
      <c r="U183" s="45" t="str">
        <f>IF(SplitText($R183,",",COLUMN(U:U)-COLUMN($S:$S))="",$S183,trimtext(SplitText($R183,",",COLUMN(U:U)-COLUMN($S:$S))))</f>
        <v>_none_</v>
      </c>
      <c r="V183" s="53" t="s">
        <v>507</v>
      </c>
      <c r="W183" s="44" t="str">
        <f>trimtext(SplitText($V183,",",0))</f>
        <v>_none_</v>
      </c>
      <c r="X183" s="44" t="str">
        <f>IF(SplitText($V183,",",COLUMN(X:X)-COLUMN($W:$W))="",$W183,trimtext(SplitText($V183,",",COLUMN(X:X)-COLUMN($W:$W))))</f>
        <v>_none_</v>
      </c>
      <c r="Y183" s="44" t="str">
        <f>IF(SplitText($V183,",",COLUMN(Y:Y)-COLUMN($W:$W))="",$W183,trimtext(SplitText($V183,",",COLUMN(Y:Y)-COLUMN($W:$W))))</f>
        <v>_none_</v>
      </c>
      <c r="Z183" s="24"/>
      <c r="AA183" s="44" t="str">
        <f t="shared" si="13"/>
        <v/>
      </c>
      <c r="AB183" s="24"/>
      <c r="AC183" s="44" t="str">
        <f>trimtext(SplitText($AB183,",",0))</f>
        <v/>
      </c>
      <c r="AD183" s="44" t="str">
        <f>IF(SplitText($AB183,",",COLUMN(AD:AD)-COLUMN($AC:$AC))="",$AC183,trimtext(SplitText($AB183,",",COLUMN(AD:AD)-COLUMN($AC:$AC))))</f>
        <v/>
      </c>
      <c r="AE183" s="18" t="str">
        <f t="shared" si="12"/>
        <v>&lt;xs:enumeration value="X6D"&gt;&lt;xs:annotation&gt;&lt;xs:documentation&gt;Typically LAUNCH_MEDIA_SELECT for keyboard type 4, different values for different keyboard types&lt;/xs:documentation&gt;&lt;xs:appinfo&gt;&lt;default-vk&gt;</v>
      </c>
      <c r="AF183" s="15" t="str">
        <f>IF(D183&lt;&gt;"","&lt;vk kbd="""&amp;D$1&amp;""" vk="""&amp;D183&amp;""""&amp;IF(Scan2VKFlags!B183&lt;&gt;""," flags="""&amp;Scan2VKFlags!B183&amp;"""","")&amp;"/&gt;","")</f>
        <v>&lt;vk kbd="1" vk="LAUNCH_MEDIA_SELECT"/&gt;</v>
      </c>
      <c r="AG183" s="15" t="str">
        <f>IF(E183&lt;&gt;"","&lt;vk kbd="""&amp;E$1&amp;""" vk="""&amp;E183&amp;""""&amp;IF(Scan2VKFlags!C183&lt;&gt;""," flags="""&amp;Scan2VKFlags!C183&amp;"""","")&amp;"/&gt;","")</f>
        <v>&lt;vk kbd="2" vk="LAUNCH_MEDIA_SELECT"/&gt;</v>
      </c>
      <c r="AH183" s="15" t="str">
        <f>IF(F183&lt;&gt;"","&lt;vk kbd="""&amp;F$1&amp;""" vk="""&amp;F183&amp;""""&amp;IF(Scan2VKFlags!D183&lt;&gt;""," flags="""&amp;Scan2VKFlags!D183&amp;"""","")&amp;"/&gt;","")</f>
        <v>&lt;vk kbd="3" vk="LAUNCH_MEDIA_SELECT"/&gt;</v>
      </c>
      <c r="AI183" s="15" t="str">
        <f>IF(G183&lt;&gt;"","&lt;vk kbd="""&amp;G$1&amp;""" vk="""&amp;G183&amp;""""&amp;IF(Scan2VKFlags!E183&lt;&gt;""," flags="""&amp;Scan2VKFlags!E183&amp;"""","")&amp;"/&gt;","")</f>
        <v>&lt;vk kbd="4" vk="LAUNCH_MEDIA_SELECT" flags="KBDEXT"/&gt;</v>
      </c>
      <c r="AJ183" s="15" t="str">
        <f>IF(H183&lt;&gt;"","&lt;vk kbd="""&amp;H$1&amp;""" vk="""&amp;H183&amp;""""&amp;IF(Scan2VKFlags!F183&lt;&gt;""," flags="""&amp;Scan2VKFlags!F183&amp;"""","")&amp;"/&gt;","")</f>
        <v>&lt;vk kbd="5" vk="LAUNCH_MEDIA_SELECT"/&gt;</v>
      </c>
      <c r="AK183" s="16" t="str">
        <f>IF(I183&lt;&gt;"","&lt;vk kbd="""&amp;I$1&amp;""" vk="""&amp;I183&amp;""""&amp;IF(Scan2VKFlags!G183&lt;&gt;""," flags="""&amp;Scan2VKFlags!G183&amp;"""","")&amp;"/&gt;","")</f>
        <v>&lt;vk kbd="6" vk="LAUNCH_MEDIA_SELECT"/&gt;</v>
      </c>
      <c r="AL183" s="3" t="str">
        <f>IF(K183&lt;&gt;"","&lt;vk kbd="""&amp;K$1&amp;""" vk="""&amp;K183&amp;""""&amp;IF(Scan2VKFlags!H183&lt;&gt;""," flags="""&amp;Scan2VKFlags!H183&amp;"""","")&amp;"/&gt;","")</f>
        <v>&lt;vk kbd="7" vk="LAUNCH_MEDIA_SELECT"/&gt;</v>
      </c>
      <c r="AM183" s="15" t="str">
        <f>IF(L183&lt;&gt;"","&lt;vk kbd="""&amp;L$1&amp;""" vk="""&amp;L183&amp;""""&amp;IF(Scan2VKFlags!I183&lt;&gt;""," flags="""&amp;Scan2VKFlags!I183&amp;"""","")&amp;"/&gt;","")</f>
        <v>&lt;vk kbd="8" vk="LAUNCH_MEDIA_SELECT"/&gt;</v>
      </c>
      <c r="AN183" s="15" t="str">
        <f>IF(M183&lt;&gt;"","&lt;vk kbd="""&amp;M$1&amp;""" vk="""&amp;M183&amp;""""&amp;IF(Scan2VKFlags!J183&lt;&gt;""," flags="""&amp;Scan2VKFlags!J183&amp;"""","")&amp;"/&gt;","")</f>
        <v>&lt;vk kbd="16" vk="LAUNCH_MEDIA_SELECT"/&gt;</v>
      </c>
      <c r="AO183" s="15" t="str">
        <f>IF(N183&lt;&gt;"","&lt;vk kbd="""&amp;N$1&amp;""" vk="""&amp;N183&amp;""""&amp;IF(Scan2VKFlags!K183&lt;&gt;""," flags="""&amp;Scan2VKFlags!K183&amp;"""","")&amp;"/&gt;","")</f>
        <v>&lt;vk kbd="10" vk="LAUNCH_MEDIA_SELECT"/&gt;</v>
      </c>
      <c r="AP183" s="15" t="str">
        <f>IF(O183&lt;&gt;"","&lt;vk kbd="""&amp;O$1&amp;""" vk="""&amp;O183&amp;""""&amp;IF(Scan2VKFlags!L183&lt;&gt;""," flags="""&amp;Scan2VKFlags!L183&amp;"""","")&amp;"/&gt;","")</f>
        <v>&lt;vk kbd="11" vk="LAUNCH_MEDIA_SELECT"/&gt;</v>
      </c>
      <c r="AQ183" s="15" t="str">
        <f>IF(P183&lt;&gt;"","&lt;vk kbd="""&amp;P$1&amp;""" vk="""&amp;P183&amp;""""&amp;IF(Scan2VKFlags!M183&lt;&gt;""," flags="""&amp;Scan2VKFlags!M183&amp;"""","")&amp;"/&gt;","")</f>
        <v>&lt;vk kbd="12" vk="LAUNCH_MEDIA_SELECT"/&gt;</v>
      </c>
      <c r="AR183" s="16" t="str">
        <f>IF(Q183&lt;&gt;"","&lt;vk kbd="""&amp;Q$1&amp;""" vk="""&amp;Q183&amp;""""&amp;IF(Scan2VKFlags!N183&lt;&gt;""," flags="""&amp;Scan2VKFlags!N183&amp;"""","")&amp;"/&gt;","")</f>
        <v>&lt;vk kbd="13" vk="LAUNCH_MEDIA_SELECT"/&gt;</v>
      </c>
      <c r="AS183" s="3" t="str">
        <f>IF(S183&lt;&gt;"","&lt;vk kbd="""&amp;S$1&amp;""" vk="""&amp;S183&amp;""""&amp;IF(Scan2VKFlags!O183&lt;&gt;""," flags="""&amp;Scan2VKFlags!O183&amp;"""","")&amp;"/&gt;","")</f>
        <v>&lt;vk kbd="20" vk="OEM_TOUROKU"/&gt;</v>
      </c>
      <c r="AT183" s="15" t="str">
        <f>IF(T183&lt;&gt;"","&lt;vk kbd="""&amp;T$1&amp;""" vk="""&amp;T183&amp;""""&amp;IF(Scan2VKFlags!P183&lt;&gt;""," flags="""&amp;Scan2VKFlags!P183&amp;"""","")&amp;"/&gt;","")</f>
        <v>&lt;vk kbd="21" vk="OEM_TOUROKU"/&gt;</v>
      </c>
      <c r="AU183" s="16" t="str">
        <f>IF(U183&lt;&gt;"","&lt;vk kbd="""&amp;U$1&amp;""" vk="""&amp;U183&amp;""""&amp;IF(Scan2VKFlags!Q183&lt;&gt;""," flags="""&amp;Scan2VKFlags!Q183&amp;"""","")&amp;"/&gt;","")</f>
        <v>&lt;vk kbd="22" vk="_none_"/&gt;</v>
      </c>
      <c r="AV183" s="3" t="str">
        <f>IF(W183&lt;&gt;"","&lt;vk kbd="""&amp;W$1&amp;""" vk="""&amp;W183&amp;""""&amp;IF(Scan2VKFlags!R183&lt;&gt;""," flags="""&amp;Scan2VKFlags!R183&amp;"""","")&amp;"/&gt;","")</f>
        <v>&lt;vk kbd="30" vk="_none_"/&gt;</v>
      </c>
      <c r="AW183" s="15" t="str">
        <f>IF(X183&lt;&gt;"","&lt;vk kbd="""&amp;X$1&amp;""" vk="""&amp;X183&amp;""""&amp;IF(Scan2VKFlags!S183&lt;&gt;""," flags="""&amp;Scan2VKFlags!S183&amp;"""","")&amp;"/&gt;","")</f>
        <v>&lt;vk kbd="33" vk="_none_"/&gt;</v>
      </c>
      <c r="AX183" s="15" t="str">
        <f>IF(Y183&lt;&gt;"","&lt;vk kbd="""&amp;Y$1&amp;""" vk="""&amp;Y183&amp;""""&amp;IF(Scan2VKFlags!T183&lt;&gt;""," flags="""&amp;Scan2VKFlags!T183&amp;"""","")&amp;"/&gt;","")</f>
        <v>&lt;vk kbd="34" vk="_none_"/&gt;</v>
      </c>
      <c r="AY183" s="18" t="str">
        <f>IF(AA183&lt;&gt;"","&lt;vk kbd="""&amp;AA$1&amp;""" vk="""&amp;AA183&amp;""""&amp;IF(Scan2VKFlags!U183&lt;&gt;""," flags="""&amp;Scan2VKFlags!U183&amp;"""","")&amp;"/&gt;","")</f>
        <v/>
      </c>
      <c r="AZ183" s="3" t="str">
        <f>IF(AC183&lt;&gt;"","&lt;vk kbd="""&amp;AC$1&amp;""" vk="""&amp;AC183&amp;""""&amp;IF(Scan2VKFlags!V183&lt;&gt;""," flags="""&amp;Scan2VKFlags!V183&amp;"""","")&amp;"/&gt;","")</f>
        <v/>
      </c>
      <c r="BA183" s="16" t="str">
        <f>IF(AD183&lt;&gt;"","&lt;vk kbd="""&amp;AD$1&amp;""" vk="""&amp;AD183&amp;""""&amp;IF(Scan2VKFlags!W183&lt;&gt;""," flags="""&amp;Scan2VKFlags!W183&amp;"""","")&amp;"/&gt;","")</f>
        <v/>
      </c>
      <c r="BB183" s="15" t="s">
        <v>854</v>
      </c>
    </row>
    <row r="184" spans="2:54" s="15" customFormat="1" x14ac:dyDescent="0.25">
      <c r="B184" s="52" t="s">
        <v>496</v>
      </c>
      <c r="C184" s="7"/>
      <c r="D184" s="44"/>
      <c r="E184" s="44"/>
      <c r="F184" s="44"/>
      <c r="G184" s="44"/>
      <c r="H184" s="44"/>
      <c r="I184" s="44"/>
      <c r="J184" s="9"/>
      <c r="K184" s="44"/>
      <c r="L184" s="44"/>
      <c r="M184" s="44"/>
      <c r="N184" s="44"/>
      <c r="O184" s="44"/>
      <c r="P184" s="44"/>
      <c r="Q184" s="44"/>
      <c r="R184" s="2" t="s">
        <v>506</v>
      </c>
      <c r="S184" s="44"/>
      <c r="T184" s="44"/>
      <c r="U184" s="45"/>
      <c r="V184" s="53" t="s">
        <v>507</v>
      </c>
      <c r="W184" s="44" t="str">
        <f>trimtext(SplitText($V184,",",0))</f>
        <v>_none_</v>
      </c>
      <c r="X184" s="44" t="str">
        <f>IF(SplitText($V184,",",COLUMN(X:X)-COLUMN($W:$W))="",$W184,trimtext(SplitText($V184,",",COLUMN(X:X)-COLUMN($W:$W))))</f>
        <v>_none_</v>
      </c>
      <c r="Y184" s="44" t="str">
        <f>IF(SplitText($V184,",",COLUMN(Y:Y)-COLUMN($W:$W))="",$W184,trimtext(SplitText($V184,",",COLUMN(Y:Y)-COLUMN($W:$W))))</f>
        <v>_none_</v>
      </c>
      <c r="Z184" s="24"/>
      <c r="AA184" s="44" t="str">
        <f t="shared" si="13"/>
        <v/>
      </c>
      <c r="AB184" s="24"/>
      <c r="AC184" s="44" t="str">
        <f>trimtext(SplitText($AB184,",",0))</f>
        <v/>
      </c>
      <c r="AD184" s="44" t="str">
        <f>IF(SplitText($AB184,",",COLUMN(AD:AD)-COLUMN($AC:$AC))="",$AC184,trimtext(SplitText($AB184,",",COLUMN(AD:AD)-COLUMN($AC:$AC))))</f>
        <v/>
      </c>
      <c r="AE184" s="18" t="str">
        <f t="shared" si="12"/>
        <v>&lt;xs:enumeration value="X71"&gt;&lt;xs:annotation&gt;&lt;xs:documentation&gt;Typically &lt;/xs:documentation&gt;&lt;xs:appinfo&gt;&lt;default-vk&gt;</v>
      </c>
      <c r="AF184" s="15" t="str">
        <f>IF(D184&lt;&gt;"","&lt;vk kbd="""&amp;D$1&amp;""" vk="""&amp;D184&amp;""""&amp;IF(Scan2VKFlags!B184&lt;&gt;""," flags="""&amp;Scan2VKFlags!B184&amp;"""","")&amp;"/&gt;","")</f>
        <v/>
      </c>
      <c r="AG184" s="15" t="str">
        <f>IF(E184&lt;&gt;"","&lt;vk kbd="""&amp;E$1&amp;""" vk="""&amp;E184&amp;""""&amp;IF(Scan2VKFlags!C184&lt;&gt;""," flags="""&amp;Scan2VKFlags!C184&amp;"""","")&amp;"/&gt;","")</f>
        <v/>
      </c>
      <c r="AH184" s="15" t="str">
        <f>IF(F184&lt;&gt;"","&lt;vk kbd="""&amp;F$1&amp;""" vk="""&amp;F184&amp;""""&amp;IF(Scan2VKFlags!D184&lt;&gt;""," flags="""&amp;Scan2VKFlags!D184&amp;"""","")&amp;"/&gt;","")</f>
        <v/>
      </c>
      <c r="AI184" s="15" t="str">
        <f>IF(G184&lt;&gt;"","&lt;vk kbd="""&amp;G$1&amp;""" vk="""&amp;G184&amp;""""&amp;IF(Scan2VKFlags!E184&lt;&gt;""," flags="""&amp;Scan2VKFlags!E184&amp;"""","")&amp;"/&gt;","")</f>
        <v/>
      </c>
      <c r="AJ184" s="15" t="str">
        <f>IF(H184&lt;&gt;"","&lt;vk kbd="""&amp;H$1&amp;""" vk="""&amp;H184&amp;""""&amp;IF(Scan2VKFlags!F184&lt;&gt;""," flags="""&amp;Scan2VKFlags!F184&amp;"""","")&amp;"/&gt;","")</f>
        <v/>
      </c>
      <c r="AK184" s="16" t="str">
        <f>IF(I184&lt;&gt;"","&lt;vk kbd="""&amp;I$1&amp;""" vk="""&amp;I184&amp;""""&amp;IF(Scan2VKFlags!G184&lt;&gt;""," flags="""&amp;Scan2VKFlags!G184&amp;"""","")&amp;"/&gt;","")</f>
        <v/>
      </c>
      <c r="AL184" s="3" t="str">
        <f>IF(K184&lt;&gt;"","&lt;vk kbd="""&amp;K$1&amp;""" vk="""&amp;K184&amp;""""&amp;IF(Scan2VKFlags!H184&lt;&gt;""," flags="""&amp;Scan2VKFlags!H184&amp;"""","")&amp;"/&gt;","")</f>
        <v/>
      </c>
      <c r="AM184" s="15" t="str">
        <f>IF(L184&lt;&gt;"","&lt;vk kbd="""&amp;L$1&amp;""" vk="""&amp;L184&amp;""""&amp;IF(Scan2VKFlags!I184&lt;&gt;""," flags="""&amp;Scan2VKFlags!I184&amp;"""","")&amp;"/&gt;","")</f>
        <v/>
      </c>
      <c r="AN184" s="15" t="str">
        <f>IF(M184&lt;&gt;"","&lt;vk kbd="""&amp;M$1&amp;""" vk="""&amp;M184&amp;""""&amp;IF(Scan2VKFlags!J184&lt;&gt;""," flags="""&amp;Scan2VKFlags!J184&amp;"""","")&amp;"/&gt;","")</f>
        <v/>
      </c>
      <c r="AO184" s="15" t="str">
        <f>IF(N184&lt;&gt;"","&lt;vk kbd="""&amp;N$1&amp;""" vk="""&amp;N184&amp;""""&amp;IF(Scan2VKFlags!K184&lt;&gt;""," flags="""&amp;Scan2VKFlags!K184&amp;"""","")&amp;"/&gt;","")</f>
        <v/>
      </c>
      <c r="AP184" s="15" t="str">
        <f>IF(O184&lt;&gt;"","&lt;vk kbd="""&amp;O$1&amp;""" vk="""&amp;O184&amp;""""&amp;IF(Scan2VKFlags!L184&lt;&gt;""," flags="""&amp;Scan2VKFlags!L184&amp;"""","")&amp;"/&gt;","")</f>
        <v/>
      </c>
      <c r="AQ184" s="15" t="str">
        <f>IF(P184&lt;&gt;"","&lt;vk kbd="""&amp;P$1&amp;""" vk="""&amp;P184&amp;""""&amp;IF(Scan2VKFlags!M184&lt;&gt;""," flags="""&amp;Scan2VKFlags!M184&amp;"""","")&amp;"/&gt;","")</f>
        <v/>
      </c>
      <c r="AR184" s="16" t="str">
        <f>IF(Q184&lt;&gt;"","&lt;vk kbd="""&amp;Q$1&amp;""" vk="""&amp;Q184&amp;""""&amp;IF(Scan2VKFlags!N184&lt;&gt;""," flags="""&amp;Scan2VKFlags!N184&amp;"""","")&amp;"/&gt;","")</f>
        <v/>
      </c>
      <c r="AS184" s="3" t="str">
        <f>IF(S184&lt;&gt;"","&lt;vk kbd="""&amp;S$1&amp;""" vk="""&amp;S184&amp;""""&amp;IF(Scan2VKFlags!O184&lt;&gt;""," flags="""&amp;Scan2VKFlags!O184&amp;"""","")&amp;"/&gt;","")</f>
        <v/>
      </c>
      <c r="AT184" s="15" t="str">
        <f>IF(T184&lt;&gt;"","&lt;vk kbd="""&amp;T$1&amp;""" vk="""&amp;T184&amp;""""&amp;IF(Scan2VKFlags!P184&lt;&gt;""," flags="""&amp;Scan2VKFlags!P184&amp;"""","")&amp;"/&gt;","")</f>
        <v/>
      </c>
      <c r="AU184" s="16" t="str">
        <f>IF(U184&lt;&gt;"","&lt;vk kbd="""&amp;U$1&amp;""" vk="""&amp;U184&amp;""""&amp;IF(Scan2VKFlags!Q184&lt;&gt;""," flags="""&amp;Scan2VKFlags!Q184&amp;"""","")&amp;"/&gt;","")</f>
        <v/>
      </c>
      <c r="AV184" s="3" t="str">
        <f>IF(W184&lt;&gt;"","&lt;vk kbd="""&amp;W$1&amp;""" vk="""&amp;W184&amp;""""&amp;IF(Scan2VKFlags!R184&lt;&gt;""," flags="""&amp;Scan2VKFlags!R184&amp;"""","")&amp;"/&gt;","")</f>
        <v>&lt;vk kbd="30" vk="_none_"/&gt;</v>
      </c>
      <c r="AW184" s="15" t="str">
        <f>IF(X184&lt;&gt;"","&lt;vk kbd="""&amp;X$1&amp;""" vk="""&amp;X184&amp;""""&amp;IF(Scan2VKFlags!S184&lt;&gt;""," flags="""&amp;Scan2VKFlags!S184&amp;"""","")&amp;"/&gt;","")</f>
        <v>&lt;vk kbd="33" vk="_none_"/&gt;</v>
      </c>
      <c r="AX184" s="15" t="str">
        <f>IF(Y184&lt;&gt;"","&lt;vk kbd="""&amp;Y$1&amp;""" vk="""&amp;Y184&amp;""""&amp;IF(Scan2VKFlags!T184&lt;&gt;""," flags="""&amp;Scan2VKFlags!T184&amp;"""","")&amp;"/&gt;","")</f>
        <v>&lt;vk kbd="34" vk="_none_"/&gt;</v>
      </c>
      <c r="AY184" s="18" t="str">
        <f>IF(AA184&lt;&gt;"","&lt;vk kbd="""&amp;AA$1&amp;""" vk="""&amp;AA184&amp;""""&amp;IF(Scan2VKFlags!U184&lt;&gt;""," flags="""&amp;Scan2VKFlags!U184&amp;"""","")&amp;"/&gt;","")</f>
        <v/>
      </c>
      <c r="AZ184" s="3" t="str">
        <f>IF(AC184&lt;&gt;"","&lt;vk kbd="""&amp;AC$1&amp;""" vk="""&amp;AC184&amp;""""&amp;IF(Scan2VKFlags!V184&lt;&gt;""," flags="""&amp;Scan2VKFlags!V184&amp;"""","")&amp;"/&gt;","")</f>
        <v/>
      </c>
      <c r="BA184" s="16" t="str">
        <f>IF(AD184&lt;&gt;"","&lt;vk kbd="""&amp;AD$1&amp;""" vk="""&amp;AD184&amp;""""&amp;IF(Scan2VKFlags!W184&lt;&gt;""," flags="""&amp;Scan2VKFlags!W184&amp;"""","")&amp;"/&gt;","")</f>
        <v/>
      </c>
      <c r="BB184" s="15" t="s">
        <v>854</v>
      </c>
    </row>
    <row r="185" spans="2:54" s="15" customFormat="1" x14ac:dyDescent="0.25">
      <c r="B185" s="52" t="s">
        <v>497</v>
      </c>
      <c r="C185" s="7"/>
      <c r="D185" s="44"/>
      <c r="E185" s="44"/>
      <c r="F185" s="44"/>
      <c r="G185" s="44"/>
      <c r="H185" s="44"/>
      <c r="I185" s="44"/>
      <c r="J185" s="9"/>
      <c r="K185" s="44"/>
      <c r="L185" s="44"/>
      <c r="M185" s="44"/>
      <c r="N185" s="44"/>
      <c r="O185" s="44"/>
      <c r="P185" s="44"/>
      <c r="Q185" s="44"/>
      <c r="R185" s="2" t="s">
        <v>342</v>
      </c>
      <c r="S185" s="44"/>
      <c r="T185" s="44"/>
      <c r="U185" s="45"/>
      <c r="V185" s="53" t="s">
        <v>507</v>
      </c>
      <c r="W185" s="44" t="str">
        <f>trimtext(SplitText($V185,",",0))</f>
        <v>_none_</v>
      </c>
      <c r="X185" s="44" t="str">
        <f>IF(SplitText($V185,",",COLUMN(X:X)-COLUMN($W:$W))="",$W185,trimtext(SplitText($V185,",",COLUMN(X:X)-COLUMN($W:$W))))</f>
        <v>_none_</v>
      </c>
      <c r="Y185" s="44" t="str">
        <f>IF(SplitText($V185,",",COLUMN(Y:Y)-COLUMN($W:$W))="",$W185,trimtext(SplitText($V185,",",COLUMN(Y:Y)-COLUMN($W:$W))))</f>
        <v>_none_</v>
      </c>
      <c r="Z185" s="24"/>
      <c r="AA185" s="44" t="str">
        <f t="shared" si="13"/>
        <v/>
      </c>
      <c r="AB185" s="24"/>
      <c r="AC185" s="44" t="str">
        <f>trimtext(SplitText($AB185,",",0))</f>
        <v/>
      </c>
      <c r="AD185" s="44" t="str">
        <f>IF(SplitText($AB185,",",COLUMN(AD:AD)-COLUMN($AC:$AC))="",$AC185,trimtext(SplitText($AB185,",",COLUMN(AD:AD)-COLUMN($AC:$AC))))</f>
        <v/>
      </c>
      <c r="AE185" s="18" t="str">
        <f t="shared" si="12"/>
        <v>&lt;xs:enumeration value="X74"&gt;&lt;xs:annotation&gt;&lt;xs:documentation&gt;Typically &lt;/xs:documentation&gt;&lt;xs:appinfo&gt;&lt;default-vk&gt;</v>
      </c>
      <c r="AF185" s="15" t="str">
        <f>IF(D185&lt;&gt;"","&lt;vk kbd="""&amp;D$1&amp;""" vk="""&amp;D185&amp;""""&amp;IF(Scan2VKFlags!B185&lt;&gt;""," flags="""&amp;Scan2VKFlags!B185&amp;"""","")&amp;"/&gt;","")</f>
        <v/>
      </c>
      <c r="AG185" s="15" t="str">
        <f>IF(E185&lt;&gt;"","&lt;vk kbd="""&amp;E$1&amp;""" vk="""&amp;E185&amp;""""&amp;IF(Scan2VKFlags!C185&lt;&gt;""," flags="""&amp;Scan2VKFlags!C185&amp;"""","")&amp;"/&gt;","")</f>
        <v/>
      </c>
      <c r="AH185" s="15" t="str">
        <f>IF(F185&lt;&gt;"","&lt;vk kbd="""&amp;F$1&amp;""" vk="""&amp;F185&amp;""""&amp;IF(Scan2VKFlags!D185&lt;&gt;""," flags="""&amp;Scan2VKFlags!D185&amp;"""","")&amp;"/&gt;","")</f>
        <v/>
      </c>
      <c r="AI185" s="15" t="str">
        <f>IF(G185&lt;&gt;"","&lt;vk kbd="""&amp;G$1&amp;""" vk="""&amp;G185&amp;""""&amp;IF(Scan2VKFlags!E185&lt;&gt;""," flags="""&amp;Scan2VKFlags!E185&amp;"""","")&amp;"/&gt;","")</f>
        <v/>
      </c>
      <c r="AJ185" s="15" t="str">
        <f>IF(H185&lt;&gt;"","&lt;vk kbd="""&amp;H$1&amp;""" vk="""&amp;H185&amp;""""&amp;IF(Scan2VKFlags!F185&lt;&gt;""," flags="""&amp;Scan2VKFlags!F185&amp;"""","")&amp;"/&gt;","")</f>
        <v/>
      </c>
      <c r="AK185" s="16" t="str">
        <f>IF(I185&lt;&gt;"","&lt;vk kbd="""&amp;I$1&amp;""" vk="""&amp;I185&amp;""""&amp;IF(Scan2VKFlags!G185&lt;&gt;""," flags="""&amp;Scan2VKFlags!G185&amp;"""","")&amp;"/&gt;","")</f>
        <v/>
      </c>
      <c r="AL185" s="3" t="str">
        <f>IF(K185&lt;&gt;"","&lt;vk kbd="""&amp;K$1&amp;""" vk="""&amp;K185&amp;""""&amp;IF(Scan2VKFlags!H185&lt;&gt;""," flags="""&amp;Scan2VKFlags!H185&amp;"""","")&amp;"/&gt;","")</f>
        <v/>
      </c>
      <c r="AM185" s="15" t="str">
        <f>IF(L185&lt;&gt;"","&lt;vk kbd="""&amp;L$1&amp;""" vk="""&amp;L185&amp;""""&amp;IF(Scan2VKFlags!I185&lt;&gt;""," flags="""&amp;Scan2VKFlags!I185&amp;"""","")&amp;"/&gt;","")</f>
        <v/>
      </c>
      <c r="AN185" s="15" t="str">
        <f>IF(M185&lt;&gt;"","&lt;vk kbd="""&amp;M$1&amp;""" vk="""&amp;M185&amp;""""&amp;IF(Scan2VKFlags!J185&lt;&gt;""," flags="""&amp;Scan2VKFlags!J185&amp;"""","")&amp;"/&gt;","")</f>
        <v/>
      </c>
      <c r="AO185" s="15" t="str">
        <f>IF(N185&lt;&gt;"","&lt;vk kbd="""&amp;N$1&amp;""" vk="""&amp;N185&amp;""""&amp;IF(Scan2VKFlags!K185&lt;&gt;""," flags="""&amp;Scan2VKFlags!K185&amp;"""","")&amp;"/&gt;","")</f>
        <v/>
      </c>
      <c r="AP185" s="15" t="str">
        <f>IF(O185&lt;&gt;"","&lt;vk kbd="""&amp;O$1&amp;""" vk="""&amp;O185&amp;""""&amp;IF(Scan2VKFlags!L185&lt;&gt;""," flags="""&amp;Scan2VKFlags!L185&amp;"""","")&amp;"/&gt;","")</f>
        <v/>
      </c>
      <c r="AQ185" s="15" t="str">
        <f>IF(P185&lt;&gt;"","&lt;vk kbd="""&amp;P$1&amp;""" vk="""&amp;P185&amp;""""&amp;IF(Scan2VKFlags!M185&lt;&gt;""," flags="""&amp;Scan2VKFlags!M185&amp;"""","")&amp;"/&gt;","")</f>
        <v/>
      </c>
      <c r="AR185" s="16" t="str">
        <f>IF(Q185&lt;&gt;"","&lt;vk kbd="""&amp;Q$1&amp;""" vk="""&amp;Q185&amp;""""&amp;IF(Scan2VKFlags!N185&lt;&gt;""," flags="""&amp;Scan2VKFlags!N185&amp;"""","")&amp;"/&gt;","")</f>
        <v/>
      </c>
      <c r="AS185" s="3" t="str">
        <f>IF(S185&lt;&gt;"","&lt;vk kbd="""&amp;S$1&amp;""" vk="""&amp;S185&amp;""""&amp;IF(Scan2VKFlags!O185&lt;&gt;""," flags="""&amp;Scan2VKFlags!O185&amp;"""","")&amp;"/&gt;","")</f>
        <v/>
      </c>
      <c r="AT185" s="15" t="str">
        <f>IF(T185&lt;&gt;"","&lt;vk kbd="""&amp;T$1&amp;""" vk="""&amp;T185&amp;""""&amp;IF(Scan2VKFlags!P185&lt;&gt;""," flags="""&amp;Scan2VKFlags!P185&amp;"""","")&amp;"/&gt;","")</f>
        <v/>
      </c>
      <c r="AU185" s="16" t="str">
        <f>IF(U185&lt;&gt;"","&lt;vk kbd="""&amp;U$1&amp;""" vk="""&amp;U185&amp;""""&amp;IF(Scan2VKFlags!Q185&lt;&gt;""," flags="""&amp;Scan2VKFlags!Q185&amp;"""","")&amp;"/&gt;","")</f>
        <v/>
      </c>
      <c r="AV185" s="3" t="str">
        <f>IF(W185&lt;&gt;"","&lt;vk kbd="""&amp;W$1&amp;""" vk="""&amp;W185&amp;""""&amp;IF(Scan2VKFlags!R185&lt;&gt;""," flags="""&amp;Scan2VKFlags!R185&amp;"""","")&amp;"/&gt;","")</f>
        <v>&lt;vk kbd="30" vk="_none_"/&gt;</v>
      </c>
      <c r="AW185" s="15" t="str">
        <f>IF(X185&lt;&gt;"","&lt;vk kbd="""&amp;X$1&amp;""" vk="""&amp;X185&amp;""""&amp;IF(Scan2VKFlags!S185&lt;&gt;""," flags="""&amp;Scan2VKFlags!S185&amp;"""","")&amp;"/&gt;","")</f>
        <v>&lt;vk kbd="33" vk="_none_"/&gt;</v>
      </c>
      <c r="AX185" s="15" t="str">
        <f>IF(Y185&lt;&gt;"","&lt;vk kbd="""&amp;Y$1&amp;""" vk="""&amp;Y185&amp;""""&amp;IF(Scan2VKFlags!T185&lt;&gt;""," flags="""&amp;Scan2VKFlags!T185&amp;"""","")&amp;"/&gt;","")</f>
        <v>&lt;vk kbd="34" vk="_none_"/&gt;</v>
      </c>
      <c r="AY185" s="18" t="str">
        <f>IF(AA185&lt;&gt;"","&lt;vk kbd="""&amp;AA$1&amp;""" vk="""&amp;AA185&amp;""""&amp;IF(Scan2VKFlags!U185&lt;&gt;""," flags="""&amp;Scan2VKFlags!U185&amp;"""","")&amp;"/&gt;","")</f>
        <v/>
      </c>
      <c r="AZ185" s="3" t="str">
        <f>IF(AC185&lt;&gt;"","&lt;vk kbd="""&amp;AC$1&amp;""" vk="""&amp;AC185&amp;""""&amp;IF(Scan2VKFlags!V185&lt;&gt;""," flags="""&amp;Scan2VKFlags!V185&amp;"""","")&amp;"/&gt;","")</f>
        <v/>
      </c>
      <c r="BA185" s="16" t="str">
        <f>IF(AD185&lt;&gt;"","&lt;vk kbd="""&amp;AD$1&amp;""" vk="""&amp;AD185&amp;""""&amp;IF(Scan2VKFlags!W185&lt;&gt;""," flags="""&amp;Scan2VKFlags!W185&amp;"""","")&amp;"/&gt;","")</f>
        <v/>
      </c>
      <c r="BB185" s="15" t="s">
        <v>854</v>
      </c>
    </row>
    <row r="186" spans="2:54" s="15" customFormat="1" x14ac:dyDescent="0.25">
      <c r="B186" s="52" t="s">
        <v>498</v>
      </c>
      <c r="C186" s="7"/>
      <c r="D186" s="44"/>
      <c r="E186" s="44"/>
      <c r="F186" s="44"/>
      <c r="G186" s="44"/>
      <c r="H186" s="44"/>
      <c r="I186" s="44"/>
      <c r="J186" s="9"/>
      <c r="K186" s="44"/>
      <c r="L186" s="44"/>
      <c r="M186" s="44"/>
      <c r="N186" s="44"/>
      <c r="O186" s="44"/>
      <c r="P186" s="44"/>
      <c r="Q186" s="44"/>
      <c r="R186" s="2" t="s">
        <v>342</v>
      </c>
      <c r="S186" s="44"/>
      <c r="T186" s="44"/>
      <c r="U186" s="45"/>
      <c r="V186" s="53" t="s">
        <v>507</v>
      </c>
      <c r="W186" s="44" t="str">
        <f>trimtext(SplitText($V186,",",0))</f>
        <v>_none_</v>
      </c>
      <c r="X186" s="44" t="str">
        <f>IF(SplitText($V186,",",COLUMN(X:X)-COLUMN($W:$W))="",$W186,trimtext(SplitText($V186,",",COLUMN(X:X)-COLUMN($W:$W))))</f>
        <v>_none_</v>
      </c>
      <c r="Y186" s="44" t="str">
        <f>IF(SplitText($V186,",",COLUMN(Y:Y)-COLUMN($W:$W))="",$W186,trimtext(SplitText($V186,",",COLUMN(Y:Y)-COLUMN($W:$W))))</f>
        <v>_none_</v>
      </c>
      <c r="Z186" s="24"/>
      <c r="AA186" s="44" t="str">
        <f t="shared" si="13"/>
        <v/>
      </c>
      <c r="AB186" s="24"/>
      <c r="AC186" s="44" t="str">
        <f>trimtext(SplitText($AB186,",",0))</f>
        <v/>
      </c>
      <c r="AD186" s="44" t="str">
        <f>IF(SplitText($AB186,",",COLUMN(AD:AD)-COLUMN($AC:$AC))="",$AC186,trimtext(SplitText($AB186,",",COLUMN(AD:AD)-COLUMN($AC:$AC))))</f>
        <v/>
      </c>
      <c r="AE186" s="18" t="str">
        <f t="shared" si="12"/>
        <v>&lt;xs:enumeration value="X75"&gt;&lt;xs:annotation&gt;&lt;xs:documentation&gt;Typically &lt;/xs:documentation&gt;&lt;xs:appinfo&gt;&lt;default-vk&gt;</v>
      </c>
      <c r="AF186" s="15" t="str">
        <f>IF(D186&lt;&gt;"","&lt;vk kbd="""&amp;D$1&amp;""" vk="""&amp;D186&amp;""""&amp;IF(Scan2VKFlags!B186&lt;&gt;""," flags="""&amp;Scan2VKFlags!B186&amp;"""","")&amp;"/&gt;","")</f>
        <v/>
      </c>
      <c r="AG186" s="15" t="str">
        <f>IF(E186&lt;&gt;"","&lt;vk kbd="""&amp;E$1&amp;""" vk="""&amp;E186&amp;""""&amp;IF(Scan2VKFlags!C186&lt;&gt;""," flags="""&amp;Scan2VKFlags!C186&amp;"""","")&amp;"/&gt;","")</f>
        <v/>
      </c>
      <c r="AH186" s="15" t="str">
        <f>IF(F186&lt;&gt;"","&lt;vk kbd="""&amp;F$1&amp;""" vk="""&amp;F186&amp;""""&amp;IF(Scan2VKFlags!D186&lt;&gt;""," flags="""&amp;Scan2VKFlags!D186&amp;"""","")&amp;"/&gt;","")</f>
        <v/>
      </c>
      <c r="AI186" s="15" t="str">
        <f>IF(G186&lt;&gt;"","&lt;vk kbd="""&amp;G$1&amp;""" vk="""&amp;G186&amp;""""&amp;IF(Scan2VKFlags!E186&lt;&gt;""," flags="""&amp;Scan2VKFlags!E186&amp;"""","")&amp;"/&gt;","")</f>
        <v/>
      </c>
      <c r="AJ186" s="15" t="str">
        <f>IF(H186&lt;&gt;"","&lt;vk kbd="""&amp;H$1&amp;""" vk="""&amp;H186&amp;""""&amp;IF(Scan2VKFlags!F186&lt;&gt;""," flags="""&amp;Scan2VKFlags!F186&amp;"""","")&amp;"/&gt;","")</f>
        <v/>
      </c>
      <c r="AK186" s="16" t="str">
        <f>IF(I186&lt;&gt;"","&lt;vk kbd="""&amp;I$1&amp;""" vk="""&amp;I186&amp;""""&amp;IF(Scan2VKFlags!G186&lt;&gt;""," flags="""&amp;Scan2VKFlags!G186&amp;"""","")&amp;"/&gt;","")</f>
        <v/>
      </c>
      <c r="AL186" s="3" t="str">
        <f>IF(K186&lt;&gt;"","&lt;vk kbd="""&amp;K$1&amp;""" vk="""&amp;K186&amp;""""&amp;IF(Scan2VKFlags!H186&lt;&gt;""," flags="""&amp;Scan2VKFlags!H186&amp;"""","")&amp;"/&gt;","")</f>
        <v/>
      </c>
      <c r="AM186" s="15" t="str">
        <f>IF(L186&lt;&gt;"","&lt;vk kbd="""&amp;L$1&amp;""" vk="""&amp;L186&amp;""""&amp;IF(Scan2VKFlags!I186&lt;&gt;""," flags="""&amp;Scan2VKFlags!I186&amp;"""","")&amp;"/&gt;","")</f>
        <v/>
      </c>
      <c r="AN186" s="15" t="str">
        <f>IF(M186&lt;&gt;"","&lt;vk kbd="""&amp;M$1&amp;""" vk="""&amp;M186&amp;""""&amp;IF(Scan2VKFlags!J186&lt;&gt;""," flags="""&amp;Scan2VKFlags!J186&amp;"""","")&amp;"/&gt;","")</f>
        <v/>
      </c>
      <c r="AO186" s="15" t="str">
        <f>IF(N186&lt;&gt;"","&lt;vk kbd="""&amp;N$1&amp;""" vk="""&amp;N186&amp;""""&amp;IF(Scan2VKFlags!K186&lt;&gt;""," flags="""&amp;Scan2VKFlags!K186&amp;"""","")&amp;"/&gt;","")</f>
        <v/>
      </c>
      <c r="AP186" s="15" t="str">
        <f>IF(O186&lt;&gt;"","&lt;vk kbd="""&amp;O$1&amp;""" vk="""&amp;O186&amp;""""&amp;IF(Scan2VKFlags!L186&lt;&gt;""," flags="""&amp;Scan2VKFlags!L186&amp;"""","")&amp;"/&gt;","")</f>
        <v/>
      </c>
      <c r="AQ186" s="15" t="str">
        <f>IF(P186&lt;&gt;"","&lt;vk kbd="""&amp;P$1&amp;""" vk="""&amp;P186&amp;""""&amp;IF(Scan2VKFlags!M186&lt;&gt;""," flags="""&amp;Scan2VKFlags!M186&amp;"""","")&amp;"/&gt;","")</f>
        <v/>
      </c>
      <c r="AR186" s="16" t="str">
        <f>IF(Q186&lt;&gt;"","&lt;vk kbd="""&amp;Q$1&amp;""" vk="""&amp;Q186&amp;""""&amp;IF(Scan2VKFlags!N186&lt;&gt;""," flags="""&amp;Scan2VKFlags!N186&amp;"""","")&amp;"/&gt;","")</f>
        <v/>
      </c>
      <c r="AS186" s="3" t="str">
        <f>IF(S186&lt;&gt;"","&lt;vk kbd="""&amp;S$1&amp;""" vk="""&amp;S186&amp;""""&amp;IF(Scan2VKFlags!O186&lt;&gt;""," flags="""&amp;Scan2VKFlags!O186&amp;"""","")&amp;"/&gt;","")</f>
        <v/>
      </c>
      <c r="AT186" s="15" t="str">
        <f>IF(T186&lt;&gt;"","&lt;vk kbd="""&amp;T$1&amp;""" vk="""&amp;T186&amp;""""&amp;IF(Scan2VKFlags!P186&lt;&gt;""," flags="""&amp;Scan2VKFlags!P186&amp;"""","")&amp;"/&gt;","")</f>
        <v/>
      </c>
      <c r="AU186" s="16" t="str">
        <f>IF(U186&lt;&gt;"","&lt;vk kbd="""&amp;U$1&amp;""" vk="""&amp;U186&amp;""""&amp;IF(Scan2VKFlags!Q186&lt;&gt;""," flags="""&amp;Scan2VKFlags!Q186&amp;"""","")&amp;"/&gt;","")</f>
        <v/>
      </c>
      <c r="AV186" s="3" t="str">
        <f>IF(W186&lt;&gt;"","&lt;vk kbd="""&amp;W$1&amp;""" vk="""&amp;W186&amp;""""&amp;IF(Scan2VKFlags!R186&lt;&gt;""," flags="""&amp;Scan2VKFlags!R186&amp;"""","")&amp;"/&gt;","")</f>
        <v>&lt;vk kbd="30" vk="_none_"/&gt;</v>
      </c>
      <c r="AW186" s="15" t="str">
        <f>IF(X186&lt;&gt;"","&lt;vk kbd="""&amp;X$1&amp;""" vk="""&amp;X186&amp;""""&amp;IF(Scan2VKFlags!S186&lt;&gt;""," flags="""&amp;Scan2VKFlags!S186&amp;"""","")&amp;"/&gt;","")</f>
        <v>&lt;vk kbd="33" vk="_none_"/&gt;</v>
      </c>
      <c r="AX186" s="15" t="str">
        <f>IF(Y186&lt;&gt;"","&lt;vk kbd="""&amp;Y$1&amp;""" vk="""&amp;Y186&amp;""""&amp;IF(Scan2VKFlags!T186&lt;&gt;""," flags="""&amp;Scan2VKFlags!T186&amp;"""","")&amp;"/&gt;","")</f>
        <v>&lt;vk kbd="34" vk="_none_"/&gt;</v>
      </c>
      <c r="AY186" s="18" t="str">
        <f>IF(AA186&lt;&gt;"","&lt;vk kbd="""&amp;AA$1&amp;""" vk="""&amp;AA186&amp;""""&amp;IF(Scan2VKFlags!U186&lt;&gt;""," flags="""&amp;Scan2VKFlags!U186&amp;"""","")&amp;"/&gt;","")</f>
        <v/>
      </c>
      <c r="AZ186" s="3" t="str">
        <f>IF(AC186&lt;&gt;"","&lt;vk kbd="""&amp;AC$1&amp;""" vk="""&amp;AC186&amp;""""&amp;IF(Scan2VKFlags!V186&lt;&gt;""," flags="""&amp;Scan2VKFlags!V186&amp;"""","")&amp;"/&gt;","")</f>
        <v/>
      </c>
      <c r="BA186" s="16" t="str">
        <f>IF(AD186&lt;&gt;"","&lt;vk kbd="""&amp;AD$1&amp;""" vk="""&amp;AD186&amp;""""&amp;IF(Scan2VKFlags!W186&lt;&gt;""," flags="""&amp;Scan2VKFlags!W186&amp;"""","")&amp;"/&gt;","")</f>
        <v/>
      </c>
      <c r="BB186" s="15" t="s">
        <v>854</v>
      </c>
    </row>
    <row r="187" spans="2:54" s="15" customFormat="1" x14ac:dyDescent="0.25">
      <c r="B187" s="52" t="s">
        <v>499</v>
      </c>
      <c r="C187" s="7"/>
      <c r="D187" s="44"/>
      <c r="E187" s="44"/>
      <c r="F187" s="44"/>
      <c r="G187" s="44"/>
      <c r="H187" s="44"/>
      <c r="I187" s="44"/>
      <c r="J187" s="9"/>
      <c r="K187" s="44"/>
      <c r="L187" s="44"/>
      <c r="M187" s="44"/>
      <c r="N187" s="44"/>
      <c r="O187" s="44"/>
      <c r="P187" s="44"/>
      <c r="Q187" s="44"/>
      <c r="R187" s="2" t="s">
        <v>342</v>
      </c>
      <c r="S187" s="44"/>
      <c r="T187" s="44"/>
      <c r="U187" s="45"/>
      <c r="V187" s="53" t="s">
        <v>507</v>
      </c>
      <c r="W187" s="44" t="str">
        <f>trimtext(SplitText($V187,",",0))</f>
        <v>_none_</v>
      </c>
      <c r="X187" s="44" t="str">
        <f>IF(SplitText($V187,",",COLUMN(X:X)-COLUMN($W:$W))="",$W187,trimtext(SplitText($V187,",",COLUMN(X:X)-COLUMN($W:$W))))</f>
        <v>_none_</v>
      </c>
      <c r="Y187" s="44" t="str">
        <f>IF(SplitText($V187,",",COLUMN(Y:Y)-COLUMN($W:$W))="",$W187,trimtext(SplitText($V187,",",COLUMN(Y:Y)-COLUMN($W:$W))))</f>
        <v>_none_</v>
      </c>
      <c r="Z187" s="24"/>
      <c r="AA187" s="44" t="str">
        <f t="shared" si="13"/>
        <v/>
      </c>
      <c r="AB187" s="24"/>
      <c r="AC187" s="44" t="str">
        <f>trimtext(SplitText($AB187,",",0))</f>
        <v/>
      </c>
      <c r="AD187" s="44" t="str">
        <f>IF(SplitText($AB187,",",COLUMN(AD:AD)-COLUMN($AC:$AC))="",$AC187,trimtext(SplitText($AB187,",",COLUMN(AD:AD)-COLUMN($AC:$AC))))</f>
        <v/>
      </c>
      <c r="AE187" s="18" t="str">
        <f t="shared" si="12"/>
        <v>&lt;xs:enumeration value="X76"&gt;&lt;xs:annotation&gt;&lt;xs:documentation&gt;Typically &lt;/xs:documentation&gt;&lt;xs:appinfo&gt;&lt;default-vk&gt;</v>
      </c>
      <c r="AF187" s="15" t="str">
        <f>IF(D187&lt;&gt;"","&lt;vk kbd="""&amp;D$1&amp;""" vk="""&amp;D187&amp;""""&amp;IF(Scan2VKFlags!B187&lt;&gt;""," flags="""&amp;Scan2VKFlags!B187&amp;"""","")&amp;"/&gt;","")</f>
        <v/>
      </c>
      <c r="AG187" s="15" t="str">
        <f>IF(E187&lt;&gt;"","&lt;vk kbd="""&amp;E$1&amp;""" vk="""&amp;E187&amp;""""&amp;IF(Scan2VKFlags!C187&lt;&gt;""," flags="""&amp;Scan2VKFlags!C187&amp;"""","")&amp;"/&gt;","")</f>
        <v/>
      </c>
      <c r="AH187" s="15" t="str">
        <f>IF(F187&lt;&gt;"","&lt;vk kbd="""&amp;F$1&amp;""" vk="""&amp;F187&amp;""""&amp;IF(Scan2VKFlags!D187&lt;&gt;""," flags="""&amp;Scan2VKFlags!D187&amp;"""","")&amp;"/&gt;","")</f>
        <v/>
      </c>
      <c r="AI187" s="15" t="str">
        <f>IF(G187&lt;&gt;"","&lt;vk kbd="""&amp;G$1&amp;""" vk="""&amp;G187&amp;""""&amp;IF(Scan2VKFlags!E187&lt;&gt;""," flags="""&amp;Scan2VKFlags!E187&amp;"""","")&amp;"/&gt;","")</f>
        <v/>
      </c>
      <c r="AJ187" s="15" t="str">
        <f>IF(H187&lt;&gt;"","&lt;vk kbd="""&amp;H$1&amp;""" vk="""&amp;H187&amp;""""&amp;IF(Scan2VKFlags!F187&lt;&gt;""," flags="""&amp;Scan2VKFlags!F187&amp;"""","")&amp;"/&gt;","")</f>
        <v/>
      </c>
      <c r="AK187" s="16" t="str">
        <f>IF(I187&lt;&gt;"","&lt;vk kbd="""&amp;I$1&amp;""" vk="""&amp;I187&amp;""""&amp;IF(Scan2VKFlags!G187&lt;&gt;""," flags="""&amp;Scan2VKFlags!G187&amp;"""","")&amp;"/&gt;","")</f>
        <v/>
      </c>
      <c r="AL187" s="3" t="str">
        <f>IF(K187&lt;&gt;"","&lt;vk kbd="""&amp;K$1&amp;""" vk="""&amp;K187&amp;""""&amp;IF(Scan2VKFlags!H187&lt;&gt;""," flags="""&amp;Scan2VKFlags!H187&amp;"""","")&amp;"/&gt;","")</f>
        <v/>
      </c>
      <c r="AM187" s="15" t="str">
        <f>IF(L187&lt;&gt;"","&lt;vk kbd="""&amp;L$1&amp;""" vk="""&amp;L187&amp;""""&amp;IF(Scan2VKFlags!I187&lt;&gt;""," flags="""&amp;Scan2VKFlags!I187&amp;"""","")&amp;"/&gt;","")</f>
        <v/>
      </c>
      <c r="AN187" s="15" t="str">
        <f>IF(M187&lt;&gt;"","&lt;vk kbd="""&amp;M$1&amp;""" vk="""&amp;M187&amp;""""&amp;IF(Scan2VKFlags!J187&lt;&gt;""," flags="""&amp;Scan2VKFlags!J187&amp;"""","")&amp;"/&gt;","")</f>
        <v/>
      </c>
      <c r="AO187" s="15" t="str">
        <f>IF(N187&lt;&gt;"","&lt;vk kbd="""&amp;N$1&amp;""" vk="""&amp;N187&amp;""""&amp;IF(Scan2VKFlags!K187&lt;&gt;""," flags="""&amp;Scan2VKFlags!K187&amp;"""","")&amp;"/&gt;","")</f>
        <v/>
      </c>
      <c r="AP187" s="15" t="str">
        <f>IF(O187&lt;&gt;"","&lt;vk kbd="""&amp;O$1&amp;""" vk="""&amp;O187&amp;""""&amp;IF(Scan2VKFlags!L187&lt;&gt;""," flags="""&amp;Scan2VKFlags!L187&amp;"""","")&amp;"/&gt;","")</f>
        <v/>
      </c>
      <c r="AQ187" s="15" t="str">
        <f>IF(P187&lt;&gt;"","&lt;vk kbd="""&amp;P$1&amp;""" vk="""&amp;P187&amp;""""&amp;IF(Scan2VKFlags!M187&lt;&gt;""," flags="""&amp;Scan2VKFlags!M187&amp;"""","")&amp;"/&gt;","")</f>
        <v/>
      </c>
      <c r="AR187" s="16" t="str">
        <f>IF(Q187&lt;&gt;"","&lt;vk kbd="""&amp;Q$1&amp;""" vk="""&amp;Q187&amp;""""&amp;IF(Scan2VKFlags!N187&lt;&gt;""," flags="""&amp;Scan2VKFlags!N187&amp;"""","")&amp;"/&gt;","")</f>
        <v/>
      </c>
      <c r="AS187" s="3" t="str">
        <f>IF(S187&lt;&gt;"","&lt;vk kbd="""&amp;S$1&amp;""" vk="""&amp;S187&amp;""""&amp;IF(Scan2VKFlags!O187&lt;&gt;""," flags="""&amp;Scan2VKFlags!O187&amp;"""","")&amp;"/&gt;","")</f>
        <v/>
      </c>
      <c r="AT187" s="15" t="str">
        <f>IF(T187&lt;&gt;"","&lt;vk kbd="""&amp;T$1&amp;""" vk="""&amp;T187&amp;""""&amp;IF(Scan2VKFlags!P187&lt;&gt;""," flags="""&amp;Scan2VKFlags!P187&amp;"""","")&amp;"/&gt;","")</f>
        <v/>
      </c>
      <c r="AU187" s="16" t="str">
        <f>IF(U187&lt;&gt;"","&lt;vk kbd="""&amp;U$1&amp;""" vk="""&amp;U187&amp;""""&amp;IF(Scan2VKFlags!Q187&lt;&gt;""," flags="""&amp;Scan2VKFlags!Q187&amp;"""","")&amp;"/&gt;","")</f>
        <v/>
      </c>
      <c r="AV187" s="3" t="str">
        <f>IF(W187&lt;&gt;"","&lt;vk kbd="""&amp;W$1&amp;""" vk="""&amp;W187&amp;""""&amp;IF(Scan2VKFlags!R187&lt;&gt;""," flags="""&amp;Scan2VKFlags!R187&amp;"""","")&amp;"/&gt;","")</f>
        <v>&lt;vk kbd="30" vk="_none_"/&gt;</v>
      </c>
      <c r="AW187" s="15" t="str">
        <f>IF(X187&lt;&gt;"","&lt;vk kbd="""&amp;X$1&amp;""" vk="""&amp;X187&amp;""""&amp;IF(Scan2VKFlags!S187&lt;&gt;""," flags="""&amp;Scan2VKFlags!S187&amp;"""","")&amp;"/&gt;","")</f>
        <v>&lt;vk kbd="33" vk="_none_"/&gt;</v>
      </c>
      <c r="AX187" s="15" t="str">
        <f>IF(Y187&lt;&gt;"","&lt;vk kbd="""&amp;Y$1&amp;""" vk="""&amp;Y187&amp;""""&amp;IF(Scan2VKFlags!T187&lt;&gt;""," flags="""&amp;Scan2VKFlags!T187&amp;"""","")&amp;"/&gt;","")</f>
        <v>&lt;vk kbd="34" vk="_none_"/&gt;</v>
      </c>
      <c r="AY187" s="18" t="str">
        <f>IF(AA187&lt;&gt;"","&lt;vk kbd="""&amp;AA$1&amp;""" vk="""&amp;AA187&amp;""""&amp;IF(Scan2VKFlags!U187&lt;&gt;""," flags="""&amp;Scan2VKFlags!U187&amp;"""","")&amp;"/&gt;","")</f>
        <v/>
      </c>
      <c r="AZ187" s="3" t="str">
        <f>IF(AC187&lt;&gt;"","&lt;vk kbd="""&amp;AC$1&amp;""" vk="""&amp;AC187&amp;""""&amp;IF(Scan2VKFlags!V187&lt;&gt;""," flags="""&amp;Scan2VKFlags!V187&amp;"""","")&amp;"/&gt;","")</f>
        <v/>
      </c>
      <c r="BA187" s="16" t="str">
        <f>IF(AD187&lt;&gt;"","&lt;vk kbd="""&amp;AD$1&amp;""" vk="""&amp;AD187&amp;""""&amp;IF(Scan2VKFlags!W187&lt;&gt;""," flags="""&amp;Scan2VKFlags!W187&amp;"""","")&amp;"/&gt;","")</f>
        <v/>
      </c>
      <c r="BB187" s="15" t="s">
        <v>854</v>
      </c>
    </row>
    <row r="188" spans="2:54" s="15" customFormat="1" x14ac:dyDescent="0.25">
      <c r="B188" s="52" t="s">
        <v>500</v>
      </c>
      <c r="C188" s="7"/>
      <c r="D188" s="44"/>
      <c r="E188" s="44"/>
      <c r="F188" s="44"/>
      <c r="G188" s="44"/>
      <c r="H188" s="44"/>
      <c r="I188" s="44"/>
      <c r="J188" s="9"/>
      <c r="K188" s="44"/>
      <c r="L188" s="44"/>
      <c r="M188" s="44"/>
      <c r="N188" s="44"/>
      <c r="O188" s="44"/>
      <c r="P188" s="44"/>
      <c r="Q188" s="44"/>
      <c r="R188" s="2" t="s">
        <v>342</v>
      </c>
      <c r="S188" s="44"/>
      <c r="T188" s="44"/>
      <c r="U188" s="45"/>
      <c r="V188" s="53" t="s">
        <v>507</v>
      </c>
      <c r="W188" s="44" t="str">
        <f>trimtext(SplitText($V188,",",0))</f>
        <v>_none_</v>
      </c>
      <c r="X188" s="44" t="str">
        <f>IF(SplitText($V188,",",COLUMN(X:X)-COLUMN($W:$W))="",$W188,trimtext(SplitText($V188,",",COLUMN(X:X)-COLUMN($W:$W))))</f>
        <v>_none_</v>
      </c>
      <c r="Y188" s="44" t="str">
        <f>IF(SplitText($V188,",",COLUMN(Y:Y)-COLUMN($W:$W))="",$W188,trimtext(SplitText($V188,",",COLUMN(Y:Y)-COLUMN($W:$W))))</f>
        <v>_none_</v>
      </c>
      <c r="Z188" s="24"/>
      <c r="AA188" s="44" t="str">
        <f t="shared" si="13"/>
        <v/>
      </c>
      <c r="AB188" s="24"/>
      <c r="AC188" s="44" t="str">
        <f>trimtext(SplitText($AB188,",",0))</f>
        <v/>
      </c>
      <c r="AD188" s="44" t="str">
        <f>IF(SplitText($AB188,",",COLUMN(AD:AD)-COLUMN($AC:$AC))="",$AC188,trimtext(SplitText($AB188,",",COLUMN(AD:AD)-COLUMN($AC:$AC))))</f>
        <v/>
      </c>
      <c r="AE188" s="18" t="str">
        <f t="shared" si="12"/>
        <v>&lt;xs:enumeration value="X77"&gt;&lt;xs:annotation&gt;&lt;xs:documentation&gt;Typically &lt;/xs:documentation&gt;&lt;xs:appinfo&gt;&lt;default-vk&gt;</v>
      </c>
      <c r="AF188" s="15" t="str">
        <f>IF(D188&lt;&gt;"","&lt;vk kbd="""&amp;D$1&amp;""" vk="""&amp;D188&amp;""""&amp;IF(Scan2VKFlags!B188&lt;&gt;""," flags="""&amp;Scan2VKFlags!B188&amp;"""","")&amp;"/&gt;","")</f>
        <v/>
      </c>
      <c r="AG188" s="15" t="str">
        <f>IF(E188&lt;&gt;"","&lt;vk kbd="""&amp;E$1&amp;""" vk="""&amp;E188&amp;""""&amp;IF(Scan2VKFlags!C188&lt;&gt;""," flags="""&amp;Scan2VKFlags!C188&amp;"""","")&amp;"/&gt;","")</f>
        <v/>
      </c>
      <c r="AH188" s="15" t="str">
        <f>IF(F188&lt;&gt;"","&lt;vk kbd="""&amp;F$1&amp;""" vk="""&amp;F188&amp;""""&amp;IF(Scan2VKFlags!D188&lt;&gt;""," flags="""&amp;Scan2VKFlags!D188&amp;"""","")&amp;"/&gt;","")</f>
        <v/>
      </c>
      <c r="AI188" s="15" t="str">
        <f>IF(G188&lt;&gt;"","&lt;vk kbd="""&amp;G$1&amp;""" vk="""&amp;G188&amp;""""&amp;IF(Scan2VKFlags!E188&lt;&gt;""," flags="""&amp;Scan2VKFlags!E188&amp;"""","")&amp;"/&gt;","")</f>
        <v/>
      </c>
      <c r="AJ188" s="15" t="str">
        <f>IF(H188&lt;&gt;"","&lt;vk kbd="""&amp;H$1&amp;""" vk="""&amp;H188&amp;""""&amp;IF(Scan2VKFlags!F188&lt;&gt;""," flags="""&amp;Scan2VKFlags!F188&amp;"""","")&amp;"/&gt;","")</f>
        <v/>
      </c>
      <c r="AK188" s="16" t="str">
        <f>IF(I188&lt;&gt;"","&lt;vk kbd="""&amp;I$1&amp;""" vk="""&amp;I188&amp;""""&amp;IF(Scan2VKFlags!G188&lt;&gt;""," flags="""&amp;Scan2VKFlags!G188&amp;"""","")&amp;"/&gt;","")</f>
        <v/>
      </c>
      <c r="AL188" s="3" t="str">
        <f>IF(K188&lt;&gt;"","&lt;vk kbd="""&amp;K$1&amp;""" vk="""&amp;K188&amp;""""&amp;IF(Scan2VKFlags!H188&lt;&gt;""," flags="""&amp;Scan2VKFlags!H188&amp;"""","")&amp;"/&gt;","")</f>
        <v/>
      </c>
      <c r="AM188" s="15" t="str">
        <f>IF(L188&lt;&gt;"","&lt;vk kbd="""&amp;L$1&amp;""" vk="""&amp;L188&amp;""""&amp;IF(Scan2VKFlags!I188&lt;&gt;""," flags="""&amp;Scan2VKFlags!I188&amp;"""","")&amp;"/&gt;","")</f>
        <v/>
      </c>
      <c r="AN188" s="15" t="str">
        <f>IF(M188&lt;&gt;"","&lt;vk kbd="""&amp;M$1&amp;""" vk="""&amp;M188&amp;""""&amp;IF(Scan2VKFlags!J188&lt;&gt;""," flags="""&amp;Scan2VKFlags!J188&amp;"""","")&amp;"/&gt;","")</f>
        <v/>
      </c>
      <c r="AO188" s="15" t="str">
        <f>IF(N188&lt;&gt;"","&lt;vk kbd="""&amp;N$1&amp;""" vk="""&amp;N188&amp;""""&amp;IF(Scan2VKFlags!K188&lt;&gt;""," flags="""&amp;Scan2VKFlags!K188&amp;"""","")&amp;"/&gt;","")</f>
        <v/>
      </c>
      <c r="AP188" s="15" t="str">
        <f>IF(O188&lt;&gt;"","&lt;vk kbd="""&amp;O$1&amp;""" vk="""&amp;O188&amp;""""&amp;IF(Scan2VKFlags!L188&lt;&gt;""," flags="""&amp;Scan2VKFlags!L188&amp;"""","")&amp;"/&gt;","")</f>
        <v/>
      </c>
      <c r="AQ188" s="15" t="str">
        <f>IF(P188&lt;&gt;"","&lt;vk kbd="""&amp;P$1&amp;""" vk="""&amp;P188&amp;""""&amp;IF(Scan2VKFlags!M188&lt;&gt;""," flags="""&amp;Scan2VKFlags!M188&amp;"""","")&amp;"/&gt;","")</f>
        <v/>
      </c>
      <c r="AR188" s="16" t="str">
        <f>IF(Q188&lt;&gt;"","&lt;vk kbd="""&amp;Q$1&amp;""" vk="""&amp;Q188&amp;""""&amp;IF(Scan2VKFlags!N188&lt;&gt;""," flags="""&amp;Scan2VKFlags!N188&amp;"""","")&amp;"/&gt;","")</f>
        <v/>
      </c>
      <c r="AS188" s="3" t="str">
        <f>IF(S188&lt;&gt;"","&lt;vk kbd="""&amp;S$1&amp;""" vk="""&amp;S188&amp;""""&amp;IF(Scan2VKFlags!O188&lt;&gt;""," flags="""&amp;Scan2VKFlags!O188&amp;"""","")&amp;"/&gt;","")</f>
        <v/>
      </c>
      <c r="AT188" s="15" t="str">
        <f>IF(T188&lt;&gt;"","&lt;vk kbd="""&amp;T$1&amp;""" vk="""&amp;T188&amp;""""&amp;IF(Scan2VKFlags!P188&lt;&gt;""," flags="""&amp;Scan2VKFlags!P188&amp;"""","")&amp;"/&gt;","")</f>
        <v/>
      </c>
      <c r="AU188" s="16" t="str">
        <f>IF(U188&lt;&gt;"","&lt;vk kbd="""&amp;U$1&amp;""" vk="""&amp;U188&amp;""""&amp;IF(Scan2VKFlags!Q188&lt;&gt;""," flags="""&amp;Scan2VKFlags!Q188&amp;"""","")&amp;"/&gt;","")</f>
        <v/>
      </c>
      <c r="AV188" s="3" t="str">
        <f>IF(W188&lt;&gt;"","&lt;vk kbd="""&amp;W$1&amp;""" vk="""&amp;W188&amp;""""&amp;IF(Scan2VKFlags!R188&lt;&gt;""," flags="""&amp;Scan2VKFlags!R188&amp;"""","")&amp;"/&gt;","")</f>
        <v>&lt;vk kbd="30" vk="_none_"/&gt;</v>
      </c>
      <c r="AW188" s="15" t="str">
        <f>IF(X188&lt;&gt;"","&lt;vk kbd="""&amp;X$1&amp;""" vk="""&amp;X188&amp;""""&amp;IF(Scan2VKFlags!S188&lt;&gt;""," flags="""&amp;Scan2VKFlags!S188&amp;"""","")&amp;"/&gt;","")</f>
        <v>&lt;vk kbd="33" vk="_none_"/&gt;</v>
      </c>
      <c r="AX188" s="15" t="str">
        <f>IF(Y188&lt;&gt;"","&lt;vk kbd="""&amp;Y$1&amp;""" vk="""&amp;Y188&amp;""""&amp;IF(Scan2VKFlags!T188&lt;&gt;""," flags="""&amp;Scan2VKFlags!T188&amp;"""","")&amp;"/&gt;","")</f>
        <v>&lt;vk kbd="34" vk="_none_"/&gt;</v>
      </c>
      <c r="AY188" s="18" t="str">
        <f>IF(AA188&lt;&gt;"","&lt;vk kbd="""&amp;AA$1&amp;""" vk="""&amp;AA188&amp;""""&amp;IF(Scan2VKFlags!U188&lt;&gt;""," flags="""&amp;Scan2VKFlags!U188&amp;"""","")&amp;"/&gt;","")</f>
        <v/>
      </c>
      <c r="AZ188" s="3" t="str">
        <f>IF(AC188&lt;&gt;"","&lt;vk kbd="""&amp;AC$1&amp;""" vk="""&amp;AC188&amp;""""&amp;IF(Scan2VKFlags!V188&lt;&gt;""," flags="""&amp;Scan2VKFlags!V188&amp;"""","")&amp;"/&gt;","")</f>
        <v/>
      </c>
      <c r="BA188" s="16" t="str">
        <f>IF(AD188&lt;&gt;"","&lt;vk kbd="""&amp;AD$1&amp;""" vk="""&amp;AD188&amp;""""&amp;IF(Scan2VKFlags!W188&lt;&gt;""," flags="""&amp;Scan2VKFlags!W188&amp;"""","")&amp;"/&gt;","")</f>
        <v/>
      </c>
      <c r="BB188" s="15" t="s">
        <v>854</v>
      </c>
    </row>
    <row r="189" spans="2:54" s="15" customFormat="1" x14ac:dyDescent="0.25">
      <c r="B189" s="52" t="s">
        <v>501</v>
      </c>
      <c r="C189" s="7"/>
      <c r="D189" s="44"/>
      <c r="E189" s="44"/>
      <c r="F189" s="44"/>
      <c r="G189" s="44"/>
      <c r="H189" s="44"/>
      <c r="I189" s="44"/>
      <c r="J189" s="9"/>
      <c r="K189" s="44"/>
      <c r="L189" s="44"/>
      <c r="M189" s="44"/>
      <c r="N189" s="44"/>
      <c r="O189" s="44"/>
      <c r="P189" s="44"/>
      <c r="Q189" s="44"/>
      <c r="R189" s="2" t="s">
        <v>342</v>
      </c>
      <c r="S189" s="44"/>
      <c r="T189" s="44"/>
      <c r="U189" s="45"/>
      <c r="V189" s="53" t="s">
        <v>507</v>
      </c>
      <c r="W189" s="44" t="str">
        <f>trimtext(SplitText($V189,",",0))</f>
        <v>_none_</v>
      </c>
      <c r="X189" s="44" t="str">
        <f>IF(SplitText($V189,",",COLUMN(X:X)-COLUMN($W:$W))="",$W189,trimtext(SplitText($V189,",",COLUMN(X:X)-COLUMN($W:$W))))</f>
        <v>_none_</v>
      </c>
      <c r="Y189" s="44" t="str">
        <f>IF(SplitText($V189,",",COLUMN(Y:Y)-COLUMN($W:$W))="",$W189,trimtext(SplitText($V189,",",COLUMN(Y:Y)-COLUMN($W:$W))))</f>
        <v>_none_</v>
      </c>
      <c r="Z189" s="24"/>
      <c r="AA189" s="44" t="str">
        <f t="shared" si="13"/>
        <v/>
      </c>
      <c r="AB189" s="24"/>
      <c r="AC189" s="44" t="str">
        <f>trimtext(SplitText($AB189,",",0))</f>
        <v/>
      </c>
      <c r="AD189" s="44" t="str">
        <f>IF(SplitText($AB189,",",COLUMN(AD:AD)-COLUMN($AC:$AC))="",$AC189,trimtext(SplitText($AB189,",",COLUMN(AD:AD)-COLUMN($AC:$AC))))</f>
        <v/>
      </c>
      <c r="AE189" s="18" t="str">
        <f t="shared" si="12"/>
        <v>&lt;xs:enumeration value="X78"&gt;&lt;xs:annotation&gt;&lt;xs:documentation&gt;Typically &lt;/xs:documentation&gt;&lt;xs:appinfo&gt;&lt;default-vk&gt;</v>
      </c>
      <c r="AF189" s="15" t="str">
        <f>IF(D189&lt;&gt;"","&lt;vk kbd="""&amp;D$1&amp;""" vk="""&amp;D189&amp;""""&amp;IF(Scan2VKFlags!B189&lt;&gt;""," flags="""&amp;Scan2VKFlags!B189&amp;"""","")&amp;"/&gt;","")</f>
        <v/>
      </c>
      <c r="AG189" s="15" t="str">
        <f>IF(E189&lt;&gt;"","&lt;vk kbd="""&amp;E$1&amp;""" vk="""&amp;E189&amp;""""&amp;IF(Scan2VKFlags!C189&lt;&gt;""," flags="""&amp;Scan2VKFlags!C189&amp;"""","")&amp;"/&gt;","")</f>
        <v/>
      </c>
      <c r="AH189" s="15" t="str">
        <f>IF(F189&lt;&gt;"","&lt;vk kbd="""&amp;F$1&amp;""" vk="""&amp;F189&amp;""""&amp;IF(Scan2VKFlags!D189&lt;&gt;""," flags="""&amp;Scan2VKFlags!D189&amp;"""","")&amp;"/&gt;","")</f>
        <v/>
      </c>
      <c r="AI189" s="15" t="str">
        <f>IF(G189&lt;&gt;"","&lt;vk kbd="""&amp;G$1&amp;""" vk="""&amp;G189&amp;""""&amp;IF(Scan2VKFlags!E189&lt;&gt;""," flags="""&amp;Scan2VKFlags!E189&amp;"""","")&amp;"/&gt;","")</f>
        <v/>
      </c>
      <c r="AJ189" s="15" t="str">
        <f>IF(H189&lt;&gt;"","&lt;vk kbd="""&amp;H$1&amp;""" vk="""&amp;H189&amp;""""&amp;IF(Scan2VKFlags!F189&lt;&gt;""," flags="""&amp;Scan2VKFlags!F189&amp;"""","")&amp;"/&gt;","")</f>
        <v/>
      </c>
      <c r="AK189" s="16" t="str">
        <f>IF(I189&lt;&gt;"","&lt;vk kbd="""&amp;I$1&amp;""" vk="""&amp;I189&amp;""""&amp;IF(Scan2VKFlags!G189&lt;&gt;""," flags="""&amp;Scan2VKFlags!G189&amp;"""","")&amp;"/&gt;","")</f>
        <v/>
      </c>
      <c r="AL189" s="3" t="str">
        <f>IF(K189&lt;&gt;"","&lt;vk kbd="""&amp;K$1&amp;""" vk="""&amp;K189&amp;""""&amp;IF(Scan2VKFlags!H189&lt;&gt;""," flags="""&amp;Scan2VKFlags!H189&amp;"""","")&amp;"/&gt;","")</f>
        <v/>
      </c>
      <c r="AM189" s="15" t="str">
        <f>IF(L189&lt;&gt;"","&lt;vk kbd="""&amp;L$1&amp;""" vk="""&amp;L189&amp;""""&amp;IF(Scan2VKFlags!I189&lt;&gt;""," flags="""&amp;Scan2VKFlags!I189&amp;"""","")&amp;"/&gt;","")</f>
        <v/>
      </c>
      <c r="AN189" s="15" t="str">
        <f>IF(M189&lt;&gt;"","&lt;vk kbd="""&amp;M$1&amp;""" vk="""&amp;M189&amp;""""&amp;IF(Scan2VKFlags!J189&lt;&gt;""," flags="""&amp;Scan2VKFlags!J189&amp;"""","")&amp;"/&gt;","")</f>
        <v/>
      </c>
      <c r="AO189" s="15" t="str">
        <f>IF(N189&lt;&gt;"","&lt;vk kbd="""&amp;N$1&amp;""" vk="""&amp;N189&amp;""""&amp;IF(Scan2VKFlags!K189&lt;&gt;""," flags="""&amp;Scan2VKFlags!K189&amp;"""","")&amp;"/&gt;","")</f>
        <v/>
      </c>
      <c r="AP189" s="15" t="str">
        <f>IF(O189&lt;&gt;"","&lt;vk kbd="""&amp;O$1&amp;""" vk="""&amp;O189&amp;""""&amp;IF(Scan2VKFlags!L189&lt;&gt;""," flags="""&amp;Scan2VKFlags!L189&amp;"""","")&amp;"/&gt;","")</f>
        <v/>
      </c>
      <c r="AQ189" s="15" t="str">
        <f>IF(P189&lt;&gt;"","&lt;vk kbd="""&amp;P$1&amp;""" vk="""&amp;P189&amp;""""&amp;IF(Scan2VKFlags!M189&lt;&gt;""," flags="""&amp;Scan2VKFlags!M189&amp;"""","")&amp;"/&gt;","")</f>
        <v/>
      </c>
      <c r="AR189" s="16" t="str">
        <f>IF(Q189&lt;&gt;"","&lt;vk kbd="""&amp;Q$1&amp;""" vk="""&amp;Q189&amp;""""&amp;IF(Scan2VKFlags!N189&lt;&gt;""," flags="""&amp;Scan2VKFlags!N189&amp;"""","")&amp;"/&gt;","")</f>
        <v/>
      </c>
      <c r="AS189" s="3" t="str">
        <f>IF(S189&lt;&gt;"","&lt;vk kbd="""&amp;S$1&amp;""" vk="""&amp;S189&amp;""""&amp;IF(Scan2VKFlags!O189&lt;&gt;""," flags="""&amp;Scan2VKFlags!O189&amp;"""","")&amp;"/&gt;","")</f>
        <v/>
      </c>
      <c r="AT189" s="15" t="str">
        <f>IF(T189&lt;&gt;"","&lt;vk kbd="""&amp;T$1&amp;""" vk="""&amp;T189&amp;""""&amp;IF(Scan2VKFlags!P189&lt;&gt;""," flags="""&amp;Scan2VKFlags!P189&amp;"""","")&amp;"/&gt;","")</f>
        <v/>
      </c>
      <c r="AU189" s="16" t="str">
        <f>IF(U189&lt;&gt;"","&lt;vk kbd="""&amp;U$1&amp;""" vk="""&amp;U189&amp;""""&amp;IF(Scan2VKFlags!Q189&lt;&gt;""," flags="""&amp;Scan2VKFlags!Q189&amp;"""","")&amp;"/&gt;","")</f>
        <v/>
      </c>
      <c r="AV189" s="3" t="str">
        <f>IF(W189&lt;&gt;"","&lt;vk kbd="""&amp;W$1&amp;""" vk="""&amp;W189&amp;""""&amp;IF(Scan2VKFlags!R189&lt;&gt;""," flags="""&amp;Scan2VKFlags!R189&amp;"""","")&amp;"/&gt;","")</f>
        <v>&lt;vk kbd="30" vk="_none_"/&gt;</v>
      </c>
      <c r="AW189" s="15" t="str">
        <f>IF(X189&lt;&gt;"","&lt;vk kbd="""&amp;X$1&amp;""" vk="""&amp;X189&amp;""""&amp;IF(Scan2VKFlags!S189&lt;&gt;""," flags="""&amp;Scan2VKFlags!S189&amp;"""","")&amp;"/&gt;","")</f>
        <v>&lt;vk kbd="33" vk="_none_"/&gt;</v>
      </c>
      <c r="AX189" s="15" t="str">
        <f>IF(Y189&lt;&gt;"","&lt;vk kbd="""&amp;Y$1&amp;""" vk="""&amp;Y189&amp;""""&amp;IF(Scan2VKFlags!T189&lt;&gt;""," flags="""&amp;Scan2VKFlags!T189&amp;"""","")&amp;"/&gt;","")</f>
        <v>&lt;vk kbd="34" vk="_none_"/&gt;</v>
      </c>
      <c r="AY189" s="18" t="str">
        <f>IF(AA189&lt;&gt;"","&lt;vk kbd="""&amp;AA$1&amp;""" vk="""&amp;AA189&amp;""""&amp;IF(Scan2VKFlags!U189&lt;&gt;""," flags="""&amp;Scan2VKFlags!U189&amp;"""","")&amp;"/&gt;","")</f>
        <v/>
      </c>
      <c r="AZ189" s="3" t="str">
        <f>IF(AC189&lt;&gt;"","&lt;vk kbd="""&amp;AC$1&amp;""" vk="""&amp;AC189&amp;""""&amp;IF(Scan2VKFlags!V189&lt;&gt;""," flags="""&amp;Scan2VKFlags!V189&amp;"""","")&amp;"/&gt;","")</f>
        <v/>
      </c>
      <c r="BA189" s="16" t="str">
        <f>IF(AD189&lt;&gt;"","&lt;vk kbd="""&amp;AD$1&amp;""" vk="""&amp;AD189&amp;""""&amp;IF(Scan2VKFlags!W189&lt;&gt;""," flags="""&amp;Scan2VKFlags!W189&amp;"""","")&amp;"/&gt;","")</f>
        <v/>
      </c>
      <c r="BB189" s="15" t="s">
        <v>854</v>
      </c>
    </row>
    <row r="190" spans="2:54" s="15" customFormat="1" x14ac:dyDescent="0.25">
      <c r="B190" s="52" t="s">
        <v>502</v>
      </c>
      <c r="C190" s="7"/>
      <c r="D190" s="44"/>
      <c r="E190" s="44"/>
      <c r="F190" s="44"/>
      <c r="G190" s="44"/>
      <c r="H190" s="44"/>
      <c r="I190" s="44"/>
      <c r="J190" s="9"/>
      <c r="K190" s="44"/>
      <c r="L190" s="44"/>
      <c r="M190" s="44"/>
      <c r="N190" s="44"/>
      <c r="O190" s="44"/>
      <c r="P190" s="44"/>
      <c r="Q190" s="44"/>
      <c r="R190" s="2" t="s">
        <v>342</v>
      </c>
      <c r="S190" s="44"/>
      <c r="T190" s="44"/>
      <c r="U190" s="45"/>
      <c r="V190" s="53" t="s">
        <v>507</v>
      </c>
      <c r="W190" s="44" t="str">
        <f>trimtext(SplitText($V190,",",0))</f>
        <v>_none_</v>
      </c>
      <c r="X190" s="44" t="str">
        <f>IF(SplitText($V190,",",COLUMN(X:X)-COLUMN($W:$W))="",$W190,trimtext(SplitText($V190,",",COLUMN(X:X)-COLUMN($W:$W))))</f>
        <v>_none_</v>
      </c>
      <c r="Y190" s="44" t="str">
        <f>IF(SplitText($V190,",",COLUMN(Y:Y)-COLUMN($W:$W))="",$W190,trimtext(SplitText($V190,",",COLUMN(Y:Y)-COLUMN($W:$W))))</f>
        <v>_none_</v>
      </c>
      <c r="Z190" s="24"/>
      <c r="AA190" s="44" t="str">
        <f t="shared" si="13"/>
        <v/>
      </c>
      <c r="AB190" s="24"/>
      <c r="AC190" s="44" t="str">
        <f>trimtext(SplitText($AB190,",",0))</f>
        <v/>
      </c>
      <c r="AD190" s="44" t="str">
        <f>IF(SplitText($AB190,",",COLUMN(AD:AD)-COLUMN($AC:$AC))="",$AC190,trimtext(SplitText($AB190,",",COLUMN(AD:AD)-COLUMN($AC:$AC))))</f>
        <v/>
      </c>
      <c r="AE190" s="18" t="str">
        <f t="shared" si="12"/>
        <v>&lt;xs:enumeration value="X79"&gt;&lt;xs:annotation&gt;&lt;xs:documentation&gt;Typically &lt;/xs:documentation&gt;&lt;xs:appinfo&gt;&lt;default-vk&gt;</v>
      </c>
      <c r="AF190" s="15" t="str">
        <f>IF(D190&lt;&gt;"","&lt;vk kbd="""&amp;D$1&amp;""" vk="""&amp;D190&amp;""""&amp;IF(Scan2VKFlags!B190&lt;&gt;""," flags="""&amp;Scan2VKFlags!B190&amp;"""","")&amp;"/&gt;","")</f>
        <v/>
      </c>
      <c r="AG190" s="15" t="str">
        <f>IF(E190&lt;&gt;"","&lt;vk kbd="""&amp;E$1&amp;""" vk="""&amp;E190&amp;""""&amp;IF(Scan2VKFlags!C190&lt;&gt;""," flags="""&amp;Scan2VKFlags!C190&amp;"""","")&amp;"/&gt;","")</f>
        <v/>
      </c>
      <c r="AH190" s="15" t="str">
        <f>IF(F190&lt;&gt;"","&lt;vk kbd="""&amp;F$1&amp;""" vk="""&amp;F190&amp;""""&amp;IF(Scan2VKFlags!D190&lt;&gt;""," flags="""&amp;Scan2VKFlags!D190&amp;"""","")&amp;"/&gt;","")</f>
        <v/>
      </c>
      <c r="AI190" s="15" t="str">
        <f>IF(G190&lt;&gt;"","&lt;vk kbd="""&amp;G$1&amp;""" vk="""&amp;G190&amp;""""&amp;IF(Scan2VKFlags!E190&lt;&gt;""," flags="""&amp;Scan2VKFlags!E190&amp;"""","")&amp;"/&gt;","")</f>
        <v/>
      </c>
      <c r="AJ190" s="15" t="str">
        <f>IF(H190&lt;&gt;"","&lt;vk kbd="""&amp;H$1&amp;""" vk="""&amp;H190&amp;""""&amp;IF(Scan2VKFlags!F190&lt;&gt;""," flags="""&amp;Scan2VKFlags!F190&amp;"""","")&amp;"/&gt;","")</f>
        <v/>
      </c>
      <c r="AK190" s="16" t="str">
        <f>IF(I190&lt;&gt;"","&lt;vk kbd="""&amp;I$1&amp;""" vk="""&amp;I190&amp;""""&amp;IF(Scan2VKFlags!G190&lt;&gt;""," flags="""&amp;Scan2VKFlags!G190&amp;"""","")&amp;"/&gt;","")</f>
        <v/>
      </c>
      <c r="AL190" s="3" t="str">
        <f>IF(K190&lt;&gt;"","&lt;vk kbd="""&amp;K$1&amp;""" vk="""&amp;K190&amp;""""&amp;IF(Scan2VKFlags!H190&lt;&gt;""," flags="""&amp;Scan2VKFlags!H190&amp;"""","")&amp;"/&gt;","")</f>
        <v/>
      </c>
      <c r="AM190" s="15" t="str">
        <f>IF(L190&lt;&gt;"","&lt;vk kbd="""&amp;L$1&amp;""" vk="""&amp;L190&amp;""""&amp;IF(Scan2VKFlags!I190&lt;&gt;""," flags="""&amp;Scan2VKFlags!I190&amp;"""","")&amp;"/&gt;","")</f>
        <v/>
      </c>
      <c r="AN190" s="15" t="str">
        <f>IF(M190&lt;&gt;"","&lt;vk kbd="""&amp;M$1&amp;""" vk="""&amp;M190&amp;""""&amp;IF(Scan2VKFlags!J190&lt;&gt;""," flags="""&amp;Scan2VKFlags!J190&amp;"""","")&amp;"/&gt;","")</f>
        <v/>
      </c>
      <c r="AO190" s="15" t="str">
        <f>IF(N190&lt;&gt;"","&lt;vk kbd="""&amp;N$1&amp;""" vk="""&amp;N190&amp;""""&amp;IF(Scan2VKFlags!K190&lt;&gt;""," flags="""&amp;Scan2VKFlags!K190&amp;"""","")&amp;"/&gt;","")</f>
        <v/>
      </c>
      <c r="AP190" s="15" t="str">
        <f>IF(O190&lt;&gt;"","&lt;vk kbd="""&amp;O$1&amp;""" vk="""&amp;O190&amp;""""&amp;IF(Scan2VKFlags!L190&lt;&gt;""," flags="""&amp;Scan2VKFlags!L190&amp;"""","")&amp;"/&gt;","")</f>
        <v/>
      </c>
      <c r="AQ190" s="15" t="str">
        <f>IF(P190&lt;&gt;"","&lt;vk kbd="""&amp;P$1&amp;""" vk="""&amp;P190&amp;""""&amp;IF(Scan2VKFlags!M190&lt;&gt;""," flags="""&amp;Scan2VKFlags!M190&amp;"""","")&amp;"/&gt;","")</f>
        <v/>
      </c>
      <c r="AR190" s="16" t="str">
        <f>IF(Q190&lt;&gt;"","&lt;vk kbd="""&amp;Q$1&amp;""" vk="""&amp;Q190&amp;""""&amp;IF(Scan2VKFlags!N190&lt;&gt;""," flags="""&amp;Scan2VKFlags!N190&amp;"""","")&amp;"/&gt;","")</f>
        <v/>
      </c>
      <c r="AS190" s="3" t="str">
        <f>IF(S190&lt;&gt;"","&lt;vk kbd="""&amp;S$1&amp;""" vk="""&amp;S190&amp;""""&amp;IF(Scan2VKFlags!O190&lt;&gt;""," flags="""&amp;Scan2VKFlags!O190&amp;"""","")&amp;"/&gt;","")</f>
        <v/>
      </c>
      <c r="AT190" s="15" t="str">
        <f>IF(T190&lt;&gt;"","&lt;vk kbd="""&amp;T$1&amp;""" vk="""&amp;T190&amp;""""&amp;IF(Scan2VKFlags!P190&lt;&gt;""," flags="""&amp;Scan2VKFlags!P190&amp;"""","")&amp;"/&gt;","")</f>
        <v/>
      </c>
      <c r="AU190" s="16" t="str">
        <f>IF(U190&lt;&gt;"","&lt;vk kbd="""&amp;U$1&amp;""" vk="""&amp;U190&amp;""""&amp;IF(Scan2VKFlags!Q190&lt;&gt;""," flags="""&amp;Scan2VKFlags!Q190&amp;"""","")&amp;"/&gt;","")</f>
        <v/>
      </c>
      <c r="AV190" s="3" t="str">
        <f>IF(W190&lt;&gt;"","&lt;vk kbd="""&amp;W$1&amp;""" vk="""&amp;W190&amp;""""&amp;IF(Scan2VKFlags!R190&lt;&gt;""," flags="""&amp;Scan2VKFlags!R190&amp;"""","")&amp;"/&gt;","")</f>
        <v>&lt;vk kbd="30" vk="_none_"/&gt;</v>
      </c>
      <c r="AW190" s="15" t="str">
        <f>IF(X190&lt;&gt;"","&lt;vk kbd="""&amp;X$1&amp;""" vk="""&amp;X190&amp;""""&amp;IF(Scan2VKFlags!S190&lt;&gt;""," flags="""&amp;Scan2VKFlags!S190&amp;"""","")&amp;"/&gt;","")</f>
        <v>&lt;vk kbd="33" vk="_none_"/&gt;</v>
      </c>
      <c r="AX190" s="15" t="str">
        <f>IF(Y190&lt;&gt;"","&lt;vk kbd="""&amp;Y$1&amp;""" vk="""&amp;Y190&amp;""""&amp;IF(Scan2VKFlags!T190&lt;&gt;""," flags="""&amp;Scan2VKFlags!T190&amp;"""","")&amp;"/&gt;","")</f>
        <v>&lt;vk kbd="34" vk="_none_"/&gt;</v>
      </c>
      <c r="AY190" s="18" t="str">
        <f>IF(AA190&lt;&gt;"","&lt;vk kbd="""&amp;AA$1&amp;""" vk="""&amp;AA190&amp;""""&amp;IF(Scan2VKFlags!U190&lt;&gt;""," flags="""&amp;Scan2VKFlags!U190&amp;"""","")&amp;"/&gt;","")</f>
        <v/>
      </c>
      <c r="AZ190" s="3" t="str">
        <f>IF(AC190&lt;&gt;"","&lt;vk kbd="""&amp;AC$1&amp;""" vk="""&amp;AC190&amp;""""&amp;IF(Scan2VKFlags!V190&lt;&gt;""," flags="""&amp;Scan2VKFlags!V190&amp;"""","")&amp;"/&gt;","")</f>
        <v/>
      </c>
      <c r="BA190" s="16" t="str">
        <f>IF(AD190&lt;&gt;"","&lt;vk kbd="""&amp;AD$1&amp;""" vk="""&amp;AD190&amp;""""&amp;IF(Scan2VKFlags!W190&lt;&gt;""," flags="""&amp;Scan2VKFlags!W190&amp;"""","")&amp;"/&gt;","")</f>
        <v/>
      </c>
      <c r="BB190" s="15" t="s">
        <v>854</v>
      </c>
    </row>
    <row r="191" spans="2:54" s="15" customFormat="1" x14ac:dyDescent="0.25">
      <c r="B191" s="52" t="s">
        <v>503</v>
      </c>
      <c r="C191" s="7"/>
      <c r="D191" s="44"/>
      <c r="E191" s="44"/>
      <c r="F191" s="44"/>
      <c r="G191" s="44"/>
      <c r="H191" s="44"/>
      <c r="I191" s="44"/>
      <c r="J191" s="9"/>
      <c r="K191" s="44"/>
      <c r="L191" s="44"/>
      <c r="M191" s="44"/>
      <c r="N191" s="44"/>
      <c r="O191" s="44"/>
      <c r="P191" s="44"/>
      <c r="Q191" s="44"/>
      <c r="R191" s="2" t="s">
        <v>342</v>
      </c>
      <c r="S191" s="44"/>
      <c r="T191" s="44"/>
      <c r="U191" s="45"/>
      <c r="V191" s="53" t="s">
        <v>507</v>
      </c>
      <c r="W191" s="44" t="str">
        <f>trimtext(SplitText($V191,",",0))</f>
        <v>_none_</v>
      </c>
      <c r="X191" s="44" t="str">
        <f>IF(SplitText($V191,",",COLUMN(X:X)-COLUMN($W:$W))="",$W191,trimtext(SplitText($V191,",",COLUMN(X:X)-COLUMN($W:$W))))</f>
        <v>_none_</v>
      </c>
      <c r="Y191" s="44" t="str">
        <f>IF(SplitText($V191,",",COLUMN(Y:Y)-COLUMN($W:$W))="",$W191,trimtext(SplitText($V191,",",COLUMN(Y:Y)-COLUMN($W:$W))))</f>
        <v>_none_</v>
      </c>
      <c r="Z191" s="24"/>
      <c r="AA191" s="44" t="str">
        <f t="shared" si="13"/>
        <v/>
      </c>
      <c r="AB191" s="24"/>
      <c r="AC191" s="44" t="str">
        <f>trimtext(SplitText($AB191,",",0))</f>
        <v/>
      </c>
      <c r="AD191" s="44" t="str">
        <f>IF(SplitText($AB191,",",COLUMN(AD:AD)-COLUMN($AC:$AC))="",$AC191,trimtext(SplitText($AB191,",",COLUMN(AD:AD)-COLUMN($AC:$AC))))</f>
        <v/>
      </c>
      <c r="AE191" s="18" t="str">
        <f t="shared" si="12"/>
        <v>&lt;xs:enumeration value="X7A"&gt;&lt;xs:annotation&gt;&lt;xs:documentation&gt;Typically &lt;/xs:documentation&gt;&lt;xs:appinfo&gt;&lt;default-vk&gt;</v>
      </c>
      <c r="AF191" s="15" t="str">
        <f>IF(D191&lt;&gt;"","&lt;vk kbd="""&amp;D$1&amp;""" vk="""&amp;D191&amp;""""&amp;IF(Scan2VKFlags!B191&lt;&gt;""," flags="""&amp;Scan2VKFlags!B191&amp;"""","")&amp;"/&gt;","")</f>
        <v/>
      </c>
      <c r="AG191" s="15" t="str">
        <f>IF(E191&lt;&gt;"","&lt;vk kbd="""&amp;E$1&amp;""" vk="""&amp;E191&amp;""""&amp;IF(Scan2VKFlags!C191&lt;&gt;""," flags="""&amp;Scan2VKFlags!C191&amp;"""","")&amp;"/&gt;","")</f>
        <v/>
      </c>
      <c r="AH191" s="15" t="str">
        <f>IF(F191&lt;&gt;"","&lt;vk kbd="""&amp;F$1&amp;""" vk="""&amp;F191&amp;""""&amp;IF(Scan2VKFlags!D191&lt;&gt;""," flags="""&amp;Scan2VKFlags!D191&amp;"""","")&amp;"/&gt;","")</f>
        <v/>
      </c>
      <c r="AI191" s="15" t="str">
        <f>IF(G191&lt;&gt;"","&lt;vk kbd="""&amp;G$1&amp;""" vk="""&amp;G191&amp;""""&amp;IF(Scan2VKFlags!E191&lt;&gt;""," flags="""&amp;Scan2VKFlags!E191&amp;"""","")&amp;"/&gt;","")</f>
        <v/>
      </c>
      <c r="AJ191" s="15" t="str">
        <f>IF(H191&lt;&gt;"","&lt;vk kbd="""&amp;H$1&amp;""" vk="""&amp;H191&amp;""""&amp;IF(Scan2VKFlags!F191&lt;&gt;""," flags="""&amp;Scan2VKFlags!F191&amp;"""","")&amp;"/&gt;","")</f>
        <v/>
      </c>
      <c r="AK191" s="16" t="str">
        <f>IF(I191&lt;&gt;"","&lt;vk kbd="""&amp;I$1&amp;""" vk="""&amp;I191&amp;""""&amp;IF(Scan2VKFlags!G191&lt;&gt;""," flags="""&amp;Scan2VKFlags!G191&amp;"""","")&amp;"/&gt;","")</f>
        <v/>
      </c>
      <c r="AL191" s="3" t="str">
        <f>IF(K191&lt;&gt;"","&lt;vk kbd="""&amp;K$1&amp;""" vk="""&amp;K191&amp;""""&amp;IF(Scan2VKFlags!H191&lt;&gt;""," flags="""&amp;Scan2VKFlags!H191&amp;"""","")&amp;"/&gt;","")</f>
        <v/>
      </c>
      <c r="AM191" s="15" t="str">
        <f>IF(L191&lt;&gt;"","&lt;vk kbd="""&amp;L$1&amp;""" vk="""&amp;L191&amp;""""&amp;IF(Scan2VKFlags!I191&lt;&gt;""," flags="""&amp;Scan2VKFlags!I191&amp;"""","")&amp;"/&gt;","")</f>
        <v/>
      </c>
      <c r="AN191" s="15" t="str">
        <f>IF(M191&lt;&gt;"","&lt;vk kbd="""&amp;M$1&amp;""" vk="""&amp;M191&amp;""""&amp;IF(Scan2VKFlags!J191&lt;&gt;""," flags="""&amp;Scan2VKFlags!J191&amp;"""","")&amp;"/&gt;","")</f>
        <v/>
      </c>
      <c r="AO191" s="15" t="str">
        <f>IF(N191&lt;&gt;"","&lt;vk kbd="""&amp;N$1&amp;""" vk="""&amp;N191&amp;""""&amp;IF(Scan2VKFlags!K191&lt;&gt;""," flags="""&amp;Scan2VKFlags!K191&amp;"""","")&amp;"/&gt;","")</f>
        <v/>
      </c>
      <c r="AP191" s="15" t="str">
        <f>IF(O191&lt;&gt;"","&lt;vk kbd="""&amp;O$1&amp;""" vk="""&amp;O191&amp;""""&amp;IF(Scan2VKFlags!L191&lt;&gt;""," flags="""&amp;Scan2VKFlags!L191&amp;"""","")&amp;"/&gt;","")</f>
        <v/>
      </c>
      <c r="AQ191" s="15" t="str">
        <f>IF(P191&lt;&gt;"","&lt;vk kbd="""&amp;P$1&amp;""" vk="""&amp;P191&amp;""""&amp;IF(Scan2VKFlags!M191&lt;&gt;""," flags="""&amp;Scan2VKFlags!M191&amp;"""","")&amp;"/&gt;","")</f>
        <v/>
      </c>
      <c r="AR191" s="16" t="str">
        <f>IF(Q191&lt;&gt;"","&lt;vk kbd="""&amp;Q$1&amp;""" vk="""&amp;Q191&amp;""""&amp;IF(Scan2VKFlags!N191&lt;&gt;""," flags="""&amp;Scan2VKFlags!N191&amp;"""","")&amp;"/&gt;","")</f>
        <v/>
      </c>
      <c r="AS191" s="3" t="str">
        <f>IF(S191&lt;&gt;"","&lt;vk kbd="""&amp;S$1&amp;""" vk="""&amp;S191&amp;""""&amp;IF(Scan2VKFlags!O191&lt;&gt;""," flags="""&amp;Scan2VKFlags!O191&amp;"""","")&amp;"/&gt;","")</f>
        <v/>
      </c>
      <c r="AT191" s="15" t="str">
        <f>IF(T191&lt;&gt;"","&lt;vk kbd="""&amp;T$1&amp;""" vk="""&amp;T191&amp;""""&amp;IF(Scan2VKFlags!P191&lt;&gt;""," flags="""&amp;Scan2VKFlags!P191&amp;"""","")&amp;"/&gt;","")</f>
        <v/>
      </c>
      <c r="AU191" s="16" t="str">
        <f>IF(U191&lt;&gt;"","&lt;vk kbd="""&amp;U$1&amp;""" vk="""&amp;U191&amp;""""&amp;IF(Scan2VKFlags!Q191&lt;&gt;""," flags="""&amp;Scan2VKFlags!Q191&amp;"""","")&amp;"/&gt;","")</f>
        <v/>
      </c>
      <c r="AV191" s="3" t="str">
        <f>IF(W191&lt;&gt;"","&lt;vk kbd="""&amp;W$1&amp;""" vk="""&amp;W191&amp;""""&amp;IF(Scan2VKFlags!R191&lt;&gt;""," flags="""&amp;Scan2VKFlags!R191&amp;"""","")&amp;"/&gt;","")</f>
        <v>&lt;vk kbd="30" vk="_none_"/&gt;</v>
      </c>
      <c r="AW191" s="15" t="str">
        <f>IF(X191&lt;&gt;"","&lt;vk kbd="""&amp;X$1&amp;""" vk="""&amp;X191&amp;""""&amp;IF(Scan2VKFlags!S191&lt;&gt;""," flags="""&amp;Scan2VKFlags!S191&amp;"""","")&amp;"/&gt;","")</f>
        <v>&lt;vk kbd="33" vk="_none_"/&gt;</v>
      </c>
      <c r="AX191" s="15" t="str">
        <f>IF(Y191&lt;&gt;"","&lt;vk kbd="""&amp;Y$1&amp;""" vk="""&amp;Y191&amp;""""&amp;IF(Scan2VKFlags!T191&lt;&gt;""," flags="""&amp;Scan2VKFlags!T191&amp;"""","")&amp;"/&gt;","")</f>
        <v>&lt;vk kbd="34" vk="_none_"/&gt;</v>
      </c>
      <c r="AY191" s="18" t="str">
        <f>IF(AA191&lt;&gt;"","&lt;vk kbd="""&amp;AA$1&amp;""" vk="""&amp;AA191&amp;""""&amp;IF(Scan2VKFlags!U191&lt;&gt;""," flags="""&amp;Scan2VKFlags!U191&amp;"""","")&amp;"/&gt;","")</f>
        <v/>
      </c>
      <c r="AZ191" s="3" t="str">
        <f>IF(AC191&lt;&gt;"","&lt;vk kbd="""&amp;AC$1&amp;""" vk="""&amp;AC191&amp;""""&amp;IF(Scan2VKFlags!V191&lt;&gt;""," flags="""&amp;Scan2VKFlags!V191&amp;"""","")&amp;"/&gt;","")</f>
        <v/>
      </c>
      <c r="BA191" s="16" t="str">
        <f>IF(AD191&lt;&gt;"","&lt;vk kbd="""&amp;AD$1&amp;""" vk="""&amp;AD191&amp;""""&amp;IF(Scan2VKFlags!W191&lt;&gt;""," flags="""&amp;Scan2VKFlags!W191&amp;"""","")&amp;"/&gt;","")</f>
        <v/>
      </c>
      <c r="BB191" s="15" t="s">
        <v>854</v>
      </c>
    </row>
    <row r="192" spans="2:54" s="15" customFormat="1" x14ac:dyDescent="0.25">
      <c r="B192" s="52" t="s">
        <v>504</v>
      </c>
      <c r="C192" s="7"/>
      <c r="D192" s="44"/>
      <c r="E192" s="44"/>
      <c r="F192" s="44"/>
      <c r="G192" s="44"/>
      <c r="H192" s="44"/>
      <c r="I192" s="44"/>
      <c r="J192" s="9"/>
      <c r="K192" s="44"/>
      <c r="L192" s="44"/>
      <c r="M192" s="44"/>
      <c r="N192" s="44"/>
      <c r="O192" s="44"/>
      <c r="P192" s="44"/>
      <c r="Q192" s="44"/>
      <c r="R192" s="2" t="s">
        <v>342</v>
      </c>
      <c r="S192" s="44"/>
      <c r="T192" s="44"/>
      <c r="U192" s="45"/>
      <c r="V192" s="53" t="s">
        <v>507</v>
      </c>
      <c r="W192" s="44" t="str">
        <f>trimtext(SplitText($V192,",",0))</f>
        <v>_none_</v>
      </c>
      <c r="X192" s="44" t="str">
        <f>IF(SplitText($V192,",",COLUMN(X:X)-COLUMN($W:$W))="",$W192,trimtext(SplitText($V192,",",COLUMN(X:X)-COLUMN($W:$W))))</f>
        <v>_none_</v>
      </c>
      <c r="Y192" s="44" t="str">
        <f>IF(SplitText($V192,",",COLUMN(Y:Y)-COLUMN($W:$W))="",$W192,trimtext(SplitText($V192,",",COLUMN(Y:Y)-COLUMN($W:$W))))</f>
        <v>_none_</v>
      </c>
      <c r="Z192" s="24"/>
      <c r="AA192" s="44" t="str">
        <f t="shared" si="13"/>
        <v/>
      </c>
      <c r="AB192" s="24"/>
      <c r="AC192" s="44" t="str">
        <f>trimtext(SplitText($AB192,",",0))</f>
        <v/>
      </c>
      <c r="AD192" s="44" t="str">
        <f>IF(SplitText($AB192,",",COLUMN(AD:AD)-COLUMN($AC:$AC))="",$AC192,trimtext(SplitText($AB192,",",COLUMN(AD:AD)-COLUMN($AC:$AC))))</f>
        <v/>
      </c>
      <c r="AE192" s="18" t="str">
        <f t="shared" si="12"/>
        <v>&lt;xs:enumeration value="X7B"&gt;&lt;xs:annotation&gt;&lt;xs:documentation&gt;Typically &lt;/xs:documentation&gt;&lt;xs:appinfo&gt;&lt;default-vk&gt;</v>
      </c>
      <c r="AF192" s="15" t="str">
        <f>IF(D192&lt;&gt;"","&lt;vk kbd="""&amp;D$1&amp;""" vk="""&amp;D192&amp;""""&amp;IF(Scan2VKFlags!B192&lt;&gt;""," flags="""&amp;Scan2VKFlags!B192&amp;"""","")&amp;"/&gt;","")</f>
        <v/>
      </c>
      <c r="AG192" s="15" t="str">
        <f>IF(E192&lt;&gt;"","&lt;vk kbd="""&amp;E$1&amp;""" vk="""&amp;E192&amp;""""&amp;IF(Scan2VKFlags!C192&lt;&gt;""," flags="""&amp;Scan2VKFlags!C192&amp;"""","")&amp;"/&gt;","")</f>
        <v/>
      </c>
      <c r="AH192" s="15" t="str">
        <f>IF(F192&lt;&gt;"","&lt;vk kbd="""&amp;F$1&amp;""" vk="""&amp;F192&amp;""""&amp;IF(Scan2VKFlags!D192&lt;&gt;""," flags="""&amp;Scan2VKFlags!D192&amp;"""","")&amp;"/&gt;","")</f>
        <v/>
      </c>
      <c r="AI192" s="15" t="str">
        <f>IF(G192&lt;&gt;"","&lt;vk kbd="""&amp;G$1&amp;""" vk="""&amp;G192&amp;""""&amp;IF(Scan2VKFlags!E192&lt;&gt;""," flags="""&amp;Scan2VKFlags!E192&amp;"""","")&amp;"/&gt;","")</f>
        <v/>
      </c>
      <c r="AJ192" s="15" t="str">
        <f>IF(H192&lt;&gt;"","&lt;vk kbd="""&amp;H$1&amp;""" vk="""&amp;H192&amp;""""&amp;IF(Scan2VKFlags!F192&lt;&gt;""," flags="""&amp;Scan2VKFlags!F192&amp;"""","")&amp;"/&gt;","")</f>
        <v/>
      </c>
      <c r="AK192" s="16" t="str">
        <f>IF(I192&lt;&gt;"","&lt;vk kbd="""&amp;I$1&amp;""" vk="""&amp;I192&amp;""""&amp;IF(Scan2VKFlags!G192&lt;&gt;""," flags="""&amp;Scan2VKFlags!G192&amp;"""","")&amp;"/&gt;","")</f>
        <v/>
      </c>
      <c r="AL192" s="3" t="str">
        <f>IF(K192&lt;&gt;"","&lt;vk kbd="""&amp;K$1&amp;""" vk="""&amp;K192&amp;""""&amp;IF(Scan2VKFlags!H192&lt;&gt;""," flags="""&amp;Scan2VKFlags!H192&amp;"""","")&amp;"/&gt;","")</f>
        <v/>
      </c>
      <c r="AM192" s="15" t="str">
        <f>IF(L192&lt;&gt;"","&lt;vk kbd="""&amp;L$1&amp;""" vk="""&amp;L192&amp;""""&amp;IF(Scan2VKFlags!I192&lt;&gt;""," flags="""&amp;Scan2VKFlags!I192&amp;"""","")&amp;"/&gt;","")</f>
        <v/>
      </c>
      <c r="AN192" s="15" t="str">
        <f>IF(M192&lt;&gt;"","&lt;vk kbd="""&amp;M$1&amp;""" vk="""&amp;M192&amp;""""&amp;IF(Scan2VKFlags!J192&lt;&gt;""," flags="""&amp;Scan2VKFlags!J192&amp;"""","")&amp;"/&gt;","")</f>
        <v/>
      </c>
      <c r="AO192" s="15" t="str">
        <f>IF(N192&lt;&gt;"","&lt;vk kbd="""&amp;N$1&amp;""" vk="""&amp;N192&amp;""""&amp;IF(Scan2VKFlags!K192&lt;&gt;""," flags="""&amp;Scan2VKFlags!K192&amp;"""","")&amp;"/&gt;","")</f>
        <v/>
      </c>
      <c r="AP192" s="15" t="str">
        <f>IF(O192&lt;&gt;"","&lt;vk kbd="""&amp;O$1&amp;""" vk="""&amp;O192&amp;""""&amp;IF(Scan2VKFlags!L192&lt;&gt;""," flags="""&amp;Scan2VKFlags!L192&amp;"""","")&amp;"/&gt;","")</f>
        <v/>
      </c>
      <c r="AQ192" s="15" t="str">
        <f>IF(P192&lt;&gt;"","&lt;vk kbd="""&amp;P$1&amp;""" vk="""&amp;P192&amp;""""&amp;IF(Scan2VKFlags!M192&lt;&gt;""," flags="""&amp;Scan2VKFlags!M192&amp;"""","")&amp;"/&gt;","")</f>
        <v/>
      </c>
      <c r="AR192" s="16" t="str">
        <f>IF(Q192&lt;&gt;"","&lt;vk kbd="""&amp;Q$1&amp;""" vk="""&amp;Q192&amp;""""&amp;IF(Scan2VKFlags!N192&lt;&gt;""," flags="""&amp;Scan2VKFlags!N192&amp;"""","")&amp;"/&gt;","")</f>
        <v/>
      </c>
      <c r="AS192" s="3" t="str">
        <f>IF(S192&lt;&gt;"","&lt;vk kbd="""&amp;S$1&amp;""" vk="""&amp;S192&amp;""""&amp;IF(Scan2VKFlags!O192&lt;&gt;""," flags="""&amp;Scan2VKFlags!O192&amp;"""","")&amp;"/&gt;","")</f>
        <v/>
      </c>
      <c r="AT192" s="15" t="str">
        <f>IF(T192&lt;&gt;"","&lt;vk kbd="""&amp;T$1&amp;""" vk="""&amp;T192&amp;""""&amp;IF(Scan2VKFlags!P192&lt;&gt;""," flags="""&amp;Scan2VKFlags!P192&amp;"""","")&amp;"/&gt;","")</f>
        <v/>
      </c>
      <c r="AU192" s="16" t="str">
        <f>IF(U192&lt;&gt;"","&lt;vk kbd="""&amp;U$1&amp;""" vk="""&amp;U192&amp;""""&amp;IF(Scan2VKFlags!Q192&lt;&gt;""," flags="""&amp;Scan2VKFlags!Q192&amp;"""","")&amp;"/&gt;","")</f>
        <v/>
      </c>
      <c r="AV192" s="3" t="str">
        <f>IF(W192&lt;&gt;"","&lt;vk kbd="""&amp;W$1&amp;""" vk="""&amp;W192&amp;""""&amp;IF(Scan2VKFlags!R192&lt;&gt;""," flags="""&amp;Scan2VKFlags!R192&amp;"""","")&amp;"/&gt;","")</f>
        <v>&lt;vk kbd="30" vk="_none_"/&gt;</v>
      </c>
      <c r="AW192" s="15" t="str">
        <f>IF(X192&lt;&gt;"","&lt;vk kbd="""&amp;X$1&amp;""" vk="""&amp;X192&amp;""""&amp;IF(Scan2VKFlags!S192&lt;&gt;""," flags="""&amp;Scan2VKFlags!S192&amp;"""","")&amp;"/&gt;","")</f>
        <v>&lt;vk kbd="33" vk="_none_"/&gt;</v>
      </c>
      <c r="AX192" s="15" t="str">
        <f>IF(Y192&lt;&gt;"","&lt;vk kbd="""&amp;Y$1&amp;""" vk="""&amp;Y192&amp;""""&amp;IF(Scan2VKFlags!T192&lt;&gt;""," flags="""&amp;Scan2VKFlags!T192&amp;"""","")&amp;"/&gt;","")</f>
        <v>&lt;vk kbd="34" vk="_none_"/&gt;</v>
      </c>
      <c r="AY192" s="18" t="str">
        <f>IF(AA192&lt;&gt;"","&lt;vk kbd="""&amp;AA$1&amp;""" vk="""&amp;AA192&amp;""""&amp;IF(Scan2VKFlags!U192&lt;&gt;""," flags="""&amp;Scan2VKFlags!U192&amp;"""","")&amp;"/&gt;","")</f>
        <v/>
      </c>
      <c r="AZ192" s="3" t="str">
        <f>IF(AC192&lt;&gt;"","&lt;vk kbd="""&amp;AC$1&amp;""" vk="""&amp;AC192&amp;""""&amp;IF(Scan2VKFlags!V192&lt;&gt;""," flags="""&amp;Scan2VKFlags!V192&amp;"""","")&amp;"/&gt;","")</f>
        <v/>
      </c>
      <c r="BA192" s="16" t="str">
        <f>IF(AD192&lt;&gt;"","&lt;vk kbd="""&amp;AD$1&amp;""" vk="""&amp;AD192&amp;""""&amp;IF(Scan2VKFlags!W192&lt;&gt;""," flags="""&amp;Scan2VKFlags!W192&amp;"""","")&amp;"/&gt;","")</f>
        <v/>
      </c>
      <c r="BB192" s="15" t="s">
        <v>854</v>
      </c>
    </row>
    <row r="193" spans="2:54" s="15" customFormat="1" x14ac:dyDescent="0.25">
      <c r="B193" s="52" t="s">
        <v>337</v>
      </c>
      <c r="C193" s="8"/>
      <c r="D193" s="44" t="str">
        <f>trimtext(SplitText($C193,",",0))</f>
        <v/>
      </c>
      <c r="E193" s="44" t="str">
        <f>IF(SplitText($C193,",",COLUMN(E:E)-COLUMN($D:$D))="",$D193,trimtext(SplitText($C193,",",COLUMN(E:E)-COLUMN($D:$D))))</f>
        <v/>
      </c>
      <c r="F193" s="44" t="str">
        <f>IF(SplitText($C193,",",COLUMN(F:F)-COLUMN($D:$D))="",$D193,trimtext(SplitText($C193,",",COLUMN(F:F)-COLUMN($D:$D))))</f>
        <v/>
      </c>
      <c r="G193" s="44" t="str">
        <f>IF(SplitText($C193,",",COLUMN(G:G)-COLUMN($D:$D))="",$D193,trimtext(SplitText($C193,",",COLUMN(G:G)-COLUMN($D:$D))))</f>
        <v/>
      </c>
      <c r="H193" s="44" t="str">
        <f>IF(SplitText($C193,",",COLUMN(H:H)-COLUMN($D:$D))="",$D193,trimtext(SplitText($C193,",",COLUMN(H:H)-COLUMN($D:$D))))</f>
        <v/>
      </c>
      <c r="I193" s="44" t="str">
        <f>IF(SplitText($C193,",",COLUMN(I:I)-COLUMN($D:$D))="",$D193,trimtext(SplitText($C193,",",COLUMN(I:I)-COLUMN($D:$D))))</f>
        <v/>
      </c>
      <c r="J193" s="9" t="s">
        <v>331</v>
      </c>
      <c r="K193" s="44" t="str">
        <f>trimtext(SplitText($J193,",",0))</f>
        <v>_none_</v>
      </c>
      <c r="L193" s="44" t="str">
        <f>IF(SplitText($J193,",",COLUMN(L:L)-COLUMN($K:$K))="",$K193,trimtext(SplitText($J193,",",COLUMN(L:L)-COLUMN($K:$K))))</f>
        <v>_none_</v>
      </c>
      <c r="M193" s="44" t="str">
        <f>IF(SplitText($J193,",",COLUMN(M:M)-COLUMN($K:$K))="",$K193,trimtext(SplitText($J193,",",COLUMN(M:M)-COLUMN($K:$K))))</f>
        <v>_none_</v>
      </c>
      <c r="N193" s="44" t="str">
        <f>IF(SplitText($J193,",",COLUMN(N:N)-COLUMN($K:$K))="",$K193,trimtext(SplitText($J193,",",COLUMN(N:N)-COLUMN($K:$K))))</f>
        <v>HANJA</v>
      </c>
      <c r="O193" s="44" t="str">
        <f>IF(SplitText($J193,",",COLUMN(O:O)-COLUMN($K:$K))="",$K193,trimtext(SplitText($J193,",",COLUMN(O:O)-COLUMN($K:$K))))</f>
        <v>HANJA</v>
      </c>
      <c r="P193" s="44" t="str">
        <f>IF(SplitText($J193,",",COLUMN(P:P)-COLUMN($K:$K))="",$K193,trimtext(SplitText($J193,",",COLUMN(P:P)-COLUMN($K:$K))))</f>
        <v>HANJA</v>
      </c>
      <c r="Q193" s="44" t="str">
        <f>IF(SplitText($J193,",",COLUMN(Q:Q)-COLUMN($K:$K))="",$K193,trimtext(SplitText($J193,",",COLUMN(Q:Q)-COLUMN($K:$K))))</f>
        <v>HANJA</v>
      </c>
      <c r="R193" s="24"/>
      <c r="S193" s="44" t="str">
        <f>trimtext(SplitText($R193,",",0))</f>
        <v/>
      </c>
      <c r="T193" s="44" t="str">
        <f>IF(SplitText($R193,",",COLUMN(T:T)-COLUMN($S:$S))="",$S193,trimtext(SplitText($R193,",",COLUMN(T:T)-COLUMN($S:$S))))</f>
        <v/>
      </c>
      <c r="U193" s="45" t="str">
        <f>IF(SplitText($R193,",",COLUMN(U:U)-COLUMN($S:$S))="",$S193,trimtext(SplitText($R193,",",COLUMN(U:U)-COLUMN($S:$S))))</f>
        <v/>
      </c>
      <c r="V193" s="42"/>
      <c r="W193" s="44" t="str">
        <f>trimtext(SplitText($V193,",",0))</f>
        <v/>
      </c>
      <c r="X193" s="44" t="str">
        <f>IF(SplitText($V193,",",COLUMN(X:X)-COLUMN($W:$W))="",$W193,trimtext(SplitText($V193,",",COLUMN(X:X)-COLUMN($W:$W))))</f>
        <v/>
      </c>
      <c r="Y193" s="44" t="str">
        <f>IF(SplitText($V193,",",COLUMN(Y:Y)-COLUMN($W:$W))="",$W193,trimtext(SplitText($V193,",",COLUMN(Y:Y)-COLUMN($W:$W))))</f>
        <v/>
      </c>
      <c r="Z193" s="24"/>
      <c r="AA193" s="44" t="str">
        <f t="shared" si="13"/>
        <v/>
      </c>
      <c r="AB193" s="24"/>
      <c r="AC193" s="44" t="str">
        <f>trimtext(SplitText($AB193,",",0))</f>
        <v/>
      </c>
      <c r="AD193" s="44" t="str">
        <f>IF(SplitText($AB193,",",COLUMN(AD:AD)-COLUMN($AC:$AC))="",$AC193,trimtext(SplitText($AB193,",",COLUMN(AD:AD)-COLUMN($AC:$AC))))</f>
        <v/>
      </c>
      <c r="AE193" s="18" t="str">
        <f t="shared" si="12"/>
        <v>&lt;xs:enumeration value="XF1"&gt;&lt;xs:annotation&gt;&lt;xs:documentation&gt;Typically &lt;/xs:documentation&gt;&lt;xs:appinfo&gt;&lt;default-vk&gt;</v>
      </c>
      <c r="AF193" s="15" t="str">
        <f>IF(D193&lt;&gt;"","&lt;vk kbd="""&amp;D$1&amp;""" vk="""&amp;D193&amp;""""&amp;IF(Scan2VKFlags!B193&lt;&gt;""," flags="""&amp;Scan2VKFlags!B193&amp;"""","")&amp;"/&gt;","")</f>
        <v/>
      </c>
      <c r="AG193" s="15" t="str">
        <f>IF(E193&lt;&gt;"","&lt;vk kbd="""&amp;E$1&amp;""" vk="""&amp;E193&amp;""""&amp;IF(Scan2VKFlags!C193&lt;&gt;""," flags="""&amp;Scan2VKFlags!C193&amp;"""","")&amp;"/&gt;","")</f>
        <v/>
      </c>
      <c r="AH193" s="15" t="str">
        <f>IF(F193&lt;&gt;"","&lt;vk kbd="""&amp;F$1&amp;""" vk="""&amp;F193&amp;""""&amp;IF(Scan2VKFlags!D193&lt;&gt;""," flags="""&amp;Scan2VKFlags!D193&amp;"""","")&amp;"/&gt;","")</f>
        <v/>
      </c>
      <c r="AI193" s="15" t="str">
        <f>IF(G193&lt;&gt;"","&lt;vk kbd="""&amp;G$1&amp;""" vk="""&amp;G193&amp;""""&amp;IF(Scan2VKFlags!E193&lt;&gt;""," flags="""&amp;Scan2VKFlags!E193&amp;"""","")&amp;"/&gt;","")</f>
        <v/>
      </c>
      <c r="AJ193" s="15" t="str">
        <f>IF(H193&lt;&gt;"","&lt;vk kbd="""&amp;H$1&amp;""" vk="""&amp;H193&amp;""""&amp;IF(Scan2VKFlags!F193&lt;&gt;""," flags="""&amp;Scan2VKFlags!F193&amp;"""","")&amp;"/&gt;","")</f>
        <v/>
      </c>
      <c r="AK193" s="16" t="str">
        <f>IF(I193&lt;&gt;"","&lt;vk kbd="""&amp;I$1&amp;""" vk="""&amp;I193&amp;""""&amp;IF(Scan2VKFlags!G193&lt;&gt;""," flags="""&amp;Scan2VKFlags!G193&amp;"""","")&amp;"/&gt;","")</f>
        <v/>
      </c>
      <c r="AL193" s="3" t="str">
        <f>IF(K193&lt;&gt;"","&lt;vk kbd="""&amp;K$1&amp;""" vk="""&amp;K193&amp;""""&amp;IF(Scan2VKFlags!H193&lt;&gt;""," flags="""&amp;Scan2VKFlags!H193&amp;"""","")&amp;"/&gt;","")</f>
        <v>&lt;vk kbd="7" vk="_none_"/&gt;</v>
      </c>
      <c r="AM193" s="15" t="str">
        <f>IF(L193&lt;&gt;"","&lt;vk kbd="""&amp;L$1&amp;""" vk="""&amp;L193&amp;""""&amp;IF(Scan2VKFlags!I193&lt;&gt;""," flags="""&amp;Scan2VKFlags!I193&amp;"""","")&amp;"/&gt;","")</f>
        <v>&lt;vk kbd="8" vk="_none_"/&gt;</v>
      </c>
      <c r="AN193" s="15" t="str">
        <f>IF(M193&lt;&gt;"","&lt;vk kbd="""&amp;M$1&amp;""" vk="""&amp;M193&amp;""""&amp;IF(Scan2VKFlags!J193&lt;&gt;""," flags="""&amp;Scan2VKFlags!J193&amp;"""","")&amp;"/&gt;","")</f>
        <v>&lt;vk kbd="16" vk="_none_"/&gt;</v>
      </c>
      <c r="AO193" s="15" t="str">
        <f>IF(N193&lt;&gt;"","&lt;vk kbd="""&amp;N$1&amp;""" vk="""&amp;N193&amp;""""&amp;IF(Scan2VKFlags!K193&lt;&gt;""," flags="""&amp;Scan2VKFlags!K193&amp;"""","")&amp;"/&gt;","")</f>
        <v>&lt;vk kbd="10" vk="HANJA"/&gt;</v>
      </c>
      <c r="AP193" s="15" t="str">
        <f>IF(O193&lt;&gt;"","&lt;vk kbd="""&amp;O$1&amp;""" vk="""&amp;O193&amp;""""&amp;IF(Scan2VKFlags!L193&lt;&gt;""," flags="""&amp;Scan2VKFlags!L193&amp;"""","")&amp;"/&gt;","")</f>
        <v>&lt;vk kbd="11" vk="HANJA"/&gt;</v>
      </c>
      <c r="AQ193" s="15" t="str">
        <f>IF(P193&lt;&gt;"","&lt;vk kbd="""&amp;P$1&amp;""" vk="""&amp;P193&amp;""""&amp;IF(Scan2VKFlags!M193&lt;&gt;""," flags="""&amp;Scan2VKFlags!M193&amp;"""","")&amp;"/&gt;","")</f>
        <v>&lt;vk kbd="12" vk="HANJA"/&gt;</v>
      </c>
      <c r="AR193" s="16" t="str">
        <f>IF(Q193&lt;&gt;"","&lt;vk kbd="""&amp;Q$1&amp;""" vk="""&amp;Q193&amp;""""&amp;IF(Scan2VKFlags!N193&lt;&gt;""," flags="""&amp;Scan2VKFlags!N193&amp;"""","")&amp;"/&gt;","")</f>
        <v>&lt;vk kbd="13" vk="HANJA"/&gt;</v>
      </c>
      <c r="AS193" s="3" t="str">
        <f>IF(S193&lt;&gt;"","&lt;vk kbd="""&amp;S$1&amp;""" vk="""&amp;S193&amp;""""&amp;IF(Scan2VKFlags!O193&lt;&gt;""," flags="""&amp;Scan2VKFlags!O193&amp;"""","")&amp;"/&gt;","")</f>
        <v/>
      </c>
      <c r="AT193" s="15" t="str">
        <f>IF(T193&lt;&gt;"","&lt;vk kbd="""&amp;T$1&amp;""" vk="""&amp;T193&amp;""""&amp;IF(Scan2VKFlags!P193&lt;&gt;""," flags="""&amp;Scan2VKFlags!P193&amp;"""","")&amp;"/&gt;","")</f>
        <v/>
      </c>
      <c r="AU193" s="16" t="str">
        <f>IF(U193&lt;&gt;"","&lt;vk kbd="""&amp;U$1&amp;""" vk="""&amp;U193&amp;""""&amp;IF(Scan2VKFlags!Q193&lt;&gt;""," flags="""&amp;Scan2VKFlags!Q193&amp;"""","")&amp;"/&gt;","")</f>
        <v/>
      </c>
      <c r="AV193" s="3" t="str">
        <f>IF(W193&lt;&gt;"","&lt;vk kbd="""&amp;W$1&amp;""" vk="""&amp;W193&amp;""""&amp;IF(Scan2VKFlags!R193&lt;&gt;""," flags="""&amp;Scan2VKFlags!R193&amp;"""","")&amp;"/&gt;","")</f>
        <v/>
      </c>
      <c r="AW193" s="15" t="str">
        <f>IF(X193&lt;&gt;"","&lt;vk kbd="""&amp;X$1&amp;""" vk="""&amp;X193&amp;""""&amp;IF(Scan2VKFlags!S193&lt;&gt;""," flags="""&amp;Scan2VKFlags!S193&amp;"""","")&amp;"/&gt;","")</f>
        <v/>
      </c>
      <c r="AX193" s="15" t="str">
        <f>IF(Y193&lt;&gt;"","&lt;vk kbd="""&amp;Y$1&amp;""" vk="""&amp;Y193&amp;""""&amp;IF(Scan2VKFlags!T193&lt;&gt;""," flags="""&amp;Scan2VKFlags!T193&amp;"""","")&amp;"/&gt;","")</f>
        <v/>
      </c>
      <c r="AY193" s="18" t="str">
        <f>IF(AA193&lt;&gt;"","&lt;vk kbd="""&amp;AA$1&amp;""" vk="""&amp;AA193&amp;""""&amp;IF(Scan2VKFlags!U193&lt;&gt;""," flags="""&amp;Scan2VKFlags!U193&amp;"""","")&amp;"/&gt;","")</f>
        <v/>
      </c>
      <c r="AZ193" s="3" t="str">
        <f>IF(AC193&lt;&gt;"","&lt;vk kbd="""&amp;AC$1&amp;""" vk="""&amp;AC193&amp;""""&amp;IF(Scan2VKFlags!V193&lt;&gt;""," flags="""&amp;Scan2VKFlags!V193&amp;"""","")&amp;"/&gt;","")</f>
        <v/>
      </c>
      <c r="BA193" s="16" t="str">
        <f>IF(AD193&lt;&gt;"","&lt;vk kbd="""&amp;AD$1&amp;""" vk="""&amp;AD193&amp;""""&amp;IF(Scan2VKFlags!W193&lt;&gt;""," flags="""&amp;Scan2VKFlags!W193&amp;"""","")&amp;"/&gt;","")</f>
        <v/>
      </c>
      <c r="BB193" s="15" t="s">
        <v>854</v>
      </c>
    </row>
    <row r="194" spans="2:54" s="4" customFormat="1" ht="15.75" thickBot="1" x14ac:dyDescent="0.3">
      <c r="B194" s="20" t="s">
        <v>338</v>
      </c>
      <c r="C194" s="21"/>
      <c r="D194" s="13" t="str">
        <f>trimtext(SplitText($C194,",",0))</f>
        <v/>
      </c>
      <c r="E194" s="13" t="str">
        <f>IF(SplitText($C194,",",COLUMN(E:E)-COLUMN($D:$D))="",$D194,trimtext(SplitText($C194,",",COLUMN(E:E)-COLUMN($D:$D))))</f>
        <v/>
      </c>
      <c r="F194" s="13" t="str">
        <f>IF(SplitText($C194,",",COLUMN(F:F)-COLUMN($D:$D))="",$D194,trimtext(SplitText($C194,",",COLUMN(F:F)-COLUMN($D:$D))))</f>
        <v/>
      </c>
      <c r="G194" s="13" t="str">
        <f>IF(SplitText($C194,",",COLUMN(G:G)-COLUMN($D:$D))="",$D194,trimtext(SplitText($C194,",",COLUMN(G:G)-COLUMN($D:$D))))</f>
        <v/>
      </c>
      <c r="H194" s="13" t="str">
        <f>IF(SplitText($C194,",",COLUMN(H:H)-COLUMN($D:$D))="",$D194,trimtext(SplitText($C194,",",COLUMN(H:H)-COLUMN($D:$D))))</f>
        <v/>
      </c>
      <c r="I194" s="13" t="str">
        <f>IF(SplitText($C194,",",COLUMN(I:I)-COLUMN($D:$D))="",$D194,trimtext(SplitText($C194,",",COLUMN(I:I)-COLUMN($D:$D))))</f>
        <v/>
      </c>
      <c r="J194" s="10" t="s">
        <v>332</v>
      </c>
      <c r="K194" s="13" t="str">
        <f>trimtext(SplitText($J194,",",0))</f>
        <v>_none_</v>
      </c>
      <c r="L194" s="13" t="str">
        <f>IF(SplitText($J194,",",COLUMN(L:L)-COLUMN($K:$K))="",$K194,trimtext(SplitText($J194,",",COLUMN(L:L)-COLUMN($K:$K))))</f>
        <v>_none_</v>
      </c>
      <c r="M194" s="13" t="str">
        <f>IF(SplitText($J194,",",COLUMN(M:M)-COLUMN($K:$K))="",$K194,trimtext(SplitText($J194,",",COLUMN(M:M)-COLUMN($K:$K))))</f>
        <v>_none_</v>
      </c>
      <c r="N194" s="13" t="str">
        <f>IF(SplitText($J194,",",COLUMN(N:N)-COLUMN($K:$K))="",$K194,trimtext(SplitText($J194,",",COLUMN(N:N)-COLUMN($K:$K))))</f>
        <v>HANGEUL</v>
      </c>
      <c r="O194" s="13" t="str">
        <f>IF(SplitText($J194,",",COLUMN(O:O)-COLUMN($K:$K))="",$K194,trimtext(SplitText($J194,",",COLUMN(O:O)-COLUMN($K:$K))))</f>
        <v>HANGEUL</v>
      </c>
      <c r="P194" s="13" t="str">
        <f>IF(SplitText($J194,",",COLUMN(P:P)-COLUMN($K:$K))="",$K194,trimtext(SplitText($J194,",",COLUMN(P:P)-COLUMN($K:$K))))</f>
        <v>HANGEUL</v>
      </c>
      <c r="Q194" s="13" t="str">
        <f>IF(SplitText($J194,",",COLUMN(Q:Q)-COLUMN($K:$K))="",$K194,trimtext(SplitText($J194,",",COLUMN(Q:Q)-COLUMN($K:$K))))</f>
        <v>HANGEUL</v>
      </c>
      <c r="R194" s="25"/>
      <c r="S194" s="13" t="str">
        <f>trimtext(SplitText($R194,",",0))</f>
        <v/>
      </c>
      <c r="T194" s="13" t="str">
        <f>IF(SplitText($R194,",",COLUMN(T:T)-COLUMN($S:$S))="",$S194,trimtext(SplitText($R194,",",COLUMN(T:T)-COLUMN($S:$S))))</f>
        <v/>
      </c>
      <c r="U194" s="22" t="str">
        <f>IF(SplitText($R194,",",COLUMN(U:U)-COLUMN($S:$S))="",$S194,trimtext(SplitText($R194,",",COLUMN(U:U)-COLUMN($S:$S))))</f>
        <v/>
      </c>
      <c r="V194" s="25"/>
      <c r="W194" s="13" t="str">
        <f>trimtext(SplitText($V194,",",0))</f>
        <v/>
      </c>
      <c r="X194" s="13" t="str">
        <f>IF(SplitText($V194,",",COLUMN(X:X)-COLUMN($W:$W))="",$W194,trimtext(SplitText($V194,",",COLUMN(X:X)-COLUMN($W:$W))))</f>
        <v/>
      </c>
      <c r="Y194" s="13" t="str">
        <f>IF(SplitText($V194,",",COLUMN(Y:Y)-COLUMN($W:$W))="",$W194,trimtext(SplitText($V194,",",COLUMN(Y:Y)-COLUMN($W:$W))))</f>
        <v/>
      </c>
      <c r="Z194" s="25"/>
      <c r="AA194" s="13" t="str">
        <f t="shared" si="13"/>
        <v/>
      </c>
      <c r="AB194" s="25"/>
      <c r="AC194" s="13" t="str">
        <f>trimtext(SplitText($AB194,",",0))</f>
        <v/>
      </c>
      <c r="AD194" s="22" t="str">
        <f>IF(SplitText($AB194,",",COLUMN(AD:AD)-COLUMN($AC:$AC))="",$AC194,trimtext(SplitText($AB194,",",COLUMN(AD:AD)-COLUMN($AC:$AC))))</f>
        <v/>
      </c>
      <c r="AE194" s="19" t="str">
        <f t="shared" si="12"/>
        <v>&lt;xs:enumeration value="XF2"&gt;&lt;xs:annotation&gt;&lt;xs:documentation&gt;Typically &lt;/xs:documentation&gt;&lt;xs:appinfo&gt;&lt;default-vk&gt;</v>
      </c>
      <c r="AF194" s="4" t="str">
        <f>IF(D194&lt;&gt;"","&lt;vk kbd="""&amp;D$1&amp;""" vk="""&amp;D194&amp;""""&amp;IF(Scan2VKFlags!B194&lt;&gt;""," flags="""&amp;Scan2VKFlags!B194&amp;"""","")&amp;"/&gt;","")</f>
        <v/>
      </c>
      <c r="AG194" s="4" t="str">
        <f>IF(E194&lt;&gt;"","&lt;vk kbd="""&amp;E$1&amp;""" vk="""&amp;E194&amp;""""&amp;IF(Scan2VKFlags!C194&lt;&gt;""," flags="""&amp;Scan2VKFlags!C194&amp;"""","")&amp;"/&gt;","")</f>
        <v/>
      </c>
      <c r="AH194" s="4" t="str">
        <f>IF(F194&lt;&gt;"","&lt;vk kbd="""&amp;F$1&amp;""" vk="""&amp;F194&amp;""""&amp;IF(Scan2VKFlags!D194&lt;&gt;""," flags="""&amp;Scan2VKFlags!D194&amp;"""","")&amp;"/&gt;","")</f>
        <v/>
      </c>
      <c r="AI194" s="4" t="str">
        <f>IF(G194&lt;&gt;"","&lt;vk kbd="""&amp;G$1&amp;""" vk="""&amp;G194&amp;""""&amp;IF(Scan2VKFlags!E194&lt;&gt;""," flags="""&amp;Scan2VKFlags!E194&amp;"""","")&amp;"/&gt;","")</f>
        <v/>
      </c>
      <c r="AJ194" s="4" t="str">
        <f>IF(H194&lt;&gt;"","&lt;vk kbd="""&amp;H$1&amp;""" vk="""&amp;H194&amp;""""&amp;IF(Scan2VKFlags!F194&lt;&gt;""," flags="""&amp;Scan2VKFlags!F194&amp;"""","")&amp;"/&gt;","")</f>
        <v/>
      </c>
      <c r="AK194" s="17" t="str">
        <f>IF(I194&lt;&gt;"","&lt;vk kbd="""&amp;I$1&amp;""" vk="""&amp;I194&amp;""""&amp;IF(Scan2VKFlags!G194&lt;&gt;""," flags="""&amp;Scan2VKFlags!G194&amp;"""","")&amp;"/&gt;","")</f>
        <v/>
      </c>
      <c r="AL194" s="5" t="str">
        <f>IF(K194&lt;&gt;"","&lt;vk kbd="""&amp;K$1&amp;""" vk="""&amp;K194&amp;""""&amp;IF(Scan2VKFlags!H194&lt;&gt;""," flags="""&amp;Scan2VKFlags!H194&amp;"""","")&amp;"/&gt;","")</f>
        <v>&lt;vk kbd="7" vk="_none_"/&gt;</v>
      </c>
      <c r="AM194" s="4" t="str">
        <f>IF(L194&lt;&gt;"","&lt;vk kbd="""&amp;L$1&amp;""" vk="""&amp;L194&amp;""""&amp;IF(Scan2VKFlags!I194&lt;&gt;""," flags="""&amp;Scan2VKFlags!I194&amp;"""","")&amp;"/&gt;","")</f>
        <v>&lt;vk kbd="8" vk="_none_"/&gt;</v>
      </c>
      <c r="AN194" s="4" t="str">
        <f>IF(M194&lt;&gt;"","&lt;vk kbd="""&amp;M$1&amp;""" vk="""&amp;M194&amp;""""&amp;IF(Scan2VKFlags!J194&lt;&gt;""," flags="""&amp;Scan2VKFlags!J194&amp;"""","")&amp;"/&gt;","")</f>
        <v>&lt;vk kbd="16" vk="_none_"/&gt;</v>
      </c>
      <c r="AO194" s="4" t="str">
        <f>IF(N194&lt;&gt;"","&lt;vk kbd="""&amp;N$1&amp;""" vk="""&amp;N194&amp;""""&amp;IF(Scan2VKFlags!K194&lt;&gt;""," flags="""&amp;Scan2VKFlags!K194&amp;"""","")&amp;"/&gt;","")</f>
        <v>&lt;vk kbd="10" vk="HANGEUL"/&gt;</v>
      </c>
      <c r="AP194" s="4" t="str">
        <f>IF(O194&lt;&gt;"","&lt;vk kbd="""&amp;O$1&amp;""" vk="""&amp;O194&amp;""""&amp;IF(Scan2VKFlags!L194&lt;&gt;""," flags="""&amp;Scan2VKFlags!L194&amp;"""","")&amp;"/&gt;","")</f>
        <v>&lt;vk kbd="11" vk="HANGEUL"/&gt;</v>
      </c>
      <c r="AQ194" s="4" t="str">
        <f>IF(P194&lt;&gt;"","&lt;vk kbd="""&amp;P$1&amp;""" vk="""&amp;P194&amp;""""&amp;IF(Scan2VKFlags!M194&lt;&gt;""," flags="""&amp;Scan2VKFlags!M194&amp;"""","")&amp;"/&gt;","")</f>
        <v>&lt;vk kbd="12" vk="HANGEUL"/&gt;</v>
      </c>
      <c r="AR194" s="17" t="str">
        <f>IF(Q194&lt;&gt;"","&lt;vk kbd="""&amp;Q$1&amp;""" vk="""&amp;Q194&amp;""""&amp;IF(Scan2VKFlags!N194&lt;&gt;""," flags="""&amp;Scan2VKFlags!N194&amp;"""","")&amp;"/&gt;","")</f>
        <v>&lt;vk kbd="13" vk="HANGEUL"/&gt;</v>
      </c>
      <c r="AS194" s="5" t="str">
        <f>IF(S194&lt;&gt;"","&lt;vk kbd="""&amp;S$1&amp;""" vk="""&amp;S194&amp;""""&amp;IF(Scan2VKFlags!O194&lt;&gt;""," flags="""&amp;Scan2VKFlags!O194&amp;"""","")&amp;"/&gt;","")</f>
        <v/>
      </c>
      <c r="AT194" s="4" t="str">
        <f>IF(T194&lt;&gt;"","&lt;vk kbd="""&amp;T$1&amp;""" vk="""&amp;T194&amp;""""&amp;IF(Scan2VKFlags!P194&lt;&gt;""," flags="""&amp;Scan2VKFlags!P194&amp;"""","")&amp;"/&gt;","")</f>
        <v/>
      </c>
      <c r="AU194" s="17" t="str">
        <f>IF(U194&lt;&gt;"","&lt;vk kbd="""&amp;U$1&amp;""" vk="""&amp;U194&amp;""""&amp;IF(Scan2VKFlags!Q194&lt;&gt;""," flags="""&amp;Scan2VKFlags!Q194&amp;"""","")&amp;"/&gt;","")</f>
        <v/>
      </c>
      <c r="AV194" s="5" t="str">
        <f>IF(W194&lt;&gt;"","&lt;vk kbd="""&amp;W$1&amp;""" vk="""&amp;W194&amp;""""&amp;IF(Scan2VKFlags!R194&lt;&gt;""," flags="""&amp;Scan2VKFlags!R194&amp;"""","")&amp;"/&gt;","")</f>
        <v/>
      </c>
      <c r="AW194" s="4" t="str">
        <f>IF(X194&lt;&gt;"","&lt;vk kbd="""&amp;X$1&amp;""" vk="""&amp;X194&amp;""""&amp;IF(Scan2VKFlags!S194&lt;&gt;""," flags="""&amp;Scan2VKFlags!S194&amp;"""","")&amp;"/&gt;","")</f>
        <v/>
      </c>
      <c r="AX194" s="4" t="str">
        <f>IF(Y194&lt;&gt;"","&lt;vk kbd="""&amp;Y$1&amp;""" vk="""&amp;Y194&amp;""""&amp;IF(Scan2VKFlags!T194&lt;&gt;""," flags="""&amp;Scan2VKFlags!T194&amp;"""","")&amp;"/&gt;","")</f>
        <v/>
      </c>
      <c r="AY194" s="19" t="str">
        <f>IF(AA194&lt;&gt;"","&lt;vk kbd="""&amp;AA$1&amp;""" vk="""&amp;AA194&amp;""""&amp;IF(Scan2VKFlags!U194&lt;&gt;""," flags="""&amp;Scan2VKFlags!U194&amp;"""","")&amp;"/&gt;","")</f>
        <v/>
      </c>
      <c r="AZ194" s="5" t="str">
        <f>IF(AC194&lt;&gt;"","&lt;vk kbd="""&amp;AC$1&amp;""" vk="""&amp;AC194&amp;""""&amp;IF(Scan2VKFlags!V194&lt;&gt;""," flags="""&amp;Scan2VKFlags!V194&amp;"""","")&amp;"/&gt;","")</f>
        <v/>
      </c>
      <c r="BA194" s="17" t="str">
        <f>IF(AD194&lt;&gt;"","&lt;vk kbd="""&amp;AD$1&amp;""" vk="""&amp;AD194&amp;""""&amp;IF(Scan2VKFlags!W194&lt;&gt;""," flags="""&amp;Scan2VKFlags!W194&amp;"""","")&amp;"/&gt;","")</f>
        <v/>
      </c>
      <c r="BB194" s="4" t="s">
        <v>854</v>
      </c>
    </row>
    <row r="195" spans="2:54" ht="15.75" thickTop="1" x14ac:dyDescent="0.25">
      <c r="B195" s="1" t="s">
        <v>339</v>
      </c>
      <c r="C195" s="8" t="s">
        <v>340</v>
      </c>
      <c r="D195" s="12" t="str">
        <f>trimtext(SplitText($C195,",",0))</f>
        <v>PAUSE</v>
      </c>
      <c r="E195" s="12" t="str">
        <f>IF(SplitText($C195,",",COLUMN(E:E)-COLUMN($D:$D))="",$D195,trimtext(SplitText($C195,",",COLUMN(E:E)-COLUMN($D:$D))))</f>
        <v>PAUSE</v>
      </c>
      <c r="F195" s="12" t="str">
        <f>IF(SplitText($C195,",",COLUMN(F:F)-COLUMN($D:$D))="",$D195,trimtext(SplitText($C195,",",COLUMN(F:F)-COLUMN($D:$D))))</f>
        <v>PAUSE</v>
      </c>
      <c r="G195" s="12" t="str">
        <f>IF(SplitText($C195,",",COLUMN(G:G)-COLUMN($D:$D))="",$D195,trimtext(SplitText($C195,",",COLUMN(G:G)-COLUMN($D:$D))))</f>
        <v>PAUSE</v>
      </c>
      <c r="H195" s="12" t="str">
        <f>IF(SplitText($C195,",",COLUMN(H:H)-COLUMN($D:$D))="",$D195,trimtext(SplitText($C195,",",COLUMN(H:H)-COLUMN($D:$D))))</f>
        <v>PAUSE</v>
      </c>
      <c r="I195" s="12" t="str">
        <f>IF(SplitText($C195,",",COLUMN(I:I)-COLUMN($D:$D))="",$D195,trimtext(SplitText($C195,",",COLUMN(I:I)-COLUMN($D:$D))))</f>
        <v>PAUSE</v>
      </c>
      <c r="J195" s="9" t="s">
        <v>340</v>
      </c>
      <c r="K195" s="12" t="str">
        <f>trimtext(SplitText($J195,",",0))</f>
        <v>PAUSE</v>
      </c>
      <c r="L195" s="12" t="str">
        <f>IF(SplitText($J195,",",COLUMN(L:L)-COLUMN($K:$K))="",$K195,trimtext(SplitText($J195,",",COLUMN(L:L)-COLUMN($K:$K))))</f>
        <v>PAUSE</v>
      </c>
      <c r="M195" s="12" t="str">
        <f>IF(SplitText($J195,",",COLUMN(M:M)-COLUMN($K:$K))="",$K195,trimtext(SplitText($J195,",",COLUMN(M:M)-COLUMN($K:$K))))</f>
        <v>PAUSE</v>
      </c>
      <c r="N195" s="12" t="str">
        <f>IF(SplitText($J195,",",COLUMN(N:N)-COLUMN($K:$K))="",$K195,trimtext(SplitText($J195,",",COLUMN(N:N)-COLUMN($K:$K))))</f>
        <v>PAUSE</v>
      </c>
      <c r="O195" s="12" t="str">
        <f>IF(SplitText($J195,",",COLUMN(O:O)-COLUMN($K:$K))="",$K195,trimtext(SplitText($J195,",",COLUMN(O:O)-COLUMN($K:$K))))</f>
        <v>PAUSE</v>
      </c>
      <c r="P195" s="12" t="str">
        <f>IF(SplitText($J195,",",COLUMN(P:P)-COLUMN($K:$K))="",$K195,trimtext(SplitText($J195,",",COLUMN(P:P)-COLUMN($K:$K))))</f>
        <v>PAUSE</v>
      </c>
      <c r="Q195" s="12" t="str">
        <f>IF(SplitText($J195,",",COLUMN(Q:Q)-COLUMN($K:$K))="",$K195,trimtext(SplitText($J195,",",COLUMN(Q:Q)-COLUMN($K:$K))))</f>
        <v>PAUSE</v>
      </c>
      <c r="R195" s="24" t="s">
        <v>340</v>
      </c>
      <c r="S195" s="12" t="str">
        <f>trimtext(SplitText($R195,",",0))</f>
        <v>PAUSE</v>
      </c>
      <c r="T195" s="12" t="str">
        <f>IF(SplitText($R195,",",COLUMN(T:T)-COLUMN($S:$S))="",$S195,trimtext(SplitText($R195,",",COLUMN(T:T)-COLUMN($S:$S))))</f>
        <v>PAUSE</v>
      </c>
      <c r="U195" s="12" t="str">
        <f>IF(SplitText($R195,",",COLUMN(U:U)-COLUMN($S:$S))="",$S195,trimtext(SplitText($R195,",",COLUMN(U:U)-COLUMN($S:$S))))</f>
        <v>PAUSE</v>
      </c>
      <c r="V195" s="24" t="s">
        <v>340</v>
      </c>
      <c r="W195" s="12" t="str">
        <f>trimtext(SplitText($V195,",",0))</f>
        <v>PAUSE</v>
      </c>
      <c r="X195" s="12" t="str">
        <f>IF(SplitText($V195,",",COLUMN(X:X)-COLUMN($W:$W))="",$W195,trimtext(SplitText($V195,",",COLUMN(X:X)-COLUMN($W:$W))))</f>
        <v>PAUSE</v>
      </c>
      <c r="Y195" s="12" t="str">
        <f>IF(SplitText($V195,",",COLUMN(Y:Y)-COLUMN($W:$W))="",$W195,trimtext(SplitText($V195,",",COLUMN(Y:Y)-COLUMN($W:$W))))</f>
        <v>PAUSE</v>
      </c>
      <c r="Z195" s="24" t="s">
        <v>340</v>
      </c>
      <c r="AA195" s="12" t="str">
        <f t="shared" si="13"/>
        <v>PAUSE</v>
      </c>
      <c r="AB195" s="24" t="s">
        <v>340</v>
      </c>
      <c r="AC195" s="12" t="str">
        <f>trimtext(SplitText($AB195,",",0))</f>
        <v>PAUSE</v>
      </c>
      <c r="AD195" s="12" t="str">
        <f>IF(SplitText($AB195,",",COLUMN(AD:AD)-COLUMN($AC:$AC))="",$AC195,trimtext(SplitText($AB195,",",COLUMN(AD:AD)-COLUMN($AC:$AC))))</f>
        <v>PAUSE</v>
      </c>
      <c r="AE195" s="18" t="str">
        <f t="shared" ref="AE195" si="14">"&lt;xs:enumeration value="""&amp;B195&amp;"""&gt;&lt;xs:annotation&gt;&lt;xs:documentation&gt;Typically "&amp;IF(E195="",D195,G195&amp;" for keyboard type 4, different values for different keyboard types")&amp;"&lt;/xs:documentation&gt;&lt;xs:appinfo&gt;&lt;default-vk&gt;"</f>
        <v>&lt;xs:enumeration value="Y1D"&gt;&lt;xs:annotation&gt;&lt;xs:documentation&gt;Typically PAUSE for keyboard type 4, different values for different keyboard types&lt;/xs:documentation&gt;&lt;xs:appinfo&gt;&lt;default-vk&gt;</v>
      </c>
      <c r="AF195" s="15" t="str">
        <f>IF(D195&lt;&gt;"","&lt;vk kbd="""&amp;D$1&amp;""" vk="""&amp;D195&amp;""""&amp;IF(Scan2VKFlags!B195&lt;&gt;""," flags="""&amp;Scan2VKFlags!B195&amp;"""","")&amp;"/&gt;","")</f>
        <v>&lt;vk kbd="1" vk="PAUSE"/&gt;</v>
      </c>
      <c r="AG195" s="15" t="str">
        <f>IF(E195&lt;&gt;"","&lt;vk kbd="""&amp;E$1&amp;""" vk="""&amp;E195&amp;""""&amp;IF(Scan2VKFlags!C195&lt;&gt;""," flags="""&amp;Scan2VKFlags!C195&amp;"""","")&amp;"/&gt;","")</f>
        <v>&lt;vk kbd="2" vk="PAUSE"/&gt;</v>
      </c>
      <c r="AH195" s="15" t="str">
        <f>IF(F195&lt;&gt;"","&lt;vk kbd="""&amp;F$1&amp;""" vk="""&amp;F195&amp;""""&amp;IF(Scan2VKFlags!D195&lt;&gt;""," flags="""&amp;Scan2VKFlags!D195&amp;"""","")&amp;"/&gt;","")</f>
        <v>&lt;vk kbd="3" vk="PAUSE"/&gt;</v>
      </c>
      <c r="AI195" s="15" t="str">
        <f>IF(G195&lt;&gt;"","&lt;vk kbd="""&amp;G$1&amp;""" vk="""&amp;G195&amp;""""&amp;IF(Scan2VKFlags!E195&lt;&gt;""," flags="""&amp;Scan2VKFlags!E195&amp;"""","")&amp;"/&gt;","")</f>
        <v>&lt;vk kbd="4" vk="PAUSE"/&gt;</v>
      </c>
      <c r="AJ195" s="15" t="str">
        <f>IF(H195&lt;&gt;"","&lt;vk kbd="""&amp;H$1&amp;""" vk="""&amp;H195&amp;""""&amp;IF(Scan2VKFlags!F195&lt;&gt;""," flags="""&amp;Scan2VKFlags!F195&amp;"""","")&amp;"/&gt;","")</f>
        <v>&lt;vk kbd="5" vk="PAUSE"/&gt;</v>
      </c>
      <c r="AK195" s="16" t="str">
        <f>IF(I195&lt;&gt;"","&lt;vk kbd="""&amp;I$1&amp;""" vk="""&amp;I195&amp;""""&amp;IF(Scan2VKFlags!G195&lt;&gt;""," flags="""&amp;Scan2VKFlags!G195&amp;"""","")&amp;"/&gt;","")</f>
        <v>&lt;vk kbd="6" vk="PAUSE"/&gt;</v>
      </c>
      <c r="AL195" s="3" t="str">
        <f>IF(K195&lt;&gt;"","&lt;vk kbd="""&amp;K$1&amp;""" vk="""&amp;K195&amp;""""&amp;IF(Scan2VKFlags!H195&lt;&gt;""," flags="""&amp;Scan2VKFlags!H195&amp;"""","")&amp;"/&gt;","")</f>
        <v>&lt;vk kbd="7" vk="PAUSE"/&gt;</v>
      </c>
      <c r="AM195" t="str">
        <f>IF(L195&lt;&gt;"","&lt;vk kbd="""&amp;L$1&amp;""" vk="""&amp;L195&amp;""""&amp;IF(Scan2VKFlags!I195&lt;&gt;""," flags="""&amp;Scan2VKFlags!I195&amp;"""","")&amp;"/&gt;","")</f>
        <v>&lt;vk kbd="8" vk="PAUSE"/&gt;</v>
      </c>
      <c r="AN195" t="str">
        <f>IF(M195&lt;&gt;"","&lt;vk kbd="""&amp;M$1&amp;""" vk="""&amp;M195&amp;""""&amp;IF(Scan2VKFlags!J195&lt;&gt;""," flags="""&amp;Scan2VKFlags!J195&amp;"""","")&amp;"/&gt;","")</f>
        <v>&lt;vk kbd="16" vk="PAUSE"/&gt;</v>
      </c>
      <c r="AO195" t="str">
        <f>IF(N195&lt;&gt;"","&lt;vk kbd="""&amp;N$1&amp;""" vk="""&amp;N195&amp;""""&amp;IF(Scan2VKFlags!K195&lt;&gt;""," flags="""&amp;Scan2VKFlags!K195&amp;"""","")&amp;"/&gt;","")</f>
        <v>&lt;vk kbd="10" vk="PAUSE"/&gt;</v>
      </c>
      <c r="AP195" t="str">
        <f>IF(O195&lt;&gt;"","&lt;vk kbd="""&amp;O$1&amp;""" vk="""&amp;O195&amp;""""&amp;IF(Scan2VKFlags!L195&lt;&gt;""," flags="""&amp;Scan2VKFlags!L195&amp;"""","")&amp;"/&gt;","")</f>
        <v>&lt;vk kbd="11" vk="PAUSE"/&gt;</v>
      </c>
      <c r="AQ195" t="str">
        <f>IF(P195&lt;&gt;"","&lt;vk kbd="""&amp;P$1&amp;""" vk="""&amp;P195&amp;""""&amp;IF(Scan2VKFlags!M195&lt;&gt;""," flags="""&amp;Scan2VKFlags!M195&amp;"""","")&amp;"/&gt;","")</f>
        <v>&lt;vk kbd="12" vk="PAUSE"/&gt;</v>
      </c>
      <c r="AR195" s="16" t="str">
        <f>IF(Q195&lt;&gt;"","&lt;vk kbd="""&amp;Q$1&amp;""" vk="""&amp;Q195&amp;""""&amp;IF(Scan2VKFlags!N195&lt;&gt;""," flags="""&amp;Scan2VKFlags!N195&amp;"""","")&amp;"/&gt;","")</f>
        <v>&lt;vk kbd="13" vk="PAUSE"/&gt;</v>
      </c>
      <c r="AS195" s="3" t="str">
        <f>IF(S195&lt;&gt;"","&lt;vk kbd="""&amp;S$1&amp;""" vk="""&amp;S195&amp;""""&amp;IF(Scan2VKFlags!O195&lt;&gt;""," flags="""&amp;Scan2VKFlags!O195&amp;"""","")&amp;"/&gt;","")</f>
        <v>&lt;vk kbd="20" vk="PAUSE"/&gt;</v>
      </c>
      <c r="AT195" t="str">
        <f>IF(T195&lt;&gt;"","&lt;vk kbd="""&amp;T$1&amp;""" vk="""&amp;T195&amp;""""&amp;IF(Scan2VKFlags!P195&lt;&gt;""," flags="""&amp;Scan2VKFlags!P195&amp;"""","")&amp;"/&gt;","")</f>
        <v>&lt;vk kbd="21" vk="PAUSE"/&gt;</v>
      </c>
      <c r="AU195" s="16" t="str">
        <f>IF(U195&lt;&gt;"","&lt;vk kbd="""&amp;U$1&amp;""" vk="""&amp;U195&amp;""""&amp;IF(Scan2VKFlags!Q195&lt;&gt;""," flags="""&amp;Scan2VKFlags!Q195&amp;"""","")&amp;"/&gt;","")</f>
        <v>&lt;vk kbd="22" vk="PAUSE"/&gt;</v>
      </c>
      <c r="AV195" s="3" t="str">
        <f>IF(W195&lt;&gt;"","&lt;vk kbd="""&amp;W$1&amp;""" vk="""&amp;W195&amp;""""&amp;IF(Scan2VKFlags!R195&lt;&gt;""," flags="""&amp;Scan2VKFlags!R195&amp;"""","")&amp;"/&gt;","")</f>
        <v>&lt;vk kbd="30" vk="PAUSE"/&gt;</v>
      </c>
      <c r="AW195" s="15" t="str">
        <f>IF(X195&lt;&gt;"","&lt;vk kbd="""&amp;X$1&amp;""" vk="""&amp;X195&amp;""""&amp;IF(Scan2VKFlags!S195&lt;&gt;""," flags="""&amp;Scan2VKFlags!S195&amp;"""","")&amp;"/&gt;","")</f>
        <v>&lt;vk kbd="33" vk="PAUSE"/&gt;</v>
      </c>
      <c r="AX195" s="15" t="str">
        <f>IF(Y195&lt;&gt;"","&lt;vk kbd="""&amp;Y$1&amp;""" vk="""&amp;Y195&amp;""""&amp;IF(Scan2VKFlags!T195&lt;&gt;""," flags="""&amp;Scan2VKFlags!T195&amp;"""","")&amp;"/&gt;","")</f>
        <v>&lt;vk kbd="34" vk="PAUSE"/&gt;</v>
      </c>
      <c r="AY195" s="18" t="str">
        <f>IF(AA195&lt;&gt;"","&lt;vk kbd="""&amp;AA$1&amp;""" vk="""&amp;AA195&amp;""""&amp;IF(Scan2VKFlags!U195&lt;&gt;""," flags="""&amp;Scan2VKFlags!U195&amp;"""","")&amp;"/&gt;","")</f>
        <v>&lt;vk kbd="37" vk="PAUSE"/&gt;</v>
      </c>
      <c r="AZ195" s="3" t="str">
        <f>IF(AC195&lt;&gt;"","&lt;vk kbd="""&amp;AC$1&amp;""" vk="""&amp;AC195&amp;""""&amp;IF(Scan2VKFlags!V195&lt;&gt;""," flags="""&amp;Scan2VKFlags!V195&amp;"""","")&amp;"/&gt;","")</f>
        <v>&lt;vk kbd="40" vk="PAUSE"/&gt;</v>
      </c>
      <c r="BA195" s="16" t="str">
        <f>IF(AD195&lt;&gt;"","&lt;vk kbd="""&amp;AD$1&amp;""" vk="""&amp;AD195&amp;""""&amp;IF(Scan2VKFlags!W195&lt;&gt;""," flags="""&amp;Scan2VKFlags!W195&amp;"""","")&amp;"/&gt;","")</f>
        <v>&lt;vk kbd="41" vk="PAUSE"/&gt;</v>
      </c>
      <c r="BB195" t="s">
        <v>854</v>
      </c>
    </row>
    <row r="196" spans="2:54" x14ac:dyDescent="0.25">
      <c r="J196" s="9"/>
    </row>
    <row r="197" spans="2:54" x14ac:dyDescent="0.25">
      <c r="J197" s="9"/>
    </row>
    <row r="198" spans="2:54" x14ac:dyDescent="0.25">
      <c r="J198" s="9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2:C4269"/>
  <sheetViews>
    <sheetView workbookViewId="0">
      <selection activeCell="C182" sqref="C2:C182"/>
    </sheetView>
  </sheetViews>
  <sheetFormatPr defaultRowHeight="15" x14ac:dyDescent="0.25"/>
  <cols>
    <col min="1" max="1" width="22.5703125" bestFit="1" customWidth="1"/>
  </cols>
  <sheetData>
    <row r="2" spans="1:3" x14ac:dyDescent="0.25">
      <c r="A2" t="str">
        <f>IF(Scan2VK!D2&lt;&gt;"",Scan2VK!D2,"")</f>
        <v>_none_</v>
      </c>
      <c r="B2" t="str">
        <f>IF(ISERROR(MATCH(0,INDEX(COUNTIF($B$1:B1,$A$2:$A$4629),0,0),0)),"",INDEX($A$2:$A$4629,MATCH(0,INDEX(COUNTIF($B$1:B1,$A$2:$A$4629),0,0),0)))</f>
        <v>_none_</v>
      </c>
      <c r="C2" t="str">
        <f>IF(B2&lt;&gt;"","&lt;xs:enumeration value="""&amp;B2&amp;"""/&gt;","")</f>
        <v>&lt;xs:enumeration value="_none_"/&gt;</v>
      </c>
    </row>
    <row r="3" spans="1:3" x14ac:dyDescent="0.25">
      <c r="A3" t="str">
        <f>IF(Scan2VK!D3&lt;&gt;"",Scan2VK!D3,"")</f>
        <v>ESCAPE</v>
      </c>
      <c r="B3" t="str">
        <f>IF(ISERROR(MATCH(0,INDEX(COUNTIF($B$1:B2,$A$2:$A$4629),0,0),0)),"",INDEX($A$2:$A$4629,MATCH(0,INDEX(COUNTIF($B$1:B2,$A$2:$A$4629),0,0),0)))</f>
        <v>ESCAPE</v>
      </c>
      <c r="C3" t="str">
        <f t="shared" ref="C3:C66" si="0">IF(B3&lt;&gt;"","&lt;xs:enumeration value="""&amp;B3&amp;"""/&gt;","")</f>
        <v>&lt;xs:enumeration value="ESCAPE"/&gt;</v>
      </c>
    </row>
    <row r="4" spans="1:3" x14ac:dyDescent="0.25">
      <c r="A4" t="str">
        <f>IF(Scan2VK!D4&lt;&gt;"",Scan2VK!D4,"")</f>
        <v>'1'</v>
      </c>
      <c r="B4" t="str">
        <f>IF(ISERROR(MATCH(0,INDEX(COUNTIF($B$1:B3,$A$2:$A$4629),0,0),0)),"",INDEX($A$2:$A$4629,MATCH(0,INDEX(COUNTIF($B$1:B3,$A$2:$A$4629),0,0),0)))</f>
        <v>'1'</v>
      </c>
      <c r="C4" t="str">
        <f t="shared" si="0"/>
        <v>&lt;xs:enumeration value="'1'"/&gt;</v>
      </c>
    </row>
    <row r="5" spans="1:3" x14ac:dyDescent="0.25">
      <c r="A5" t="str">
        <f>IF(Scan2VK!D5&lt;&gt;"",Scan2VK!D5,"")</f>
        <v>'2'</v>
      </c>
      <c r="B5" t="str">
        <f>IF(ISERROR(MATCH(0,INDEX(COUNTIF($B$1:B4,$A$2:$A$4629),0,0),0)),"",INDEX($A$2:$A$4629,MATCH(0,INDEX(COUNTIF($B$1:B4,$A$2:$A$4629),0,0),0)))</f>
        <v>'2'</v>
      </c>
      <c r="C5" t="str">
        <f t="shared" si="0"/>
        <v>&lt;xs:enumeration value="'2'"/&gt;</v>
      </c>
    </row>
    <row r="6" spans="1:3" x14ac:dyDescent="0.25">
      <c r="A6" t="str">
        <f>IF(Scan2VK!D6&lt;&gt;"",Scan2VK!D6,"")</f>
        <v>'3'</v>
      </c>
      <c r="B6" t="str">
        <f>IF(ISERROR(MATCH(0,INDEX(COUNTIF($B$1:B5,$A$2:$A$4629),0,0),0)),"",INDEX($A$2:$A$4629,MATCH(0,INDEX(COUNTIF($B$1:B5,$A$2:$A$4629),0,0),0)))</f>
        <v>'3'</v>
      </c>
      <c r="C6" t="str">
        <f t="shared" si="0"/>
        <v>&lt;xs:enumeration value="'3'"/&gt;</v>
      </c>
    </row>
    <row r="7" spans="1:3" x14ac:dyDescent="0.25">
      <c r="A7" t="str">
        <f>IF(Scan2VK!D7&lt;&gt;"",Scan2VK!D7,"")</f>
        <v>'4'</v>
      </c>
      <c r="B7" t="str">
        <f>IF(ISERROR(MATCH(0,INDEX(COUNTIF($B$1:B6,$A$2:$A$4629),0,0),0)),"",INDEX($A$2:$A$4629,MATCH(0,INDEX(COUNTIF($B$1:B6,$A$2:$A$4629),0,0),0)))</f>
        <v>'4'</v>
      </c>
      <c r="C7" t="str">
        <f t="shared" si="0"/>
        <v>&lt;xs:enumeration value="'4'"/&gt;</v>
      </c>
    </row>
    <row r="8" spans="1:3" x14ac:dyDescent="0.25">
      <c r="A8" t="str">
        <f>IF(Scan2VK!D8&lt;&gt;"",Scan2VK!D8,"")</f>
        <v>'5'</v>
      </c>
      <c r="B8" t="str">
        <f>IF(ISERROR(MATCH(0,INDEX(COUNTIF($B$1:B7,$A$2:$A$4629),0,0),0)),"",INDEX($A$2:$A$4629,MATCH(0,INDEX(COUNTIF($B$1:B7,$A$2:$A$4629),0,0),0)))</f>
        <v>'5'</v>
      </c>
      <c r="C8" t="str">
        <f t="shared" si="0"/>
        <v>&lt;xs:enumeration value="'5'"/&gt;</v>
      </c>
    </row>
    <row r="9" spans="1:3" x14ac:dyDescent="0.25">
      <c r="A9" t="str">
        <f>IF(Scan2VK!D9&lt;&gt;"",Scan2VK!D9,"")</f>
        <v>'6'</v>
      </c>
      <c r="B9" t="str">
        <f>IF(ISERROR(MATCH(0,INDEX(COUNTIF($B$1:B8,$A$2:$A$4629),0,0),0)),"",INDEX($A$2:$A$4629,MATCH(0,INDEX(COUNTIF($B$1:B8,$A$2:$A$4629),0,0),0)))</f>
        <v>'6'</v>
      </c>
      <c r="C9" t="str">
        <f t="shared" si="0"/>
        <v>&lt;xs:enumeration value="'6'"/&gt;</v>
      </c>
    </row>
    <row r="10" spans="1:3" x14ac:dyDescent="0.25">
      <c r="A10" t="str">
        <f>IF(Scan2VK!D10&lt;&gt;"",Scan2VK!D10,"")</f>
        <v>'7'</v>
      </c>
      <c r="B10" t="str">
        <f>IF(ISERROR(MATCH(0,INDEX(COUNTIF($B$1:B9,$A$2:$A$4629),0,0),0)),"",INDEX($A$2:$A$4629,MATCH(0,INDEX(COUNTIF($B$1:B9,$A$2:$A$4629),0,0),0)))</f>
        <v>'7'</v>
      </c>
      <c r="C10" t="str">
        <f t="shared" si="0"/>
        <v>&lt;xs:enumeration value="'7'"/&gt;</v>
      </c>
    </row>
    <row r="11" spans="1:3" x14ac:dyDescent="0.25">
      <c r="A11" t="str">
        <f>IF(Scan2VK!D11&lt;&gt;"",Scan2VK!D11,"")</f>
        <v>'8'</v>
      </c>
      <c r="B11" t="str">
        <f>IF(ISERROR(MATCH(0,INDEX(COUNTIF($B$1:B10,$A$2:$A$4629),0,0),0)),"",INDEX($A$2:$A$4629,MATCH(0,INDEX(COUNTIF($B$1:B10,$A$2:$A$4629),0,0),0)))</f>
        <v>'8'</v>
      </c>
      <c r="C11" t="str">
        <f t="shared" si="0"/>
        <v>&lt;xs:enumeration value="'8'"/&gt;</v>
      </c>
    </row>
    <row r="12" spans="1:3" x14ac:dyDescent="0.25">
      <c r="A12" t="str">
        <f>IF(Scan2VK!D12&lt;&gt;"",Scan2VK!D12,"")</f>
        <v>'9'</v>
      </c>
      <c r="B12" t="str">
        <f>IF(ISERROR(MATCH(0,INDEX(COUNTIF($B$1:B11,$A$2:$A$4629),0,0),0)),"",INDEX($A$2:$A$4629,MATCH(0,INDEX(COUNTIF($B$1:B11,$A$2:$A$4629),0,0),0)))</f>
        <v>'9'</v>
      </c>
      <c r="C12" t="str">
        <f t="shared" si="0"/>
        <v>&lt;xs:enumeration value="'9'"/&gt;</v>
      </c>
    </row>
    <row r="13" spans="1:3" x14ac:dyDescent="0.25">
      <c r="A13" t="str">
        <f>IF(Scan2VK!D13&lt;&gt;"",Scan2VK!D13,"")</f>
        <v>'0'</v>
      </c>
      <c r="B13" t="str">
        <f>IF(ISERROR(MATCH(0,INDEX(COUNTIF($B$1:B12,$A$2:$A$4629),0,0),0)),"",INDEX($A$2:$A$4629,MATCH(0,INDEX(COUNTIF($B$1:B12,$A$2:$A$4629),0,0),0)))</f>
        <v>'0'</v>
      </c>
      <c r="C13" t="str">
        <f t="shared" si="0"/>
        <v>&lt;xs:enumeration value="'0'"/&gt;</v>
      </c>
    </row>
    <row r="14" spans="1:3" x14ac:dyDescent="0.25">
      <c r="A14" t="str">
        <f>IF(Scan2VK!D14&lt;&gt;"",Scan2VK!D14,"")</f>
        <v>OEM_MINUS</v>
      </c>
      <c r="B14" t="str">
        <f>IF(ISERROR(MATCH(0,INDEX(COUNTIF($B$1:B13,$A$2:$A$4629),0,0),0)),"",INDEX($A$2:$A$4629,MATCH(0,INDEX(COUNTIF($B$1:B13,$A$2:$A$4629),0,0),0)))</f>
        <v>OEM_MINUS</v>
      </c>
      <c r="C14" t="str">
        <f t="shared" si="0"/>
        <v>&lt;xs:enumeration value="OEM_MINUS"/&gt;</v>
      </c>
    </row>
    <row r="15" spans="1:3" x14ac:dyDescent="0.25">
      <c r="A15" t="str">
        <f>IF(Scan2VK!D15&lt;&gt;"",Scan2VK!D15,"")</f>
        <v>OEM_PLUS</v>
      </c>
      <c r="B15" t="str">
        <f>IF(ISERROR(MATCH(0,INDEX(COUNTIF($B$1:B14,$A$2:$A$4629),0,0),0)),"",INDEX($A$2:$A$4629,MATCH(0,INDEX(COUNTIF($B$1:B14,$A$2:$A$4629),0,0),0)))</f>
        <v>OEM_PLUS</v>
      </c>
      <c r="C15" t="str">
        <f t="shared" si="0"/>
        <v>&lt;xs:enumeration value="OEM_PLUS"/&gt;</v>
      </c>
    </row>
    <row r="16" spans="1:3" x14ac:dyDescent="0.25">
      <c r="A16" t="str">
        <f>IF(Scan2VK!D16&lt;&gt;"",Scan2VK!D16,"")</f>
        <v>BACK</v>
      </c>
      <c r="B16" t="str">
        <f>IF(ISERROR(MATCH(0,INDEX(COUNTIF($B$1:B15,$A$2:$A$4629),0,0),0)),"",INDEX($A$2:$A$4629,MATCH(0,INDEX(COUNTIF($B$1:B15,$A$2:$A$4629),0,0),0)))</f>
        <v>BACK</v>
      </c>
      <c r="C16" t="str">
        <f t="shared" si="0"/>
        <v>&lt;xs:enumeration value="BACK"/&gt;</v>
      </c>
    </row>
    <row r="17" spans="1:3" x14ac:dyDescent="0.25">
      <c r="A17" t="str">
        <f>IF(Scan2VK!D17&lt;&gt;"",Scan2VK!D17,"")</f>
        <v>TAB</v>
      </c>
      <c r="B17" t="str">
        <f>IF(ISERROR(MATCH(0,INDEX(COUNTIF($B$1:B16,$A$2:$A$4629),0,0),0)),"",INDEX($A$2:$A$4629,MATCH(0,INDEX(COUNTIF($B$1:B16,$A$2:$A$4629),0,0),0)))</f>
        <v>TAB</v>
      </c>
      <c r="C17" t="str">
        <f t="shared" si="0"/>
        <v>&lt;xs:enumeration value="TAB"/&gt;</v>
      </c>
    </row>
    <row r="18" spans="1:3" x14ac:dyDescent="0.25">
      <c r="A18" t="str">
        <f>IF(Scan2VK!D18&lt;&gt;"",Scan2VK!D18,"")</f>
        <v>'Q'</v>
      </c>
      <c r="B18" t="str">
        <f>IF(ISERROR(MATCH(0,INDEX(COUNTIF($B$1:B17,$A$2:$A$4629),0,0),0)),"",INDEX($A$2:$A$4629,MATCH(0,INDEX(COUNTIF($B$1:B17,$A$2:$A$4629),0,0),0)))</f>
        <v>'Q'</v>
      </c>
      <c r="C18" t="str">
        <f t="shared" si="0"/>
        <v>&lt;xs:enumeration value="'Q'"/&gt;</v>
      </c>
    </row>
    <row r="19" spans="1:3" x14ac:dyDescent="0.25">
      <c r="A19" t="str">
        <f>IF(Scan2VK!D19&lt;&gt;"",Scan2VK!D19,"")</f>
        <v>'W'</v>
      </c>
      <c r="B19" t="str">
        <f>IF(ISERROR(MATCH(0,INDEX(COUNTIF($B$1:B18,$A$2:$A$4629),0,0),0)),"",INDEX($A$2:$A$4629,MATCH(0,INDEX(COUNTIF($B$1:B18,$A$2:$A$4629),0,0),0)))</f>
        <v>'W'</v>
      </c>
      <c r="C19" t="str">
        <f t="shared" si="0"/>
        <v>&lt;xs:enumeration value="'W'"/&gt;</v>
      </c>
    </row>
    <row r="20" spans="1:3" x14ac:dyDescent="0.25">
      <c r="A20" t="str">
        <f>IF(Scan2VK!D20&lt;&gt;"",Scan2VK!D20,"")</f>
        <v>'E'</v>
      </c>
      <c r="B20" t="str">
        <f>IF(ISERROR(MATCH(0,INDEX(COUNTIF($B$1:B19,$A$2:$A$4629),0,0),0)),"",INDEX($A$2:$A$4629,MATCH(0,INDEX(COUNTIF($B$1:B19,$A$2:$A$4629),0,0),0)))</f>
        <v>'E'</v>
      </c>
      <c r="C20" t="str">
        <f t="shared" si="0"/>
        <v>&lt;xs:enumeration value="'E'"/&gt;</v>
      </c>
    </row>
    <row r="21" spans="1:3" x14ac:dyDescent="0.25">
      <c r="A21" t="str">
        <f>IF(Scan2VK!D21&lt;&gt;"",Scan2VK!D21,"")</f>
        <v>'R'</v>
      </c>
      <c r="B21" t="str">
        <f>IF(ISERROR(MATCH(0,INDEX(COUNTIF($B$1:B20,$A$2:$A$4629),0,0),0)),"",INDEX($A$2:$A$4629,MATCH(0,INDEX(COUNTIF($B$1:B20,$A$2:$A$4629),0,0),0)))</f>
        <v>'R'</v>
      </c>
      <c r="C21" t="str">
        <f t="shared" si="0"/>
        <v>&lt;xs:enumeration value="'R'"/&gt;</v>
      </c>
    </row>
    <row r="22" spans="1:3" x14ac:dyDescent="0.25">
      <c r="A22" t="str">
        <f>IF(Scan2VK!D22&lt;&gt;"",Scan2VK!D22,"")</f>
        <v>'T'</v>
      </c>
      <c r="B22" t="str">
        <f>IF(ISERROR(MATCH(0,INDEX(COUNTIF($B$1:B21,$A$2:$A$4629),0,0),0)),"",INDEX($A$2:$A$4629,MATCH(0,INDEX(COUNTIF($B$1:B21,$A$2:$A$4629),0,0),0)))</f>
        <v>'T'</v>
      </c>
      <c r="C22" t="str">
        <f t="shared" si="0"/>
        <v>&lt;xs:enumeration value="'T'"/&gt;</v>
      </c>
    </row>
    <row r="23" spans="1:3" x14ac:dyDescent="0.25">
      <c r="A23" t="str">
        <f>IF(Scan2VK!D23&lt;&gt;"",Scan2VK!D23,"")</f>
        <v>'Y'</v>
      </c>
      <c r="B23" t="str">
        <f>IF(ISERROR(MATCH(0,INDEX(COUNTIF($B$1:B22,$A$2:$A$4629),0,0),0)),"",INDEX($A$2:$A$4629,MATCH(0,INDEX(COUNTIF($B$1:B22,$A$2:$A$4629),0,0),0)))</f>
        <v>'Y'</v>
      </c>
      <c r="C23" t="str">
        <f t="shared" si="0"/>
        <v>&lt;xs:enumeration value="'Y'"/&gt;</v>
      </c>
    </row>
    <row r="24" spans="1:3" x14ac:dyDescent="0.25">
      <c r="A24" t="str">
        <f>IF(Scan2VK!D24&lt;&gt;"",Scan2VK!D24,"")</f>
        <v>'U'</v>
      </c>
      <c r="B24" t="str">
        <f>IF(ISERROR(MATCH(0,INDEX(COUNTIF($B$1:B23,$A$2:$A$4629),0,0),0)),"",INDEX($A$2:$A$4629,MATCH(0,INDEX(COUNTIF($B$1:B23,$A$2:$A$4629),0,0),0)))</f>
        <v>'U'</v>
      </c>
      <c r="C24" t="str">
        <f t="shared" si="0"/>
        <v>&lt;xs:enumeration value="'U'"/&gt;</v>
      </c>
    </row>
    <row r="25" spans="1:3" x14ac:dyDescent="0.25">
      <c r="A25" t="str">
        <f>IF(Scan2VK!D25&lt;&gt;"",Scan2VK!D25,"")</f>
        <v>'I'</v>
      </c>
      <c r="B25" t="str">
        <f>IF(ISERROR(MATCH(0,INDEX(COUNTIF($B$1:B24,$A$2:$A$4629),0,0),0)),"",INDEX($A$2:$A$4629,MATCH(0,INDEX(COUNTIF($B$1:B24,$A$2:$A$4629),0,0),0)))</f>
        <v>'I'</v>
      </c>
      <c r="C25" t="str">
        <f t="shared" si="0"/>
        <v>&lt;xs:enumeration value="'I'"/&gt;</v>
      </c>
    </row>
    <row r="26" spans="1:3" x14ac:dyDescent="0.25">
      <c r="A26" t="str">
        <f>IF(Scan2VK!D26&lt;&gt;"",Scan2VK!D26,"")</f>
        <v>'O'</v>
      </c>
      <c r="B26" t="str">
        <f>IF(ISERROR(MATCH(0,INDEX(COUNTIF($B$1:B25,$A$2:$A$4629),0,0),0)),"",INDEX($A$2:$A$4629,MATCH(0,INDEX(COUNTIF($B$1:B25,$A$2:$A$4629),0,0),0)))</f>
        <v>'O'</v>
      </c>
      <c r="C26" t="str">
        <f t="shared" si="0"/>
        <v>&lt;xs:enumeration value="'O'"/&gt;</v>
      </c>
    </row>
    <row r="27" spans="1:3" x14ac:dyDescent="0.25">
      <c r="A27" t="str">
        <f>IF(Scan2VK!D27&lt;&gt;"",Scan2VK!D27,"")</f>
        <v>'P'</v>
      </c>
      <c r="B27" t="str">
        <f>IF(ISERROR(MATCH(0,INDEX(COUNTIF($B$1:B26,$A$2:$A$4629),0,0),0)),"",INDEX($A$2:$A$4629,MATCH(0,INDEX(COUNTIF($B$1:B26,$A$2:$A$4629),0,0),0)))</f>
        <v>'P'</v>
      </c>
      <c r="C27" t="str">
        <f t="shared" si="0"/>
        <v>&lt;xs:enumeration value="'P'"/&gt;</v>
      </c>
    </row>
    <row r="28" spans="1:3" x14ac:dyDescent="0.25">
      <c r="A28" t="str">
        <f>IF(Scan2VK!D28&lt;&gt;"",Scan2VK!D28,"")</f>
        <v>OEM_4</v>
      </c>
      <c r="B28" t="str">
        <f>IF(ISERROR(MATCH(0,INDEX(COUNTIF($B$1:B27,$A$2:$A$4629),0,0),0)),"",INDEX($A$2:$A$4629,MATCH(0,INDEX(COUNTIF($B$1:B27,$A$2:$A$4629),0,0),0)))</f>
        <v>OEM_4</v>
      </c>
      <c r="C28" t="str">
        <f t="shared" si="0"/>
        <v>&lt;xs:enumeration value="OEM_4"/&gt;</v>
      </c>
    </row>
    <row r="29" spans="1:3" x14ac:dyDescent="0.25">
      <c r="A29" t="str">
        <f>IF(Scan2VK!D29&lt;&gt;"",Scan2VK!D29,"")</f>
        <v>OEM_6</v>
      </c>
      <c r="B29" t="str">
        <f>IF(ISERROR(MATCH(0,INDEX(COUNTIF($B$1:B28,$A$2:$A$4629),0,0),0)),"",INDEX($A$2:$A$4629,MATCH(0,INDEX(COUNTIF($B$1:B28,$A$2:$A$4629),0,0),0)))</f>
        <v>OEM_6</v>
      </c>
      <c r="C29" t="str">
        <f t="shared" si="0"/>
        <v>&lt;xs:enumeration value="OEM_6"/&gt;</v>
      </c>
    </row>
    <row r="30" spans="1:3" x14ac:dyDescent="0.25">
      <c r="A30" t="str">
        <f>IF(Scan2VK!D30&lt;&gt;"",Scan2VK!D30,"")</f>
        <v>RETURN</v>
      </c>
      <c r="B30" t="str">
        <f>IF(ISERROR(MATCH(0,INDEX(COUNTIF($B$1:B29,$A$2:$A$4629),0,0),0)),"",INDEX($A$2:$A$4629,MATCH(0,INDEX(COUNTIF($B$1:B29,$A$2:$A$4629),0,0),0)))</f>
        <v>RETURN</v>
      </c>
      <c r="C30" t="str">
        <f t="shared" si="0"/>
        <v>&lt;xs:enumeration value="RETURN"/&gt;</v>
      </c>
    </row>
    <row r="31" spans="1:3" x14ac:dyDescent="0.25">
      <c r="A31" t="str">
        <f>IF(Scan2VK!D31&lt;&gt;"",Scan2VK!D31,"")</f>
        <v>LCONTROL</v>
      </c>
      <c r="B31" t="str">
        <f>IF(ISERROR(MATCH(0,INDEX(COUNTIF($B$1:B30,$A$2:$A$4629),0,0),0)),"",INDEX($A$2:$A$4629,MATCH(0,INDEX(COUNTIF($B$1:B30,$A$2:$A$4629),0,0),0)))</f>
        <v>LCONTROL</v>
      </c>
      <c r="C31" t="str">
        <f t="shared" si="0"/>
        <v>&lt;xs:enumeration value="LCONTROL"/&gt;</v>
      </c>
    </row>
    <row r="32" spans="1:3" x14ac:dyDescent="0.25">
      <c r="A32" t="str">
        <f>IF(Scan2VK!D32&lt;&gt;"",Scan2VK!D32,"")</f>
        <v>'A'</v>
      </c>
      <c r="B32" t="str">
        <f>IF(ISERROR(MATCH(0,INDEX(COUNTIF($B$1:B31,$A$2:$A$4629),0,0),0)),"",INDEX($A$2:$A$4629,MATCH(0,INDEX(COUNTIF($B$1:B31,$A$2:$A$4629),0,0),0)))</f>
        <v>'A'</v>
      </c>
      <c r="C32" t="str">
        <f t="shared" si="0"/>
        <v>&lt;xs:enumeration value="'A'"/&gt;</v>
      </c>
    </row>
    <row r="33" spans="1:3" x14ac:dyDescent="0.25">
      <c r="A33" t="str">
        <f>IF(Scan2VK!D33&lt;&gt;"",Scan2VK!D33,"")</f>
        <v>'S'</v>
      </c>
      <c r="B33" t="str">
        <f>IF(ISERROR(MATCH(0,INDEX(COUNTIF($B$1:B32,$A$2:$A$4629),0,0),0)),"",INDEX($A$2:$A$4629,MATCH(0,INDEX(COUNTIF($B$1:B32,$A$2:$A$4629),0,0),0)))</f>
        <v>'S'</v>
      </c>
      <c r="C33" t="str">
        <f t="shared" si="0"/>
        <v>&lt;xs:enumeration value="'S'"/&gt;</v>
      </c>
    </row>
    <row r="34" spans="1:3" x14ac:dyDescent="0.25">
      <c r="A34" t="str">
        <f>IF(Scan2VK!D34&lt;&gt;"",Scan2VK!D34,"")</f>
        <v>'D'</v>
      </c>
      <c r="B34" t="str">
        <f>IF(ISERROR(MATCH(0,INDEX(COUNTIF($B$1:B33,$A$2:$A$4629),0,0),0)),"",INDEX($A$2:$A$4629,MATCH(0,INDEX(COUNTIF($B$1:B33,$A$2:$A$4629),0,0),0)))</f>
        <v>'D'</v>
      </c>
      <c r="C34" t="str">
        <f t="shared" si="0"/>
        <v>&lt;xs:enumeration value="'D'"/&gt;</v>
      </c>
    </row>
    <row r="35" spans="1:3" x14ac:dyDescent="0.25">
      <c r="A35" t="str">
        <f>IF(Scan2VK!D35&lt;&gt;"",Scan2VK!D35,"")</f>
        <v>'F'</v>
      </c>
      <c r="B35" t="str">
        <f>IF(ISERROR(MATCH(0,INDEX(COUNTIF($B$1:B34,$A$2:$A$4629),0,0),0)),"",INDEX($A$2:$A$4629,MATCH(0,INDEX(COUNTIF($B$1:B34,$A$2:$A$4629),0,0),0)))</f>
        <v>'F'</v>
      </c>
      <c r="C35" t="str">
        <f t="shared" si="0"/>
        <v>&lt;xs:enumeration value="'F'"/&gt;</v>
      </c>
    </row>
    <row r="36" spans="1:3" x14ac:dyDescent="0.25">
      <c r="A36" t="str">
        <f>IF(Scan2VK!D36&lt;&gt;"",Scan2VK!D36,"")</f>
        <v>'G'</v>
      </c>
      <c r="B36" t="str">
        <f>IF(ISERROR(MATCH(0,INDEX(COUNTIF($B$1:B35,$A$2:$A$4629),0,0),0)),"",INDEX($A$2:$A$4629,MATCH(0,INDEX(COUNTIF($B$1:B35,$A$2:$A$4629),0,0),0)))</f>
        <v>'G'</v>
      </c>
      <c r="C36" t="str">
        <f t="shared" si="0"/>
        <v>&lt;xs:enumeration value="'G'"/&gt;</v>
      </c>
    </row>
    <row r="37" spans="1:3" x14ac:dyDescent="0.25">
      <c r="A37" t="str">
        <f>IF(Scan2VK!D37&lt;&gt;"",Scan2VK!D37,"")</f>
        <v>'H'</v>
      </c>
      <c r="B37" t="str">
        <f>IF(ISERROR(MATCH(0,INDEX(COUNTIF($B$1:B36,$A$2:$A$4629),0,0),0)),"",INDEX($A$2:$A$4629,MATCH(0,INDEX(COUNTIF($B$1:B36,$A$2:$A$4629),0,0),0)))</f>
        <v>'H'</v>
      </c>
      <c r="C37" t="str">
        <f t="shared" si="0"/>
        <v>&lt;xs:enumeration value="'H'"/&gt;</v>
      </c>
    </row>
    <row r="38" spans="1:3" x14ac:dyDescent="0.25">
      <c r="A38" t="str">
        <f>IF(Scan2VK!D38&lt;&gt;"",Scan2VK!D38,"")</f>
        <v>'J'</v>
      </c>
      <c r="B38" t="str">
        <f>IF(ISERROR(MATCH(0,INDEX(COUNTIF($B$1:B37,$A$2:$A$4629),0,0),0)),"",INDEX($A$2:$A$4629,MATCH(0,INDEX(COUNTIF($B$1:B37,$A$2:$A$4629),0,0),0)))</f>
        <v>'J'</v>
      </c>
      <c r="C38" t="str">
        <f t="shared" si="0"/>
        <v>&lt;xs:enumeration value="'J'"/&gt;</v>
      </c>
    </row>
    <row r="39" spans="1:3" x14ac:dyDescent="0.25">
      <c r="A39" t="str">
        <f>IF(Scan2VK!D39&lt;&gt;"",Scan2VK!D39,"")</f>
        <v>'K'</v>
      </c>
      <c r="B39" t="str">
        <f>IF(ISERROR(MATCH(0,INDEX(COUNTIF($B$1:B38,$A$2:$A$4629),0,0),0)),"",INDEX($A$2:$A$4629,MATCH(0,INDEX(COUNTIF($B$1:B38,$A$2:$A$4629),0,0),0)))</f>
        <v>'K'</v>
      </c>
      <c r="C39" t="str">
        <f t="shared" si="0"/>
        <v>&lt;xs:enumeration value="'K'"/&gt;</v>
      </c>
    </row>
    <row r="40" spans="1:3" x14ac:dyDescent="0.25">
      <c r="A40" t="str">
        <f>IF(Scan2VK!D40&lt;&gt;"",Scan2VK!D40,"")</f>
        <v>'L'</v>
      </c>
      <c r="B40" t="str">
        <f>IF(ISERROR(MATCH(0,INDEX(COUNTIF($B$1:B39,$A$2:$A$4629),0,0),0)),"",INDEX($A$2:$A$4629,MATCH(0,INDEX(COUNTIF($B$1:B39,$A$2:$A$4629),0,0),0)))</f>
        <v>'L'</v>
      </c>
      <c r="C40" t="str">
        <f t="shared" si="0"/>
        <v>&lt;xs:enumeration value="'L'"/&gt;</v>
      </c>
    </row>
    <row r="41" spans="1:3" x14ac:dyDescent="0.25">
      <c r="A41" t="str">
        <f>IF(Scan2VK!D41&lt;&gt;"",Scan2VK!D41,"")</f>
        <v>OEM_1</v>
      </c>
      <c r="B41" t="str">
        <f>IF(ISERROR(MATCH(0,INDEX(COUNTIF($B$1:B40,$A$2:$A$4629),0,0),0)),"",INDEX($A$2:$A$4629,MATCH(0,INDEX(COUNTIF($B$1:B40,$A$2:$A$4629),0,0),0)))</f>
        <v>OEM_1</v>
      </c>
      <c r="C41" t="str">
        <f t="shared" si="0"/>
        <v>&lt;xs:enumeration value="OEM_1"/&gt;</v>
      </c>
    </row>
    <row r="42" spans="1:3" x14ac:dyDescent="0.25">
      <c r="A42" t="str">
        <f>IF(Scan2VK!D42&lt;&gt;"",Scan2VK!D42,"")</f>
        <v>OEM_7</v>
      </c>
      <c r="B42" t="str">
        <f>IF(ISERROR(MATCH(0,INDEX(COUNTIF($B$1:B41,$A$2:$A$4629),0,0),0)),"",INDEX($A$2:$A$4629,MATCH(0,INDEX(COUNTIF($B$1:B41,$A$2:$A$4629),0,0),0)))</f>
        <v>OEM_7</v>
      </c>
      <c r="C42" t="str">
        <f t="shared" si="0"/>
        <v>&lt;xs:enumeration value="OEM_7"/&gt;</v>
      </c>
    </row>
    <row r="43" spans="1:3" x14ac:dyDescent="0.25">
      <c r="A43" t="str">
        <f>IF(Scan2VK!D43&lt;&gt;"",Scan2VK!D43,"")</f>
        <v>OEM_3</v>
      </c>
      <c r="B43" t="str">
        <f>IF(ISERROR(MATCH(0,INDEX(COUNTIF($B$1:B42,$A$2:$A$4629),0,0),0)),"",INDEX($A$2:$A$4629,MATCH(0,INDEX(COUNTIF($B$1:B42,$A$2:$A$4629),0,0),0)))</f>
        <v>OEM_3</v>
      </c>
      <c r="C43" t="str">
        <f t="shared" si="0"/>
        <v>&lt;xs:enumeration value="OEM_3"/&gt;</v>
      </c>
    </row>
    <row r="44" spans="1:3" x14ac:dyDescent="0.25">
      <c r="A44" t="str">
        <f>IF(Scan2VK!D44&lt;&gt;"",Scan2VK!D44,"")</f>
        <v>LSHIFT</v>
      </c>
      <c r="B44" t="str">
        <f>IF(ISERROR(MATCH(0,INDEX(COUNTIF($B$1:B43,$A$2:$A$4629),0,0),0)),"",INDEX($A$2:$A$4629,MATCH(0,INDEX(COUNTIF($B$1:B43,$A$2:$A$4629),0,0),0)))</f>
        <v>LSHIFT</v>
      </c>
      <c r="C44" t="str">
        <f t="shared" si="0"/>
        <v>&lt;xs:enumeration value="LSHIFT"/&gt;</v>
      </c>
    </row>
    <row r="45" spans="1:3" x14ac:dyDescent="0.25">
      <c r="A45" t="str">
        <f>IF(Scan2VK!D45&lt;&gt;"",Scan2VK!D45,"")</f>
        <v>OEM_5</v>
      </c>
      <c r="B45" t="str">
        <f>IF(ISERROR(MATCH(0,INDEX(COUNTIF($B$1:B44,$A$2:$A$4629),0,0),0)),"",INDEX($A$2:$A$4629,MATCH(0,INDEX(COUNTIF($B$1:B44,$A$2:$A$4629),0,0),0)))</f>
        <v>OEM_5</v>
      </c>
      <c r="C45" t="str">
        <f t="shared" si="0"/>
        <v>&lt;xs:enumeration value="OEM_5"/&gt;</v>
      </c>
    </row>
    <row r="46" spans="1:3" x14ac:dyDescent="0.25">
      <c r="A46" t="str">
        <f>IF(Scan2VK!D46&lt;&gt;"",Scan2VK!D46,"")</f>
        <v>'Z'</v>
      </c>
      <c r="B46" t="str">
        <f>IF(ISERROR(MATCH(0,INDEX(COUNTIF($B$1:B45,$A$2:$A$4629),0,0),0)),"",INDEX($A$2:$A$4629,MATCH(0,INDEX(COUNTIF($B$1:B45,$A$2:$A$4629),0,0),0)))</f>
        <v>'Z'</v>
      </c>
      <c r="C46" t="str">
        <f t="shared" si="0"/>
        <v>&lt;xs:enumeration value="'Z'"/&gt;</v>
      </c>
    </row>
    <row r="47" spans="1:3" x14ac:dyDescent="0.25">
      <c r="A47" t="str">
        <f>IF(Scan2VK!D47&lt;&gt;"",Scan2VK!D47,"")</f>
        <v>'X'</v>
      </c>
      <c r="B47" t="str">
        <f>IF(ISERROR(MATCH(0,INDEX(COUNTIF($B$1:B46,$A$2:$A$4629),0,0),0)),"",INDEX($A$2:$A$4629,MATCH(0,INDEX(COUNTIF($B$1:B46,$A$2:$A$4629),0,0),0)))</f>
        <v>'X'</v>
      </c>
      <c r="C47" t="str">
        <f t="shared" si="0"/>
        <v>&lt;xs:enumeration value="'X'"/&gt;</v>
      </c>
    </row>
    <row r="48" spans="1:3" x14ac:dyDescent="0.25">
      <c r="A48" t="str">
        <f>IF(Scan2VK!D48&lt;&gt;"",Scan2VK!D48,"")</f>
        <v>'C'</v>
      </c>
      <c r="B48" t="str">
        <f>IF(ISERROR(MATCH(0,INDEX(COUNTIF($B$1:B47,$A$2:$A$4629),0,0),0)),"",INDEX($A$2:$A$4629,MATCH(0,INDEX(COUNTIF($B$1:B47,$A$2:$A$4629),0,0),0)))</f>
        <v>'C'</v>
      </c>
      <c r="C48" t="str">
        <f t="shared" si="0"/>
        <v>&lt;xs:enumeration value="'C'"/&gt;</v>
      </c>
    </row>
    <row r="49" spans="1:3" x14ac:dyDescent="0.25">
      <c r="A49" t="str">
        <f>IF(Scan2VK!D49&lt;&gt;"",Scan2VK!D49,"")</f>
        <v>'V'</v>
      </c>
      <c r="B49" t="str">
        <f>IF(ISERROR(MATCH(0,INDEX(COUNTIF($B$1:B48,$A$2:$A$4629),0,0),0)),"",INDEX($A$2:$A$4629,MATCH(0,INDEX(COUNTIF($B$1:B48,$A$2:$A$4629),0,0),0)))</f>
        <v>'V'</v>
      </c>
      <c r="C49" t="str">
        <f t="shared" si="0"/>
        <v>&lt;xs:enumeration value="'V'"/&gt;</v>
      </c>
    </row>
    <row r="50" spans="1:3" x14ac:dyDescent="0.25">
      <c r="A50" t="str">
        <f>IF(Scan2VK!D50&lt;&gt;"",Scan2VK!D50,"")</f>
        <v>'B'</v>
      </c>
      <c r="B50" t="str">
        <f>IF(ISERROR(MATCH(0,INDEX(COUNTIF($B$1:B49,$A$2:$A$4629),0,0),0)),"",INDEX($A$2:$A$4629,MATCH(0,INDEX(COUNTIF($B$1:B49,$A$2:$A$4629),0,0),0)))</f>
        <v>'B'</v>
      </c>
      <c r="C50" t="str">
        <f t="shared" si="0"/>
        <v>&lt;xs:enumeration value="'B'"/&gt;</v>
      </c>
    </row>
    <row r="51" spans="1:3" x14ac:dyDescent="0.25">
      <c r="A51" t="str">
        <f>IF(Scan2VK!D51&lt;&gt;"",Scan2VK!D51,"")</f>
        <v>'N'</v>
      </c>
      <c r="B51" t="str">
        <f>IF(ISERROR(MATCH(0,INDEX(COUNTIF($B$1:B50,$A$2:$A$4629),0,0),0)),"",INDEX($A$2:$A$4629,MATCH(0,INDEX(COUNTIF($B$1:B50,$A$2:$A$4629),0,0),0)))</f>
        <v>'N'</v>
      </c>
      <c r="C51" t="str">
        <f t="shared" si="0"/>
        <v>&lt;xs:enumeration value="'N'"/&gt;</v>
      </c>
    </row>
    <row r="52" spans="1:3" x14ac:dyDescent="0.25">
      <c r="A52" t="str">
        <f>IF(Scan2VK!D52&lt;&gt;"",Scan2VK!D52,"")</f>
        <v>'M'</v>
      </c>
      <c r="B52" t="str">
        <f>IF(ISERROR(MATCH(0,INDEX(COUNTIF($B$1:B51,$A$2:$A$4629),0,0),0)),"",INDEX($A$2:$A$4629,MATCH(0,INDEX(COUNTIF($B$1:B51,$A$2:$A$4629),0,0),0)))</f>
        <v>'M'</v>
      </c>
      <c r="C52" t="str">
        <f t="shared" si="0"/>
        <v>&lt;xs:enumeration value="'M'"/&gt;</v>
      </c>
    </row>
    <row r="53" spans="1:3" x14ac:dyDescent="0.25">
      <c r="A53" t="str">
        <f>IF(Scan2VK!D53&lt;&gt;"",Scan2VK!D53,"")</f>
        <v>OEM_COMMA</v>
      </c>
      <c r="B53" t="str">
        <f>IF(ISERROR(MATCH(0,INDEX(COUNTIF($B$1:B52,$A$2:$A$4629),0,0),0)),"",INDEX($A$2:$A$4629,MATCH(0,INDEX(COUNTIF($B$1:B52,$A$2:$A$4629),0,0),0)))</f>
        <v>OEM_COMMA</v>
      </c>
      <c r="C53" t="str">
        <f t="shared" si="0"/>
        <v>&lt;xs:enumeration value="OEM_COMMA"/&gt;</v>
      </c>
    </row>
    <row r="54" spans="1:3" x14ac:dyDescent="0.25">
      <c r="A54" t="str">
        <f>IF(Scan2VK!D54&lt;&gt;"",Scan2VK!D54,"")</f>
        <v>OEM_PERIOD</v>
      </c>
      <c r="B54" t="str">
        <f>IF(ISERROR(MATCH(0,INDEX(COUNTIF($B$1:B53,$A$2:$A$4629),0,0),0)),"",INDEX($A$2:$A$4629,MATCH(0,INDEX(COUNTIF($B$1:B53,$A$2:$A$4629),0,0),0)))</f>
        <v>OEM_PERIOD</v>
      </c>
      <c r="C54" t="str">
        <f t="shared" si="0"/>
        <v>&lt;xs:enumeration value="OEM_PERIOD"/&gt;</v>
      </c>
    </row>
    <row r="55" spans="1:3" x14ac:dyDescent="0.25">
      <c r="A55" t="str">
        <f>IF(Scan2VK!D55&lt;&gt;"",Scan2VK!D55,"")</f>
        <v>OEM_2</v>
      </c>
      <c r="B55" t="str">
        <f>IF(ISERROR(MATCH(0,INDEX(COUNTIF($B$1:B54,$A$2:$A$4629),0,0),0)),"",INDEX($A$2:$A$4629,MATCH(0,INDEX(COUNTIF($B$1:B54,$A$2:$A$4629),0,0),0)))</f>
        <v>OEM_2</v>
      </c>
      <c r="C55" t="str">
        <f t="shared" si="0"/>
        <v>&lt;xs:enumeration value="OEM_2"/&gt;</v>
      </c>
    </row>
    <row r="56" spans="1:3" x14ac:dyDescent="0.25">
      <c r="A56" t="str">
        <f>IF(Scan2VK!D56&lt;&gt;"",Scan2VK!D56,"")</f>
        <v>RSHIFT</v>
      </c>
      <c r="B56" t="str">
        <f>IF(ISERROR(MATCH(0,INDEX(COUNTIF($B$1:B55,$A$2:$A$4629),0,0),0)),"",INDEX($A$2:$A$4629,MATCH(0,INDEX(COUNTIF($B$1:B55,$A$2:$A$4629),0,0),0)))</f>
        <v>RSHIFT</v>
      </c>
      <c r="C56" t="str">
        <f t="shared" si="0"/>
        <v>&lt;xs:enumeration value="RSHIFT"/&gt;</v>
      </c>
    </row>
    <row r="57" spans="1:3" x14ac:dyDescent="0.25">
      <c r="A57" t="str">
        <f>IF(Scan2VK!D57&lt;&gt;"",Scan2VK!D57,"")</f>
        <v>MULTIPLY</v>
      </c>
      <c r="B57" t="str">
        <f>IF(ISERROR(MATCH(0,INDEX(COUNTIF($B$1:B56,$A$2:$A$4629),0,0),0)),"",INDEX($A$2:$A$4629,MATCH(0,INDEX(COUNTIF($B$1:B56,$A$2:$A$4629),0,0),0)))</f>
        <v>MULTIPLY</v>
      </c>
      <c r="C57" t="str">
        <f t="shared" si="0"/>
        <v>&lt;xs:enumeration value="MULTIPLY"/&gt;</v>
      </c>
    </row>
    <row r="58" spans="1:3" x14ac:dyDescent="0.25">
      <c r="A58" t="str">
        <f>IF(Scan2VK!D58&lt;&gt;"",Scan2VK!D58,"")</f>
        <v>LMENU</v>
      </c>
      <c r="B58" t="str">
        <f>IF(ISERROR(MATCH(0,INDEX(COUNTIF($B$1:B57,$A$2:$A$4629),0,0),0)),"",INDEX($A$2:$A$4629,MATCH(0,INDEX(COUNTIF($B$1:B57,$A$2:$A$4629),0,0),0)))</f>
        <v>LMENU</v>
      </c>
      <c r="C58" t="str">
        <f t="shared" si="0"/>
        <v>&lt;xs:enumeration value="LMENU"/&gt;</v>
      </c>
    </row>
    <row r="59" spans="1:3" x14ac:dyDescent="0.25">
      <c r="A59" t="str">
        <f>IF(Scan2VK!D59&lt;&gt;"",Scan2VK!D59,"")</f>
        <v>''</v>
      </c>
      <c r="B59" t="str">
        <f>IF(ISERROR(MATCH(0,INDEX(COUNTIF($B$1:B58,$A$2:$A$4629),0,0),0)),"",INDEX($A$2:$A$4629,MATCH(0,INDEX(COUNTIF($B$1:B58,$A$2:$A$4629),0,0),0)))</f>
        <v>''</v>
      </c>
      <c r="C59" t="str">
        <f t="shared" si="0"/>
        <v>&lt;xs:enumeration value="''"/&gt;</v>
      </c>
    </row>
    <row r="60" spans="1:3" x14ac:dyDescent="0.25">
      <c r="A60" t="str">
        <f>IF(Scan2VK!D60&lt;&gt;"",Scan2VK!D60,"")</f>
        <v>CAPITAL</v>
      </c>
      <c r="B60" t="str">
        <f>IF(ISERROR(MATCH(0,INDEX(COUNTIF($B$1:B59,$A$2:$A$4629),0,0),0)),"",INDEX($A$2:$A$4629,MATCH(0,INDEX(COUNTIF($B$1:B59,$A$2:$A$4629),0,0),0)))</f>
        <v>CAPITAL</v>
      </c>
      <c r="C60" t="str">
        <f t="shared" si="0"/>
        <v>&lt;xs:enumeration value="CAPITAL"/&gt;</v>
      </c>
    </row>
    <row r="61" spans="1:3" x14ac:dyDescent="0.25">
      <c r="A61" t="str">
        <f>IF(Scan2VK!D61&lt;&gt;"",Scan2VK!D61,"")</f>
        <v>F1</v>
      </c>
      <c r="B61" t="str">
        <f>IF(ISERROR(MATCH(0,INDEX(COUNTIF($B$1:B60,$A$2:$A$4629),0,0),0)),"",INDEX($A$2:$A$4629,MATCH(0,INDEX(COUNTIF($B$1:B60,$A$2:$A$4629),0,0),0)))</f>
        <v>F1</v>
      </c>
      <c r="C61" t="str">
        <f t="shared" si="0"/>
        <v>&lt;xs:enumeration value="F1"/&gt;</v>
      </c>
    </row>
    <row r="62" spans="1:3" x14ac:dyDescent="0.25">
      <c r="A62" t="str">
        <f>IF(Scan2VK!D62&lt;&gt;"",Scan2VK!D62,"")</f>
        <v>F2</v>
      </c>
      <c r="B62" t="str">
        <f>IF(ISERROR(MATCH(0,INDEX(COUNTIF($B$1:B61,$A$2:$A$4629),0,0),0)),"",INDEX($A$2:$A$4629,MATCH(0,INDEX(COUNTIF($B$1:B61,$A$2:$A$4629),0,0),0)))</f>
        <v>F2</v>
      </c>
      <c r="C62" t="str">
        <f t="shared" si="0"/>
        <v>&lt;xs:enumeration value="F2"/&gt;</v>
      </c>
    </row>
    <row r="63" spans="1:3" x14ac:dyDescent="0.25">
      <c r="A63" t="str">
        <f>IF(Scan2VK!D63&lt;&gt;"",Scan2VK!D63,"")</f>
        <v>F3</v>
      </c>
      <c r="B63" t="str">
        <f>IF(ISERROR(MATCH(0,INDEX(COUNTIF($B$1:B62,$A$2:$A$4629),0,0),0)),"",INDEX($A$2:$A$4629,MATCH(0,INDEX(COUNTIF($B$1:B62,$A$2:$A$4629),0,0),0)))</f>
        <v>F3</v>
      </c>
      <c r="C63" t="str">
        <f t="shared" si="0"/>
        <v>&lt;xs:enumeration value="F3"/&gt;</v>
      </c>
    </row>
    <row r="64" spans="1:3" x14ac:dyDescent="0.25">
      <c r="A64" t="str">
        <f>IF(Scan2VK!D64&lt;&gt;"",Scan2VK!D64,"")</f>
        <v>F4</v>
      </c>
      <c r="B64" t="str">
        <f>IF(ISERROR(MATCH(0,INDEX(COUNTIF($B$1:B63,$A$2:$A$4629),0,0),0)),"",INDEX($A$2:$A$4629,MATCH(0,INDEX(COUNTIF($B$1:B63,$A$2:$A$4629),0,0),0)))</f>
        <v>F4</v>
      </c>
      <c r="C64" t="str">
        <f t="shared" si="0"/>
        <v>&lt;xs:enumeration value="F4"/&gt;</v>
      </c>
    </row>
    <row r="65" spans="1:3" x14ac:dyDescent="0.25">
      <c r="A65" t="str">
        <f>IF(Scan2VK!D65&lt;&gt;"",Scan2VK!D65,"")</f>
        <v>F5</v>
      </c>
      <c r="B65" t="str">
        <f>IF(ISERROR(MATCH(0,INDEX(COUNTIF($B$1:B64,$A$2:$A$4629),0,0),0)),"",INDEX($A$2:$A$4629,MATCH(0,INDEX(COUNTIF($B$1:B64,$A$2:$A$4629),0,0),0)))</f>
        <v>F5</v>
      </c>
      <c r="C65" t="str">
        <f t="shared" si="0"/>
        <v>&lt;xs:enumeration value="F5"/&gt;</v>
      </c>
    </row>
    <row r="66" spans="1:3" x14ac:dyDescent="0.25">
      <c r="A66" t="str">
        <f>IF(Scan2VK!D66&lt;&gt;"",Scan2VK!D66,"")</f>
        <v>F6</v>
      </c>
      <c r="B66" t="str">
        <f>IF(ISERROR(MATCH(0,INDEX(COUNTIF($B$1:B65,$A$2:$A$4629),0,0),0)),"",INDEX($A$2:$A$4629,MATCH(0,INDEX(COUNTIF($B$1:B65,$A$2:$A$4629),0,0),0)))</f>
        <v>F6</v>
      </c>
      <c r="C66" t="str">
        <f t="shared" si="0"/>
        <v>&lt;xs:enumeration value="F6"/&gt;</v>
      </c>
    </row>
    <row r="67" spans="1:3" x14ac:dyDescent="0.25">
      <c r="A67" t="str">
        <f>IF(Scan2VK!D67&lt;&gt;"",Scan2VK!D67,"")</f>
        <v>F7</v>
      </c>
      <c r="B67" t="str">
        <f>IF(ISERROR(MATCH(0,INDEX(COUNTIF($B$1:B66,$A$2:$A$4629),0,0),0)),"",INDEX($A$2:$A$4629,MATCH(0,INDEX(COUNTIF($B$1:B66,$A$2:$A$4629),0,0),0)))</f>
        <v>F7</v>
      </c>
      <c r="C67" t="str">
        <f t="shared" ref="C67:C130" si="1">IF(B67&lt;&gt;"","&lt;xs:enumeration value="""&amp;B67&amp;"""/&gt;","")</f>
        <v>&lt;xs:enumeration value="F7"/&gt;</v>
      </c>
    </row>
    <row r="68" spans="1:3" x14ac:dyDescent="0.25">
      <c r="A68" t="str">
        <f>IF(Scan2VK!D68&lt;&gt;"",Scan2VK!D68,"")</f>
        <v>F8</v>
      </c>
      <c r="B68" t="str">
        <f>IF(ISERROR(MATCH(0,INDEX(COUNTIF($B$1:B67,$A$2:$A$4629),0,0),0)),"",INDEX($A$2:$A$4629,MATCH(0,INDEX(COUNTIF($B$1:B67,$A$2:$A$4629),0,0),0)))</f>
        <v>F8</v>
      </c>
      <c r="C68" t="str">
        <f t="shared" si="1"/>
        <v>&lt;xs:enumeration value="F8"/&gt;</v>
      </c>
    </row>
    <row r="69" spans="1:3" x14ac:dyDescent="0.25">
      <c r="A69" t="str">
        <f>IF(Scan2VK!D69&lt;&gt;"",Scan2VK!D69,"")</f>
        <v>F9</v>
      </c>
      <c r="B69" t="str">
        <f>IF(ISERROR(MATCH(0,INDEX(COUNTIF($B$1:B68,$A$2:$A$4629),0,0),0)),"",INDEX($A$2:$A$4629,MATCH(0,INDEX(COUNTIF($B$1:B68,$A$2:$A$4629),0,0),0)))</f>
        <v>F9</v>
      </c>
      <c r="C69" t="str">
        <f t="shared" si="1"/>
        <v>&lt;xs:enumeration value="F9"/&gt;</v>
      </c>
    </row>
    <row r="70" spans="1:3" x14ac:dyDescent="0.25">
      <c r="A70" t="str">
        <f>IF(Scan2VK!D70&lt;&gt;"",Scan2VK!D70,"")</f>
        <v>F10</v>
      </c>
      <c r="B70" t="str">
        <f>IF(ISERROR(MATCH(0,INDEX(COUNTIF($B$1:B69,$A$2:$A$4629),0,0),0)),"",INDEX($A$2:$A$4629,MATCH(0,INDEX(COUNTIF($B$1:B69,$A$2:$A$4629),0,0),0)))</f>
        <v>F10</v>
      </c>
      <c r="C70" t="str">
        <f t="shared" si="1"/>
        <v>&lt;xs:enumeration value="F10"/&gt;</v>
      </c>
    </row>
    <row r="71" spans="1:3" x14ac:dyDescent="0.25">
      <c r="A71" t="str">
        <f>IF(Scan2VK!D71&lt;&gt;"",Scan2VK!D71,"")</f>
        <v>NUMLOCK</v>
      </c>
      <c r="B71" t="str">
        <f>IF(ISERROR(MATCH(0,INDEX(COUNTIF($B$1:B70,$A$2:$A$4629),0,0),0)),"",INDEX($A$2:$A$4629,MATCH(0,INDEX(COUNTIF($B$1:B70,$A$2:$A$4629),0,0),0)))</f>
        <v>NUMLOCK</v>
      </c>
      <c r="C71" t="str">
        <f t="shared" si="1"/>
        <v>&lt;xs:enumeration value="NUMLOCK"/&gt;</v>
      </c>
    </row>
    <row r="72" spans="1:3" x14ac:dyDescent="0.25">
      <c r="A72" t="str">
        <f>IF(Scan2VK!D72&lt;&gt;"",Scan2VK!D72,"")</f>
        <v>SCROLL</v>
      </c>
      <c r="B72" t="str">
        <f>IF(ISERROR(MATCH(0,INDEX(COUNTIF($B$1:B71,$A$2:$A$4629),0,0),0)),"",INDEX($A$2:$A$4629,MATCH(0,INDEX(COUNTIF($B$1:B71,$A$2:$A$4629),0,0),0)))</f>
        <v>SCROLL</v>
      </c>
      <c r="C72" t="str">
        <f t="shared" si="1"/>
        <v>&lt;xs:enumeration value="SCROLL"/&gt;</v>
      </c>
    </row>
    <row r="73" spans="1:3" x14ac:dyDescent="0.25">
      <c r="A73" t="str">
        <f>IF(Scan2VK!D73&lt;&gt;"",Scan2VK!D73,"")</f>
        <v>HOME</v>
      </c>
      <c r="B73" t="str">
        <f>IF(ISERROR(MATCH(0,INDEX(COUNTIF($B$1:B72,$A$2:$A$4629),0,0),0)),"",INDEX($A$2:$A$4629,MATCH(0,INDEX(COUNTIF($B$1:B72,$A$2:$A$4629),0,0),0)))</f>
        <v>HOME</v>
      </c>
      <c r="C73" t="str">
        <f t="shared" si="1"/>
        <v>&lt;xs:enumeration value="HOME"/&gt;</v>
      </c>
    </row>
    <row r="74" spans="1:3" x14ac:dyDescent="0.25">
      <c r="A74" t="str">
        <f>IF(Scan2VK!D74&lt;&gt;"",Scan2VK!D74,"")</f>
        <v>UP</v>
      </c>
      <c r="B74" t="str">
        <f>IF(ISERROR(MATCH(0,INDEX(COUNTIF($B$1:B73,$A$2:$A$4629),0,0),0)),"",INDEX($A$2:$A$4629,MATCH(0,INDEX(COUNTIF($B$1:B73,$A$2:$A$4629),0,0),0)))</f>
        <v>UP</v>
      </c>
      <c r="C74" t="str">
        <f t="shared" si="1"/>
        <v>&lt;xs:enumeration value="UP"/&gt;</v>
      </c>
    </row>
    <row r="75" spans="1:3" x14ac:dyDescent="0.25">
      <c r="A75" t="str">
        <f>IF(Scan2VK!D75&lt;&gt;"",Scan2VK!D75,"")</f>
        <v>PRIOR</v>
      </c>
      <c r="B75" t="str">
        <f>IF(ISERROR(MATCH(0,INDEX(COUNTIF($B$1:B74,$A$2:$A$4629),0,0),0)),"",INDEX($A$2:$A$4629,MATCH(0,INDEX(COUNTIF($B$1:B74,$A$2:$A$4629),0,0),0)))</f>
        <v>PRIOR</v>
      </c>
      <c r="C75" t="str">
        <f t="shared" si="1"/>
        <v>&lt;xs:enumeration value="PRIOR"/&gt;</v>
      </c>
    </row>
    <row r="76" spans="1:3" x14ac:dyDescent="0.25">
      <c r="A76" t="str">
        <f>IF(Scan2VK!D76&lt;&gt;"",Scan2VK!D76,"")</f>
        <v>SUBTRACT</v>
      </c>
      <c r="B76" t="str">
        <f>IF(ISERROR(MATCH(0,INDEX(COUNTIF($B$1:B75,$A$2:$A$4629),0,0),0)),"",INDEX($A$2:$A$4629,MATCH(0,INDEX(COUNTIF($B$1:B75,$A$2:$A$4629),0,0),0)))</f>
        <v>SUBTRACT</v>
      </c>
      <c r="C76" t="str">
        <f t="shared" si="1"/>
        <v>&lt;xs:enumeration value="SUBTRACT"/&gt;</v>
      </c>
    </row>
    <row r="77" spans="1:3" x14ac:dyDescent="0.25">
      <c r="A77" t="str">
        <f>IF(Scan2VK!D77&lt;&gt;"",Scan2VK!D77,"")</f>
        <v>LEFT</v>
      </c>
      <c r="B77" t="str">
        <f>IF(ISERROR(MATCH(0,INDEX(COUNTIF($B$1:B76,$A$2:$A$4629),0,0),0)),"",INDEX($A$2:$A$4629,MATCH(0,INDEX(COUNTIF($B$1:B76,$A$2:$A$4629),0,0),0)))</f>
        <v>LEFT</v>
      </c>
      <c r="C77" t="str">
        <f t="shared" si="1"/>
        <v>&lt;xs:enumeration value="LEFT"/&gt;</v>
      </c>
    </row>
    <row r="78" spans="1:3" x14ac:dyDescent="0.25">
      <c r="A78" t="str">
        <f>IF(Scan2VK!D78&lt;&gt;"",Scan2VK!D78,"")</f>
        <v>CLEAR</v>
      </c>
      <c r="B78" t="str">
        <f>IF(ISERROR(MATCH(0,INDEX(COUNTIF($B$1:B77,$A$2:$A$4629),0,0),0)),"",INDEX($A$2:$A$4629,MATCH(0,INDEX(COUNTIF($B$1:B77,$A$2:$A$4629),0,0),0)))</f>
        <v>CLEAR</v>
      </c>
      <c r="C78" t="str">
        <f t="shared" si="1"/>
        <v>&lt;xs:enumeration value="CLEAR"/&gt;</v>
      </c>
    </row>
    <row r="79" spans="1:3" x14ac:dyDescent="0.25">
      <c r="A79" t="str">
        <f>IF(Scan2VK!D79&lt;&gt;"",Scan2VK!D79,"")</f>
        <v>RIGHT</v>
      </c>
      <c r="B79" t="str">
        <f>IF(ISERROR(MATCH(0,INDEX(COUNTIF($B$1:B78,$A$2:$A$4629),0,0),0)),"",INDEX($A$2:$A$4629,MATCH(0,INDEX(COUNTIF($B$1:B78,$A$2:$A$4629),0,0),0)))</f>
        <v>RIGHT</v>
      </c>
      <c r="C79" t="str">
        <f t="shared" si="1"/>
        <v>&lt;xs:enumeration value="RIGHT"/&gt;</v>
      </c>
    </row>
    <row r="80" spans="1:3" x14ac:dyDescent="0.25">
      <c r="A80" t="str">
        <f>IF(Scan2VK!D80&lt;&gt;"",Scan2VK!D80,"")</f>
        <v>ADD</v>
      </c>
      <c r="B80" t="str">
        <f>IF(ISERROR(MATCH(0,INDEX(COUNTIF($B$1:B79,$A$2:$A$4629),0,0),0)),"",INDEX($A$2:$A$4629,MATCH(0,INDEX(COUNTIF($B$1:B79,$A$2:$A$4629),0,0),0)))</f>
        <v>ADD</v>
      </c>
      <c r="C80" t="str">
        <f t="shared" si="1"/>
        <v>&lt;xs:enumeration value="ADD"/&gt;</v>
      </c>
    </row>
    <row r="81" spans="1:3" x14ac:dyDescent="0.25">
      <c r="A81" t="str">
        <f>IF(Scan2VK!D81&lt;&gt;"",Scan2VK!D81,"")</f>
        <v>END</v>
      </c>
      <c r="B81" t="str">
        <f>IF(ISERROR(MATCH(0,INDEX(COUNTIF($B$1:B80,$A$2:$A$4629),0,0),0)),"",INDEX($A$2:$A$4629,MATCH(0,INDEX(COUNTIF($B$1:B80,$A$2:$A$4629),0,0),0)))</f>
        <v>END</v>
      </c>
      <c r="C81" t="str">
        <f t="shared" si="1"/>
        <v>&lt;xs:enumeration value="END"/&gt;</v>
      </c>
    </row>
    <row r="82" spans="1:3" x14ac:dyDescent="0.25">
      <c r="A82" t="str">
        <f>IF(Scan2VK!D82&lt;&gt;"",Scan2VK!D82,"")</f>
        <v>DOWN</v>
      </c>
      <c r="B82" t="str">
        <f>IF(ISERROR(MATCH(0,INDEX(COUNTIF($B$1:B81,$A$2:$A$4629),0,0),0)),"",INDEX($A$2:$A$4629,MATCH(0,INDEX(COUNTIF($B$1:B81,$A$2:$A$4629),0,0),0)))</f>
        <v>DOWN</v>
      </c>
      <c r="C82" t="str">
        <f t="shared" si="1"/>
        <v>&lt;xs:enumeration value="DOWN"/&gt;</v>
      </c>
    </row>
    <row r="83" spans="1:3" x14ac:dyDescent="0.25">
      <c r="A83" t="str">
        <f>IF(Scan2VK!D83&lt;&gt;"",Scan2VK!D83,"")</f>
        <v>NEXT</v>
      </c>
      <c r="B83" t="str">
        <f>IF(ISERROR(MATCH(0,INDEX(COUNTIF($B$1:B82,$A$2:$A$4629),0,0),0)),"",INDEX($A$2:$A$4629,MATCH(0,INDEX(COUNTIF($B$1:B82,$A$2:$A$4629),0,0),0)))</f>
        <v>NEXT</v>
      </c>
      <c r="C83" t="str">
        <f t="shared" si="1"/>
        <v>&lt;xs:enumeration value="NEXT"/&gt;</v>
      </c>
    </row>
    <row r="84" spans="1:3" x14ac:dyDescent="0.25">
      <c r="A84" t="str">
        <f>IF(Scan2VK!D84&lt;&gt;"",Scan2VK!D84,"")</f>
        <v>INSERT</v>
      </c>
      <c r="B84" t="str">
        <f>IF(ISERROR(MATCH(0,INDEX(COUNTIF($B$1:B83,$A$2:$A$4629),0,0),0)),"",INDEX($A$2:$A$4629,MATCH(0,INDEX(COUNTIF($B$1:B83,$A$2:$A$4629),0,0),0)))</f>
        <v>INSERT</v>
      </c>
      <c r="C84" t="str">
        <f t="shared" si="1"/>
        <v>&lt;xs:enumeration value="INSERT"/&gt;</v>
      </c>
    </row>
    <row r="85" spans="1:3" x14ac:dyDescent="0.25">
      <c r="A85" t="str">
        <f>IF(Scan2VK!D85&lt;&gt;"",Scan2VK!D85,"")</f>
        <v>DELETE</v>
      </c>
      <c r="B85" t="str">
        <f>IF(ISERROR(MATCH(0,INDEX(COUNTIF($B$1:B84,$A$2:$A$4629),0,0),0)),"",INDEX($A$2:$A$4629,MATCH(0,INDEX(COUNTIF($B$1:B84,$A$2:$A$4629),0,0),0)))</f>
        <v>DELETE</v>
      </c>
      <c r="C85" t="str">
        <f t="shared" si="1"/>
        <v>&lt;xs:enumeration value="DELETE"/&gt;</v>
      </c>
    </row>
    <row r="86" spans="1:3" x14ac:dyDescent="0.25">
      <c r="A86" t="str">
        <f>IF(Scan2VK!D86&lt;&gt;"",Scan2VK!D86,"")</f>
        <v>SNAPSHOT</v>
      </c>
      <c r="B86" t="str">
        <f>IF(ISERROR(MATCH(0,INDEX(COUNTIF($B$1:B85,$A$2:$A$4629),0,0),0)),"",INDEX($A$2:$A$4629,MATCH(0,INDEX(COUNTIF($B$1:B85,$A$2:$A$4629),0,0),0)))</f>
        <v>SNAPSHOT</v>
      </c>
      <c r="C86" t="str">
        <f t="shared" si="1"/>
        <v>&lt;xs:enumeration value="SNAPSHOT"/&gt;</v>
      </c>
    </row>
    <row r="87" spans="1:3" x14ac:dyDescent="0.25">
      <c r="A87" t="str">
        <f>IF(Scan2VK!D87&lt;&gt;"",Scan2VK!D87,"")</f>
        <v>_none_</v>
      </c>
      <c r="B87" t="str">
        <f>IF(ISERROR(MATCH(0,INDEX(COUNTIF($B$1:B86,$A$2:$A$4629),0,0),0)),"",INDEX($A$2:$A$4629,MATCH(0,INDEX(COUNTIF($B$1:B86,$A$2:$A$4629),0,0),0)))</f>
        <v>OEM_102</v>
      </c>
      <c r="C87" t="str">
        <f t="shared" si="1"/>
        <v>&lt;xs:enumeration value="OEM_102"/&gt;</v>
      </c>
    </row>
    <row r="88" spans="1:3" x14ac:dyDescent="0.25">
      <c r="A88" t="str">
        <f>IF(Scan2VK!D88&lt;&gt;"",Scan2VK!D88,"")</f>
        <v>OEM_102</v>
      </c>
      <c r="B88" t="str">
        <f>IF(ISERROR(MATCH(0,INDEX(COUNTIF($B$1:B87,$A$2:$A$4629),0,0),0)),"",INDEX($A$2:$A$4629,MATCH(0,INDEX(COUNTIF($B$1:B87,$A$2:$A$4629),0,0),0)))</f>
        <v>F11</v>
      </c>
      <c r="C88" t="str">
        <f t="shared" si="1"/>
        <v>&lt;xs:enumeration value="F11"/&gt;</v>
      </c>
    </row>
    <row r="89" spans="1:3" x14ac:dyDescent="0.25">
      <c r="A89" t="str">
        <f>IF(Scan2VK!D89&lt;&gt;"",Scan2VK!D89,"")</f>
        <v>F11</v>
      </c>
      <c r="B89" t="str">
        <f>IF(ISERROR(MATCH(0,INDEX(COUNTIF($B$1:B88,$A$2:$A$4629),0,0),0)),"",INDEX($A$2:$A$4629,MATCH(0,INDEX(COUNTIF($B$1:B88,$A$2:$A$4629),0,0),0)))</f>
        <v>F12</v>
      </c>
      <c r="C89" t="str">
        <f t="shared" si="1"/>
        <v>&lt;xs:enumeration value="F12"/&gt;</v>
      </c>
    </row>
    <row r="90" spans="1:3" x14ac:dyDescent="0.25">
      <c r="A90" t="str">
        <f>IF(Scan2VK!D90&lt;&gt;"",Scan2VK!D90,"")</f>
        <v>F12</v>
      </c>
      <c r="B90" t="str">
        <f>IF(ISERROR(MATCH(0,INDEX(COUNTIF($B$1:B89,$A$2:$A$4629),0,0),0)),"",INDEX($A$2:$A$4629,MATCH(0,INDEX(COUNTIF($B$1:B89,$A$2:$A$4629),0,0),0)))</f>
        <v>OEM_WSCTRL</v>
      </c>
      <c r="C90" t="str">
        <f t="shared" si="1"/>
        <v>&lt;xs:enumeration value="OEM_WSCTRL"/&gt;</v>
      </c>
    </row>
    <row r="91" spans="1:3" x14ac:dyDescent="0.25">
      <c r="A91" t="str">
        <f>IF(Scan2VK!D91&lt;&gt;"",Scan2VK!D91,"")</f>
        <v>CLEAR</v>
      </c>
      <c r="B91" t="str">
        <f>IF(ISERROR(MATCH(0,INDEX(COUNTIF($B$1:B90,$A$2:$A$4629),0,0),0)),"",INDEX($A$2:$A$4629,MATCH(0,INDEX(COUNTIF($B$1:B90,$A$2:$A$4629),0,0),0)))</f>
        <v>OEM_FINISH</v>
      </c>
      <c r="C91" t="str">
        <f t="shared" si="1"/>
        <v>&lt;xs:enumeration value="OEM_FINISH"/&gt;</v>
      </c>
    </row>
    <row r="92" spans="1:3" x14ac:dyDescent="0.25">
      <c r="A92" t="str">
        <f>IF(Scan2VK!D92&lt;&gt;"",Scan2VK!D92,"")</f>
        <v>OEM_WSCTRL</v>
      </c>
      <c r="B92" t="str">
        <f>IF(ISERROR(MATCH(0,INDEX(COUNTIF($B$1:B91,$A$2:$A$4629),0,0),0)),"",INDEX($A$2:$A$4629,MATCH(0,INDEX(COUNTIF($B$1:B91,$A$2:$A$4629),0,0),0)))</f>
        <v>OEM_JUMP</v>
      </c>
      <c r="C92" t="str">
        <f t="shared" si="1"/>
        <v>&lt;xs:enumeration value="OEM_JUMP"/&gt;</v>
      </c>
    </row>
    <row r="93" spans="1:3" x14ac:dyDescent="0.25">
      <c r="A93" t="str">
        <f>IF(Scan2VK!D93&lt;&gt;"",Scan2VK!D93,"")</f>
        <v>OEM_FINISH</v>
      </c>
      <c r="B93" t="str">
        <f>IF(ISERROR(MATCH(0,INDEX(COUNTIF($B$1:B92,$A$2:$A$4629),0,0),0)),"",INDEX($A$2:$A$4629,MATCH(0,INDEX(COUNTIF($B$1:B92,$A$2:$A$4629),0,0),0)))</f>
        <v>EREOF</v>
      </c>
      <c r="C93" t="str">
        <f t="shared" si="1"/>
        <v>&lt;xs:enumeration value="EREOF"/&gt;</v>
      </c>
    </row>
    <row r="94" spans="1:3" x14ac:dyDescent="0.25">
      <c r="A94" t="str">
        <f>IF(Scan2VK!D94&lt;&gt;"",Scan2VK!D94,"")</f>
        <v>OEM_JUMP</v>
      </c>
      <c r="B94" t="str">
        <f>IF(ISERROR(MATCH(0,INDEX(COUNTIF($B$1:B93,$A$2:$A$4629),0,0),0)),"",INDEX($A$2:$A$4629,MATCH(0,INDEX(COUNTIF($B$1:B93,$A$2:$A$4629),0,0),0)))</f>
        <v>OEM_BACKTAB</v>
      </c>
      <c r="C94" t="str">
        <f t="shared" si="1"/>
        <v>&lt;xs:enumeration value="OEM_BACKTAB"/&gt;</v>
      </c>
    </row>
    <row r="95" spans="1:3" x14ac:dyDescent="0.25">
      <c r="A95" t="str">
        <f>IF(Scan2VK!D95&lt;&gt;"",Scan2VK!D95,"")</f>
        <v>EREOF</v>
      </c>
      <c r="B95" t="str">
        <f>IF(ISERROR(MATCH(0,INDEX(COUNTIF($B$1:B94,$A$2:$A$4629),0,0),0)),"",INDEX($A$2:$A$4629,MATCH(0,INDEX(COUNTIF($B$1:B94,$A$2:$A$4629),0,0),0)))</f>
        <v>OEM_AUTO</v>
      </c>
      <c r="C95" t="str">
        <f t="shared" si="1"/>
        <v>&lt;xs:enumeration value="OEM_AUTO"/&gt;</v>
      </c>
    </row>
    <row r="96" spans="1:3" x14ac:dyDescent="0.25">
      <c r="A96" t="str">
        <f>IF(Scan2VK!D96&lt;&gt;"",Scan2VK!D96,"")</f>
        <v>OEM_BACKTAB</v>
      </c>
      <c r="B96" t="str">
        <f>IF(ISERROR(MATCH(0,INDEX(COUNTIF($B$1:B95,$A$2:$A$4629),0,0),0)),"",INDEX($A$2:$A$4629,MATCH(0,INDEX(COUNTIF($B$1:B95,$A$2:$A$4629),0,0),0)))</f>
        <v>ZOOM</v>
      </c>
      <c r="C96" t="str">
        <f t="shared" si="1"/>
        <v>&lt;xs:enumeration value="ZOOM"/&gt;</v>
      </c>
    </row>
    <row r="97" spans="1:3" x14ac:dyDescent="0.25">
      <c r="A97" t="str">
        <f>IF(Scan2VK!D97&lt;&gt;"",Scan2VK!D97,"")</f>
        <v>OEM_AUTO</v>
      </c>
      <c r="B97" t="str">
        <f>IF(ISERROR(MATCH(0,INDEX(COUNTIF($B$1:B96,$A$2:$A$4629),0,0),0)),"",INDEX($A$2:$A$4629,MATCH(0,INDEX(COUNTIF($B$1:B96,$A$2:$A$4629),0,0),0)))</f>
        <v>HELP</v>
      </c>
      <c r="C97" t="str">
        <f t="shared" si="1"/>
        <v>&lt;xs:enumeration value="HELP"/&gt;</v>
      </c>
    </row>
    <row r="98" spans="1:3" x14ac:dyDescent="0.25">
      <c r="A98" t="str">
        <f>IF(Scan2VK!D98&lt;&gt;"",Scan2VK!D98,"")</f>
        <v>_none_</v>
      </c>
      <c r="B98" t="str">
        <f>IF(ISERROR(MATCH(0,INDEX(COUNTIF($B$1:B97,$A$2:$A$4629),0,0),0)),"",INDEX($A$2:$A$4629,MATCH(0,INDEX(COUNTIF($B$1:B97,$A$2:$A$4629),0,0),0)))</f>
        <v>F13</v>
      </c>
      <c r="C98" t="str">
        <f t="shared" si="1"/>
        <v>&lt;xs:enumeration value="F13"/&gt;</v>
      </c>
    </row>
    <row r="99" spans="1:3" x14ac:dyDescent="0.25">
      <c r="A99" t="str">
        <f>IF(Scan2VK!D99&lt;&gt;"",Scan2VK!D99,"")</f>
        <v>_none_</v>
      </c>
      <c r="B99" t="str">
        <f>IF(ISERROR(MATCH(0,INDEX(COUNTIF($B$1:B98,$A$2:$A$4629),0,0),0)),"",INDEX($A$2:$A$4629,MATCH(0,INDEX(COUNTIF($B$1:B98,$A$2:$A$4629),0,0),0)))</f>
        <v>F14</v>
      </c>
      <c r="C99" t="str">
        <f t="shared" si="1"/>
        <v>&lt;xs:enumeration value="F14"/&gt;</v>
      </c>
    </row>
    <row r="100" spans="1:3" x14ac:dyDescent="0.25">
      <c r="A100" t="str">
        <f>IF(Scan2VK!D100&lt;&gt;"",Scan2VK!D100,"")</f>
        <v>ZOOM</v>
      </c>
      <c r="B100" t="str">
        <f>IF(ISERROR(MATCH(0,INDEX(COUNTIF($B$1:B99,$A$2:$A$4629),0,0),0)),"",INDEX($A$2:$A$4629,MATCH(0,INDEX(COUNTIF($B$1:B99,$A$2:$A$4629),0,0),0)))</f>
        <v>F15</v>
      </c>
      <c r="C100" t="str">
        <f t="shared" si="1"/>
        <v>&lt;xs:enumeration value="F15"/&gt;</v>
      </c>
    </row>
    <row r="101" spans="1:3" x14ac:dyDescent="0.25">
      <c r="A101" t="str">
        <f>IF(Scan2VK!D101&lt;&gt;"",Scan2VK!D101,"")</f>
        <v>HELP</v>
      </c>
      <c r="B101" t="str">
        <f>IF(ISERROR(MATCH(0,INDEX(COUNTIF($B$1:B100,$A$2:$A$4629),0,0),0)),"",INDEX($A$2:$A$4629,MATCH(0,INDEX(COUNTIF($B$1:B100,$A$2:$A$4629),0,0),0)))</f>
        <v>F16</v>
      </c>
      <c r="C101" t="str">
        <f t="shared" si="1"/>
        <v>&lt;xs:enumeration value="F16"/&gt;</v>
      </c>
    </row>
    <row r="102" spans="1:3" x14ac:dyDescent="0.25">
      <c r="A102" t="str">
        <f>IF(Scan2VK!D102&lt;&gt;"",Scan2VK!D102,"")</f>
        <v>F13</v>
      </c>
      <c r="B102" t="str">
        <f>IF(ISERROR(MATCH(0,INDEX(COUNTIF($B$1:B101,$A$2:$A$4629),0,0),0)),"",INDEX($A$2:$A$4629,MATCH(0,INDEX(COUNTIF($B$1:B101,$A$2:$A$4629),0,0),0)))</f>
        <v>F17</v>
      </c>
      <c r="C102" t="str">
        <f t="shared" si="1"/>
        <v>&lt;xs:enumeration value="F17"/&gt;</v>
      </c>
    </row>
    <row r="103" spans="1:3" x14ac:dyDescent="0.25">
      <c r="A103" t="str">
        <f>IF(Scan2VK!D103&lt;&gt;"",Scan2VK!D103,"")</f>
        <v>F14</v>
      </c>
      <c r="B103" t="str">
        <f>IF(ISERROR(MATCH(0,INDEX(COUNTIF($B$1:B102,$A$2:$A$4629),0,0),0)),"",INDEX($A$2:$A$4629,MATCH(0,INDEX(COUNTIF($B$1:B102,$A$2:$A$4629),0,0),0)))</f>
        <v>F18</v>
      </c>
      <c r="C103" t="str">
        <f t="shared" si="1"/>
        <v>&lt;xs:enumeration value="F18"/&gt;</v>
      </c>
    </row>
    <row r="104" spans="1:3" x14ac:dyDescent="0.25">
      <c r="A104" t="str">
        <f>IF(Scan2VK!D104&lt;&gt;"",Scan2VK!D104,"")</f>
        <v>F15</v>
      </c>
      <c r="B104" t="str">
        <f>IF(ISERROR(MATCH(0,INDEX(COUNTIF($B$1:B103,$A$2:$A$4629),0,0),0)),"",INDEX($A$2:$A$4629,MATCH(0,INDEX(COUNTIF($B$1:B103,$A$2:$A$4629),0,0),0)))</f>
        <v>F19</v>
      </c>
      <c r="C104" t="str">
        <f t="shared" si="1"/>
        <v>&lt;xs:enumeration value="F19"/&gt;</v>
      </c>
    </row>
    <row r="105" spans="1:3" x14ac:dyDescent="0.25">
      <c r="A105" t="str">
        <f>IF(Scan2VK!D105&lt;&gt;"",Scan2VK!D105,"")</f>
        <v>F16</v>
      </c>
      <c r="B105" t="str">
        <f>IF(ISERROR(MATCH(0,INDEX(COUNTIF($B$1:B104,$A$2:$A$4629),0,0),0)),"",INDEX($A$2:$A$4629,MATCH(0,INDEX(COUNTIF($B$1:B104,$A$2:$A$4629),0,0),0)))</f>
        <v>F20</v>
      </c>
      <c r="C105" t="str">
        <f t="shared" si="1"/>
        <v>&lt;xs:enumeration value="F20"/&gt;</v>
      </c>
    </row>
    <row r="106" spans="1:3" x14ac:dyDescent="0.25">
      <c r="A106" t="str">
        <f>IF(Scan2VK!D106&lt;&gt;"",Scan2VK!D106,"")</f>
        <v>F17</v>
      </c>
      <c r="B106" t="str">
        <f>IF(ISERROR(MATCH(0,INDEX(COUNTIF($B$1:B105,$A$2:$A$4629),0,0),0)),"",INDEX($A$2:$A$4629,MATCH(0,INDEX(COUNTIF($B$1:B105,$A$2:$A$4629),0,0),0)))</f>
        <v>F21</v>
      </c>
      <c r="C106" t="str">
        <f t="shared" si="1"/>
        <v>&lt;xs:enumeration value="F21"/&gt;</v>
      </c>
    </row>
    <row r="107" spans="1:3" x14ac:dyDescent="0.25">
      <c r="A107" t="str">
        <f>IF(Scan2VK!D107&lt;&gt;"",Scan2VK!D107,"")</f>
        <v>F18</v>
      </c>
      <c r="B107" t="str">
        <f>IF(ISERROR(MATCH(0,INDEX(COUNTIF($B$1:B106,$A$2:$A$4629),0,0),0)),"",INDEX($A$2:$A$4629,MATCH(0,INDEX(COUNTIF($B$1:B106,$A$2:$A$4629),0,0),0)))</f>
        <v>F22</v>
      </c>
      <c r="C107" t="str">
        <f t="shared" si="1"/>
        <v>&lt;xs:enumeration value="F22"/&gt;</v>
      </c>
    </row>
    <row r="108" spans="1:3" x14ac:dyDescent="0.25">
      <c r="A108" t="str">
        <f>IF(Scan2VK!D108&lt;&gt;"",Scan2VK!D108,"")</f>
        <v>F19</v>
      </c>
      <c r="B108" t="str">
        <f>IF(ISERROR(MATCH(0,INDEX(COUNTIF($B$1:B107,$A$2:$A$4629),0,0),0)),"",INDEX($A$2:$A$4629,MATCH(0,INDEX(COUNTIF($B$1:B107,$A$2:$A$4629),0,0),0)))</f>
        <v>F23</v>
      </c>
      <c r="C108" t="str">
        <f t="shared" si="1"/>
        <v>&lt;xs:enumeration value="F23"/&gt;</v>
      </c>
    </row>
    <row r="109" spans="1:3" x14ac:dyDescent="0.25">
      <c r="A109" t="str">
        <f>IF(Scan2VK!D109&lt;&gt;"",Scan2VK!D109,"")</f>
        <v>F20</v>
      </c>
      <c r="B109" t="str">
        <f>IF(ISERROR(MATCH(0,INDEX(COUNTIF($B$1:B108,$A$2:$A$4629),0,0),0)),"",INDEX($A$2:$A$4629,MATCH(0,INDEX(COUNTIF($B$1:B108,$A$2:$A$4629),0,0),0)))</f>
        <v>OEM_PA3</v>
      </c>
      <c r="C109" t="str">
        <f t="shared" si="1"/>
        <v>&lt;xs:enumeration value="OEM_PA3"/&gt;</v>
      </c>
    </row>
    <row r="110" spans="1:3" x14ac:dyDescent="0.25">
      <c r="A110" t="str">
        <f>IF(Scan2VK!D110&lt;&gt;"",Scan2VK!D110,"")</f>
        <v>F21</v>
      </c>
      <c r="B110" t="str">
        <f>IF(ISERROR(MATCH(0,INDEX(COUNTIF($B$1:B109,$A$2:$A$4629),0,0),0)),"",INDEX($A$2:$A$4629,MATCH(0,INDEX(COUNTIF($B$1:B109,$A$2:$A$4629),0,0),0)))</f>
        <v>OEM_RESET</v>
      </c>
      <c r="C110" t="str">
        <f t="shared" si="1"/>
        <v>&lt;xs:enumeration value="OEM_RESET"/&gt;</v>
      </c>
    </row>
    <row r="111" spans="1:3" x14ac:dyDescent="0.25">
      <c r="A111" t="str">
        <f>IF(Scan2VK!D111&lt;&gt;"",Scan2VK!D111,"")</f>
        <v>F22</v>
      </c>
      <c r="B111" t="str">
        <f>IF(ISERROR(MATCH(0,INDEX(COUNTIF($B$1:B110,$A$2:$A$4629),0,0),0)),"",INDEX($A$2:$A$4629,MATCH(0,INDEX(COUNTIF($B$1:B110,$A$2:$A$4629),0,0),0)))</f>
        <v>ABNT_C1</v>
      </c>
      <c r="C111" t="str">
        <f t="shared" si="1"/>
        <v>&lt;xs:enumeration value="ABNT_C1"/&gt;</v>
      </c>
    </row>
    <row r="112" spans="1:3" x14ac:dyDescent="0.25">
      <c r="A112" t="str">
        <f>IF(Scan2VK!D112&lt;&gt;"",Scan2VK!D112,"")</f>
        <v>F23</v>
      </c>
      <c r="B112" t="str">
        <f>IF(ISERROR(MATCH(0,INDEX(COUNTIF($B$1:B111,$A$2:$A$4629),0,0),0)),"",INDEX($A$2:$A$4629,MATCH(0,INDEX(COUNTIF($B$1:B111,$A$2:$A$4629),0,0),0)))</f>
        <v>F24</v>
      </c>
      <c r="C112" t="str">
        <f t="shared" si="1"/>
        <v>&lt;xs:enumeration value="F24"/&gt;</v>
      </c>
    </row>
    <row r="113" spans="1:3" x14ac:dyDescent="0.25">
      <c r="A113" t="str">
        <f>IF(Scan2VK!D113&lt;&gt;"",Scan2VK!D113,"")</f>
        <v>OEM_PA3</v>
      </c>
      <c r="B113" t="str">
        <f>IF(ISERROR(MATCH(0,INDEX(COUNTIF($B$1:B112,$A$2:$A$4629),0,0),0)),"",INDEX($A$2:$A$4629,MATCH(0,INDEX(COUNTIF($B$1:B112,$A$2:$A$4629),0,0),0)))</f>
        <v>OEM_PA1</v>
      </c>
      <c r="C113" t="str">
        <f t="shared" si="1"/>
        <v>&lt;xs:enumeration value="OEM_PA1"/&gt;</v>
      </c>
    </row>
    <row r="114" spans="1:3" x14ac:dyDescent="0.25">
      <c r="A114" t="str">
        <f>IF(Scan2VK!D114&lt;&gt;"",Scan2VK!D114,"")</f>
        <v>_none_</v>
      </c>
      <c r="B114" t="str">
        <f>IF(ISERROR(MATCH(0,INDEX(COUNTIF($B$1:B113,$A$2:$A$4629),0,0),0)),"",INDEX($A$2:$A$4629,MATCH(0,INDEX(COUNTIF($B$1:B113,$A$2:$A$4629),0,0),0)))</f>
        <v>ABNT_C2</v>
      </c>
      <c r="C114" t="str">
        <f t="shared" si="1"/>
        <v>&lt;xs:enumeration value="ABNT_C2"/&gt;</v>
      </c>
    </row>
    <row r="115" spans="1:3" x14ac:dyDescent="0.25">
      <c r="A115" t="str">
        <f>IF(Scan2VK!D115&lt;&gt;"",Scan2VK!D115,"")</f>
        <v>OEM_RESET</v>
      </c>
      <c r="B115" t="str">
        <f>IF(ISERROR(MATCH(0,INDEX(COUNTIF($B$1:B114,$A$2:$A$4629),0,0),0)),"",INDEX($A$2:$A$4629,MATCH(0,INDEX(COUNTIF($B$1:B114,$A$2:$A$4629),0,0),0)))</f>
        <v>OEM_PA2</v>
      </c>
      <c r="C115" t="str">
        <f t="shared" si="1"/>
        <v>&lt;xs:enumeration value="OEM_PA2"/&gt;</v>
      </c>
    </row>
    <row r="116" spans="1:3" x14ac:dyDescent="0.25">
      <c r="A116" t="str">
        <f>IF(Scan2VK!D116&lt;&gt;"",Scan2VK!D116,"")</f>
        <v>_none_</v>
      </c>
      <c r="B116" t="str">
        <f>IF(ISERROR(MATCH(0,INDEX(COUNTIF($B$1:B115,$A$2:$A$4629),0,0),0)),"",INDEX($A$2:$A$4629,MATCH(0,INDEX(COUNTIF($B$1:B115,$A$2:$A$4629),0,0),0)))</f>
        <v>MEDIA_PREV_TRACK</v>
      </c>
      <c r="C116" t="str">
        <f t="shared" si="1"/>
        <v>&lt;xs:enumeration value="MEDIA_PREV_TRACK"/&gt;</v>
      </c>
    </row>
    <row r="117" spans="1:3" x14ac:dyDescent="0.25">
      <c r="A117" t="str">
        <f>IF(Scan2VK!D117&lt;&gt;"",Scan2VK!D117,"")</f>
        <v>ABNT_C1</v>
      </c>
      <c r="B117" t="str">
        <f>IF(ISERROR(MATCH(0,INDEX(COUNTIF($B$1:B116,$A$2:$A$4629),0,0),0)),"",INDEX($A$2:$A$4629,MATCH(0,INDEX(COUNTIF($B$1:B116,$A$2:$A$4629),0,0),0)))</f>
        <v>MEDIA_NEXT_TRACK</v>
      </c>
      <c r="C117" t="str">
        <f t="shared" si="1"/>
        <v>&lt;xs:enumeration value="MEDIA_NEXT_TRACK"/&gt;</v>
      </c>
    </row>
    <row r="118" spans="1:3" x14ac:dyDescent="0.25">
      <c r="A118" t="str">
        <f>IF(Scan2VK!D118&lt;&gt;"",Scan2VK!D118,"")</f>
        <v>_none_</v>
      </c>
      <c r="B118" t="str">
        <f>IF(ISERROR(MATCH(0,INDEX(COUNTIF($B$1:B117,$A$2:$A$4629),0,0),0)),"",INDEX($A$2:$A$4629,MATCH(0,INDEX(COUNTIF($B$1:B117,$A$2:$A$4629),0,0),0)))</f>
        <v>RCONTROL</v>
      </c>
      <c r="C118" t="str">
        <f t="shared" si="1"/>
        <v>&lt;xs:enumeration value="RCONTROL"/&gt;</v>
      </c>
    </row>
    <row r="119" spans="1:3" x14ac:dyDescent="0.25">
      <c r="A119" t="str">
        <f>IF(Scan2VK!D119&lt;&gt;"",Scan2VK!D119,"")</f>
        <v>_none_</v>
      </c>
      <c r="B119" t="str">
        <f>IF(ISERROR(MATCH(0,INDEX(COUNTIF($B$1:B118,$A$2:$A$4629),0,0),0)),"",INDEX($A$2:$A$4629,MATCH(0,INDEX(COUNTIF($B$1:B118,$A$2:$A$4629),0,0),0)))</f>
        <v>VOLUME_MUTE</v>
      </c>
      <c r="C119" t="str">
        <f t="shared" si="1"/>
        <v>&lt;xs:enumeration value="VOLUME_MUTE"/&gt;</v>
      </c>
    </row>
    <row r="120" spans="1:3" x14ac:dyDescent="0.25">
      <c r="A120" t="str">
        <f>IF(Scan2VK!D120&lt;&gt;"",Scan2VK!D120,"")</f>
        <v>F24</v>
      </c>
      <c r="B120" t="str">
        <f>IF(ISERROR(MATCH(0,INDEX(COUNTIF($B$1:B119,$A$2:$A$4629),0,0),0)),"",INDEX($A$2:$A$4629,MATCH(0,INDEX(COUNTIF($B$1:B119,$A$2:$A$4629),0,0),0)))</f>
        <v>LAUNCH_APP2</v>
      </c>
      <c r="C120" t="str">
        <f t="shared" si="1"/>
        <v>&lt;xs:enumeration value="LAUNCH_APP2"/&gt;</v>
      </c>
    </row>
    <row r="121" spans="1:3" x14ac:dyDescent="0.25">
      <c r="A121" t="str">
        <f>IF(Scan2VK!D121&lt;&gt;"",Scan2VK!D121,"")</f>
        <v>_none_</v>
      </c>
      <c r="B121" t="str">
        <f>IF(ISERROR(MATCH(0,INDEX(COUNTIF($B$1:B120,$A$2:$A$4629),0,0),0)),"",INDEX($A$2:$A$4629,MATCH(0,INDEX(COUNTIF($B$1:B120,$A$2:$A$4629),0,0),0)))</f>
        <v>MEDIA_PLAY_PAUSE</v>
      </c>
      <c r="C121" t="str">
        <f t="shared" si="1"/>
        <v>&lt;xs:enumeration value="MEDIA_PLAY_PAUSE"/&gt;</v>
      </c>
    </row>
    <row r="122" spans="1:3" x14ac:dyDescent="0.25">
      <c r="A122" t="str">
        <f>IF(Scan2VK!D122&lt;&gt;"",Scan2VK!D122,"")</f>
        <v>_none_</v>
      </c>
      <c r="B122" t="str">
        <f>IF(ISERROR(MATCH(0,INDEX(COUNTIF($B$1:B121,$A$2:$A$4629),0,0),0)),"",INDEX($A$2:$A$4629,MATCH(0,INDEX(COUNTIF($B$1:B121,$A$2:$A$4629),0,0),0)))</f>
        <v>MEDIA_STOP</v>
      </c>
      <c r="C122" t="str">
        <f t="shared" si="1"/>
        <v>&lt;xs:enumeration value="MEDIA_STOP"/&gt;</v>
      </c>
    </row>
    <row r="123" spans="1:3" x14ac:dyDescent="0.25">
      <c r="A123" t="str">
        <f>IF(Scan2VK!D123&lt;&gt;"",Scan2VK!D123,"")</f>
        <v>_none_</v>
      </c>
      <c r="B123" t="str">
        <f>IF(ISERROR(MATCH(0,INDEX(COUNTIF($B$1:B122,$A$2:$A$4629),0,0),0)),"",INDEX($A$2:$A$4629,MATCH(0,INDEX(COUNTIF($B$1:B122,$A$2:$A$4629),0,0),0)))</f>
        <v>VOLUME_DOWN</v>
      </c>
      <c r="C123" t="str">
        <f t="shared" si="1"/>
        <v>&lt;xs:enumeration value="VOLUME_DOWN"/&gt;</v>
      </c>
    </row>
    <row r="124" spans="1:3" x14ac:dyDescent="0.25">
      <c r="A124" t="str">
        <f>IF(Scan2VK!D124&lt;&gt;"",Scan2VK!D124,"")</f>
        <v>_none_</v>
      </c>
      <c r="B124" t="str">
        <f>IF(ISERROR(MATCH(0,INDEX(COUNTIF($B$1:B123,$A$2:$A$4629),0,0),0)),"",INDEX($A$2:$A$4629,MATCH(0,INDEX(COUNTIF($B$1:B123,$A$2:$A$4629),0,0),0)))</f>
        <v>VOLUME_UP</v>
      </c>
      <c r="C124" t="str">
        <f t="shared" si="1"/>
        <v>&lt;xs:enumeration value="VOLUME_UP"/&gt;</v>
      </c>
    </row>
    <row r="125" spans="1:3" x14ac:dyDescent="0.25">
      <c r="A125" t="str">
        <f>IF(Scan2VK!D125&lt;&gt;"",Scan2VK!D125,"")</f>
        <v>OEM_PA1</v>
      </c>
      <c r="B125" t="str">
        <f>IF(ISERROR(MATCH(0,INDEX(COUNTIF($B$1:B124,$A$2:$A$4629),0,0),0)),"",INDEX($A$2:$A$4629,MATCH(0,INDEX(COUNTIF($B$1:B124,$A$2:$A$4629),0,0),0)))</f>
        <v>BROWSER_HOME</v>
      </c>
      <c r="C125" t="str">
        <f t="shared" si="1"/>
        <v>&lt;xs:enumeration value="BROWSER_HOME"/&gt;</v>
      </c>
    </row>
    <row r="126" spans="1:3" x14ac:dyDescent="0.25">
      <c r="A126" t="str">
        <f>IF(Scan2VK!D126&lt;&gt;"",Scan2VK!D126,"")</f>
        <v>TAB</v>
      </c>
      <c r="B126" t="str">
        <f>IF(ISERROR(MATCH(0,INDEX(COUNTIF($B$1:B125,$A$2:$A$4629),0,0),0)),"",INDEX($A$2:$A$4629,MATCH(0,INDEX(COUNTIF($B$1:B125,$A$2:$A$4629),0,0),0)))</f>
        <v>DIVIDE</v>
      </c>
      <c r="C126" t="str">
        <f t="shared" si="1"/>
        <v>&lt;xs:enumeration value="DIVIDE"/&gt;</v>
      </c>
    </row>
    <row r="127" spans="1:3" x14ac:dyDescent="0.25">
      <c r="A127" t="str">
        <f>IF(Scan2VK!D127&lt;&gt;"",Scan2VK!D127,"")</f>
        <v>_none_</v>
      </c>
      <c r="B127" t="str">
        <f>IF(ISERROR(MATCH(0,INDEX(COUNTIF($B$1:B126,$A$2:$A$4629),0,0),0)),"",INDEX($A$2:$A$4629,MATCH(0,INDEX(COUNTIF($B$1:B126,$A$2:$A$4629),0,0),0)))</f>
        <v>RMENU</v>
      </c>
      <c r="C127" t="str">
        <f t="shared" si="1"/>
        <v>&lt;xs:enumeration value="RMENU"/&gt;</v>
      </c>
    </row>
    <row r="128" spans="1:3" x14ac:dyDescent="0.25">
      <c r="A128" t="str">
        <f>IF(Scan2VK!D128&lt;&gt;"",Scan2VK!D128,"")</f>
        <v>ABNT_C2</v>
      </c>
      <c r="B128" t="str">
        <f>IF(ISERROR(MATCH(0,INDEX(COUNTIF($B$1:B127,$A$2:$A$4629),0,0),0)),"",INDEX($A$2:$A$4629,MATCH(0,INDEX(COUNTIF($B$1:B127,$A$2:$A$4629),0,0),0)))</f>
        <v>CANCEL</v>
      </c>
      <c r="C128" t="str">
        <f t="shared" si="1"/>
        <v>&lt;xs:enumeration value="CANCEL"/&gt;</v>
      </c>
    </row>
    <row r="129" spans="1:3" x14ac:dyDescent="0.25">
      <c r="A129" t="str">
        <f>IF(Scan2VK!D129&lt;&gt;"",Scan2VK!D129,"")</f>
        <v>OEM_PA2</v>
      </c>
      <c r="B129" t="str">
        <f>IF(ISERROR(MATCH(0,INDEX(COUNTIF($B$1:B128,$A$2:$A$4629),0,0),0)),"",INDEX($A$2:$A$4629,MATCH(0,INDEX(COUNTIF($B$1:B128,$A$2:$A$4629),0,0),0)))</f>
        <v>LWIN</v>
      </c>
      <c r="C129" t="str">
        <f t="shared" si="1"/>
        <v>&lt;xs:enumeration value="LWIN"/&gt;</v>
      </c>
    </row>
    <row r="130" spans="1:3" x14ac:dyDescent="0.25">
      <c r="A130" t="str">
        <f>IF(Scan2VK!D130&lt;&gt;"",Scan2VK!D130,"")</f>
        <v/>
      </c>
      <c r="B130" t="str">
        <f>IF(ISERROR(MATCH(0,INDEX(COUNTIF($B$1:B129,$A$2:$A$4629),0,0),0)),"",INDEX($A$2:$A$4629,MATCH(0,INDEX(COUNTIF($B$1:B129,$A$2:$A$4629),0,0),0)))</f>
        <v>RWIN</v>
      </c>
      <c r="C130" t="str">
        <f t="shared" si="1"/>
        <v>&lt;xs:enumeration value="RWIN"/&gt;</v>
      </c>
    </row>
    <row r="131" spans="1:3" x14ac:dyDescent="0.25">
      <c r="A131" t="str">
        <f>IF(Scan2VK!D131&lt;&gt;"",Scan2VK!D131,"")</f>
        <v>MEDIA_PREV_TRACK</v>
      </c>
      <c r="B131" t="str">
        <f>IF(ISERROR(MATCH(0,INDEX(COUNTIF($B$1:B130,$A$2:$A$4629),0,0),0)),"",INDEX($A$2:$A$4629,MATCH(0,INDEX(COUNTIF($B$1:B130,$A$2:$A$4629),0,0),0)))</f>
        <v>APPS</v>
      </c>
      <c r="C131" t="str">
        <f t="shared" ref="C131:C194" si="2">IF(B131&lt;&gt;"","&lt;xs:enumeration value="""&amp;B131&amp;"""/&gt;","")</f>
        <v>&lt;xs:enumeration value="APPS"/&gt;</v>
      </c>
    </row>
    <row r="132" spans="1:3" x14ac:dyDescent="0.25">
      <c r="A132" t="str">
        <f>IF(Scan2VK!D132&lt;&gt;"",Scan2VK!D132,"")</f>
        <v>MEDIA_NEXT_TRACK</v>
      </c>
      <c r="B132" t="str">
        <f>IF(ISERROR(MATCH(0,INDEX(COUNTIF($B$1:B131,$A$2:$A$4629),0,0),0)),"",INDEX($A$2:$A$4629,MATCH(0,INDEX(COUNTIF($B$1:B131,$A$2:$A$4629),0,0),0)))</f>
        <v>POWER</v>
      </c>
      <c r="C132" t="str">
        <f t="shared" si="2"/>
        <v>&lt;xs:enumeration value="POWER"/&gt;</v>
      </c>
    </row>
    <row r="133" spans="1:3" x14ac:dyDescent="0.25">
      <c r="A133" t="str">
        <f>IF(Scan2VK!D133&lt;&gt;"",Scan2VK!D133,"")</f>
        <v>RETURN</v>
      </c>
      <c r="B133" t="str">
        <f>IF(ISERROR(MATCH(0,INDEX(COUNTIF($B$1:B132,$A$2:$A$4629),0,0),0)),"",INDEX($A$2:$A$4629,MATCH(0,INDEX(COUNTIF($B$1:B132,$A$2:$A$4629),0,0),0)))</f>
        <v>SLEEP</v>
      </c>
      <c r="C133" t="str">
        <f t="shared" si="2"/>
        <v>&lt;xs:enumeration value="SLEEP"/&gt;</v>
      </c>
    </row>
    <row r="134" spans="1:3" x14ac:dyDescent="0.25">
      <c r="A134" t="str">
        <f>IF(Scan2VK!D134&lt;&gt;"",Scan2VK!D134,"")</f>
        <v>RCONTROL</v>
      </c>
      <c r="B134" t="str">
        <f>IF(ISERROR(MATCH(0,INDEX(COUNTIF($B$1:B133,$A$2:$A$4629),0,0),0)),"",INDEX($A$2:$A$4629,MATCH(0,INDEX(COUNTIF($B$1:B133,$A$2:$A$4629),0,0),0)))</f>
        <v>BROWSER_SEARCH</v>
      </c>
      <c r="C134" t="str">
        <f t="shared" si="2"/>
        <v>&lt;xs:enumeration value="BROWSER_SEARCH"/&gt;</v>
      </c>
    </row>
    <row r="135" spans="1:3" x14ac:dyDescent="0.25">
      <c r="A135" t="str">
        <f>IF(Scan2VK!D135&lt;&gt;"",Scan2VK!D135,"")</f>
        <v>VOLUME_MUTE</v>
      </c>
      <c r="B135" t="str">
        <f>IF(ISERROR(MATCH(0,INDEX(COUNTIF($B$1:B134,$A$2:$A$4629),0,0),0)),"",INDEX($A$2:$A$4629,MATCH(0,INDEX(COUNTIF($B$1:B134,$A$2:$A$4629),0,0),0)))</f>
        <v>BROWSER_FAVORITES</v>
      </c>
      <c r="C135" t="str">
        <f t="shared" si="2"/>
        <v>&lt;xs:enumeration value="BROWSER_FAVORITES"/&gt;</v>
      </c>
    </row>
    <row r="136" spans="1:3" x14ac:dyDescent="0.25">
      <c r="A136" t="str">
        <f>IF(Scan2VK!D136&lt;&gt;"",Scan2VK!D136,"")</f>
        <v>LAUNCH_APP2</v>
      </c>
      <c r="B136" t="str">
        <f>IF(ISERROR(MATCH(0,INDEX(COUNTIF($B$1:B135,$A$2:$A$4629),0,0),0)),"",INDEX($A$2:$A$4629,MATCH(0,INDEX(COUNTIF($B$1:B135,$A$2:$A$4629),0,0),0)))</f>
        <v>BROWSER_REFRESH</v>
      </c>
      <c r="C136" t="str">
        <f t="shared" si="2"/>
        <v>&lt;xs:enumeration value="BROWSER_REFRESH"/&gt;</v>
      </c>
    </row>
    <row r="137" spans="1:3" x14ac:dyDescent="0.25">
      <c r="A137" t="str">
        <f>IF(Scan2VK!D137&lt;&gt;"",Scan2VK!D137,"")</f>
        <v>MEDIA_PLAY_PAUSE</v>
      </c>
      <c r="B137" t="str">
        <f>IF(ISERROR(MATCH(0,INDEX(COUNTIF($B$1:B136,$A$2:$A$4629),0,0),0)),"",INDEX($A$2:$A$4629,MATCH(0,INDEX(COUNTIF($B$1:B136,$A$2:$A$4629),0,0),0)))</f>
        <v>BROWSER_STOP</v>
      </c>
      <c r="C137" t="str">
        <f t="shared" si="2"/>
        <v>&lt;xs:enumeration value="BROWSER_STOP"/&gt;</v>
      </c>
    </row>
    <row r="138" spans="1:3" x14ac:dyDescent="0.25">
      <c r="A138" t="str">
        <f>IF(Scan2VK!D138&lt;&gt;"",Scan2VK!D138,"")</f>
        <v>MEDIA_STOP</v>
      </c>
      <c r="B138" t="str">
        <f>IF(ISERROR(MATCH(0,INDEX(COUNTIF($B$1:B137,$A$2:$A$4629),0,0),0)),"",INDEX($A$2:$A$4629,MATCH(0,INDEX(COUNTIF($B$1:B137,$A$2:$A$4629),0,0),0)))</f>
        <v>BROWSER_FORWARD</v>
      </c>
      <c r="C138" t="str">
        <f t="shared" si="2"/>
        <v>&lt;xs:enumeration value="BROWSER_FORWARD"/&gt;</v>
      </c>
    </row>
    <row r="139" spans="1:3" x14ac:dyDescent="0.25">
      <c r="A139" t="str">
        <f>IF(Scan2VK!D139&lt;&gt;"",Scan2VK!D139,"")</f>
        <v>VOLUME_DOWN</v>
      </c>
      <c r="B139" t="str">
        <f>IF(ISERROR(MATCH(0,INDEX(COUNTIF($B$1:B138,$A$2:$A$4629),0,0),0)),"",INDEX($A$2:$A$4629,MATCH(0,INDEX(COUNTIF($B$1:B138,$A$2:$A$4629),0,0),0)))</f>
        <v>BROWSER_BACK</v>
      </c>
      <c r="C139" t="str">
        <f t="shared" si="2"/>
        <v>&lt;xs:enumeration value="BROWSER_BACK"/&gt;</v>
      </c>
    </row>
    <row r="140" spans="1:3" x14ac:dyDescent="0.25">
      <c r="A140" t="str">
        <f>IF(Scan2VK!D140&lt;&gt;"",Scan2VK!D140,"")</f>
        <v>VOLUME_UP</v>
      </c>
      <c r="B140" t="str">
        <f>IF(ISERROR(MATCH(0,INDEX(COUNTIF($B$1:B139,$A$2:$A$4629),0,0),0)),"",INDEX($A$2:$A$4629,MATCH(0,INDEX(COUNTIF($B$1:B139,$A$2:$A$4629),0,0),0)))</f>
        <v>LAUNCH_APP1</v>
      </c>
      <c r="C140" t="str">
        <f t="shared" si="2"/>
        <v>&lt;xs:enumeration value="LAUNCH_APP1"/&gt;</v>
      </c>
    </row>
    <row r="141" spans="1:3" x14ac:dyDescent="0.25">
      <c r="A141" t="str">
        <f>IF(Scan2VK!D141&lt;&gt;"",Scan2VK!D141,"")</f>
        <v>BROWSER_HOME</v>
      </c>
      <c r="B141" t="str">
        <f>IF(ISERROR(MATCH(0,INDEX(COUNTIF($B$1:B140,$A$2:$A$4629),0,0),0)),"",INDEX($A$2:$A$4629,MATCH(0,INDEX(COUNTIF($B$1:B140,$A$2:$A$4629),0,0),0)))</f>
        <v>LAUNCH_MAIL</v>
      </c>
      <c r="C141" t="str">
        <f t="shared" si="2"/>
        <v>&lt;xs:enumeration value="LAUNCH_MAIL"/&gt;</v>
      </c>
    </row>
    <row r="142" spans="1:3" x14ac:dyDescent="0.25">
      <c r="A142" t="str">
        <f>IF(Scan2VK!D142&lt;&gt;"",Scan2VK!D142,"")</f>
        <v/>
      </c>
      <c r="B142" t="str">
        <f>IF(ISERROR(MATCH(0,INDEX(COUNTIF($B$1:B141,$A$2:$A$4629),0,0),0)),"",INDEX($A$2:$A$4629,MATCH(0,INDEX(COUNTIF($B$1:B141,$A$2:$A$4629),0,0),0)))</f>
        <v>LAUNCH_MEDIA_SELECT</v>
      </c>
      <c r="C142" t="str">
        <f t="shared" si="2"/>
        <v>&lt;xs:enumeration value="LAUNCH_MEDIA_SELECT"/&gt;</v>
      </c>
    </row>
    <row r="143" spans="1:3" x14ac:dyDescent="0.25">
      <c r="A143" t="str">
        <f>IF(Scan2VK!D143&lt;&gt;"",Scan2VK!D143,"")</f>
        <v>DIVIDE</v>
      </c>
      <c r="B143" t="str">
        <f>IF(ISERROR(MATCH(0,INDEX(COUNTIF($B$1:B142,$A$2:$A$4629),0,0),0)),"",INDEX($A$2:$A$4629,MATCH(0,INDEX(COUNTIF($B$1:B142,$A$2:$A$4629),0,0),0)))</f>
        <v>PAUSE</v>
      </c>
      <c r="C143" t="str">
        <f t="shared" si="2"/>
        <v>&lt;xs:enumeration value="PAUSE"/&gt;</v>
      </c>
    </row>
    <row r="144" spans="1:3" x14ac:dyDescent="0.25">
      <c r="A144" t="str">
        <f>IF(Scan2VK!D144&lt;&gt;"",Scan2VK!D144,"")</f>
        <v>SNAPSHOT</v>
      </c>
      <c r="B144" t="str">
        <f>IF(ISERROR(MATCH(0,INDEX(COUNTIF($B$1:B143,$A$2:$A$4629),0,0),0)),"",INDEX($A$2:$A$4629,MATCH(0,INDEX(COUNTIF($B$1:B143,$A$2:$A$4629),0,0),0)))</f>
        <v>DBE_ALPHANUMERIC</v>
      </c>
      <c r="C144" t="str">
        <f t="shared" si="2"/>
        <v>&lt;xs:enumeration value="DBE_ALPHANUMERIC"/&gt;</v>
      </c>
    </row>
    <row r="145" spans="1:3" x14ac:dyDescent="0.25">
      <c r="A145" t="str">
        <f>IF(Scan2VK!D145&lt;&gt;"",Scan2VK!D145,"")</f>
        <v>RMENU</v>
      </c>
      <c r="B145" t="str">
        <f>IF(ISERROR(MATCH(0,INDEX(COUNTIF($B$1:B144,$A$2:$A$4629),0,0),0)),"",INDEX($A$2:$A$4629,MATCH(0,INDEX(COUNTIF($B$1:B144,$A$2:$A$4629),0,0),0)))</f>
        <v>NONAME</v>
      </c>
      <c r="C145" t="str">
        <f t="shared" si="2"/>
        <v>&lt;xs:enumeration value="NONAME"/&gt;</v>
      </c>
    </row>
    <row r="146" spans="1:3" x14ac:dyDescent="0.25">
      <c r="A146" t="str">
        <f>IF(Scan2VK!D146&lt;&gt;"",Scan2VK!D146,"")</f>
        <v/>
      </c>
      <c r="B146" t="str">
        <f>IF(ISERROR(MATCH(0,INDEX(COUNTIF($B$1:B145,$A$2:$A$4629),0,0),0)),"",INDEX($A$2:$A$4629,MATCH(0,INDEX(COUNTIF($B$1:B145,$A$2:$A$4629),0,0),0)))</f>
        <v>DBE_KATAKANA</v>
      </c>
      <c r="C146" t="str">
        <f t="shared" si="2"/>
        <v>&lt;xs:enumeration value="DBE_KATAKANA"/&gt;</v>
      </c>
    </row>
    <row r="147" spans="1:3" x14ac:dyDescent="0.25">
      <c r="A147" t="str">
        <f>IF(Scan2VK!D147&lt;&gt;"",Scan2VK!D147,"")</f>
        <v/>
      </c>
      <c r="B147" t="str">
        <f>IF(ISERROR(MATCH(0,INDEX(COUNTIF($B$1:B146,$A$2:$A$4629),0,0),0)),"",INDEX($A$2:$A$4629,MATCH(0,INDEX(COUNTIF($B$1:B146,$A$2:$A$4629),0,0),0)))</f>
        <v>DBE_SBCSCHAR</v>
      </c>
      <c r="C147" t="str">
        <f t="shared" si="2"/>
        <v>&lt;xs:enumeration value="DBE_SBCSCHAR"/&gt;</v>
      </c>
    </row>
    <row r="148" spans="1:3" x14ac:dyDescent="0.25">
      <c r="A148" t="str">
        <f>IF(Scan2VK!D148&lt;&gt;"",Scan2VK!D148,"")</f>
        <v/>
      </c>
      <c r="B148" t="str">
        <f>IF(ISERROR(MATCH(0,INDEX(COUNTIF($B$1:B147,$A$2:$A$4629),0,0),0)),"",INDEX($A$2:$A$4629,MATCH(0,INDEX(COUNTIF($B$1:B147,$A$2:$A$4629),0,0),0)))</f>
        <v>CONVERT</v>
      </c>
      <c r="C148" t="str">
        <f t="shared" si="2"/>
        <v>&lt;xs:enumeration value="CONVERT"/&gt;</v>
      </c>
    </row>
    <row r="149" spans="1:3" x14ac:dyDescent="0.25">
      <c r="A149" t="str">
        <f>IF(Scan2VK!D149&lt;&gt;"",Scan2VK!D149,"")</f>
        <v/>
      </c>
      <c r="B149" t="str">
        <f>IF(ISERROR(MATCH(0,INDEX(COUNTIF($B$1:B148,$A$2:$A$4629),0,0),0)),"",INDEX($A$2:$A$4629,MATCH(0,INDEX(COUNTIF($B$1:B148,$A$2:$A$4629),0,0),0)))</f>
        <v>NONCONVERT</v>
      </c>
      <c r="C149" t="str">
        <f t="shared" si="2"/>
        <v>&lt;xs:enumeration value="NONCONVERT"/&gt;</v>
      </c>
    </row>
    <row r="150" spans="1:3" x14ac:dyDescent="0.25">
      <c r="A150" t="str">
        <f>IF(Scan2VK!D150&lt;&gt;"",Scan2VK!D150,"")</f>
        <v/>
      </c>
      <c r="B150" t="str">
        <f>IF(ISERROR(MATCH(0,INDEX(COUNTIF($B$1:B149,$A$2:$A$4629),0,0),0)),"",INDEX($A$2:$A$4629,MATCH(0,INDEX(COUNTIF($B$1:B149,$A$2:$A$4629),0,0),0)))</f>
        <v>OEM_8</v>
      </c>
      <c r="C150" t="str">
        <f t="shared" si="2"/>
        <v>&lt;xs:enumeration value="OEM_8"/&gt;</v>
      </c>
    </row>
    <row r="151" spans="1:3" x14ac:dyDescent="0.25">
      <c r="A151" t="str">
        <f>IF(Scan2VK!D151&lt;&gt;"",Scan2VK!D151,"")</f>
        <v/>
      </c>
      <c r="B151" t="str">
        <f>IF(ISERROR(MATCH(0,INDEX(COUNTIF($B$1:B150,$A$2:$A$4629),0,0),0)),"",INDEX($A$2:$A$4629,MATCH(0,INDEX(COUNTIF($B$1:B150,$A$2:$A$4629),0,0),0)))</f>
        <v>DBE_HIRAGANA</v>
      </c>
      <c r="C151" t="str">
        <f t="shared" si="2"/>
        <v>&lt;xs:enumeration value="DBE_HIRAGANA"/&gt;</v>
      </c>
    </row>
    <row r="152" spans="1:3" x14ac:dyDescent="0.25">
      <c r="A152" t="str">
        <f>IF(Scan2VK!D152&lt;&gt;"",Scan2VK!D152,"")</f>
        <v/>
      </c>
      <c r="B152" t="str">
        <f>IF(ISERROR(MATCH(0,INDEX(COUNTIF($B$1:B151,$A$2:$A$4629),0,0),0)),"",INDEX($A$2:$A$4629,MATCH(0,INDEX(COUNTIF($B$1:B151,$A$2:$A$4629),0,0),0)))</f>
        <v>OEM_AX</v>
      </c>
      <c r="C152" t="str">
        <f t="shared" si="2"/>
        <v>&lt;xs:enumeration value="OEM_AX"/&gt;</v>
      </c>
    </row>
    <row r="153" spans="1:3" x14ac:dyDescent="0.25">
      <c r="A153" t="str">
        <f>IF(Scan2VK!D153&lt;&gt;"",Scan2VK!D153,"")</f>
        <v/>
      </c>
      <c r="B153" t="str">
        <f>IF(ISERROR(MATCH(0,INDEX(COUNTIF($B$1:B152,$A$2:$A$4629),0,0),0)),"",INDEX($A$2:$A$4629,MATCH(0,INDEX(COUNTIF($B$1:B152,$A$2:$A$4629),0,0),0)))</f>
        <v>KANJI</v>
      </c>
      <c r="C153" t="str">
        <f t="shared" si="2"/>
        <v>&lt;xs:enumeration value="KANJI"/&gt;</v>
      </c>
    </row>
    <row r="154" spans="1:3" x14ac:dyDescent="0.25">
      <c r="A154" t="str">
        <f>IF(Scan2VK!D154&lt;&gt;"",Scan2VK!D154,"")</f>
        <v>CANCEL</v>
      </c>
      <c r="B154" t="str">
        <f>IF(ISERROR(MATCH(0,INDEX(COUNTIF($B$1:B153,$A$2:$A$4629),0,0),0)),"",INDEX($A$2:$A$4629,MATCH(0,INDEX(COUNTIF($B$1:B153,$A$2:$A$4629),0,0),0)))</f>
        <v>HANJA</v>
      </c>
      <c r="C154" t="str">
        <f t="shared" si="2"/>
        <v>&lt;xs:enumeration value="HANJA"/&gt;</v>
      </c>
    </row>
    <row r="155" spans="1:3" x14ac:dyDescent="0.25">
      <c r="A155" t="str">
        <f>IF(Scan2VK!D155&lt;&gt;"",Scan2VK!D155,"")</f>
        <v>HOME</v>
      </c>
      <c r="B155" t="str">
        <f>IF(ISERROR(MATCH(0,INDEX(COUNTIF($B$1:B154,$A$2:$A$4629),0,0),0)),"",INDEX($A$2:$A$4629,MATCH(0,INDEX(COUNTIF($B$1:B154,$A$2:$A$4629),0,0),0)))</f>
        <v>HANGEUL</v>
      </c>
      <c r="C155" t="str">
        <f t="shared" si="2"/>
        <v>&lt;xs:enumeration value="HANGEUL"/&gt;</v>
      </c>
    </row>
    <row r="156" spans="1:3" x14ac:dyDescent="0.25">
      <c r="A156" t="str">
        <f>IF(Scan2VK!D156&lt;&gt;"",Scan2VK!D156,"")</f>
        <v>UP</v>
      </c>
      <c r="B156" t="str">
        <f>IF(ISERROR(MATCH(0,INDEX(COUNTIF($B$1:B155,$A$2:$A$4629),0,0),0)),"",INDEX($A$2:$A$4629,MATCH(0,INDEX(COUNTIF($B$1:B155,$A$2:$A$4629),0,0),0)))</f>
        <v>OEM_BAC</v>
      </c>
      <c r="C156" t="str">
        <f t="shared" si="2"/>
        <v>&lt;xs:enumeration value="OEM_BAC"/&gt;</v>
      </c>
    </row>
    <row r="157" spans="1:3" x14ac:dyDescent="0.25">
      <c r="A157" t="str">
        <f>IF(Scan2VK!D157&lt;&gt;"",Scan2VK!D157,"")</f>
        <v>PRIOR</v>
      </c>
      <c r="B157" t="str">
        <f>IF(ISERROR(MATCH(0,INDEX(COUNTIF($B$1:B156,$A$2:$A$4629),0,0),0)),"",INDEX($A$2:$A$4629,MATCH(0,INDEX(COUNTIF($B$1:B156,$A$2:$A$4629),0,0),0)))</f>
        <v>NUMPAD7</v>
      </c>
      <c r="C157" t="str">
        <f t="shared" si="2"/>
        <v>&lt;xs:enumeration value="NUMPAD7"/&gt;</v>
      </c>
    </row>
    <row r="158" spans="1:3" x14ac:dyDescent="0.25">
      <c r="A158" t="str">
        <f>IF(Scan2VK!D158&lt;&gt;"",Scan2VK!D158,"")</f>
        <v>LEFT</v>
      </c>
      <c r="B158" t="str">
        <f>IF(ISERROR(MATCH(0,INDEX(COUNTIF($B$1:B157,$A$2:$A$4629),0,0),0)),"",INDEX($A$2:$A$4629,MATCH(0,INDEX(COUNTIF($B$1:B157,$A$2:$A$4629),0,0),0)))</f>
        <v>NUMPAD8</v>
      </c>
      <c r="C158" t="str">
        <f t="shared" si="2"/>
        <v>&lt;xs:enumeration value="NUMPAD8"/&gt;</v>
      </c>
    </row>
    <row r="159" spans="1:3" x14ac:dyDescent="0.25">
      <c r="A159" t="str">
        <f>IF(Scan2VK!D159&lt;&gt;"",Scan2VK!D159,"")</f>
        <v>RIGHT</v>
      </c>
      <c r="B159" t="str">
        <f>IF(ISERROR(MATCH(0,INDEX(COUNTIF($B$1:B158,$A$2:$A$4629),0,0),0)),"",INDEX($A$2:$A$4629,MATCH(0,INDEX(COUNTIF($B$1:B158,$A$2:$A$4629),0,0),0)))</f>
        <v>NUMPAD9</v>
      </c>
      <c r="C159" t="str">
        <f t="shared" si="2"/>
        <v>&lt;xs:enumeration value="NUMPAD9"/&gt;</v>
      </c>
    </row>
    <row r="160" spans="1:3" x14ac:dyDescent="0.25">
      <c r="A160" t="str">
        <f>IF(Scan2VK!D160&lt;&gt;"",Scan2VK!D160,"")</f>
        <v>END</v>
      </c>
      <c r="B160" t="str">
        <f>IF(ISERROR(MATCH(0,INDEX(COUNTIF($B$1:B159,$A$2:$A$4629),0,0),0)),"",INDEX($A$2:$A$4629,MATCH(0,INDEX(COUNTIF($B$1:B159,$A$2:$A$4629),0,0),0)))</f>
        <v>EQUAL</v>
      </c>
      <c r="C160" t="str">
        <f t="shared" si="2"/>
        <v>&lt;xs:enumeration value="EQUAL"/&gt;</v>
      </c>
    </row>
    <row r="161" spans="1:3" x14ac:dyDescent="0.25">
      <c r="A161" t="str">
        <f>IF(Scan2VK!D161&lt;&gt;"",Scan2VK!D161,"")</f>
        <v>DOWN</v>
      </c>
      <c r="B161" t="str">
        <f>IF(ISERROR(MATCH(0,INDEX(COUNTIF($B$1:B160,$A$2:$A$4629),0,0),0)),"",INDEX($A$2:$A$4629,MATCH(0,INDEX(COUNTIF($B$1:B160,$A$2:$A$4629),0,0),0)))</f>
        <v>NUMPAD4</v>
      </c>
      <c r="C161" t="str">
        <f t="shared" si="2"/>
        <v>&lt;xs:enumeration value="NUMPAD4"/&gt;</v>
      </c>
    </row>
    <row r="162" spans="1:3" x14ac:dyDescent="0.25">
      <c r="A162" t="str">
        <f>IF(Scan2VK!D162&lt;&gt;"",Scan2VK!D162,"")</f>
        <v>NEXT</v>
      </c>
      <c r="B162" t="str">
        <f>IF(ISERROR(MATCH(0,INDEX(COUNTIF($B$1:B161,$A$2:$A$4629),0,0),0)),"",INDEX($A$2:$A$4629,MATCH(0,INDEX(COUNTIF($B$1:B161,$A$2:$A$4629),0,0),0)))</f>
        <v>NUMPAD5</v>
      </c>
      <c r="C162" t="str">
        <f t="shared" si="2"/>
        <v>&lt;xs:enumeration value="NUMPAD5"/&gt;</v>
      </c>
    </row>
    <row r="163" spans="1:3" x14ac:dyDescent="0.25">
      <c r="A163" t="str">
        <f>IF(Scan2VK!D163&lt;&gt;"",Scan2VK!D163,"")</f>
        <v>INSERT</v>
      </c>
      <c r="B163" t="str">
        <f>IF(ISERROR(MATCH(0,INDEX(COUNTIF($B$1:B162,$A$2:$A$4629),0,0),0)),"",INDEX($A$2:$A$4629,MATCH(0,INDEX(COUNTIF($B$1:B162,$A$2:$A$4629),0,0),0)))</f>
        <v>NUMPAD6</v>
      </c>
      <c r="C163" t="str">
        <f t="shared" si="2"/>
        <v>&lt;xs:enumeration value="NUMPAD6"/&gt;</v>
      </c>
    </row>
    <row r="164" spans="1:3" x14ac:dyDescent="0.25">
      <c r="A164" t="str">
        <f>IF(Scan2VK!D164&lt;&gt;"",Scan2VK!D164,"")</f>
        <v>DELETE</v>
      </c>
      <c r="B164" t="str">
        <f>IF(ISERROR(MATCH(0,INDEX(COUNTIF($B$1:B163,$A$2:$A$4629),0,0),0)),"",INDEX($A$2:$A$4629,MATCH(0,INDEX(COUNTIF($B$1:B163,$A$2:$A$4629),0,0),0)))</f>
        <v>SEPARATOR</v>
      </c>
      <c r="C164" t="str">
        <f t="shared" si="2"/>
        <v>&lt;xs:enumeration value="SEPARATOR"/&gt;</v>
      </c>
    </row>
    <row r="165" spans="1:3" x14ac:dyDescent="0.25">
      <c r="A165" t="str">
        <f>IF(Scan2VK!D165&lt;&gt;"",Scan2VK!D165,"")</f>
        <v>LWIN</v>
      </c>
      <c r="B165" t="str">
        <f>IF(ISERROR(MATCH(0,INDEX(COUNTIF($B$1:B164,$A$2:$A$4629),0,0),0)),"",INDEX($A$2:$A$4629,MATCH(0,INDEX(COUNTIF($B$1:B164,$A$2:$A$4629),0,0),0)))</f>
        <v>NUMPAD1</v>
      </c>
      <c r="C165" t="str">
        <f t="shared" si="2"/>
        <v>&lt;xs:enumeration value="NUMPAD1"/&gt;</v>
      </c>
    </row>
    <row r="166" spans="1:3" x14ac:dyDescent="0.25">
      <c r="A166" t="str">
        <f>IF(Scan2VK!D166&lt;&gt;"",Scan2VK!D166,"")</f>
        <v>RWIN</v>
      </c>
      <c r="B166" t="str">
        <f>IF(ISERROR(MATCH(0,INDEX(COUNTIF($B$1:B165,$A$2:$A$4629),0,0),0)),"",INDEX($A$2:$A$4629,MATCH(0,INDEX(COUNTIF($B$1:B165,$A$2:$A$4629),0,0),0)))</f>
        <v>NUMPAD2</v>
      </c>
      <c r="C166" t="str">
        <f t="shared" si="2"/>
        <v>&lt;xs:enumeration value="NUMPAD2"/&gt;</v>
      </c>
    </row>
    <row r="167" spans="1:3" x14ac:dyDescent="0.25">
      <c r="A167" t="str">
        <f>IF(Scan2VK!D167&lt;&gt;"",Scan2VK!D167,"")</f>
        <v>APPS</v>
      </c>
      <c r="B167" t="str">
        <f>IF(ISERROR(MATCH(0,INDEX(COUNTIF($B$1:B166,$A$2:$A$4629),0,0),0)),"",INDEX($A$2:$A$4629,MATCH(0,INDEX(COUNTIF($B$1:B166,$A$2:$A$4629),0,0),0)))</f>
        <v>NUMPAD3</v>
      </c>
      <c r="C167" t="str">
        <f t="shared" si="2"/>
        <v>&lt;xs:enumeration value="NUMPAD3"/&gt;</v>
      </c>
    </row>
    <row r="168" spans="1:3" x14ac:dyDescent="0.25">
      <c r="A168" t="str">
        <f>IF(Scan2VK!D168&lt;&gt;"",Scan2VK!D168,"")</f>
        <v>POWER</v>
      </c>
      <c r="B168" t="str">
        <f>IF(ISERROR(MATCH(0,INDEX(COUNTIF($B$1:B167,$A$2:$A$4629),0,0),0)),"",INDEX($A$2:$A$4629,MATCH(0,INDEX(COUNTIF($B$1:B167,$A$2:$A$4629),0,0),0)))</f>
        <v>NUMPAD0</v>
      </c>
      <c r="C168" t="str">
        <f t="shared" si="2"/>
        <v>&lt;xs:enumeration value="NUMPAD0"/&gt;</v>
      </c>
    </row>
    <row r="169" spans="1:3" x14ac:dyDescent="0.25">
      <c r="A169" t="str">
        <f>IF(Scan2VK!D169&lt;&gt;"",Scan2VK!D169,"")</f>
        <v>SLEEP</v>
      </c>
      <c r="B169" t="str">
        <f>IF(ISERROR(MATCH(0,INDEX(COUNTIF($B$1:B168,$A$2:$A$4629),0,0),0)),"",INDEX($A$2:$A$4629,MATCH(0,INDEX(COUNTIF($B$1:B168,$A$2:$A$4629),0,0),0)))</f>
        <v>DECIMAL</v>
      </c>
      <c r="C169" t="str">
        <f t="shared" si="2"/>
        <v>&lt;xs:enumeration value="DECIMAL"/&gt;</v>
      </c>
    </row>
    <row r="170" spans="1:3" x14ac:dyDescent="0.25">
      <c r="A170" t="str">
        <f>IF(Scan2VK!D170&lt;&gt;"",Scan2VK!D170,"")</f>
        <v/>
      </c>
      <c r="B170" t="str">
        <f>IF(ISERROR(MATCH(0,INDEX(COUNTIF($B$1:B169,$A$2:$A$4629),0,0),0)),"",INDEX($A$2:$A$4629,MATCH(0,INDEX(COUNTIF($B$1:B169,$A$2:$A$4629),0,0),0)))</f>
        <v>OEM_00</v>
      </c>
      <c r="C170" t="str">
        <f t="shared" si="2"/>
        <v>&lt;xs:enumeration value="OEM_00"/&gt;</v>
      </c>
    </row>
    <row r="171" spans="1:3" x14ac:dyDescent="0.25">
      <c r="A171" t="str">
        <f>IF(Scan2VK!D171&lt;&gt;"",Scan2VK!D171,"")</f>
        <v/>
      </c>
      <c r="B171" t="str">
        <f>IF(ISERROR(MATCH(0,INDEX(COUNTIF($B$1:B170,$A$2:$A$4629),0,0),0)),"",INDEX($A$2:$A$4629,MATCH(0,INDEX(COUNTIF($B$1:B170,$A$2:$A$4629),0,0),0)))</f>
        <v>OEM_000</v>
      </c>
      <c r="C171" t="str">
        <f t="shared" si="2"/>
        <v>&lt;xs:enumeration value="OEM_000"/&gt;</v>
      </c>
    </row>
    <row r="172" spans="1:3" x14ac:dyDescent="0.25">
      <c r="A172" t="str">
        <f>IF(Scan2VK!D172&lt;&gt;"",Scan2VK!D172,"")</f>
        <v/>
      </c>
      <c r="B172" t="str">
        <f>IF(ISERROR(MATCH(0,INDEX(COUNTIF($B$1:B171,$A$2:$A$4629),0,0),0)),"",INDEX($A$2:$A$4629,MATCH(0,INDEX(COUNTIF($B$1:B171,$A$2:$A$4629),0,0),0)))</f>
        <v>OEM_JISHO</v>
      </c>
      <c r="C172" t="str">
        <f t="shared" si="2"/>
        <v>&lt;xs:enumeration value="OEM_JISHO"/&gt;</v>
      </c>
    </row>
    <row r="173" spans="1:3" x14ac:dyDescent="0.25">
      <c r="A173" t="str">
        <f>IF(Scan2VK!D173&lt;&gt;"",Scan2VK!D173,"")</f>
        <v/>
      </c>
      <c r="B173" t="str">
        <f>IF(ISERROR(MATCH(0,INDEX(COUNTIF($B$1:B172,$A$2:$A$4629),0,0),0)),"",INDEX($A$2:$A$4629,MATCH(0,INDEX(COUNTIF($B$1:B172,$A$2:$A$4629),0,0),0)))</f>
        <v>OEM_MASSHOU</v>
      </c>
      <c r="C173" t="str">
        <f t="shared" si="2"/>
        <v>&lt;xs:enumeration value="OEM_MASSHOU"/&gt;</v>
      </c>
    </row>
    <row r="174" spans="1:3" x14ac:dyDescent="0.25">
      <c r="A174" t="str">
        <f>IF(Scan2VK!D174&lt;&gt;"",Scan2VK!D174,"")</f>
        <v/>
      </c>
      <c r="B174" t="str">
        <f>IF(ISERROR(MATCH(0,INDEX(COUNTIF($B$1:B173,$A$2:$A$4629),0,0),0)),"",INDEX($A$2:$A$4629,MATCH(0,INDEX(COUNTIF($B$1:B173,$A$2:$A$4629),0,0),0)))</f>
        <v>EXECUTE</v>
      </c>
      <c r="C174" t="str">
        <f t="shared" si="2"/>
        <v>&lt;xs:enumeration value="EXECUTE"/&gt;</v>
      </c>
    </row>
    <row r="175" spans="1:3" x14ac:dyDescent="0.25">
      <c r="A175" t="str">
        <f>IF(Scan2VK!D175&lt;&gt;"",Scan2VK!D175,"")</f>
        <v>BROWSER_SEARCH</v>
      </c>
      <c r="B175" t="str">
        <f>IF(ISERROR(MATCH(0,INDEX(COUNTIF($B$1:B174,$A$2:$A$4629),0,0),0)),"",INDEX($A$2:$A$4629,MATCH(0,INDEX(COUNTIF($B$1:B174,$A$2:$A$4629),0,0),0)))</f>
        <v>OEM_TOUROKU</v>
      </c>
      <c r="C175" t="str">
        <f t="shared" si="2"/>
        <v>&lt;xs:enumeration value="OEM_TOUROKU"/&gt;</v>
      </c>
    </row>
    <row r="176" spans="1:3" x14ac:dyDescent="0.25">
      <c r="A176" t="str">
        <f>IF(Scan2VK!D176&lt;&gt;"",Scan2VK!D176,"")</f>
        <v>BROWSER_FAVORITES</v>
      </c>
      <c r="B176" t="str">
        <f>IF(ISERROR(MATCH(0,INDEX(COUNTIF($B$1:B175,$A$2:$A$4629),0,0),0)),"",INDEX($A$2:$A$4629,MATCH(0,INDEX(COUNTIF($B$1:B175,$A$2:$A$4629),0,0),0)))</f>
        <v>OEM_LOYA</v>
      </c>
      <c r="C176" t="str">
        <f t="shared" si="2"/>
        <v>&lt;xs:enumeration value="OEM_LOYA"/&gt;</v>
      </c>
    </row>
    <row r="177" spans="1:3" x14ac:dyDescent="0.25">
      <c r="A177" t="str">
        <f>IF(Scan2VK!D177&lt;&gt;"",Scan2VK!D177,"")</f>
        <v>BROWSER_REFRESH</v>
      </c>
      <c r="B177" t="str">
        <f>IF(ISERROR(MATCH(0,INDEX(COUNTIF($B$1:B176,$A$2:$A$4629),0,0),0)),"",INDEX($A$2:$A$4629,MATCH(0,INDEX(COUNTIF($B$1:B176,$A$2:$A$4629),0,0),0)))</f>
        <v>OEM_ROYA</v>
      </c>
      <c r="C177" t="str">
        <f t="shared" si="2"/>
        <v>&lt;xs:enumeration value="OEM_ROYA"/&gt;</v>
      </c>
    </row>
    <row r="178" spans="1:3" x14ac:dyDescent="0.25">
      <c r="A178" t="str">
        <f>IF(Scan2VK!D178&lt;&gt;"",Scan2VK!D178,"")</f>
        <v>BROWSER_STOP</v>
      </c>
      <c r="B178" t="str">
        <f>IF(ISERROR(MATCH(0,INDEX(COUNTIF($B$1:B177,$A$2:$A$4629),0,0),0)),"",INDEX($A$2:$A$4629,MATCH(0,INDEX(COUNTIF($B$1:B177,$A$2:$A$4629),0,0),0)))</f>
        <v>DBE_SBCSCH</v>
      </c>
      <c r="C178" t="str">
        <f t="shared" si="2"/>
        <v>&lt;xs:enumeration value="DBE_SBCSCH"/&gt;</v>
      </c>
    </row>
    <row r="179" spans="1:3" x14ac:dyDescent="0.25">
      <c r="A179" t="str">
        <f>IF(Scan2VK!D179&lt;&gt;"",Scan2VK!D179,"")</f>
        <v>BROWSER_FORWARD</v>
      </c>
      <c r="B179" t="str">
        <f>IF(ISERROR(MATCH(0,INDEX(COUNTIF($B$1:B178,$A$2:$A$4629),0,0),0)),"",INDEX($A$2:$A$4629,MATCH(0,INDEX(COUNTIF($B$1:B178,$A$2:$A$4629),0,0),0)))</f>
        <v>DBE_ALPHAN</v>
      </c>
      <c r="C179" t="str">
        <f t="shared" si="2"/>
        <v>&lt;xs:enumeration value="DBE_ALPHAN"/&gt;</v>
      </c>
    </row>
    <row r="180" spans="1:3" x14ac:dyDescent="0.25">
      <c r="A180" t="str">
        <f>IF(Scan2VK!D180&lt;&gt;"",Scan2VK!D180,"")</f>
        <v>BROWSER_BACK</v>
      </c>
      <c r="B180" t="str">
        <f>IF(ISERROR(MATCH(0,INDEX(COUNTIF($B$1:B179,$A$2:$A$4629),0,0),0)),"",INDEX($A$2:$A$4629,MATCH(0,INDEX(COUNTIF($B$1:B179,$A$2:$A$4629),0,0),0)))</f>
        <v>DBE_HIRAGA</v>
      </c>
      <c r="C180" t="str">
        <f t="shared" si="2"/>
        <v>&lt;xs:enumeration value="DBE_HIRAGA"/&gt;</v>
      </c>
    </row>
    <row r="181" spans="1:3" x14ac:dyDescent="0.25">
      <c r="A181" t="str">
        <f>IF(Scan2VK!D181&lt;&gt;"",Scan2VK!D181,"")</f>
        <v>LAUNCH_APP1</v>
      </c>
      <c r="B181" t="str">
        <f>IF(ISERROR(MATCH(0,INDEX(COUNTIF($B$1:B180,$A$2:$A$4629),0,0),0)),"",INDEX($A$2:$A$4629,MATCH(0,INDEX(COUNTIF($B$1:B180,$A$2:$A$4629),0,0),0)))</f>
        <v>OEM_NEC_EQUAL</v>
      </c>
      <c r="C181" t="str">
        <f t="shared" si="2"/>
        <v>&lt;xs:enumeration value="OEM_NEC_EQUAL"/&gt;</v>
      </c>
    </row>
    <row r="182" spans="1:3" x14ac:dyDescent="0.25">
      <c r="A182" t="str">
        <f>IF(Scan2VK!D182&lt;&gt;"",Scan2VK!D182,"")</f>
        <v>LAUNCH_MAIL</v>
      </c>
      <c r="B182" t="str">
        <f>IF(ISERROR(MATCH(0,INDEX(COUNTIF($B$1:B181,$A$2:$A$4629),0,0),0)),"",INDEX($A$2:$A$4629,MATCH(0,INDEX(COUNTIF($B$1:B181,$A$2:$A$4629),0,0),0)))</f>
        <v>KANA</v>
      </c>
      <c r="C182" t="str">
        <f t="shared" si="2"/>
        <v>&lt;xs:enumeration value="KANA"/&gt;</v>
      </c>
    </row>
    <row r="183" spans="1:3" x14ac:dyDescent="0.25">
      <c r="A183" t="str">
        <f>IF(Scan2VK!D183&lt;&gt;"",Scan2VK!D183,"")</f>
        <v>LAUNCH_MEDIA_SELECT</v>
      </c>
      <c r="B183">
        <f>IF(ISERROR(MATCH(0,INDEX(COUNTIF($B$1:B182,$A$2:$A$4629),0,0),0)),"",INDEX($A$2:$A$4629,MATCH(0,INDEX(COUNTIF($B$1:B182,$A$2:$A$4629),0,0),0)))</f>
        <v>0</v>
      </c>
      <c r="C183" t="str">
        <f t="shared" si="2"/>
        <v>&lt;xs:enumeration value="0"/&gt;</v>
      </c>
    </row>
    <row r="184" spans="1:3" x14ac:dyDescent="0.25">
      <c r="A184" t="str">
        <f>IF(Scan2VK!D184&lt;&gt;"",Scan2VK!D184,"")</f>
        <v/>
      </c>
      <c r="B184" t="str">
        <f>IF(ISERROR(MATCH(0,INDEX(COUNTIF($B$1:B183,$A$2:$A$4629),0,0),0)),"",INDEX($A$2:$A$4629,MATCH(0,INDEX(COUNTIF($B$1:B183,$A$2:$A$4629),0,0),0)))</f>
        <v/>
      </c>
      <c r="C184" t="str">
        <f t="shared" si="2"/>
        <v/>
      </c>
    </row>
    <row r="185" spans="1:3" x14ac:dyDescent="0.25">
      <c r="A185" t="str">
        <f>IF(Scan2VK!D185&lt;&gt;"",Scan2VK!D185,"")</f>
        <v/>
      </c>
      <c r="B185" t="str">
        <f>IF(ISERROR(MATCH(0,INDEX(COUNTIF($B$1:B184,$A$2:$A$4629),0,0),0)),"",INDEX($A$2:$A$4629,MATCH(0,INDEX(COUNTIF($B$1:B184,$A$2:$A$4629),0,0),0)))</f>
        <v/>
      </c>
      <c r="C185" t="str">
        <f t="shared" si="2"/>
        <v/>
      </c>
    </row>
    <row r="186" spans="1:3" x14ac:dyDescent="0.25">
      <c r="A186" t="str">
        <f>IF(Scan2VK!D186&lt;&gt;"",Scan2VK!D186,"")</f>
        <v/>
      </c>
      <c r="B186" t="str">
        <f>IF(ISERROR(MATCH(0,INDEX(COUNTIF($B$1:B185,$A$2:$A$4629),0,0),0)),"",INDEX($A$2:$A$4629,MATCH(0,INDEX(COUNTIF($B$1:B185,$A$2:$A$4629),0,0),0)))</f>
        <v/>
      </c>
      <c r="C186" t="str">
        <f t="shared" si="2"/>
        <v/>
      </c>
    </row>
    <row r="187" spans="1:3" x14ac:dyDescent="0.25">
      <c r="A187" t="str">
        <f>IF(Scan2VK!D187&lt;&gt;"",Scan2VK!D187,"")</f>
        <v/>
      </c>
      <c r="B187" t="str">
        <f>IF(ISERROR(MATCH(0,INDEX(COUNTIF($B$1:B186,$A$2:$A$4629),0,0),0)),"",INDEX($A$2:$A$4629,MATCH(0,INDEX(COUNTIF($B$1:B186,$A$2:$A$4629),0,0),0)))</f>
        <v/>
      </c>
      <c r="C187" t="str">
        <f t="shared" si="2"/>
        <v/>
      </c>
    </row>
    <row r="188" spans="1:3" x14ac:dyDescent="0.25">
      <c r="A188" t="str">
        <f>IF(Scan2VK!D188&lt;&gt;"",Scan2VK!D188,"")</f>
        <v/>
      </c>
      <c r="B188" t="str">
        <f>IF(ISERROR(MATCH(0,INDEX(COUNTIF($B$1:B187,$A$2:$A$4629),0,0),0)),"",INDEX($A$2:$A$4629,MATCH(0,INDEX(COUNTIF($B$1:B187,$A$2:$A$4629),0,0),0)))</f>
        <v/>
      </c>
      <c r="C188" t="str">
        <f t="shared" si="2"/>
        <v/>
      </c>
    </row>
    <row r="189" spans="1:3" x14ac:dyDescent="0.25">
      <c r="A189" t="str">
        <f>IF(Scan2VK!D189&lt;&gt;"",Scan2VK!D189,"")</f>
        <v/>
      </c>
      <c r="B189" t="str">
        <f>IF(ISERROR(MATCH(0,INDEX(COUNTIF($B$1:B188,$A$2:$A$4629),0,0),0)),"",INDEX($A$2:$A$4629,MATCH(0,INDEX(COUNTIF($B$1:B188,$A$2:$A$4629),0,0),0)))</f>
        <v/>
      </c>
      <c r="C189" t="str">
        <f t="shared" si="2"/>
        <v/>
      </c>
    </row>
    <row r="190" spans="1:3" x14ac:dyDescent="0.25">
      <c r="A190" t="str">
        <f>IF(Scan2VK!D190&lt;&gt;"",Scan2VK!D190,"")</f>
        <v/>
      </c>
      <c r="B190" t="str">
        <f>IF(ISERROR(MATCH(0,INDEX(COUNTIF($B$1:B189,$A$2:$A$4629),0,0),0)),"",INDEX($A$2:$A$4629,MATCH(0,INDEX(COUNTIF($B$1:B189,$A$2:$A$4629),0,0),0)))</f>
        <v/>
      </c>
      <c r="C190" t="str">
        <f t="shared" si="2"/>
        <v/>
      </c>
    </row>
    <row r="191" spans="1:3" x14ac:dyDescent="0.25">
      <c r="A191" t="str">
        <f>IF(Scan2VK!D191&lt;&gt;"",Scan2VK!D191,"")</f>
        <v/>
      </c>
      <c r="B191" t="str">
        <f>IF(ISERROR(MATCH(0,INDEX(COUNTIF($B$1:B190,$A$2:$A$4629),0,0),0)),"",INDEX($A$2:$A$4629,MATCH(0,INDEX(COUNTIF($B$1:B190,$A$2:$A$4629),0,0),0)))</f>
        <v/>
      </c>
      <c r="C191" t="str">
        <f t="shared" si="2"/>
        <v/>
      </c>
    </row>
    <row r="192" spans="1:3" x14ac:dyDescent="0.25">
      <c r="A192" t="str">
        <f>IF(Scan2VK!D192&lt;&gt;"",Scan2VK!D192,"")</f>
        <v/>
      </c>
      <c r="B192" t="str">
        <f>IF(ISERROR(MATCH(0,INDEX(COUNTIF($B$1:B191,$A$2:$A$4629),0,0),0)),"",INDEX($A$2:$A$4629,MATCH(0,INDEX(COUNTIF($B$1:B191,$A$2:$A$4629),0,0),0)))</f>
        <v/>
      </c>
      <c r="C192" t="str">
        <f t="shared" si="2"/>
        <v/>
      </c>
    </row>
    <row r="193" spans="1:3" x14ac:dyDescent="0.25">
      <c r="A193" t="str">
        <f>IF(Scan2VK!D193&lt;&gt;"",Scan2VK!D193,"")</f>
        <v/>
      </c>
      <c r="B193" t="str">
        <f>IF(ISERROR(MATCH(0,INDEX(COUNTIF($B$1:B192,$A$2:$A$4629),0,0),0)),"",INDEX($A$2:$A$4629,MATCH(0,INDEX(COUNTIF($B$1:B192,$A$2:$A$4629),0,0),0)))</f>
        <v/>
      </c>
      <c r="C193" t="str">
        <f t="shared" si="2"/>
        <v/>
      </c>
    </row>
    <row r="194" spans="1:3" x14ac:dyDescent="0.25">
      <c r="A194" t="str">
        <f>IF(Scan2VK!D194&lt;&gt;"",Scan2VK!D194,"")</f>
        <v/>
      </c>
      <c r="B194" t="str">
        <f>IF(ISERROR(MATCH(0,INDEX(COUNTIF($B$1:B193,$A$2:$A$4629),0,0),0)),"",INDEX($A$2:$A$4629,MATCH(0,INDEX(COUNTIF($B$1:B193,$A$2:$A$4629),0,0),0)))</f>
        <v/>
      </c>
      <c r="C194" t="str">
        <f t="shared" si="2"/>
        <v/>
      </c>
    </row>
    <row r="195" spans="1:3" x14ac:dyDescent="0.25">
      <c r="A195" t="str">
        <f>IF(Scan2VK!D195&lt;&gt;"",Scan2VK!D195,"")</f>
        <v>PAUSE</v>
      </c>
      <c r="B195" t="str">
        <f>IF(ISERROR(MATCH(0,INDEX(COUNTIF($B$1:B194,$A$2:$A$4629),0,0),0)),"",INDEX($A$2:$A$4629,MATCH(0,INDEX(COUNTIF($B$1:B194,$A$2:$A$4629),0,0),0)))</f>
        <v/>
      </c>
      <c r="C195" t="str">
        <f t="shared" ref="C195:C258" si="3">IF(B195&lt;&gt;"","&lt;xs:enumeration value="""&amp;B195&amp;"""/&gt;","")</f>
        <v/>
      </c>
    </row>
    <row r="196" spans="1:3" x14ac:dyDescent="0.25">
      <c r="A196" t="str">
        <f>IF(Scan2VK!E2&lt;&gt;"",Scan2VK!E2,"")</f>
        <v>_none_</v>
      </c>
      <c r="B196" t="str">
        <f>IF(ISERROR(MATCH(0,INDEX(COUNTIF($B$1:B195,$A$2:$A$4629),0,0),0)),"",INDEX($A$2:$A$4629,MATCH(0,INDEX(COUNTIF($B$1:B195,$A$2:$A$4629),0,0),0)))</f>
        <v/>
      </c>
      <c r="C196" t="str">
        <f t="shared" si="3"/>
        <v/>
      </c>
    </row>
    <row r="197" spans="1:3" x14ac:dyDescent="0.25">
      <c r="A197" t="str">
        <f>IF(Scan2VK!E3&lt;&gt;"",Scan2VK!E3,"")</f>
        <v>ESCAPE</v>
      </c>
      <c r="B197" t="str">
        <f>IF(ISERROR(MATCH(0,INDEX(COUNTIF($B$1:B196,$A$2:$A$4629),0,0),0)),"",INDEX($A$2:$A$4629,MATCH(0,INDEX(COUNTIF($B$1:B196,$A$2:$A$4629),0,0),0)))</f>
        <v/>
      </c>
      <c r="C197" t="str">
        <f t="shared" si="3"/>
        <v/>
      </c>
    </row>
    <row r="198" spans="1:3" x14ac:dyDescent="0.25">
      <c r="A198" t="str">
        <f>IF(Scan2VK!E4&lt;&gt;"",Scan2VK!E4,"")</f>
        <v>'1'</v>
      </c>
      <c r="B198" t="str">
        <f>IF(ISERROR(MATCH(0,INDEX(COUNTIF($B$1:B197,$A$2:$A$4629),0,0),0)),"",INDEX($A$2:$A$4629,MATCH(0,INDEX(COUNTIF($B$1:B197,$A$2:$A$4629),0,0),0)))</f>
        <v/>
      </c>
      <c r="C198" t="str">
        <f t="shared" si="3"/>
        <v/>
      </c>
    </row>
    <row r="199" spans="1:3" x14ac:dyDescent="0.25">
      <c r="A199" t="str">
        <f>IF(Scan2VK!E5&lt;&gt;"",Scan2VK!E5,"")</f>
        <v>'2'</v>
      </c>
      <c r="B199" t="str">
        <f>IF(ISERROR(MATCH(0,INDEX(COUNTIF($B$1:B198,$A$2:$A$4629),0,0),0)),"",INDEX($A$2:$A$4629,MATCH(0,INDEX(COUNTIF($B$1:B198,$A$2:$A$4629),0,0),0)))</f>
        <v/>
      </c>
      <c r="C199" t="str">
        <f t="shared" si="3"/>
        <v/>
      </c>
    </row>
    <row r="200" spans="1:3" x14ac:dyDescent="0.25">
      <c r="A200" t="str">
        <f>IF(Scan2VK!E6&lt;&gt;"",Scan2VK!E6,"")</f>
        <v>'3'</v>
      </c>
      <c r="B200" t="str">
        <f>IF(ISERROR(MATCH(0,INDEX(COUNTIF($B$1:B199,$A$2:$A$4629),0,0),0)),"",INDEX($A$2:$A$4629,MATCH(0,INDEX(COUNTIF($B$1:B199,$A$2:$A$4629),0,0),0)))</f>
        <v/>
      </c>
      <c r="C200" t="str">
        <f t="shared" si="3"/>
        <v/>
      </c>
    </row>
    <row r="201" spans="1:3" x14ac:dyDescent="0.25">
      <c r="A201" t="str">
        <f>IF(Scan2VK!E7&lt;&gt;"",Scan2VK!E7,"")</f>
        <v>'4'</v>
      </c>
      <c r="B201" t="str">
        <f>IF(ISERROR(MATCH(0,INDEX(COUNTIF($B$1:B200,$A$2:$A$4629),0,0),0)),"",INDEX($A$2:$A$4629,MATCH(0,INDEX(COUNTIF($B$1:B200,$A$2:$A$4629),0,0),0)))</f>
        <v/>
      </c>
      <c r="C201" t="str">
        <f t="shared" si="3"/>
        <v/>
      </c>
    </row>
    <row r="202" spans="1:3" x14ac:dyDescent="0.25">
      <c r="A202" t="str">
        <f>IF(Scan2VK!E8&lt;&gt;"",Scan2VK!E8,"")</f>
        <v>'5'</v>
      </c>
      <c r="B202" t="str">
        <f>IF(ISERROR(MATCH(0,INDEX(COUNTIF($B$1:B201,$A$2:$A$4629),0,0),0)),"",INDEX($A$2:$A$4629,MATCH(0,INDEX(COUNTIF($B$1:B201,$A$2:$A$4629),0,0),0)))</f>
        <v/>
      </c>
      <c r="C202" t="str">
        <f t="shared" si="3"/>
        <v/>
      </c>
    </row>
    <row r="203" spans="1:3" x14ac:dyDescent="0.25">
      <c r="A203" t="str">
        <f>IF(Scan2VK!E9&lt;&gt;"",Scan2VK!E9,"")</f>
        <v>'6'</v>
      </c>
      <c r="B203" t="str">
        <f>IF(ISERROR(MATCH(0,INDEX(COUNTIF($B$1:B202,$A$2:$A$4629),0,0),0)),"",INDEX($A$2:$A$4629,MATCH(0,INDEX(COUNTIF($B$1:B202,$A$2:$A$4629),0,0),0)))</f>
        <v/>
      </c>
      <c r="C203" t="str">
        <f t="shared" si="3"/>
        <v/>
      </c>
    </row>
    <row r="204" spans="1:3" x14ac:dyDescent="0.25">
      <c r="A204" t="str">
        <f>IF(Scan2VK!E10&lt;&gt;"",Scan2VK!E10,"")</f>
        <v>'7'</v>
      </c>
      <c r="B204" t="str">
        <f>IF(ISERROR(MATCH(0,INDEX(COUNTIF($B$1:B203,$A$2:$A$4629),0,0),0)),"",INDEX($A$2:$A$4629,MATCH(0,INDEX(COUNTIF($B$1:B203,$A$2:$A$4629),0,0),0)))</f>
        <v/>
      </c>
      <c r="C204" t="str">
        <f t="shared" si="3"/>
        <v/>
      </c>
    </row>
    <row r="205" spans="1:3" x14ac:dyDescent="0.25">
      <c r="A205" t="str">
        <f>IF(Scan2VK!E11&lt;&gt;"",Scan2VK!E11,"")</f>
        <v>'8'</v>
      </c>
      <c r="B205" t="str">
        <f>IF(ISERROR(MATCH(0,INDEX(COUNTIF($B$1:B204,$A$2:$A$4629),0,0),0)),"",INDEX($A$2:$A$4629,MATCH(0,INDEX(COUNTIF($B$1:B204,$A$2:$A$4629),0,0),0)))</f>
        <v/>
      </c>
      <c r="C205" t="str">
        <f t="shared" si="3"/>
        <v/>
      </c>
    </row>
    <row r="206" spans="1:3" x14ac:dyDescent="0.25">
      <c r="A206" t="str">
        <f>IF(Scan2VK!E12&lt;&gt;"",Scan2VK!E12,"")</f>
        <v>'9'</v>
      </c>
      <c r="B206" t="str">
        <f>IF(ISERROR(MATCH(0,INDEX(COUNTIF($B$1:B205,$A$2:$A$4629),0,0),0)),"",INDEX($A$2:$A$4629,MATCH(0,INDEX(COUNTIF($B$1:B205,$A$2:$A$4629),0,0),0)))</f>
        <v/>
      </c>
      <c r="C206" t="str">
        <f t="shared" si="3"/>
        <v/>
      </c>
    </row>
    <row r="207" spans="1:3" x14ac:dyDescent="0.25">
      <c r="A207" t="str">
        <f>IF(Scan2VK!E13&lt;&gt;"",Scan2VK!E13,"")</f>
        <v>'0'</v>
      </c>
      <c r="B207" t="str">
        <f>IF(ISERROR(MATCH(0,INDEX(COUNTIF($B$1:B206,$A$2:$A$4629),0,0),0)),"",INDEX($A$2:$A$4629,MATCH(0,INDEX(COUNTIF($B$1:B206,$A$2:$A$4629),0,0),0)))</f>
        <v/>
      </c>
      <c r="C207" t="str">
        <f t="shared" si="3"/>
        <v/>
      </c>
    </row>
    <row r="208" spans="1:3" x14ac:dyDescent="0.25">
      <c r="A208" t="str">
        <f>IF(Scan2VK!E14&lt;&gt;"",Scan2VK!E14,"")</f>
        <v>OEM_MINUS</v>
      </c>
      <c r="B208" t="str">
        <f>IF(ISERROR(MATCH(0,INDEX(COUNTIF($B$1:B207,$A$2:$A$4629),0,0),0)),"",INDEX($A$2:$A$4629,MATCH(0,INDEX(COUNTIF($B$1:B207,$A$2:$A$4629),0,0),0)))</f>
        <v/>
      </c>
      <c r="C208" t="str">
        <f t="shared" si="3"/>
        <v/>
      </c>
    </row>
    <row r="209" spans="1:3" x14ac:dyDescent="0.25">
      <c r="A209" t="str">
        <f>IF(Scan2VK!E15&lt;&gt;"",Scan2VK!E15,"")</f>
        <v>OEM_4</v>
      </c>
      <c r="B209" t="str">
        <f>IF(ISERROR(MATCH(0,INDEX(COUNTIF($B$1:B208,$A$2:$A$4629),0,0),0)),"",INDEX($A$2:$A$4629,MATCH(0,INDEX(COUNTIF($B$1:B208,$A$2:$A$4629),0,0),0)))</f>
        <v/>
      </c>
      <c r="C209" t="str">
        <f t="shared" si="3"/>
        <v/>
      </c>
    </row>
    <row r="210" spans="1:3" x14ac:dyDescent="0.25">
      <c r="A210" t="str">
        <f>IF(Scan2VK!E16&lt;&gt;"",Scan2VK!E16,"")</f>
        <v>BACK</v>
      </c>
      <c r="B210" t="str">
        <f>IF(ISERROR(MATCH(0,INDEX(COUNTIF($B$1:B209,$A$2:$A$4629),0,0),0)),"",INDEX($A$2:$A$4629,MATCH(0,INDEX(COUNTIF($B$1:B209,$A$2:$A$4629),0,0),0)))</f>
        <v/>
      </c>
      <c r="C210" t="str">
        <f t="shared" si="3"/>
        <v/>
      </c>
    </row>
    <row r="211" spans="1:3" x14ac:dyDescent="0.25">
      <c r="A211" t="str">
        <f>IF(Scan2VK!E17&lt;&gt;"",Scan2VK!E17,"")</f>
        <v>TAB</v>
      </c>
      <c r="B211" t="str">
        <f>IF(ISERROR(MATCH(0,INDEX(COUNTIF($B$1:B210,$A$2:$A$4629),0,0),0)),"",INDEX($A$2:$A$4629,MATCH(0,INDEX(COUNTIF($B$1:B210,$A$2:$A$4629),0,0),0)))</f>
        <v/>
      </c>
      <c r="C211" t="str">
        <f t="shared" si="3"/>
        <v/>
      </c>
    </row>
    <row r="212" spans="1:3" x14ac:dyDescent="0.25">
      <c r="A212" t="str">
        <f>IF(Scan2VK!E18&lt;&gt;"",Scan2VK!E18,"")</f>
        <v>'Q'</v>
      </c>
      <c r="B212" t="str">
        <f>IF(ISERROR(MATCH(0,INDEX(COUNTIF($B$1:B211,$A$2:$A$4629),0,0),0)),"",INDEX($A$2:$A$4629,MATCH(0,INDEX(COUNTIF($B$1:B211,$A$2:$A$4629),0,0),0)))</f>
        <v/>
      </c>
      <c r="C212" t="str">
        <f t="shared" si="3"/>
        <v/>
      </c>
    </row>
    <row r="213" spans="1:3" x14ac:dyDescent="0.25">
      <c r="A213" t="str">
        <f>IF(Scan2VK!E19&lt;&gt;"",Scan2VK!E19,"")</f>
        <v>'W'</v>
      </c>
      <c r="B213" t="str">
        <f>IF(ISERROR(MATCH(0,INDEX(COUNTIF($B$1:B212,$A$2:$A$4629),0,0),0)),"",INDEX($A$2:$A$4629,MATCH(0,INDEX(COUNTIF($B$1:B212,$A$2:$A$4629),0,0),0)))</f>
        <v/>
      </c>
      <c r="C213" t="str">
        <f t="shared" si="3"/>
        <v/>
      </c>
    </row>
    <row r="214" spans="1:3" x14ac:dyDescent="0.25">
      <c r="A214" t="str">
        <f>IF(Scan2VK!E20&lt;&gt;"",Scan2VK!E20,"")</f>
        <v>'E'</v>
      </c>
      <c r="B214" t="str">
        <f>IF(ISERROR(MATCH(0,INDEX(COUNTIF($B$1:B213,$A$2:$A$4629),0,0),0)),"",INDEX($A$2:$A$4629,MATCH(0,INDEX(COUNTIF($B$1:B213,$A$2:$A$4629),0,0),0)))</f>
        <v/>
      </c>
      <c r="C214" t="str">
        <f t="shared" si="3"/>
        <v/>
      </c>
    </row>
    <row r="215" spans="1:3" x14ac:dyDescent="0.25">
      <c r="A215" t="str">
        <f>IF(Scan2VK!E21&lt;&gt;"",Scan2VK!E21,"")</f>
        <v>'R'</v>
      </c>
      <c r="B215" t="str">
        <f>IF(ISERROR(MATCH(0,INDEX(COUNTIF($B$1:B214,$A$2:$A$4629),0,0),0)),"",INDEX($A$2:$A$4629,MATCH(0,INDEX(COUNTIF($B$1:B214,$A$2:$A$4629),0,0),0)))</f>
        <v/>
      </c>
      <c r="C215" t="str">
        <f t="shared" si="3"/>
        <v/>
      </c>
    </row>
    <row r="216" spans="1:3" x14ac:dyDescent="0.25">
      <c r="A216" t="str">
        <f>IF(Scan2VK!E22&lt;&gt;"",Scan2VK!E22,"")</f>
        <v>'T'</v>
      </c>
      <c r="B216" t="str">
        <f>IF(ISERROR(MATCH(0,INDEX(COUNTIF($B$1:B215,$A$2:$A$4629),0,0),0)),"",INDEX($A$2:$A$4629,MATCH(0,INDEX(COUNTIF($B$1:B215,$A$2:$A$4629),0,0),0)))</f>
        <v/>
      </c>
      <c r="C216" t="str">
        <f t="shared" si="3"/>
        <v/>
      </c>
    </row>
    <row r="217" spans="1:3" x14ac:dyDescent="0.25">
      <c r="A217" t="str">
        <f>IF(Scan2VK!E23&lt;&gt;"",Scan2VK!E23,"")</f>
        <v>'Y'</v>
      </c>
      <c r="B217" t="str">
        <f>IF(ISERROR(MATCH(0,INDEX(COUNTIF($B$1:B216,$A$2:$A$4629),0,0),0)),"",INDEX($A$2:$A$4629,MATCH(0,INDEX(COUNTIF($B$1:B216,$A$2:$A$4629),0,0),0)))</f>
        <v/>
      </c>
      <c r="C217" t="str">
        <f t="shared" si="3"/>
        <v/>
      </c>
    </row>
    <row r="218" spans="1:3" x14ac:dyDescent="0.25">
      <c r="A218" t="str">
        <f>IF(Scan2VK!E24&lt;&gt;"",Scan2VK!E24,"")</f>
        <v>'U'</v>
      </c>
      <c r="B218" t="str">
        <f>IF(ISERROR(MATCH(0,INDEX(COUNTIF($B$1:B217,$A$2:$A$4629),0,0),0)),"",INDEX($A$2:$A$4629,MATCH(0,INDEX(COUNTIF($B$1:B217,$A$2:$A$4629),0,0),0)))</f>
        <v/>
      </c>
      <c r="C218" t="str">
        <f t="shared" si="3"/>
        <v/>
      </c>
    </row>
    <row r="219" spans="1:3" x14ac:dyDescent="0.25">
      <c r="A219" t="str">
        <f>IF(Scan2VK!E25&lt;&gt;"",Scan2VK!E25,"")</f>
        <v>'I'</v>
      </c>
      <c r="B219" t="str">
        <f>IF(ISERROR(MATCH(0,INDEX(COUNTIF($B$1:B218,$A$2:$A$4629),0,0),0)),"",INDEX($A$2:$A$4629,MATCH(0,INDEX(COUNTIF($B$1:B218,$A$2:$A$4629),0,0),0)))</f>
        <v/>
      </c>
      <c r="C219" t="str">
        <f t="shared" si="3"/>
        <v/>
      </c>
    </row>
    <row r="220" spans="1:3" x14ac:dyDescent="0.25">
      <c r="A220" t="str">
        <f>IF(Scan2VK!E26&lt;&gt;"",Scan2VK!E26,"")</f>
        <v>'O'</v>
      </c>
      <c r="B220" t="str">
        <f>IF(ISERROR(MATCH(0,INDEX(COUNTIF($B$1:B219,$A$2:$A$4629),0,0),0)),"",INDEX($A$2:$A$4629,MATCH(0,INDEX(COUNTIF($B$1:B219,$A$2:$A$4629),0,0),0)))</f>
        <v/>
      </c>
      <c r="C220" t="str">
        <f t="shared" si="3"/>
        <v/>
      </c>
    </row>
    <row r="221" spans="1:3" x14ac:dyDescent="0.25">
      <c r="A221" t="str">
        <f>IF(Scan2VK!E27&lt;&gt;"",Scan2VK!E27,"")</f>
        <v>'P'</v>
      </c>
      <c r="B221" t="str">
        <f>IF(ISERROR(MATCH(0,INDEX(COUNTIF($B$1:B220,$A$2:$A$4629),0,0),0)),"",INDEX($A$2:$A$4629,MATCH(0,INDEX(COUNTIF($B$1:B220,$A$2:$A$4629),0,0),0)))</f>
        <v/>
      </c>
      <c r="C221" t="str">
        <f t="shared" si="3"/>
        <v/>
      </c>
    </row>
    <row r="222" spans="1:3" x14ac:dyDescent="0.25">
      <c r="A222" t="str">
        <f>IF(Scan2VK!E28&lt;&gt;"",Scan2VK!E28,"")</f>
        <v>OEM_6</v>
      </c>
      <c r="B222" t="str">
        <f>IF(ISERROR(MATCH(0,INDEX(COUNTIF($B$1:B221,$A$2:$A$4629),0,0),0)),"",INDEX($A$2:$A$4629,MATCH(0,INDEX(COUNTIF($B$1:B221,$A$2:$A$4629),0,0),0)))</f>
        <v/>
      </c>
      <c r="C222" t="str">
        <f t="shared" si="3"/>
        <v/>
      </c>
    </row>
    <row r="223" spans="1:3" x14ac:dyDescent="0.25">
      <c r="A223" t="str">
        <f>IF(Scan2VK!E29&lt;&gt;"",Scan2VK!E29,"")</f>
        <v>OEM_1</v>
      </c>
      <c r="B223" t="str">
        <f>IF(ISERROR(MATCH(0,INDEX(COUNTIF($B$1:B222,$A$2:$A$4629),0,0),0)),"",INDEX($A$2:$A$4629,MATCH(0,INDEX(COUNTIF($B$1:B222,$A$2:$A$4629),0,0),0)))</f>
        <v/>
      </c>
      <c r="C223" t="str">
        <f t="shared" si="3"/>
        <v/>
      </c>
    </row>
    <row r="224" spans="1:3" x14ac:dyDescent="0.25">
      <c r="A224" t="str">
        <f>IF(Scan2VK!E30&lt;&gt;"",Scan2VK!E30,"")</f>
        <v>RETURN</v>
      </c>
      <c r="B224" t="str">
        <f>IF(ISERROR(MATCH(0,INDEX(COUNTIF($B$1:B223,$A$2:$A$4629),0,0),0)),"",INDEX($A$2:$A$4629,MATCH(0,INDEX(COUNTIF($B$1:B223,$A$2:$A$4629),0,0),0)))</f>
        <v/>
      </c>
      <c r="C224" t="str">
        <f t="shared" si="3"/>
        <v/>
      </c>
    </row>
    <row r="225" spans="1:3" x14ac:dyDescent="0.25">
      <c r="A225" t="str">
        <f>IF(Scan2VK!E31&lt;&gt;"",Scan2VK!E31,"")</f>
        <v>LCONTROL</v>
      </c>
      <c r="B225" t="str">
        <f>IF(ISERROR(MATCH(0,INDEX(COUNTIF($B$1:B224,$A$2:$A$4629),0,0),0)),"",INDEX($A$2:$A$4629,MATCH(0,INDEX(COUNTIF($B$1:B224,$A$2:$A$4629),0,0),0)))</f>
        <v/>
      </c>
      <c r="C225" t="str">
        <f t="shared" si="3"/>
        <v/>
      </c>
    </row>
    <row r="226" spans="1:3" x14ac:dyDescent="0.25">
      <c r="A226" t="str">
        <f>IF(Scan2VK!E32&lt;&gt;"",Scan2VK!E32,"")</f>
        <v>'A'</v>
      </c>
      <c r="B226" t="str">
        <f>IF(ISERROR(MATCH(0,INDEX(COUNTIF($B$1:B225,$A$2:$A$4629),0,0),0)),"",INDEX($A$2:$A$4629,MATCH(0,INDEX(COUNTIF($B$1:B225,$A$2:$A$4629),0,0),0)))</f>
        <v/>
      </c>
      <c r="C226" t="str">
        <f t="shared" si="3"/>
        <v/>
      </c>
    </row>
    <row r="227" spans="1:3" x14ac:dyDescent="0.25">
      <c r="A227" t="str">
        <f>IF(Scan2VK!E33&lt;&gt;"",Scan2VK!E33,"")</f>
        <v>'S'</v>
      </c>
      <c r="B227" t="str">
        <f>IF(ISERROR(MATCH(0,INDEX(COUNTIF($B$1:B226,$A$2:$A$4629),0,0),0)),"",INDEX($A$2:$A$4629,MATCH(0,INDEX(COUNTIF($B$1:B226,$A$2:$A$4629),0,0),0)))</f>
        <v/>
      </c>
      <c r="C227" t="str">
        <f t="shared" si="3"/>
        <v/>
      </c>
    </row>
    <row r="228" spans="1:3" x14ac:dyDescent="0.25">
      <c r="A228" t="str">
        <f>IF(Scan2VK!E34&lt;&gt;"",Scan2VK!E34,"")</f>
        <v>'D'</v>
      </c>
      <c r="B228" t="str">
        <f>IF(ISERROR(MATCH(0,INDEX(COUNTIF($B$1:B227,$A$2:$A$4629),0,0),0)),"",INDEX($A$2:$A$4629,MATCH(0,INDEX(COUNTIF($B$1:B227,$A$2:$A$4629),0,0),0)))</f>
        <v/>
      </c>
      <c r="C228" t="str">
        <f t="shared" si="3"/>
        <v/>
      </c>
    </row>
    <row r="229" spans="1:3" x14ac:dyDescent="0.25">
      <c r="A229" t="str">
        <f>IF(Scan2VK!E35&lt;&gt;"",Scan2VK!E35,"")</f>
        <v>'F'</v>
      </c>
      <c r="B229" t="str">
        <f>IF(ISERROR(MATCH(0,INDEX(COUNTIF($B$1:B228,$A$2:$A$4629),0,0),0)),"",INDEX($A$2:$A$4629,MATCH(0,INDEX(COUNTIF($B$1:B228,$A$2:$A$4629),0,0),0)))</f>
        <v/>
      </c>
      <c r="C229" t="str">
        <f t="shared" si="3"/>
        <v/>
      </c>
    </row>
    <row r="230" spans="1:3" x14ac:dyDescent="0.25">
      <c r="A230" t="str">
        <f>IF(Scan2VK!E36&lt;&gt;"",Scan2VK!E36,"")</f>
        <v>'G'</v>
      </c>
      <c r="B230" t="str">
        <f>IF(ISERROR(MATCH(0,INDEX(COUNTIF($B$1:B229,$A$2:$A$4629),0,0),0)),"",INDEX($A$2:$A$4629,MATCH(0,INDEX(COUNTIF($B$1:B229,$A$2:$A$4629),0,0),0)))</f>
        <v/>
      </c>
      <c r="C230" t="str">
        <f t="shared" si="3"/>
        <v/>
      </c>
    </row>
    <row r="231" spans="1:3" x14ac:dyDescent="0.25">
      <c r="A231" t="str">
        <f>IF(Scan2VK!E37&lt;&gt;"",Scan2VK!E37,"")</f>
        <v>'H'</v>
      </c>
      <c r="B231" t="str">
        <f>IF(ISERROR(MATCH(0,INDEX(COUNTIF($B$1:B230,$A$2:$A$4629),0,0),0)),"",INDEX($A$2:$A$4629,MATCH(0,INDEX(COUNTIF($B$1:B230,$A$2:$A$4629),0,0),0)))</f>
        <v/>
      </c>
      <c r="C231" t="str">
        <f t="shared" si="3"/>
        <v/>
      </c>
    </row>
    <row r="232" spans="1:3" x14ac:dyDescent="0.25">
      <c r="A232" t="str">
        <f>IF(Scan2VK!E38&lt;&gt;"",Scan2VK!E38,"")</f>
        <v>'J'</v>
      </c>
      <c r="B232" t="str">
        <f>IF(ISERROR(MATCH(0,INDEX(COUNTIF($B$1:B231,$A$2:$A$4629),0,0),0)),"",INDEX($A$2:$A$4629,MATCH(0,INDEX(COUNTIF($B$1:B231,$A$2:$A$4629),0,0),0)))</f>
        <v/>
      </c>
      <c r="C232" t="str">
        <f t="shared" si="3"/>
        <v/>
      </c>
    </row>
    <row r="233" spans="1:3" x14ac:dyDescent="0.25">
      <c r="A233" t="str">
        <f>IF(Scan2VK!E39&lt;&gt;"",Scan2VK!E39,"")</f>
        <v>'K'</v>
      </c>
      <c r="B233" t="str">
        <f>IF(ISERROR(MATCH(0,INDEX(COUNTIF($B$1:B232,$A$2:$A$4629),0,0),0)),"",INDEX($A$2:$A$4629,MATCH(0,INDEX(COUNTIF($B$1:B232,$A$2:$A$4629),0,0),0)))</f>
        <v/>
      </c>
      <c r="C233" t="str">
        <f t="shared" si="3"/>
        <v/>
      </c>
    </row>
    <row r="234" spans="1:3" x14ac:dyDescent="0.25">
      <c r="A234" t="str">
        <f>IF(Scan2VK!E40&lt;&gt;"",Scan2VK!E40,"")</f>
        <v>'L'</v>
      </c>
      <c r="B234" t="str">
        <f>IF(ISERROR(MATCH(0,INDEX(COUNTIF($B$1:B233,$A$2:$A$4629),0,0),0)),"",INDEX($A$2:$A$4629,MATCH(0,INDEX(COUNTIF($B$1:B233,$A$2:$A$4629),0,0),0)))</f>
        <v/>
      </c>
      <c r="C234" t="str">
        <f t="shared" si="3"/>
        <v/>
      </c>
    </row>
    <row r="235" spans="1:3" x14ac:dyDescent="0.25">
      <c r="A235" t="str">
        <f>IF(Scan2VK!E41&lt;&gt;"",Scan2VK!E41,"")</f>
        <v>OEM_PLUS</v>
      </c>
      <c r="B235" t="str">
        <f>IF(ISERROR(MATCH(0,INDEX(COUNTIF($B$1:B234,$A$2:$A$4629),0,0),0)),"",INDEX($A$2:$A$4629,MATCH(0,INDEX(COUNTIF($B$1:B234,$A$2:$A$4629),0,0),0)))</f>
        <v/>
      </c>
      <c r="C235" t="str">
        <f t="shared" si="3"/>
        <v/>
      </c>
    </row>
    <row r="236" spans="1:3" x14ac:dyDescent="0.25">
      <c r="A236" t="str">
        <f>IF(Scan2VK!E42&lt;&gt;"",Scan2VK!E42,"")</f>
        <v>OEM_3</v>
      </c>
      <c r="B236" t="str">
        <f>IF(ISERROR(MATCH(0,INDEX(COUNTIF($B$1:B235,$A$2:$A$4629),0,0),0)),"",INDEX($A$2:$A$4629,MATCH(0,INDEX(COUNTIF($B$1:B235,$A$2:$A$4629),0,0),0)))</f>
        <v/>
      </c>
      <c r="C236" t="str">
        <f t="shared" si="3"/>
        <v/>
      </c>
    </row>
    <row r="237" spans="1:3" x14ac:dyDescent="0.25">
      <c r="A237" t="str">
        <f>IF(Scan2VK!E43&lt;&gt;"",Scan2VK!E43,"")</f>
        <v>OEM_7</v>
      </c>
      <c r="B237" t="str">
        <f>IF(ISERROR(MATCH(0,INDEX(COUNTIF($B$1:B236,$A$2:$A$4629),0,0),0)),"",INDEX($A$2:$A$4629,MATCH(0,INDEX(COUNTIF($B$1:B236,$A$2:$A$4629),0,0),0)))</f>
        <v/>
      </c>
      <c r="C237" t="str">
        <f t="shared" si="3"/>
        <v/>
      </c>
    </row>
    <row r="238" spans="1:3" x14ac:dyDescent="0.25">
      <c r="A238" t="str">
        <f>IF(Scan2VK!E44&lt;&gt;"",Scan2VK!E44,"")</f>
        <v>LSHIFT</v>
      </c>
      <c r="B238" t="str">
        <f>IF(ISERROR(MATCH(0,INDEX(COUNTIF($B$1:B237,$A$2:$A$4629),0,0),0)),"",INDEX($A$2:$A$4629,MATCH(0,INDEX(COUNTIF($B$1:B237,$A$2:$A$4629),0,0),0)))</f>
        <v/>
      </c>
      <c r="C238" t="str">
        <f t="shared" si="3"/>
        <v/>
      </c>
    </row>
    <row r="239" spans="1:3" x14ac:dyDescent="0.25">
      <c r="A239" t="str">
        <f>IF(Scan2VK!E45&lt;&gt;"",Scan2VK!E45,"")</f>
        <v>OEM_5</v>
      </c>
      <c r="B239" t="str">
        <f>IF(ISERROR(MATCH(0,INDEX(COUNTIF($B$1:B238,$A$2:$A$4629),0,0),0)),"",INDEX($A$2:$A$4629,MATCH(0,INDEX(COUNTIF($B$1:B238,$A$2:$A$4629),0,0),0)))</f>
        <v/>
      </c>
      <c r="C239" t="str">
        <f t="shared" si="3"/>
        <v/>
      </c>
    </row>
    <row r="240" spans="1:3" x14ac:dyDescent="0.25">
      <c r="A240" t="str">
        <f>IF(Scan2VK!E46&lt;&gt;"",Scan2VK!E46,"")</f>
        <v>'Z'</v>
      </c>
      <c r="B240" t="str">
        <f>IF(ISERROR(MATCH(0,INDEX(COUNTIF($B$1:B239,$A$2:$A$4629),0,0),0)),"",INDEX($A$2:$A$4629,MATCH(0,INDEX(COUNTIF($B$1:B239,$A$2:$A$4629),0,0),0)))</f>
        <v/>
      </c>
      <c r="C240" t="str">
        <f t="shared" si="3"/>
        <v/>
      </c>
    </row>
    <row r="241" spans="1:3" x14ac:dyDescent="0.25">
      <c r="A241" t="str">
        <f>IF(Scan2VK!E47&lt;&gt;"",Scan2VK!E47,"")</f>
        <v>'X'</v>
      </c>
      <c r="B241" t="str">
        <f>IF(ISERROR(MATCH(0,INDEX(COUNTIF($B$1:B240,$A$2:$A$4629),0,0),0)),"",INDEX($A$2:$A$4629,MATCH(0,INDEX(COUNTIF($B$1:B240,$A$2:$A$4629),0,0),0)))</f>
        <v/>
      </c>
      <c r="C241" t="str">
        <f t="shared" si="3"/>
        <v/>
      </c>
    </row>
    <row r="242" spans="1:3" x14ac:dyDescent="0.25">
      <c r="A242" t="str">
        <f>IF(Scan2VK!E48&lt;&gt;"",Scan2VK!E48,"")</f>
        <v>'C'</v>
      </c>
      <c r="B242" t="str">
        <f>IF(ISERROR(MATCH(0,INDEX(COUNTIF($B$1:B241,$A$2:$A$4629),0,0),0)),"",INDEX($A$2:$A$4629,MATCH(0,INDEX(COUNTIF($B$1:B241,$A$2:$A$4629),0,0),0)))</f>
        <v/>
      </c>
      <c r="C242" t="str">
        <f t="shared" si="3"/>
        <v/>
      </c>
    </row>
    <row r="243" spans="1:3" x14ac:dyDescent="0.25">
      <c r="A243" t="str">
        <f>IF(Scan2VK!E49&lt;&gt;"",Scan2VK!E49,"")</f>
        <v>'V'</v>
      </c>
      <c r="B243" t="str">
        <f>IF(ISERROR(MATCH(0,INDEX(COUNTIF($B$1:B242,$A$2:$A$4629),0,0),0)),"",INDEX($A$2:$A$4629,MATCH(0,INDEX(COUNTIF($B$1:B242,$A$2:$A$4629),0,0),0)))</f>
        <v/>
      </c>
      <c r="C243" t="str">
        <f t="shared" si="3"/>
        <v/>
      </c>
    </row>
    <row r="244" spans="1:3" x14ac:dyDescent="0.25">
      <c r="A244" t="str">
        <f>IF(Scan2VK!E50&lt;&gt;"",Scan2VK!E50,"")</f>
        <v>'B'</v>
      </c>
      <c r="B244" t="str">
        <f>IF(ISERROR(MATCH(0,INDEX(COUNTIF($B$1:B243,$A$2:$A$4629),0,0),0)),"",INDEX($A$2:$A$4629,MATCH(0,INDEX(COUNTIF($B$1:B243,$A$2:$A$4629),0,0),0)))</f>
        <v/>
      </c>
      <c r="C244" t="str">
        <f t="shared" si="3"/>
        <v/>
      </c>
    </row>
    <row r="245" spans="1:3" x14ac:dyDescent="0.25">
      <c r="A245" t="str">
        <f>IF(Scan2VK!E51&lt;&gt;"",Scan2VK!E51,"")</f>
        <v>'N'</v>
      </c>
      <c r="B245" t="str">
        <f>IF(ISERROR(MATCH(0,INDEX(COUNTIF($B$1:B244,$A$2:$A$4629),0,0),0)),"",INDEX($A$2:$A$4629,MATCH(0,INDEX(COUNTIF($B$1:B244,$A$2:$A$4629),0,0),0)))</f>
        <v/>
      </c>
      <c r="C245" t="str">
        <f t="shared" si="3"/>
        <v/>
      </c>
    </row>
    <row r="246" spans="1:3" x14ac:dyDescent="0.25">
      <c r="A246" t="str">
        <f>IF(Scan2VK!E52&lt;&gt;"",Scan2VK!E52,"")</f>
        <v>'M'</v>
      </c>
      <c r="B246" t="str">
        <f>IF(ISERROR(MATCH(0,INDEX(COUNTIF($B$1:B245,$A$2:$A$4629),0,0),0)),"",INDEX($A$2:$A$4629,MATCH(0,INDEX(COUNTIF($B$1:B245,$A$2:$A$4629),0,0),0)))</f>
        <v/>
      </c>
      <c r="C246" t="str">
        <f t="shared" si="3"/>
        <v/>
      </c>
    </row>
    <row r="247" spans="1:3" x14ac:dyDescent="0.25">
      <c r="A247" t="str">
        <f>IF(Scan2VK!E53&lt;&gt;"",Scan2VK!E53,"")</f>
        <v>OEM_COMMA</v>
      </c>
      <c r="B247" t="str">
        <f>IF(ISERROR(MATCH(0,INDEX(COUNTIF($B$1:B246,$A$2:$A$4629),0,0),0)),"",INDEX($A$2:$A$4629,MATCH(0,INDEX(COUNTIF($B$1:B246,$A$2:$A$4629),0,0),0)))</f>
        <v/>
      </c>
      <c r="C247" t="str">
        <f t="shared" si="3"/>
        <v/>
      </c>
    </row>
    <row r="248" spans="1:3" x14ac:dyDescent="0.25">
      <c r="A248" t="str">
        <f>IF(Scan2VK!E54&lt;&gt;"",Scan2VK!E54,"")</f>
        <v>OEM_PERIOD</v>
      </c>
      <c r="B248" t="str">
        <f>IF(ISERROR(MATCH(0,INDEX(COUNTIF($B$1:B247,$A$2:$A$4629),0,0),0)),"",INDEX($A$2:$A$4629,MATCH(0,INDEX(COUNTIF($B$1:B247,$A$2:$A$4629),0,0),0)))</f>
        <v/>
      </c>
      <c r="C248" t="str">
        <f t="shared" si="3"/>
        <v/>
      </c>
    </row>
    <row r="249" spans="1:3" x14ac:dyDescent="0.25">
      <c r="A249" t="str">
        <f>IF(Scan2VK!E55&lt;&gt;"",Scan2VK!E55,"")</f>
        <v>OEM_2</v>
      </c>
      <c r="B249" t="str">
        <f>IF(ISERROR(MATCH(0,INDEX(COUNTIF($B$1:B248,$A$2:$A$4629),0,0),0)),"",INDEX($A$2:$A$4629,MATCH(0,INDEX(COUNTIF($B$1:B248,$A$2:$A$4629),0,0),0)))</f>
        <v/>
      </c>
      <c r="C249" t="str">
        <f t="shared" si="3"/>
        <v/>
      </c>
    </row>
    <row r="250" spans="1:3" x14ac:dyDescent="0.25">
      <c r="A250" t="str">
        <f>IF(Scan2VK!E56&lt;&gt;"",Scan2VK!E56,"")</f>
        <v>RSHIFT</v>
      </c>
      <c r="B250" t="str">
        <f>IF(ISERROR(MATCH(0,INDEX(COUNTIF($B$1:B249,$A$2:$A$4629),0,0),0)),"",INDEX($A$2:$A$4629,MATCH(0,INDEX(COUNTIF($B$1:B249,$A$2:$A$4629),0,0),0)))</f>
        <v/>
      </c>
      <c r="C250" t="str">
        <f t="shared" si="3"/>
        <v/>
      </c>
    </row>
    <row r="251" spans="1:3" x14ac:dyDescent="0.25">
      <c r="A251" t="str">
        <f>IF(Scan2VK!E57&lt;&gt;"",Scan2VK!E57,"")</f>
        <v>MULTIPLY</v>
      </c>
      <c r="B251" t="str">
        <f>IF(ISERROR(MATCH(0,INDEX(COUNTIF($B$1:B250,$A$2:$A$4629),0,0),0)),"",INDEX($A$2:$A$4629,MATCH(0,INDEX(COUNTIF($B$1:B250,$A$2:$A$4629),0,0),0)))</f>
        <v/>
      </c>
      <c r="C251" t="str">
        <f t="shared" si="3"/>
        <v/>
      </c>
    </row>
    <row r="252" spans="1:3" x14ac:dyDescent="0.25">
      <c r="A252" t="str">
        <f>IF(Scan2VK!E58&lt;&gt;"",Scan2VK!E58,"")</f>
        <v>LMENU</v>
      </c>
      <c r="B252" t="str">
        <f>IF(ISERROR(MATCH(0,INDEX(COUNTIF($B$1:B251,$A$2:$A$4629),0,0),0)),"",INDEX($A$2:$A$4629,MATCH(0,INDEX(COUNTIF($B$1:B251,$A$2:$A$4629),0,0),0)))</f>
        <v/>
      </c>
      <c r="C252" t="str">
        <f t="shared" si="3"/>
        <v/>
      </c>
    </row>
    <row r="253" spans="1:3" x14ac:dyDescent="0.25">
      <c r="A253" t="str">
        <f>IF(Scan2VK!E59&lt;&gt;"",Scan2VK!E59,"")</f>
        <v>''</v>
      </c>
      <c r="B253" t="str">
        <f>IF(ISERROR(MATCH(0,INDEX(COUNTIF($B$1:B252,$A$2:$A$4629),0,0),0)),"",INDEX($A$2:$A$4629,MATCH(0,INDEX(COUNTIF($B$1:B252,$A$2:$A$4629),0,0),0)))</f>
        <v/>
      </c>
      <c r="C253" t="str">
        <f t="shared" si="3"/>
        <v/>
      </c>
    </row>
    <row r="254" spans="1:3" x14ac:dyDescent="0.25">
      <c r="A254" t="str">
        <f>IF(Scan2VK!E60&lt;&gt;"",Scan2VK!E60,"")</f>
        <v>CAPITAL</v>
      </c>
      <c r="B254" t="str">
        <f>IF(ISERROR(MATCH(0,INDEX(COUNTIF($B$1:B253,$A$2:$A$4629),0,0),0)),"",INDEX($A$2:$A$4629,MATCH(0,INDEX(COUNTIF($B$1:B253,$A$2:$A$4629),0,0),0)))</f>
        <v/>
      </c>
      <c r="C254" t="str">
        <f t="shared" si="3"/>
        <v/>
      </c>
    </row>
    <row r="255" spans="1:3" x14ac:dyDescent="0.25">
      <c r="A255" t="str">
        <f>IF(Scan2VK!E61&lt;&gt;"",Scan2VK!E61,"")</f>
        <v>F1</v>
      </c>
      <c r="B255" t="str">
        <f>IF(ISERROR(MATCH(0,INDEX(COUNTIF($B$1:B254,$A$2:$A$4629),0,0),0)),"",INDEX($A$2:$A$4629,MATCH(0,INDEX(COUNTIF($B$1:B254,$A$2:$A$4629),0,0),0)))</f>
        <v/>
      </c>
      <c r="C255" t="str">
        <f t="shared" si="3"/>
        <v/>
      </c>
    </row>
    <row r="256" spans="1:3" x14ac:dyDescent="0.25">
      <c r="A256" t="str">
        <f>IF(Scan2VK!E62&lt;&gt;"",Scan2VK!E62,"")</f>
        <v>F2</v>
      </c>
      <c r="B256" t="str">
        <f>IF(ISERROR(MATCH(0,INDEX(COUNTIF($B$1:B255,$A$2:$A$4629),0,0),0)),"",INDEX($A$2:$A$4629,MATCH(0,INDEX(COUNTIF($B$1:B255,$A$2:$A$4629),0,0),0)))</f>
        <v/>
      </c>
      <c r="C256" t="str">
        <f t="shared" si="3"/>
        <v/>
      </c>
    </row>
    <row r="257" spans="1:3" x14ac:dyDescent="0.25">
      <c r="A257" t="str">
        <f>IF(Scan2VK!E63&lt;&gt;"",Scan2VK!E63,"")</f>
        <v>F3</v>
      </c>
      <c r="B257" t="str">
        <f>IF(ISERROR(MATCH(0,INDEX(COUNTIF($B$1:B256,$A$2:$A$4629),0,0),0)),"",INDEX($A$2:$A$4629,MATCH(0,INDEX(COUNTIF($B$1:B256,$A$2:$A$4629),0,0),0)))</f>
        <v/>
      </c>
      <c r="C257" t="str">
        <f t="shared" si="3"/>
        <v/>
      </c>
    </row>
    <row r="258" spans="1:3" x14ac:dyDescent="0.25">
      <c r="A258" t="str">
        <f>IF(Scan2VK!E64&lt;&gt;"",Scan2VK!E64,"")</f>
        <v>F4</v>
      </c>
      <c r="B258" t="str">
        <f>IF(ISERROR(MATCH(0,INDEX(COUNTIF($B$1:B257,$A$2:$A$4629),0,0),0)),"",INDEX($A$2:$A$4629,MATCH(0,INDEX(COUNTIF($B$1:B257,$A$2:$A$4629),0,0),0)))</f>
        <v/>
      </c>
      <c r="C258" t="str">
        <f t="shared" si="3"/>
        <v/>
      </c>
    </row>
    <row r="259" spans="1:3" x14ac:dyDescent="0.25">
      <c r="A259" t="str">
        <f>IF(Scan2VK!E65&lt;&gt;"",Scan2VK!E65,"")</f>
        <v>F5</v>
      </c>
      <c r="B259" t="str">
        <f>IF(ISERROR(MATCH(0,INDEX(COUNTIF($B$1:B258,$A$2:$A$4629),0,0),0)),"",INDEX($A$2:$A$4629,MATCH(0,INDEX(COUNTIF($B$1:B258,$A$2:$A$4629),0,0),0)))</f>
        <v/>
      </c>
      <c r="C259" t="str">
        <f t="shared" ref="C259:C322" si="4">IF(B259&lt;&gt;"","&lt;xs:enumeration value="""&amp;B259&amp;"""/&gt;","")</f>
        <v/>
      </c>
    </row>
    <row r="260" spans="1:3" x14ac:dyDescent="0.25">
      <c r="A260" t="str">
        <f>IF(Scan2VK!E66&lt;&gt;"",Scan2VK!E66,"")</f>
        <v>F6</v>
      </c>
      <c r="B260" t="str">
        <f>IF(ISERROR(MATCH(0,INDEX(COUNTIF($B$1:B259,$A$2:$A$4629),0,0),0)),"",INDEX($A$2:$A$4629,MATCH(0,INDEX(COUNTIF($B$1:B259,$A$2:$A$4629),0,0),0)))</f>
        <v/>
      </c>
      <c r="C260" t="str">
        <f t="shared" si="4"/>
        <v/>
      </c>
    </row>
    <row r="261" spans="1:3" x14ac:dyDescent="0.25">
      <c r="A261" t="str">
        <f>IF(Scan2VK!E67&lt;&gt;"",Scan2VK!E67,"")</f>
        <v>F7</v>
      </c>
      <c r="B261" t="str">
        <f>IF(ISERROR(MATCH(0,INDEX(COUNTIF($B$1:B260,$A$2:$A$4629),0,0),0)),"",INDEX($A$2:$A$4629,MATCH(0,INDEX(COUNTIF($B$1:B260,$A$2:$A$4629),0,0),0)))</f>
        <v/>
      </c>
      <c r="C261" t="str">
        <f t="shared" si="4"/>
        <v/>
      </c>
    </row>
    <row r="262" spans="1:3" x14ac:dyDescent="0.25">
      <c r="A262" t="str">
        <f>IF(Scan2VK!E68&lt;&gt;"",Scan2VK!E68,"")</f>
        <v>F8</v>
      </c>
      <c r="B262" t="str">
        <f>IF(ISERROR(MATCH(0,INDEX(COUNTIF($B$1:B261,$A$2:$A$4629),0,0),0)),"",INDEX($A$2:$A$4629,MATCH(0,INDEX(COUNTIF($B$1:B261,$A$2:$A$4629),0,0),0)))</f>
        <v/>
      </c>
      <c r="C262" t="str">
        <f t="shared" si="4"/>
        <v/>
      </c>
    </row>
    <row r="263" spans="1:3" x14ac:dyDescent="0.25">
      <c r="A263" t="str">
        <f>IF(Scan2VK!E69&lt;&gt;"",Scan2VK!E69,"")</f>
        <v>F9</v>
      </c>
      <c r="B263" t="str">
        <f>IF(ISERROR(MATCH(0,INDEX(COUNTIF($B$1:B262,$A$2:$A$4629),0,0),0)),"",INDEX($A$2:$A$4629,MATCH(0,INDEX(COUNTIF($B$1:B262,$A$2:$A$4629),0,0),0)))</f>
        <v/>
      </c>
      <c r="C263" t="str">
        <f t="shared" si="4"/>
        <v/>
      </c>
    </row>
    <row r="264" spans="1:3" x14ac:dyDescent="0.25">
      <c r="A264" t="str">
        <f>IF(Scan2VK!E70&lt;&gt;"",Scan2VK!E70,"")</f>
        <v>F10</v>
      </c>
      <c r="B264" t="str">
        <f>IF(ISERROR(MATCH(0,INDEX(COUNTIF($B$1:B263,$A$2:$A$4629),0,0),0)),"",INDEX($A$2:$A$4629,MATCH(0,INDEX(COUNTIF($B$1:B263,$A$2:$A$4629),0,0),0)))</f>
        <v/>
      </c>
      <c r="C264" t="str">
        <f t="shared" si="4"/>
        <v/>
      </c>
    </row>
    <row r="265" spans="1:3" x14ac:dyDescent="0.25">
      <c r="A265" t="str">
        <f>IF(Scan2VK!E71&lt;&gt;"",Scan2VK!E71,"")</f>
        <v>NUMLOCK</v>
      </c>
      <c r="B265" t="str">
        <f>IF(ISERROR(MATCH(0,INDEX(COUNTIF($B$1:B264,$A$2:$A$4629),0,0),0)),"",INDEX($A$2:$A$4629,MATCH(0,INDEX(COUNTIF($B$1:B264,$A$2:$A$4629),0,0),0)))</f>
        <v/>
      </c>
      <c r="C265" t="str">
        <f t="shared" si="4"/>
        <v/>
      </c>
    </row>
    <row r="266" spans="1:3" x14ac:dyDescent="0.25">
      <c r="A266" t="str">
        <f>IF(Scan2VK!E72&lt;&gt;"",Scan2VK!E72,"")</f>
        <v>SCROLL</v>
      </c>
      <c r="B266" t="str">
        <f>IF(ISERROR(MATCH(0,INDEX(COUNTIF($B$1:B265,$A$2:$A$4629),0,0),0)),"",INDEX($A$2:$A$4629,MATCH(0,INDEX(COUNTIF($B$1:B265,$A$2:$A$4629),0,0),0)))</f>
        <v/>
      </c>
      <c r="C266" t="str">
        <f t="shared" si="4"/>
        <v/>
      </c>
    </row>
    <row r="267" spans="1:3" x14ac:dyDescent="0.25">
      <c r="A267" t="str">
        <f>IF(Scan2VK!E73&lt;&gt;"",Scan2VK!E73,"")</f>
        <v>HOME</v>
      </c>
      <c r="B267" t="str">
        <f>IF(ISERROR(MATCH(0,INDEX(COUNTIF($B$1:B266,$A$2:$A$4629),0,0),0)),"",INDEX($A$2:$A$4629,MATCH(0,INDEX(COUNTIF($B$1:B266,$A$2:$A$4629),0,0),0)))</f>
        <v/>
      </c>
      <c r="C267" t="str">
        <f t="shared" si="4"/>
        <v/>
      </c>
    </row>
    <row r="268" spans="1:3" x14ac:dyDescent="0.25">
      <c r="A268" t="str">
        <f>IF(Scan2VK!E74&lt;&gt;"",Scan2VK!E74,"")</f>
        <v>UP</v>
      </c>
      <c r="B268" t="str">
        <f>IF(ISERROR(MATCH(0,INDEX(COUNTIF($B$1:B267,$A$2:$A$4629),0,0),0)),"",INDEX($A$2:$A$4629,MATCH(0,INDEX(COUNTIF($B$1:B267,$A$2:$A$4629),0,0),0)))</f>
        <v/>
      </c>
      <c r="C268" t="str">
        <f t="shared" si="4"/>
        <v/>
      </c>
    </row>
    <row r="269" spans="1:3" x14ac:dyDescent="0.25">
      <c r="A269" t="str">
        <f>IF(Scan2VK!E75&lt;&gt;"",Scan2VK!E75,"")</f>
        <v>PRIOR</v>
      </c>
      <c r="B269" t="str">
        <f>IF(ISERROR(MATCH(0,INDEX(COUNTIF($B$1:B268,$A$2:$A$4629),0,0),0)),"",INDEX($A$2:$A$4629,MATCH(0,INDEX(COUNTIF($B$1:B268,$A$2:$A$4629),0,0),0)))</f>
        <v/>
      </c>
      <c r="C269" t="str">
        <f t="shared" si="4"/>
        <v/>
      </c>
    </row>
    <row r="270" spans="1:3" x14ac:dyDescent="0.25">
      <c r="A270" t="str">
        <f>IF(Scan2VK!E76&lt;&gt;"",Scan2VK!E76,"")</f>
        <v>SUBTRACT</v>
      </c>
      <c r="B270" t="str">
        <f>IF(ISERROR(MATCH(0,INDEX(COUNTIF($B$1:B269,$A$2:$A$4629),0,0),0)),"",INDEX($A$2:$A$4629,MATCH(0,INDEX(COUNTIF($B$1:B269,$A$2:$A$4629),0,0),0)))</f>
        <v/>
      </c>
      <c r="C270" t="str">
        <f t="shared" si="4"/>
        <v/>
      </c>
    </row>
    <row r="271" spans="1:3" x14ac:dyDescent="0.25">
      <c r="A271" t="str">
        <f>IF(Scan2VK!E77&lt;&gt;"",Scan2VK!E77,"")</f>
        <v>LEFT</v>
      </c>
      <c r="B271" t="str">
        <f>IF(ISERROR(MATCH(0,INDEX(COUNTIF($B$1:B270,$A$2:$A$4629),0,0),0)),"",INDEX($A$2:$A$4629,MATCH(0,INDEX(COUNTIF($B$1:B270,$A$2:$A$4629),0,0),0)))</f>
        <v/>
      </c>
      <c r="C271" t="str">
        <f t="shared" si="4"/>
        <v/>
      </c>
    </row>
    <row r="272" spans="1:3" x14ac:dyDescent="0.25">
      <c r="A272" t="str">
        <f>IF(Scan2VK!E78&lt;&gt;"",Scan2VK!E78,"")</f>
        <v>CLEAR</v>
      </c>
      <c r="B272" t="str">
        <f>IF(ISERROR(MATCH(0,INDEX(COUNTIF($B$1:B271,$A$2:$A$4629),0,0),0)),"",INDEX($A$2:$A$4629,MATCH(0,INDEX(COUNTIF($B$1:B271,$A$2:$A$4629),0,0),0)))</f>
        <v/>
      </c>
      <c r="C272" t="str">
        <f t="shared" si="4"/>
        <v/>
      </c>
    </row>
    <row r="273" spans="1:3" x14ac:dyDescent="0.25">
      <c r="A273" t="str">
        <f>IF(Scan2VK!E79&lt;&gt;"",Scan2VK!E79,"")</f>
        <v>RIGHT</v>
      </c>
      <c r="B273" t="str">
        <f>IF(ISERROR(MATCH(0,INDEX(COUNTIF($B$1:B272,$A$2:$A$4629),0,0),0)),"",INDEX($A$2:$A$4629,MATCH(0,INDEX(COUNTIF($B$1:B272,$A$2:$A$4629),0,0),0)))</f>
        <v/>
      </c>
      <c r="C273" t="str">
        <f t="shared" si="4"/>
        <v/>
      </c>
    </row>
    <row r="274" spans="1:3" x14ac:dyDescent="0.25">
      <c r="A274" t="str">
        <f>IF(Scan2VK!E80&lt;&gt;"",Scan2VK!E80,"")</f>
        <v>ADD</v>
      </c>
      <c r="B274" t="str">
        <f>IF(ISERROR(MATCH(0,INDEX(COUNTIF($B$1:B273,$A$2:$A$4629),0,0),0)),"",INDEX($A$2:$A$4629,MATCH(0,INDEX(COUNTIF($B$1:B273,$A$2:$A$4629),0,0),0)))</f>
        <v/>
      </c>
      <c r="C274" t="str">
        <f t="shared" si="4"/>
        <v/>
      </c>
    </row>
    <row r="275" spans="1:3" x14ac:dyDescent="0.25">
      <c r="A275" t="str">
        <f>IF(Scan2VK!E81&lt;&gt;"",Scan2VK!E81,"")</f>
        <v>END</v>
      </c>
      <c r="B275" t="str">
        <f>IF(ISERROR(MATCH(0,INDEX(COUNTIF($B$1:B274,$A$2:$A$4629),0,0),0)),"",INDEX($A$2:$A$4629,MATCH(0,INDEX(COUNTIF($B$1:B274,$A$2:$A$4629),0,0),0)))</f>
        <v/>
      </c>
      <c r="C275" t="str">
        <f t="shared" si="4"/>
        <v/>
      </c>
    </row>
    <row r="276" spans="1:3" x14ac:dyDescent="0.25">
      <c r="A276" t="str">
        <f>IF(Scan2VK!E82&lt;&gt;"",Scan2VK!E82,"")</f>
        <v>DOWN</v>
      </c>
      <c r="B276" t="str">
        <f>IF(ISERROR(MATCH(0,INDEX(COUNTIF($B$1:B275,$A$2:$A$4629),0,0),0)),"",INDEX($A$2:$A$4629,MATCH(0,INDEX(COUNTIF($B$1:B275,$A$2:$A$4629),0,0),0)))</f>
        <v/>
      </c>
      <c r="C276" t="str">
        <f t="shared" si="4"/>
        <v/>
      </c>
    </row>
    <row r="277" spans="1:3" x14ac:dyDescent="0.25">
      <c r="A277" t="str">
        <f>IF(Scan2VK!E83&lt;&gt;"",Scan2VK!E83,"")</f>
        <v>NEXT</v>
      </c>
      <c r="B277" t="str">
        <f>IF(ISERROR(MATCH(0,INDEX(COUNTIF($B$1:B276,$A$2:$A$4629),0,0),0)),"",INDEX($A$2:$A$4629,MATCH(0,INDEX(COUNTIF($B$1:B276,$A$2:$A$4629),0,0),0)))</f>
        <v/>
      </c>
      <c r="C277" t="str">
        <f t="shared" si="4"/>
        <v/>
      </c>
    </row>
    <row r="278" spans="1:3" x14ac:dyDescent="0.25">
      <c r="A278" t="str">
        <f>IF(Scan2VK!E84&lt;&gt;"",Scan2VK!E84,"")</f>
        <v>INSERT</v>
      </c>
      <c r="B278" t="str">
        <f>IF(ISERROR(MATCH(0,INDEX(COUNTIF($B$1:B277,$A$2:$A$4629),0,0),0)),"",INDEX($A$2:$A$4629,MATCH(0,INDEX(COUNTIF($B$1:B277,$A$2:$A$4629),0,0),0)))</f>
        <v/>
      </c>
      <c r="C278" t="str">
        <f t="shared" si="4"/>
        <v/>
      </c>
    </row>
    <row r="279" spans="1:3" x14ac:dyDescent="0.25">
      <c r="A279" t="str">
        <f>IF(Scan2VK!E85&lt;&gt;"",Scan2VK!E85,"")</f>
        <v>DELETE</v>
      </c>
      <c r="B279" t="str">
        <f>IF(ISERROR(MATCH(0,INDEX(COUNTIF($B$1:B278,$A$2:$A$4629),0,0),0)),"",INDEX($A$2:$A$4629,MATCH(0,INDEX(COUNTIF($B$1:B278,$A$2:$A$4629),0,0),0)))</f>
        <v/>
      </c>
      <c r="C279" t="str">
        <f t="shared" si="4"/>
        <v/>
      </c>
    </row>
    <row r="280" spans="1:3" x14ac:dyDescent="0.25">
      <c r="A280" t="str">
        <f>IF(Scan2VK!E86&lt;&gt;"",Scan2VK!E86,"")</f>
        <v>SNAPSHOT</v>
      </c>
      <c r="B280" t="str">
        <f>IF(ISERROR(MATCH(0,INDEX(COUNTIF($B$1:B279,$A$2:$A$4629),0,0),0)),"",INDEX($A$2:$A$4629,MATCH(0,INDEX(COUNTIF($B$1:B279,$A$2:$A$4629),0,0),0)))</f>
        <v/>
      </c>
      <c r="C280" t="str">
        <f t="shared" si="4"/>
        <v/>
      </c>
    </row>
    <row r="281" spans="1:3" x14ac:dyDescent="0.25">
      <c r="A281" t="str">
        <f>IF(Scan2VK!E87&lt;&gt;"",Scan2VK!E87,"")</f>
        <v>_none_</v>
      </c>
      <c r="B281" t="str">
        <f>IF(ISERROR(MATCH(0,INDEX(COUNTIF($B$1:B280,$A$2:$A$4629),0,0),0)),"",INDEX($A$2:$A$4629,MATCH(0,INDEX(COUNTIF($B$1:B280,$A$2:$A$4629),0,0),0)))</f>
        <v/>
      </c>
      <c r="C281" t="str">
        <f t="shared" si="4"/>
        <v/>
      </c>
    </row>
    <row r="282" spans="1:3" x14ac:dyDescent="0.25">
      <c r="A282" t="str">
        <f>IF(Scan2VK!E88&lt;&gt;"",Scan2VK!E88,"")</f>
        <v>HELP</v>
      </c>
      <c r="B282" t="str">
        <f>IF(ISERROR(MATCH(0,INDEX(COUNTIF($B$1:B281,$A$2:$A$4629),0,0),0)),"",INDEX($A$2:$A$4629,MATCH(0,INDEX(COUNTIF($B$1:B281,$A$2:$A$4629),0,0),0)))</f>
        <v/>
      </c>
      <c r="C282" t="str">
        <f t="shared" si="4"/>
        <v/>
      </c>
    </row>
    <row r="283" spans="1:3" x14ac:dyDescent="0.25">
      <c r="A283" t="str">
        <f>IF(Scan2VK!E89&lt;&gt;"",Scan2VK!E89,"")</f>
        <v>RETURN</v>
      </c>
      <c r="B283" t="str">
        <f>IF(ISERROR(MATCH(0,INDEX(COUNTIF($B$1:B282,$A$2:$A$4629),0,0),0)),"",INDEX($A$2:$A$4629,MATCH(0,INDEX(COUNTIF($B$1:B282,$A$2:$A$4629),0,0),0)))</f>
        <v/>
      </c>
      <c r="C283" t="str">
        <f t="shared" si="4"/>
        <v/>
      </c>
    </row>
    <row r="284" spans="1:3" x14ac:dyDescent="0.25">
      <c r="A284" t="str">
        <f>IF(Scan2VK!E90&lt;&gt;"",Scan2VK!E90,"")</f>
        <v>LEFT</v>
      </c>
      <c r="B284" t="str">
        <f>IF(ISERROR(MATCH(0,INDEX(COUNTIF($B$1:B283,$A$2:$A$4629),0,0),0)),"",INDEX($A$2:$A$4629,MATCH(0,INDEX(COUNTIF($B$1:B283,$A$2:$A$4629),0,0),0)))</f>
        <v/>
      </c>
      <c r="C284" t="str">
        <f t="shared" si="4"/>
        <v/>
      </c>
    </row>
    <row r="285" spans="1:3" x14ac:dyDescent="0.25">
      <c r="A285" t="str">
        <f>IF(Scan2VK!E91&lt;&gt;"",Scan2VK!E91,"")</f>
        <v>CLEAR</v>
      </c>
      <c r="B285" t="str">
        <f>IF(ISERROR(MATCH(0,INDEX(COUNTIF($B$1:B284,$A$2:$A$4629),0,0),0)),"",INDEX($A$2:$A$4629,MATCH(0,INDEX(COUNTIF($B$1:B284,$A$2:$A$4629),0,0),0)))</f>
        <v/>
      </c>
      <c r="C285" t="str">
        <f t="shared" si="4"/>
        <v/>
      </c>
    </row>
    <row r="286" spans="1:3" x14ac:dyDescent="0.25">
      <c r="A286" t="str">
        <f>IF(Scan2VK!E92&lt;&gt;"",Scan2VK!E92,"")</f>
        <v>OEM_WSCTRL</v>
      </c>
      <c r="B286" t="str">
        <f>IF(ISERROR(MATCH(0,INDEX(COUNTIF($B$1:B285,$A$2:$A$4629),0,0),0)),"",INDEX($A$2:$A$4629,MATCH(0,INDEX(COUNTIF($B$1:B285,$A$2:$A$4629),0,0),0)))</f>
        <v/>
      </c>
      <c r="C286" t="str">
        <f t="shared" si="4"/>
        <v/>
      </c>
    </row>
    <row r="287" spans="1:3" x14ac:dyDescent="0.25">
      <c r="A287" t="str">
        <f>IF(Scan2VK!E93&lt;&gt;"",Scan2VK!E93,"")</f>
        <v>OEM_FINISH</v>
      </c>
      <c r="B287" t="str">
        <f>IF(ISERROR(MATCH(0,INDEX(COUNTIF($B$1:B286,$A$2:$A$4629),0,0),0)),"",INDEX($A$2:$A$4629,MATCH(0,INDEX(COUNTIF($B$1:B286,$A$2:$A$4629),0,0),0)))</f>
        <v/>
      </c>
      <c r="C287" t="str">
        <f t="shared" si="4"/>
        <v/>
      </c>
    </row>
    <row r="288" spans="1:3" x14ac:dyDescent="0.25">
      <c r="A288" t="str">
        <f>IF(Scan2VK!E94&lt;&gt;"",Scan2VK!E94,"")</f>
        <v>OEM_JUMP</v>
      </c>
      <c r="B288" t="str">
        <f>IF(ISERROR(MATCH(0,INDEX(COUNTIF($B$1:B287,$A$2:$A$4629),0,0),0)),"",INDEX($A$2:$A$4629,MATCH(0,INDEX(COUNTIF($B$1:B287,$A$2:$A$4629),0,0),0)))</f>
        <v/>
      </c>
      <c r="C288" t="str">
        <f t="shared" si="4"/>
        <v/>
      </c>
    </row>
    <row r="289" spans="1:3" x14ac:dyDescent="0.25">
      <c r="A289" t="str">
        <f>IF(Scan2VK!E95&lt;&gt;"",Scan2VK!E95,"")</f>
        <v>EREOF</v>
      </c>
      <c r="B289" t="str">
        <f>IF(ISERROR(MATCH(0,INDEX(COUNTIF($B$1:B288,$A$2:$A$4629),0,0),0)),"",INDEX($A$2:$A$4629,MATCH(0,INDEX(COUNTIF($B$1:B288,$A$2:$A$4629),0,0),0)))</f>
        <v/>
      </c>
      <c r="C289" t="str">
        <f t="shared" si="4"/>
        <v/>
      </c>
    </row>
    <row r="290" spans="1:3" x14ac:dyDescent="0.25">
      <c r="A290" t="str">
        <f>IF(Scan2VK!E96&lt;&gt;"",Scan2VK!E96,"")</f>
        <v>OEM_BACKTAB</v>
      </c>
      <c r="B290" t="str">
        <f>IF(ISERROR(MATCH(0,INDEX(COUNTIF($B$1:B289,$A$2:$A$4629),0,0),0)),"",INDEX($A$2:$A$4629,MATCH(0,INDEX(COUNTIF($B$1:B289,$A$2:$A$4629),0,0),0)))</f>
        <v/>
      </c>
      <c r="C290" t="str">
        <f t="shared" si="4"/>
        <v/>
      </c>
    </row>
    <row r="291" spans="1:3" x14ac:dyDescent="0.25">
      <c r="A291" t="str">
        <f>IF(Scan2VK!E97&lt;&gt;"",Scan2VK!E97,"")</f>
        <v>OEM_AUTO</v>
      </c>
      <c r="B291" t="str">
        <f>IF(ISERROR(MATCH(0,INDEX(COUNTIF($B$1:B290,$A$2:$A$4629),0,0),0)),"",INDEX($A$2:$A$4629,MATCH(0,INDEX(COUNTIF($B$1:B290,$A$2:$A$4629),0,0),0)))</f>
        <v/>
      </c>
      <c r="C291" t="str">
        <f t="shared" si="4"/>
        <v/>
      </c>
    </row>
    <row r="292" spans="1:3" x14ac:dyDescent="0.25">
      <c r="A292" t="str">
        <f>IF(Scan2VK!E98&lt;&gt;"",Scan2VK!E98,"")</f>
        <v>_none_</v>
      </c>
      <c r="B292" t="str">
        <f>IF(ISERROR(MATCH(0,INDEX(COUNTIF($B$1:B291,$A$2:$A$4629),0,0),0)),"",INDEX($A$2:$A$4629,MATCH(0,INDEX(COUNTIF($B$1:B291,$A$2:$A$4629),0,0),0)))</f>
        <v/>
      </c>
      <c r="C292" t="str">
        <f t="shared" si="4"/>
        <v/>
      </c>
    </row>
    <row r="293" spans="1:3" x14ac:dyDescent="0.25">
      <c r="A293" t="str">
        <f>IF(Scan2VK!E99&lt;&gt;"",Scan2VK!E99,"")</f>
        <v>_none_</v>
      </c>
      <c r="B293" t="str">
        <f>IF(ISERROR(MATCH(0,INDEX(COUNTIF($B$1:B292,$A$2:$A$4629),0,0),0)),"",INDEX($A$2:$A$4629,MATCH(0,INDEX(COUNTIF($B$1:B292,$A$2:$A$4629),0,0),0)))</f>
        <v/>
      </c>
      <c r="C293" t="str">
        <f t="shared" si="4"/>
        <v/>
      </c>
    </row>
    <row r="294" spans="1:3" x14ac:dyDescent="0.25">
      <c r="A294" t="str">
        <f>IF(Scan2VK!E100&lt;&gt;"",Scan2VK!E100,"")</f>
        <v>ZOOM</v>
      </c>
      <c r="B294" t="str">
        <f>IF(ISERROR(MATCH(0,INDEX(COUNTIF($B$1:B293,$A$2:$A$4629),0,0),0)),"",INDEX($A$2:$A$4629,MATCH(0,INDEX(COUNTIF($B$1:B293,$A$2:$A$4629),0,0),0)))</f>
        <v/>
      </c>
      <c r="C294" t="str">
        <f t="shared" si="4"/>
        <v/>
      </c>
    </row>
    <row r="295" spans="1:3" x14ac:dyDescent="0.25">
      <c r="A295" t="str">
        <f>IF(Scan2VK!E101&lt;&gt;"",Scan2VK!E101,"")</f>
        <v>HELP</v>
      </c>
      <c r="B295" t="str">
        <f>IF(ISERROR(MATCH(0,INDEX(COUNTIF($B$1:B294,$A$2:$A$4629),0,0),0)),"",INDEX($A$2:$A$4629,MATCH(0,INDEX(COUNTIF($B$1:B294,$A$2:$A$4629),0,0),0)))</f>
        <v/>
      </c>
      <c r="C295" t="str">
        <f t="shared" si="4"/>
        <v/>
      </c>
    </row>
    <row r="296" spans="1:3" x14ac:dyDescent="0.25">
      <c r="A296" t="str">
        <f>IF(Scan2VK!E102&lt;&gt;"",Scan2VK!E102,"")</f>
        <v>F13</v>
      </c>
      <c r="B296" t="str">
        <f>IF(ISERROR(MATCH(0,INDEX(COUNTIF($B$1:B295,$A$2:$A$4629),0,0),0)),"",INDEX($A$2:$A$4629,MATCH(0,INDEX(COUNTIF($B$1:B295,$A$2:$A$4629),0,0),0)))</f>
        <v/>
      </c>
      <c r="C296" t="str">
        <f t="shared" si="4"/>
        <v/>
      </c>
    </row>
    <row r="297" spans="1:3" x14ac:dyDescent="0.25">
      <c r="A297" t="str">
        <f>IF(Scan2VK!E103&lt;&gt;"",Scan2VK!E103,"")</f>
        <v>F14</v>
      </c>
      <c r="B297" t="str">
        <f>IF(ISERROR(MATCH(0,INDEX(COUNTIF($B$1:B296,$A$2:$A$4629),0,0),0)),"",INDEX($A$2:$A$4629,MATCH(0,INDEX(COUNTIF($B$1:B296,$A$2:$A$4629),0,0),0)))</f>
        <v/>
      </c>
      <c r="C297" t="str">
        <f t="shared" si="4"/>
        <v/>
      </c>
    </row>
    <row r="298" spans="1:3" x14ac:dyDescent="0.25">
      <c r="A298" t="str">
        <f>IF(Scan2VK!E104&lt;&gt;"",Scan2VK!E104,"")</f>
        <v>F15</v>
      </c>
      <c r="B298" t="str">
        <f>IF(ISERROR(MATCH(0,INDEX(COUNTIF($B$1:B297,$A$2:$A$4629),0,0),0)),"",INDEX($A$2:$A$4629,MATCH(0,INDEX(COUNTIF($B$1:B297,$A$2:$A$4629),0,0),0)))</f>
        <v/>
      </c>
      <c r="C298" t="str">
        <f t="shared" si="4"/>
        <v/>
      </c>
    </row>
    <row r="299" spans="1:3" x14ac:dyDescent="0.25">
      <c r="A299" t="str">
        <f>IF(Scan2VK!E105&lt;&gt;"",Scan2VK!E105,"")</f>
        <v>F16</v>
      </c>
      <c r="B299" t="str">
        <f>IF(ISERROR(MATCH(0,INDEX(COUNTIF($B$1:B298,$A$2:$A$4629),0,0),0)),"",INDEX($A$2:$A$4629,MATCH(0,INDEX(COUNTIF($B$1:B298,$A$2:$A$4629),0,0),0)))</f>
        <v/>
      </c>
      <c r="C299" t="str">
        <f t="shared" si="4"/>
        <v/>
      </c>
    </row>
    <row r="300" spans="1:3" x14ac:dyDescent="0.25">
      <c r="A300" t="str">
        <f>IF(Scan2VK!E106&lt;&gt;"",Scan2VK!E106,"")</f>
        <v>F17</v>
      </c>
      <c r="B300" t="str">
        <f>IF(ISERROR(MATCH(0,INDEX(COUNTIF($B$1:B299,$A$2:$A$4629),0,0),0)),"",INDEX($A$2:$A$4629,MATCH(0,INDEX(COUNTIF($B$1:B299,$A$2:$A$4629),0,0),0)))</f>
        <v/>
      </c>
      <c r="C300" t="str">
        <f t="shared" si="4"/>
        <v/>
      </c>
    </row>
    <row r="301" spans="1:3" x14ac:dyDescent="0.25">
      <c r="A301" t="str">
        <f>IF(Scan2VK!E107&lt;&gt;"",Scan2VK!E107,"")</f>
        <v>F18</v>
      </c>
      <c r="B301" t="str">
        <f>IF(ISERROR(MATCH(0,INDEX(COUNTIF($B$1:B300,$A$2:$A$4629),0,0),0)),"",INDEX($A$2:$A$4629,MATCH(0,INDEX(COUNTIF($B$1:B300,$A$2:$A$4629),0,0),0)))</f>
        <v/>
      </c>
      <c r="C301" t="str">
        <f t="shared" si="4"/>
        <v/>
      </c>
    </row>
    <row r="302" spans="1:3" x14ac:dyDescent="0.25">
      <c r="A302" t="str">
        <f>IF(Scan2VK!E108&lt;&gt;"",Scan2VK!E108,"")</f>
        <v>F19</v>
      </c>
      <c r="B302" t="str">
        <f>IF(ISERROR(MATCH(0,INDEX(COUNTIF($B$1:B301,$A$2:$A$4629),0,0),0)),"",INDEX($A$2:$A$4629,MATCH(0,INDEX(COUNTIF($B$1:B301,$A$2:$A$4629),0,0),0)))</f>
        <v/>
      </c>
      <c r="C302" t="str">
        <f t="shared" si="4"/>
        <v/>
      </c>
    </row>
    <row r="303" spans="1:3" x14ac:dyDescent="0.25">
      <c r="A303" t="str">
        <f>IF(Scan2VK!E109&lt;&gt;"",Scan2VK!E109,"")</f>
        <v>F20</v>
      </c>
      <c r="B303" t="str">
        <f>IF(ISERROR(MATCH(0,INDEX(COUNTIF($B$1:B302,$A$2:$A$4629),0,0),0)),"",INDEX($A$2:$A$4629,MATCH(0,INDEX(COUNTIF($B$1:B302,$A$2:$A$4629),0,0),0)))</f>
        <v/>
      </c>
      <c r="C303" t="str">
        <f t="shared" si="4"/>
        <v/>
      </c>
    </row>
    <row r="304" spans="1:3" x14ac:dyDescent="0.25">
      <c r="A304" t="str">
        <f>IF(Scan2VK!E110&lt;&gt;"",Scan2VK!E110,"")</f>
        <v>F21</v>
      </c>
      <c r="B304" t="str">
        <f>IF(ISERROR(MATCH(0,INDEX(COUNTIF($B$1:B303,$A$2:$A$4629),0,0),0)),"",INDEX($A$2:$A$4629,MATCH(0,INDEX(COUNTIF($B$1:B303,$A$2:$A$4629),0,0),0)))</f>
        <v/>
      </c>
      <c r="C304" t="str">
        <f t="shared" si="4"/>
        <v/>
      </c>
    </row>
    <row r="305" spans="1:3" x14ac:dyDescent="0.25">
      <c r="A305" t="str">
        <f>IF(Scan2VK!E111&lt;&gt;"",Scan2VK!E111,"")</f>
        <v>F22</v>
      </c>
      <c r="B305" t="str">
        <f>IF(ISERROR(MATCH(0,INDEX(COUNTIF($B$1:B304,$A$2:$A$4629),0,0),0)),"",INDEX($A$2:$A$4629,MATCH(0,INDEX(COUNTIF($B$1:B304,$A$2:$A$4629),0,0),0)))</f>
        <v/>
      </c>
      <c r="C305" t="str">
        <f t="shared" si="4"/>
        <v/>
      </c>
    </row>
    <row r="306" spans="1:3" x14ac:dyDescent="0.25">
      <c r="A306" t="str">
        <f>IF(Scan2VK!E112&lt;&gt;"",Scan2VK!E112,"")</f>
        <v>F23</v>
      </c>
      <c r="B306" t="str">
        <f>IF(ISERROR(MATCH(0,INDEX(COUNTIF($B$1:B305,$A$2:$A$4629),0,0),0)),"",INDEX($A$2:$A$4629,MATCH(0,INDEX(COUNTIF($B$1:B305,$A$2:$A$4629),0,0),0)))</f>
        <v/>
      </c>
      <c r="C306" t="str">
        <f t="shared" si="4"/>
        <v/>
      </c>
    </row>
    <row r="307" spans="1:3" x14ac:dyDescent="0.25">
      <c r="A307" t="str">
        <f>IF(Scan2VK!E113&lt;&gt;"",Scan2VK!E113,"")</f>
        <v>OEM_PA3</v>
      </c>
      <c r="B307" t="str">
        <f>IF(ISERROR(MATCH(0,INDEX(COUNTIF($B$1:B306,$A$2:$A$4629),0,0),0)),"",INDEX($A$2:$A$4629,MATCH(0,INDEX(COUNTIF($B$1:B306,$A$2:$A$4629),0,0),0)))</f>
        <v/>
      </c>
      <c r="C307" t="str">
        <f t="shared" si="4"/>
        <v/>
      </c>
    </row>
    <row r="308" spans="1:3" x14ac:dyDescent="0.25">
      <c r="A308" t="str">
        <f>IF(Scan2VK!E114&lt;&gt;"",Scan2VK!E114,"")</f>
        <v>_none_</v>
      </c>
      <c r="B308" t="str">
        <f>IF(ISERROR(MATCH(0,INDEX(COUNTIF($B$1:B307,$A$2:$A$4629),0,0),0)),"",INDEX($A$2:$A$4629,MATCH(0,INDEX(COUNTIF($B$1:B307,$A$2:$A$4629),0,0),0)))</f>
        <v/>
      </c>
      <c r="C308" t="str">
        <f t="shared" si="4"/>
        <v/>
      </c>
    </row>
    <row r="309" spans="1:3" x14ac:dyDescent="0.25">
      <c r="A309" t="str">
        <f>IF(Scan2VK!E115&lt;&gt;"",Scan2VK!E115,"")</f>
        <v>OEM_RESET</v>
      </c>
      <c r="B309" t="str">
        <f>IF(ISERROR(MATCH(0,INDEX(COUNTIF($B$1:B308,$A$2:$A$4629),0,0),0)),"",INDEX($A$2:$A$4629,MATCH(0,INDEX(COUNTIF($B$1:B308,$A$2:$A$4629),0,0),0)))</f>
        <v/>
      </c>
      <c r="C309" t="str">
        <f t="shared" si="4"/>
        <v/>
      </c>
    </row>
    <row r="310" spans="1:3" x14ac:dyDescent="0.25">
      <c r="A310" t="str">
        <f>IF(Scan2VK!E116&lt;&gt;"",Scan2VK!E116,"")</f>
        <v>_none_</v>
      </c>
      <c r="B310" t="str">
        <f>IF(ISERROR(MATCH(0,INDEX(COUNTIF($B$1:B309,$A$2:$A$4629),0,0),0)),"",INDEX($A$2:$A$4629,MATCH(0,INDEX(COUNTIF($B$1:B309,$A$2:$A$4629),0,0),0)))</f>
        <v/>
      </c>
      <c r="C310" t="str">
        <f t="shared" si="4"/>
        <v/>
      </c>
    </row>
    <row r="311" spans="1:3" x14ac:dyDescent="0.25">
      <c r="A311" t="str">
        <f>IF(Scan2VK!E117&lt;&gt;"",Scan2VK!E117,"")</f>
        <v>ABNT_C1</v>
      </c>
      <c r="B311" t="str">
        <f>IF(ISERROR(MATCH(0,INDEX(COUNTIF($B$1:B310,$A$2:$A$4629),0,0),0)),"",INDEX($A$2:$A$4629,MATCH(0,INDEX(COUNTIF($B$1:B310,$A$2:$A$4629),0,0),0)))</f>
        <v/>
      </c>
      <c r="C311" t="str">
        <f t="shared" si="4"/>
        <v/>
      </c>
    </row>
    <row r="312" spans="1:3" x14ac:dyDescent="0.25">
      <c r="A312" t="str">
        <f>IF(Scan2VK!E118&lt;&gt;"",Scan2VK!E118,"")</f>
        <v>_none_</v>
      </c>
      <c r="B312" t="str">
        <f>IF(ISERROR(MATCH(0,INDEX(COUNTIF($B$1:B311,$A$2:$A$4629),0,0),0)),"",INDEX($A$2:$A$4629,MATCH(0,INDEX(COUNTIF($B$1:B311,$A$2:$A$4629),0,0),0)))</f>
        <v/>
      </c>
      <c r="C312" t="str">
        <f t="shared" si="4"/>
        <v/>
      </c>
    </row>
    <row r="313" spans="1:3" x14ac:dyDescent="0.25">
      <c r="A313" t="str">
        <f>IF(Scan2VK!E119&lt;&gt;"",Scan2VK!E119,"")</f>
        <v>_none_</v>
      </c>
      <c r="B313" t="str">
        <f>IF(ISERROR(MATCH(0,INDEX(COUNTIF($B$1:B312,$A$2:$A$4629),0,0),0)),"",INDEX($A$2:$A$4629,MATCH(0,INDEX(COUNTIF($B$1:B312,$A$2:$A$4629),0,0),0)))</f>
        <v/>
      </c>
      <c r="C313" t="str">
        <f t="shared" si="4"/>
        <v/>
      </c>
    </row>
    <row r="314" spans="1:3" x14ac:dyDescent="0.25">
      <c r="A314" t="str">
        <f>IF(Scan2VK!E120&lt;&gt;"",Scan2VK!E120,"")</f>
        <v>F24</v>
      </c>
      <c r="B314" t="str">
        <f>IF(ISERROR(MATCH(0,INDEX(COUNTIF($B$1:B313,$A$2:$A$4629),0,0),0)),"",INDEX($A$2:$A$4629,MATCH(0,INDEX(COUNTIF($B$1:B313,$A$2:$A$4629),0,0),0)))</f>
        <v/>
      </c>
      <c r="C314" t="str">
        <f t="shared" si="4"/>
        <v/>
      </c>
    </row>
    <row r="315" spans="1:3" x14ac:dyDescent="0.25">
      <c r="A315" t="str">
        <f>IF(Scan2VK!E121&lt;&gt;"",Scan2VK!E121,"")</f>
        <v>_none_</v>
      </c>
      <c r="B315" t="str">
        <f>IF(ISERROR(MATCH(0,INDEX(COUNTIF($B$1:B314,$A$2:$A$4629),0,0),0)),"",INDEX($A$2:$A$4629,MATCH(0,INDEX(COUNTIF($B$1:B314,$A$2:$A$4629),0,0),0)))</f>
        <v/>
      </c>
      <c r="C315" t="str">
        <f t="shared" si="4"/>
        <v/>
      </c>
    </row>
    <row r="316" spans="1:3" x14ac:dyDescent="0.25">
      <c r="A316" t="str">
        <f>IF(Scan2VK!E122&lt;&gt;"",Scan2VK!E122,"")</f>
        <v>_none_</v>
      </c>
      <c r="B316" t="str">
        <f>IF(ISERROR(MATCH(0,INDEX(COUNTIF($B$1:B315,$A$2:$A$4629),0,0),0)),"",INDEX($A$2:$A$4629,MATCH(0,INDEX(COUNTIF($B$1:B315,$A$2:$A$4629),0,0),0)))</f>
        <v/>
      </c>
      <c r="C316" t="str">
        <f t="shared" si="4"/>
        <v/>
      </c>
    </row>
    <row r="317" spans="1:3" x14ac:dyDescent="0.25">
      <c r="A317" t="str">
        <f>IF(Scan2VK!E123&lt;&gt;"",Scan2VK!E123,"")</f>
        <v>_none_</v>
      </c>
      <c r="B317" t="str">
        <f>IF(ISERROR(MATCH(0,INDEX(COUNTIF($B$1:B316,$A$2:$A$4629),0,0),0)),"",INDEX($A$2:$A$4629,MATCH(0,INDEX(COUNTIF($B$1:B316,$A$2:$A$4629),0,0),0)))</f>
        <v/>
      </c>
      <c r="C317" t="str">
        <f t="shared" si="4"/>
        <v/>
      </c>
    </row>
    <row r="318" spans="1:3" x14ac:dyDescent="0.25">
      <c r="A318" t="str">
        <f>IF(Scan2VK!E124&lt;&gt;"",Scan2VK!E124,"")</f>
        <v>_none_</v>
      </c>
      <c r="B318" t="str">
        <f>IF(ISERROR(MATCH(0,INDEX(COUNTIF($B$1:B317,$A$2:$A$4629),0,0),0)),"",INDEX($A$2:$A$4629,MATCH(0,INDEX(COUNTIF($B$1:B317,$A$2:$A$4629),0,0),0)))</f>
        <v/>
      </c>
      <c r="C318" t="str">
        <f t="shared" si="4"/>
        <v/>
      </c>
    </row>
    <row r="319" spans="1:3" x14ac:dyDescent="0.25">
      <c r="A319" t="str">
        <f>IF(Scan2VK!E125&lt;&gt;"",Scan2VK!E125,"")</f>
        <v>OEM_PA1</v>
      </c>
      <c r="B319" t="str">
        <f>IF(ISERROR(MATCH(0,INDEX(COUNTIF($B$1:B318,$A$2:$A$4629),0,0),0)),"",INDEX($A$2:$A$4629,MATCH(0,INDEX(COUNTIF($B$1:B318,$A$2:$A$4629),0,0),0)))</f>
        <v/>
      </c>
      <c r="C319" t="str">
        <f t="shared" si="4"/>
        <v/>
      </c>
    </row>
    <row r="320" spans="1:3" x14ac:dyDescent="0.25">
      <c r="A320" t="str">
        <f>IF(Scan2VK!E126&lt;&gt;"",Scan2VK!E126,"")</f>
        <v>TAB</v>
      </c>
      <c r="B320" t="str">
        <f>IF(ISERROR(MATCH(0,INDEX(COUNTIF($B$1:B319,$A$2:$A$4629),0,0),0)),"",INDEX($A$2:$A$4629,MATCH(0,INDEX(COUNTIF($B$1:B319,$A$2:$A$4629),0,0),0)))</f>
        <v/>
      </c>
      <c r="C320" t="str">
        <f t="shared" si="4"/>
        <v/>
      </c>
    </row>
    <row r="321" spans="1:3" x14ac:dyDescent="0.25">
      <c r="A321" t="str">
        <f>IF(Scan2VK!E127&lt;&gt;"",Scan2VK!E127,"")</f>
        <v>_none_</v>
      </c>
      <c r="B321" t="str">
        <f>IF(ISERROR(MATCH(0,INDEX(COUNTIF($B$1:B320,$A$2:$A$4629),0,0),0)),"",INDEX($A$2:$A$4629,MATCH(0,INDEX(COUNTIF($B$1:B320,$A$2:$A$4629),0,0),0)))</f>
        <v/>
      </c>
      <c r="C321" t="str">
        <f t="shared" si="4"/>
        <v/>
      </c>
    </row>
    <row r="322" spans="1:3" x14ac:dyDescent="0.25">
      <c r="A322" t="str">
        <f>IF(Scan2VK!E128&lt;&gt;"",Scan2VK!E128,"")</f>
        <v>ABNT_C2</v>
      </c>
      <c r="B322" t="str">
        <f>IF(ISERROR(MATCH(0,INDEX(COUNTIF($B$1:B321,$A$2:$A$4629),0,0),0)),"",INDEX($A$2:$A$4629,MATCH(0,INDEX(COUNTIF($B$1:B321,$A$2:$A$4629),0,0),0)))</f>
        <v/>
      </c>
      <c r="C322" t="str">
        <f t="shared" si="4"/>
        <v/>
      </c>
    </row>
    <row r="323" spans="1:3" x14ac:dyDescent="0.25">
      <c r="A323" t="str">
        <f>IF(Scan2VK!E129&lt;&gt;"",Scan2VK!E129,"")</f>
        <v>OEM_PA2</v>
      </c>
      <c r="B323" t="str">
        <f>IF(ISERROR(MATCH(0,INDEX(COUNTIF($B$1:B322,$A$2:$A$4629),0,0),0)),"",INDEX($A$2:$A$4629,MATCH(0,INDEX(COUNTIF($B$1:B322,$A$2:$A$4629),0,0),0)))</f>
        <v/>
      </c>
      <c r="C323" t="str">
        <f t="shared" ref="C323:C386" si="5">IF(B323&lt;&gt;"","&lt;xs:enumeration value="""&amp;B323&amp;"""/&gt;","")</f>
        <v/>
      </c>
    </row>
    <row r="324" spans="1:3" x14ac:dyDescent="0.25">
      <c r="A324" t="str">
        <f>IF(Scan2VK!E130&lt;&gt;"",Scan2VK!E130,"")</f>
        <v/>
      </c>
      <c r="B324" t="str">
        <f>IF(ISERROR(MATCH(0,INDEX(COUNTIF($B$1:B323,$A$2:$A$4629),0,0),0)),"",INDEX($A$2:$A$4629,MATCH(0,INDEX(COUNTIF($B$1:B323,$A$2:$A$4629),0,0),0)))</f>
        <v/>
      </c>
      <c r="C324" t="str">
        <f t="shared" si="5"/>
        <v/>
      </c>
    </row>
    <row r="325" spans="1:3" x14ac:dyDescent="0.25">
      <c r="A325" t="str">
        <f>IF(Scan2VK!E131&lt;&gt;"",Scan2VK!E131,"")</f>
        <v>MEDIA_PREV_TRACK</v>
      </c>
      <c r="B325" t="str">
        <f>IF(ISERROR(MATCH(0,INDEX(COUNTIF($B$1:B324,$A$2:$A$4629),0,0),0)),"",INDEX($A$2:$A$4629,MATCH(0,INDEX(COUNTIF($B$1:B324,$A$2:$A$4629),0,0),0)))</f>
        <v/>
      </c>
      <c r="C325" t="str">
        <f t="shared" si="5"/>
        <v/>
      </c>
    </row>
    <row r="326" spans="1:3" x14ac:dyDescent="0.25">
      <c r="A326" t="str">
        <f>IF(Scan2VK!E132&lt;&gt;"",Scan2VK!E132,"")</f>
        <v>MEDIA_NEXT_TRACK</v>
      </c>
      <c r="B326" t="str">
        <f>IF(ISERROR(MATCH(0,INDEX(COUNTIF($B$1:B325,$A$2:$A$4629),0,0),0)),"",INDEX($A$2:$A$4629,MATCH(0,INDEX(COUNTIF($B$1:B325,$A$2:$A$4629),0,0),0)))</f>
        <v/>
      </c>
      <c r="C326" t="str">
        <f t="shared" si="5"/>
        <v/>
      </c>
    </row>
    <row r="327" spans="1:3" x14ac:dyDescent="0.25">
      <c r="A327" t="str">
        <f>IF(Scan2VK!E133&lt;&gt;"",Scan2VK!E133,"")</f>
        <v>RETURN</v>
      </c>
      <c r="B327" t="str">
        <f>IF(ISERROR(MATCH(0,INDEX(COUNTIF($B$1:B326,$A$2:$A$4629),0,0),0)),"",INDEX($A$2:$A$4629,MATCH(0,INDEX(COUNTIF($B$1:B326,$A$2:$A$4629),0,0),0)))</f>
        <v/>
      </c>
      <c r="C327" t="str">
        <f t="shared" si="5"/>
        <v/>
      </c>
    </row>
    <row r="328" spans="1:3" x14ac:dyDescent="0.25">
      <c r="A328" t="str">
        <f>IF(Scan2VK!E134&lt;&gt;"",Scan2VK!E134,"")</f>
        <v>RCONTROL</v>
      </c>
      <c r="B328" t="str">
        <f>IF(ISERROR(MATCH(0,INDEX(COUNTIF($B$1:B327,$A$2:$A$4629),0,0),0)),"",INDEX($A$2:$A$4629,MATCH(0,INDEX(COUNTIF($B$1:B327,$A$2:$A$4629),0,0),0)))</f>
        <v/>
      </c>
      <c r="C328" t="str">
        <f t="shared" si="5"/>
        <v/>
      </c>
    </row>
    <row r="329" spans="1:3" x14ac:dyDescent="0.25">
      <c r="A329" t="str">
        <f>IF(Scan2VK!E135&lt;&gt;"",Scan2VK!E135,"")</f>
        <v>VOLUME_MUTE</v>
      </c>
      <c r="B329" t="str">
        <f>IF(ISERROR(MATCH(0,INDEX(COUNTIF($B$1:B328,$A$2:$A$4629),0,0),0)),"",INDEX($A$2:$A$4629,MATCH(0,INDEX(COUNTIF($B$1:B328,$A$2:$A$4629),0,0),0)))</f>
        <v/>
      </c>
      <c r="C329" t="str">
        <f t="shared" si="5"/>
        <v/>
      </c>
    </row>
    <row r="330" spans="1:3" x14ac:dyDescent="0.25">
      <c r="A330" t="str">
        <f>IF(Scan2VK!E136&lt;&gt;"",Scan2VK!E136,"")</f>
        <v>LAUNCH_APP2</v>
      </c>
      <c r="B330" t="str">
        <f>IF(ISERROR(MATCH(0,INDEX(COUNTIF($B$1:B329,$A$2:$A$4629),0,0),0)),"",INDEX($A$2:$A$4629,MATCH(0,INDEX(COUNTIF($B$1:B329,$A$2:$A$4629),0,0),0)))</f>
        <v/>
      </c>
      <c r="C330" t="str">
        <f t="shared" si="5"/>
        <v/>
      </c>
    </row>
    <row r="331" spans="1:3" x14ac:dyDescent="0.25">
      <c r="A331" t="str">
        <f>IF(Scan2VK!E137&lt;&gt;"",Scan2VK!E137,"")</f>
        <v>MEDIA_PLAY_PAUSE</v>
      </c>
      <c r="B331" t="str">
        <f>IF(ISERROR(MATCH(0,INDEX(COUNTIF($B$1:B330,$A$2:$A$4629),0,0),0)),"",INDEX($A$2:$A$4629,MATCH(0,INDEX(COUNTIF($B$1:B330,$A$2:$A$4629),0,0),0)))</f>
        <v/>
      </c>
      <c r="C331" t="str">
        <f t="shared" si="5"/>
        <v/>
      </c>
    </row>
    <row r="332" spans="1:3" x14ac:dyDescent="0.25">
      <c r="A332" t="str">
        <f>IF(Scan2VK!E138&lt;&gt;"",Scan2VK!E138,"")</f>
        <v>MEDIA_STOP</v>
      </c>
      <c r="B332" t="str">
        <f>IF(ISERROR(MATCH(0,INDEX(COUNTIF($B$1:B331,$A$2:$A$4629),0,0),0)),"",INDEX($A$2:$A$4629,MATCH(0,INDEX(COUNTIF($B$1:B331,$A$2:$A$4629),0,0),0)))</f>
        <v/>
      </c>
      <c r="C332" t="str">
        <f t="shared" si="5"/>
        <v/>
      </c>
    </row>
    <row r="333" spans="1:3" x14ac:dyDescent="0.25">
      <c r="A333" t="str">
        <f>IF(Scan2VK!E139&lt;&gt;"",Scan2VK!E139,"")</f>
        <v>VOLUME_DOWN</v>
      </c>
      <c r="B333" t="str">
        <f>IF(ISERROR(MATCH(0,INDEX(COUNTIF($B$1:B332,$A$2:$A$4629),0,0),0)),"",INDEX($A$2:$A$4629,MATCH(0,INDEX(COUNTIF($B$1:B332,$A$2:$A$4629),0,0),0)))</f>
        <v/>
      </c>
      <c r="C333" t="str">
        <f t="shared" si="5"/>
        <v/>
      </c>
    </row>
    <row r="334" spans="1:3" x14ac:dyDescent="0.25">
      <c r="A334" t="str">
        <f>IF(Scan2VK!E140&lt;&gt;"",Scan2VK!E140,"")</f>
        <v>VOLUME_UP</v>
      </c>
      <c r="B334" t="str">
        <f>IF(ISERROR(MATCH(0,INDEX(COUNTIF($B$1:B333,$A$2:$A$4629),0,0),0)),"",INDEX($A$2:$A$4629,MATCH(0,INDEX(COUNTIF($B$1:B333,$A$2:$A$4629),0,0),0)))</f>
        <v/>
      </c>
      <c r="C334" t="str">
        <f t="shared" si="5"/>
        <v/>
      </c>
    </row>
    <row r="335" spans="1:3" x14ac:dyDescent="0.25">
      <c r="A335" t="str">
        <f>IF(Scan2VK!E141&lt;&gt;"",Scan2VK!E141,"")</f>
        <v>BROWSER_HOME</v>
      </c>
      <c r="B335" t="str">
        <f>IF(ISERROR(MATCH(0,INDEX(COUNTIF($B$1:B334,$A$2:$A$4629),0,0),0)),"",INDEX($A$2:$A$4629,MATCH(0,INDEX(COUNTIF($B$1:B334,$A$2:$A$4629),0,0),0)))</f>
        <v/>
      </c>
      <c r="C335" t="str">
        <f t="shared" si="5"/>
        <v/>
      </c>
    </row>
    <row r="336" spans="1:3" x14ac:dyDescent="0.25">
      <c r="A336" t="str">
        <f>IF(Scan2VK!E142&lt;&gt;"",Scan2VK!E142,"")</f>
        <v/>
      </c>
      <c r="B336" t="str">
        <f>IF(ISERROR(MATCH(0,INDEX(COUNTIF($B$1:B335,$A$2:$A$4629),0,0),0)),"",INDEX($A$2:$A$4629,MATCH(0,INDEX(COUNTIF($B$1:B335,$A$2:$A$4629),0,0),0)))</f>
        <v/>
      </c>
      <c r="C336" t="str">
        <f t="shared" si="5"/>
        <v/>
      </c>
    </row>
    <row r="337" spans="1:3" x14ac:dyDescent="0.25">
      <c r="A337" t="str">
        <f>IF(Scan2VK!E143&lt;&gt;"",Scan2VK!E143,"")</f>
        <v>DIVIDE</v>
      </c>
      <c r="B337" t="str">
        <f>IF(ISERROR(MATCH(0,INDEX(COUNTIF($B$1:B336,$A$2:$A$4629),0,0),0)),"",INDEX($A$2:$A$4629,MATCH(0,INDEX(COUNTIF($B$1:B336,$A$2:$A$4629),0,0),0)))</f>
        <v/>
      </c>
      <c r="C337" t="str">
        <f t="shared" si="5"/>
        <v/>
      </c>
    </row>
    <row r="338" spans="1:3" x14ac:dyDescent="0.25">
      <c r="A338" t="str">
        <f>IF(Scan2VK!E144&lt;&gt;"",Scan2VK!E144,"")</f>
        <v>SNAPSHOT</v>
      </c>
      <c r="B338" t="str">
        <f>IF(ISERROR(MATCH(0,INDEX(COUNTIF($B$1:B337,$A$2:$A$4629),0,0),0)),"",INDEX($A$2:$A$4629,MATCH(0,INDEX(COUNTIF($B$1:B337,$A$2:$A$4629),0,0),0)))</f>
        <v/>
      </c>
      <c r="C338" t="str">
        <f t="shared" si="5"/>
        <v/>
      </c>
    </row>
    <row r="339" spans="1:3" x14ac:dyDescent="0.25">
      <c r="A339" t="str">
        <f>IF(Scan2VK!E145&lt;&gt;"",Scan2VK!E145,"")</f>
        <v>RMENU</v>
      </c>
      <c r="B339" t="str">
        <f>IF(ISERROR(MATCH(0,INDEX(COUNTIF($B$1:B338,$A$2:$A$4629),0,0),0)),"",INDEX($A$2:$A$4629,MATCH(0,INDEX(COUNTIF($B$1:B338,$A$2:$A$4629),0,0),0)))</f>
        <v/>
      </c>
      <c r="C339" t="str">
        <f t="shared" si="5"/>
        <v/>
      </c>
    </row>
    <row r="340" spans="1:3" x14ac:dyDescent="0.25">
      <c r="A340" t="str">
        <f>IF(Scan2VK!E146&lt;&gt;"",Scan2VK!E146,"")</f>
        <v/>
      </c>
      <c r="B340" t="str">
        <f>IF(ISERROR(MATCH(0,INDEX(COUNTIF($B$1:B339,$A$2:$A$4629),0,0),0)),"",INDEX($A$2:$A$4629,MATCH(0,INDEX(COUNTIF($B$1:B339,$A$2:$A$4629),0,0),0)))</f>
        <v/>
      </c>
      <c r="C340" t="str">
        <f t="shared" si="5"/>
        <v/>
      </c>
    </row>
    <row r="341" spans="1:3" x14ac:dyDescent="0.25">
      <c r="A341" t="str">
        <f>IF(Scan2VK!E147&lt;&gt;"",Scan2VK!E147,"")</f>
        <v/>
      </c>
      <c r="B341" t="str">
        <f>IF(ISERROR(MATCH(0,INDEX(COUNTIF($B$1:B340,$A$2:$A$4629),0,0),0)),"",INDEX($A$2:$A$4629,MATCH(0,INDEX(COUNTIF($B$1:B340,$A$2:$A$4629),0,0),0)))</f>
        <v/>
      </c>
      <c r="C341" t="str">
        <f t="shared" si="5"/>
        <v/>
      </c>
    </row>
    <row r="342" spans="1:3" x14ac:dyDescent="0.25">
      <c r="A342" t="str">
        <f>IF(Scan2VK!E148&lt;&gt;"",Scan2VK!E148,"")</f>
        <v/>
      </c>
      <c r="B342" t="str">
        <f>IF(ISERROR(MATCH(0,INDEX(COUNTIF($B$1:B341,$A$2:$A$4629),0,0),0)),"",INDEX($A$2:$A$4629,MATCH(0,INDEX(COUNTIF($B$1:B341,$A$2:$A$4629),0,0),0)))</f>
        <v/>
      </c>
      <c r="C342" t="str">
        <f t="shared" si="5"/>
        <v/>
      </c>
    </row>
    <row r="343" spans="1:3" x14ac:dyDescent="0.25">
      <c r="A343" t="str">
        <f>IF(Scan2VK!E149&lt;&gt;"",Scan2VK!E149,"")</f>
        <v/>
      </c>
      <c r="B343" t="str">
        <f>IF(ISERROR(MATCH(0,INDEX(COUNTIF($B$1:B342,$A$2:$A$4629),0,0),0)),"",INDEX($A$2:$A$4629,MATCH(0,INDEX(COUNTIF($B$1:B342,$A$2:$A$4629),0,0),0)))</f>
        <v/>
      </c>
      <c r="C343" t="str">
        <f t="shared" si="5"/>
        <v/>
      </c>
    </row>
    <row r="344" spans="1:3" x14ac:dyDescent="0.25">
      <c r="A344" t="str">
        <f>IF(Scan2VK!E150&lt;&gt;"",Scan2VK!E150,"")</f>
        <v/>
      </c>
      <c r="B344" t="str">
        <f>IF(ISERROR(MATCH(0,INDEX(COUNTIF($B$1:B343,$A$2:$A$4629),0,0),0)),"",INDEX($A$2:$A$4629,MATCH(0,INDEX(COUNTIF($B$1:B343,$A$2:$A$4629),0,0),0)))</f>
        <v/>
      </c>
      <c r="C344" t="str">
        <f t="shared" si="5"/>
        <v/>
      </c>
    </row>
    <row r="345" spans="1:3" x14ac:dyDescent="0.25">
      <c r="A345" t="str">
        <f>IF(Scan2VK!E151&lt;&gt;"",Scan2VK!E151,"")</f>
        <v/>
      </c>
      <c r="B345" t="str">
        <f>IF(ISERROR(MATCH(0,INDEX(COUNTIF($B$1:B344,$A$2:$A$4629),0,0),0)),"",INDEX($A$2:$A$4629,MATCH(0,INDEX(COUNTIF($B$1:B344,$A$2:$A$4629),0,0),0)))</f>
        <v/>
      </c>
      <c r="C345" t="str">
        <f t="shared" si="5"/>
        <v/>
      </c>
    </row>
    <row r="346" spans="1:3" x14ac:dyDescent="0.25">
      <c r="A346" t="str">
        <f>IF(Scan2VK!E152&lt;&gt;"",Scan2VK!E152,"")</f>
        <v/>
      </c>
      <c r="B346" t="str">
        <f>IF(ISERROR(MATCH(0,INDEX(COUNTIF($B$1:B345,$A$2:$A$4629),0,0),0)),"",INDEX($A$2:$A$4629,MATCH(0,INDEX(COUNTIF($B$1:B345,$A$2:$A$4629),0,0),0)))</f>
        <v/>
      </c>
      <c r="C346" t="str">
        <f t="shared" si="5"/>
        <v/>
      </c>
    </row>
    <row r="347" spans="1:3" x14ac:dyDescent="0.25">
      <c r="A347" t="str">
        <f>IF(Scan2VK!E153&lt;&gt;"",Scan2VK!E153,"")</f>
        <v/>
      </c>
      <c r="B347" t="str">
        <f>IF(ISERROR(MATCH(0,INDEX(COUNTIF($B$1:B346,$A$2:$A$4629),0,0),0)),"",INDEX($A$2:$A$4629,MATCH(0,INDEX(COUNTIF($B$1:B346,$A$2:$A$4629),0,0),0)))</f>
        <v/>
      </c>
      <c r="C347" t="str">
        <f t="shared" si="5"/>
        <v/>
      </c>
    </row>
    <row r="348" spans="1:3" x14ac:dyDescent="0.25">
      <c r="A348" t="str">
        <f>IF(Scan2VK!E154&lt;&gt;"",Scan2VK!E154,"")</f>
        <v>CANCEL</v>
      </c>
      <c r="B348" t="str">
        <f>IF(ISERROR(MATCH(0,INDEX(COUNTIF($B$1:B347,$A$2:$A$4629),0,0),0)),"",INDEX($A$2:$A$4629,MATCH(0,INDEX(COUNTIF($B$1:B347,$A$2:$A$4629),0,0),0)))</f>
        <v/>
      </c>
      <c r="C348" t="str">
        <f t="shared" si="5"/>
        <v/>
      </c>
    </row>
    <row r="349" spans="1:3" x14ac:dyDescent="0.25">
      <c r="A349" t="str">
        <f>IF(Scan2VK!E155&lt;&gt;"",Scan2VK!E155,"")</f>
        <v>HOME</v>
      </c>
      <c r="B349" t="str">
        <f>IF(ISERROR(MATCH(0,INDEX(COUNTIF($B$1:B348,$A$2:$A$4629),0,0),0)),"",INDEX($A$2:$A$4629,MATCH(0,INDEX(COUNTIF($B$1:B348,$A$2:$A$4629),0,0),0)))</f>
        <v/>
      </c>
      <c r="C349" t="str">
        <f t="shared" si="5"/>
        <v/>
      </c>
    </row>
    <row r="350" spans="1:3" x14ac:dyDescent="0.25">
      <c r="A350" t="str">
        <f>IF(Scan2VK!E156&lt;&gt;"",Scan2VK!E156,"")</f>
        <v>UP</v>
      </c>
      <c r="B350" t="str">
        <f>IF(ISERROR(MATCH(0,INDEX(COUNTIF($B$1:B349,$A$2:$A$4629),0,0),0)),"",INDEX($A$2:$A$4629,MATCH(0,INDEX(COUNTIF($B$1:B349,$A$2:$A$4629),0,0),0)))</f>
        <v/>
      </c>
      <c r="C350" t="str">
        <f t="shared" si="5"/>
        <v/>
      </c>
    </row>
    <row r="351" spans="1:3" x14ac:dyDescent="0.25">
      <c r="A351" t="str">
        <f>IF(Scan2VK!E157&lt;&gt;"",Scan2VK!E157,"")</f>
        <v>PRIOR</v>
      </c>
      <c r="B351" t="str">
        <f>IF(ISERROR(MATCH(0,INDEX(COUNTIF($B$1:B350,$A$2:$A$4629),0,0),0)),"",INDEX($A$2:$A$4629,MATCH(0,INDEX(COUNTIF($B$1:B350,$A$2:$A$4629),0,0),0)))</f>
        <v/>
      </c>
      <c r="C351" t="str">
        <f t="shared" si="5"/>
        <v/>
      </c>
    </row>
    <row r="352" spans="1:3" x14ac:dyDescent="0.25">
      <c r="A352" t="str">
        <f>IF(Scan2VK!E158&lt;&gt;"",Scan2VK!E158,"")</f>
        <v>LEFT</v>
      </c>
      <c r="B352" t="str">
        <f>IF(ISERROR(MATCH(0,INDEX(COUNTIF($B$1:B351,$A$2:$A$4629),0,0),0)),"",INDEX($A$2:$A$4629,MATCH(0,INDEX(COUNTIF($B$1:B351,$A$2:$A$4629),0,0),0)))</f>
        <v/>
      </c>
      <c r="C352" t="str">
        <f t="shared" si="5"/>
        <v/>
      </c>
    </row>
    <row r="353" spans="1:3" x14ac:dyDescent="0.25">
      <c r="A353" t="str">
        <f>IF(Scan2VK!E159&lt;&gt;"",Scan2VK!E159,"")</f>
        <v>RIGHT</v>
      </c>
      <c r="B353" t="str">
        <f>IF(ISERROR(MATCH(0,INDEX(COUNTIF($B$1:B352,$A$2:$A$4629),0,0),0)),"",INDEX($A$2:$A$4629,MATCH(0,INDEX(COUNTIF($B$1:B352,$A$2:$A$4629),0,0),0)))</f>
        <v/>
      </c>
      <c r="C353" t="str">
        <f t="shared" si="5"/>
        <v/>
      </c>
    </row>
    <row r="354" spans="1:3" x14ac:dyDescent="0.25">
      <c r="A354" t="str">
        <f>IF(Scan2VK!E160&lt;&gt;"",Scan2VK!E160,"")</f>
        <v>END</v>
      </c>
      <c r="B354" t="str">
        <f>IF(ISERROR(MATCH(0,INDEX(COUNTIF($B$1:B353,$A$2:$A$4629),0,0),0)),"",INDEX($A$2:$A$4629,MATCH(0,INDEX(COUNTIF($B$1:B353,$A$2:$A$4629),0,0),0)))</f>
        <v/>
      </c>
      <c r="C354" t="str">
        <f t="shared" si="5"/>
        <v/>
      </c>
    </row>
    <row r="355" spans="1:3" x14ac:dyDescent="0.25">
      <c r="A355" t="str">
        <f>IF(Scan2VK!E161&lt;&gt;"",Scan2VK!E161,"")</f>
        <v>DOWN</v>
      </c>
      <c r="B355" t="str">
        <f>IF(ISERROR(MATCH(0,INDEX(COUNTIF($B$1:B354,$A$2:$A$4629),0,0),0)),"",INDEX($A$2:$A$4629,MATCH(0,INDEX(COUNTIF($B$1:B354,$A$2:$A$4629),0,0),0)))</f>
        <v/>
      </c>
      <c r="C355" t="str">
        <f t="shared" si="5"/>
        <v/>
      </c>
    </row>
    <row r="356" spans="1:3" x14ac:dyDescent="0.25">
      <c r="A356" t="str">
        <f>IF(Scan2VK!E162&lt;&gt;"",Scan2VK!E162,"")</f>
        <v>F1</v>
      </c>
      <c r="B356" t="str">
        <f>IF(ISERROR(MATCH(0,INDEX(COUNTIF($B$1:B355,$A$2:$A$4629),0,0),0)),"",INDEX($A$2:$A$4629,MATCH(0,INDEX(COUNTIF($B$1:B355,$A$2:$A$4629),0,0),0)))</f>
        <v/>
      </c>
      <c r="C356" t="str">
        <f t="shared" si="5"/>
        <v/>
      </c>
    </row>
    <row r="357" spans="1:3" x14ac:dyDescent="0.25">
      <c r="A357" t="str">
        <f>IF(Scan2VK!E163&lt;&gt;"",Scan2VK!E163,"")</f>
        <v>INSERT</v>
      </c>
      <c r="B357" t="str">
        <f>IF(ISERROR(MATCH(0,INDEX(COUNTIF($B$1:B356,$A$2:$A$4629),0,0),0)),"",INDEX($A$2:$A$4629,MATCH(0,INDEX(COUNTIF($B$1:B356,$A$2:$A$4629),0,0),0)))</f>
        <v/>
      </c>
      <c r="C357" t="str">
        <f t="shared" si="5"/>
        <v/>
      </c>
    </row>
    <row r="358" spans="1:3" x14ac:dyDescent="0.25">
      <c r="A358" t="str">
        <f>IF(Scan2VK!E164&lt;&gt;"",Scan2VK!E164,"")</f>
        <v>DELETE</v>
      </c>
      <c r="B358" t="str">
        <f>IF(ISERROR(MATCH(0,INDEX(COUNTIF($B$1:B357,$A$2:$A$4629),0,0),0)),"",INDEX($A$2:$A$4629,MATCH(0,INDEX(COUNTIF($B$1:B357,$A$2:$A$4629),0,0),0)))</f>
        <v/>
      </c>
      <c r="C358" t="str">
        <f t="shared" si="5"/>
        <v/>
      </c>
    </row>
    <row r="359" spans="1:3" x14ac:dyDescent="0.25">
      <c r="A359" t="str">
        <f>IF(Scan2VK!E165&lt;&gt;"",Scan2VK!E165,"")</f>
        <v>LWIN</v>
      </c>
      <c r="B359" t="str">
        <f>IF(ISERROR(MATCH(0,INDEX(COUNTIF($B$1:B358,$A$2:$A$4629),0,0),0)),"",INDEX($A$2:$A$4629,MATCH(0,INDEX(COUNTIF($B$1:B358,$A$2:$A$4629),0,0),0)))</f>
        <v/>
      </c>
      <c r="C359" t="str">
        <f t="shared" si="5"/>
        <v/>
      </c>
    </row>
    <row r="360" spans="1:3" x14ac:dyDescent="0.25">
      <c r="A360" t="str">
        <f>IF(Scan2VK!E166&lt;&gt;"",Scan2VK!E166,"")</f>
        <v>RWIN</v>
      </c>
      <c r="B360" t="str">
        <f>IF(ISERROR(MATCH(0,INDEX(COUNTIF($B$1:B359,$A$2:$A$4629),0,0),0)),"",INDEX($A$2:$A$4629,MATCH(0,INDEX(COUNTIF($B$1:B359,$A$2:$A$4629),0,0),0)))</f>
        <v/>
      </c>
      <c r="C360" t="str">
        <f t="shared" si="5"/>
        <v/>
      </c>
    </row>
    <row r="361" spans="1:3" x14ac:dyDescent="0.25">
      <c r="A361" t="str">
        <f>IF(Scan2VK!E167&lt;&gt;"",Scan2VK!E167,"")</f>
        <v>APPS</v>
      </c>
      <c r="B361" t="str">
        <f>IF(ISERROR(MATCH(0,INDEX(COUNTIF($B$1:B360,$A$2:$A$4629),0,0),0)),"",INDEX($A$2:$A$4629,MATCH(0,INDEX(COUNTIF($B$1:B360,$A$2:$A$4629),0,0),0)))</f>
        <v/>
      </c>
      <c r="C361" t="str">
        <f t="shared" si="5"/>
        <v/>
      </c>
    </row>
    <row r="362" spans="1:3" x14ac:dyDescent="0.25">
      <c r="A362" t="str">
        <f>IF(Scan2VK!E168&lt;&gt;"",Scan2VK!E168,"")</f>
        <v>POWER</v>
      </c>
      <c r="B362" t="str">
        <f>IF(ISERROR(MATCH(0,INDEX(COUNTIF($B$1:B361,$A$2:$A$4629),0,0),0)),"",INDEX($A$2:$A$4629,MATCH(0,INDEX(COUNTIF($B$1:B361,$A$2:$A$4629),0,0),0)))</f>
        <v/>
      </c>
      <c r="C362" t="str">
        <f t="shared" si="5"/>
        <v/>
      </c>
    </row>
    <row r="363" spans="1:3" x14ac:dyDescent="0.25">
      <c r="A363" t="str">
        <f>IF(Scan2VK!E169&lt;&gt;"",Scan2VK!E169,"")</f>
        <v>SLEEP</v>
      </c>
      <c r="B363" t="str">
        <f>IF(ISERROR(MATCH(0,INDEX(COUNTIF($B$1:B362,$A$2:$A$4629),0,0),0)),"",INDEX($A$2:$A$4629,MATCH(0,INDEX(COUNTIF($B$1:B362,$A$2:$A$4629),0,0),0)))</f>
        <v/>
      </c>
      <c r="C363" t="str">
        <f t="shared" si="5"/>
        <v/>
      </c>
    </row>
    <row r="364" spans="1:3" x14ac:dyDescent="0.25">
      <c r="A364" t="str">
        <f>IF(Scan2VK!E170&lt;&gt;"",Scan2VK!E170,"")</f>
        <v/>
      </c>
      <c r="B364" t="str">
        <f>IF(ISERROR(MATCH(0,INDEX(COUNTIF($B$1:B363,$A$2:$A$4629),0,0),0)),"",INDEX($A$2:$A$4629,MATCH(0,INDEX(COUNTIF($B$1:B363,$A$2:$A$4629),0,0),0)))</f>
        <v/>
      </c>
      <c r="C364" t="str">
        <f t="shared" si="5"/>
        <v/>
      </c>
    </row>
    <row r="365" spans="1:3" x14ac:dyDescent="0.25">
      <c r="A365" t="str">
        <f>IF(Scan2VK!E171&lt;&gt;"",Scan2VK!E171,"")</f>
        <v/>
      </c>
      <c r="B365" t="str">
        <f>IF(ISERROR(MATCH(0,INDEX(COUNTIF($B$1:B364,$A$2:$A$4629),0,0),0)),"",INDEX($A$2:$A$4629,MATCH(0,INDEX(COUNTIF($B$1:B364,$A$2:$A$4629),0,0),0)))</f>
        <v/>
      </c>
      <c r="C365" t="str">
        <f t="shared" si="5"/>
        <v/>
      </c>
    </row>
    <row r="366" spans="1:3" x14ac:dyDescent="0.25">
      <c r="A366" t="str">
        <f>IF(Scan2VK!E172&lt;&gt;"",Scan2VK!E172,"")</f>
        <v/>
      </c>
      <c r="B366" t="str">
        <f>IF(ISERROR(MATCH(0,INDEX(COUNTIF($B$1:B365,$A$2:$A$4629),0,0),0)),"",INDEX($A$2:$A$4629,MATCH(0,INDEX(COUNTIF($B$1:B365,$A$2:$A$4629),0,0),0)))</f>
        <v/>
      </c>
      <c r="C366" t="str">
        <f t="shared" si="5"/>
        <v/>
      </c>
    </row>
    <row r="367" spans="1:3" x14ac:dyDescent="0.25">
      <c r="A367" t="str">
        <f>IF(Scan2VK!E173&lt;&gt;"",Scan2VK!E173,"")</f>
        <v/>
      </c>
      <c r="B367" t="str">
        <f>IF(ISERROR(MATCH(0,INDEX(COUNTIF($B$1:B366,$A$2:$A$4629),0,0),0)),"",INDEX($A$2:$A$4629,MATCH(0,INDEX(COUNTIF($B$1:B366,$A$2:$A$4629),0,0),0)))</f>
        <v/>
      </c>
      <c r="C367" t="str">
        <f t="shared" si="5"/>
        <v/>
      </c>
    </row>
    <row r="368" spans="1:3" x14ac:dyDescent="0.25">
      <c r="A368" t="str">
        <f>IF(Scan2VK!E174&lt;&gt;"",Scan2VK!E174,"")</f>
        <v/>
      </c>
      <c r="B368" t="str">
        <f>IF(ISERROR(MATCH(0,INDEX(COUNTIF($B$1:B367,$A$2:$A$4629),0,0),0)),"",INDEX($A$2:$A$4629,MATCH(0,INDEX(COUNTIF($B$1:B367,$A$2:$A$4629),0,0),0)))</f>
        <v/>
      </c>
      <c r="C368" t="str">
        <f t="shared" si="5"/>
        <v/>
      </c>
    </row>
    <row r="369" spans="1:3" x14ac:dyDescent="0.25">
      <c r="A369" t="str">
        <f>IF(Scan2VK!E175&lt;&gt;"",Scan2VK!E175,"")</f>
        <v>BROWSER_SEARCH</v>
      </c>
      <c r="B369" t="str">
        <f>IF(ISERROR(MATCH(0,INDEX(COUNTIF($B$1:B368,$A$2:$A$4629),0,0),0)),"",INDEX($A$2:$A$4629,MATCH(0,INDEX(COUNTIF($B$1:B368,$A$2:$A$4629),0,0),0)))</f>
        <v/>
      </c>
      <c r="C369" t="str">
        <f t="shared" si="5"/>
        <v/>
      </c>
    </row>
    <row r="370" spans="1:3" x14ac:dyDescent="0.25">
      <c r="A370" t="str">
        <f>IF(Scan2VK!E176&lt;&gt;"",Scan2VK!E176,"")</f>
        <v>BROWSER_FAVORITES</v>
      </c>
      <c r="B370" t="str">
        <f>IF(ISERROR(MATCH(0,INDEX(COUNTIF($B$1:B369,$A$2:$A$4629),0,0),0)),"",INDEX($A$2:$A$4629,MATCH(0,INDEX(COUNTIF($B$1:B369,$A$2:$A$4629),0,0),0)))</f>
        <v/>
      </c>
      <c r="C370" t="str">
        <f t="shared" si="5"/>
        <v/>
      </c>
    </row>
    <row r="371" spans="1:3" x14ac:dyDescent="0.25">
      <c r="A371" t="str">
        <f>IF(Scan2VK!E177&lt;&gt;"",Scan2VK!E177,"")</f>
        <v>BROWSER_REFRESH</v>
      </c>
      <c r="B371" t="str">
        <f>IF(ISERROR(MATCH(0,INDEX(COUNTIF($B$1:B370,$A$2:$A$4629),0,0),0)),"",INDEX($A$2:$A$4629,MATCH(0,INDEX(COUNTIF($B$1:B370,$A$2:$A$4629),0,0),0)))</f>
        <v/>
      </c>
      <c r="C371" t="str">
        <f t="shared" si="5"/>
        <v/>
      </c>
    </row>
    <row r="372" spans="1:3" x14ac:dyDescent="0.25">
      <c r="A372" t="str">
        <f>IF(Scan2VK!E178&lt;&gt;"",Scan2VK!E178,"")</f>
        <v>BROWSER_STOP</v>
      </c>
      <c r="B372" t="str">
        <f>IF(ISERROR(MATCH(0,INDEX(COUNTIF($B$1:B371,$A$2:$A$4629),0,0),0)),"",INDEX($A$2:$A$4629,MATCH(0,INDEX(COUNTIF($B$1:B371,$A$2:$A$4629),0,0),0)))</f>
        <v/>
      </c>
      <c r="C372" t="str">
        <f t="shared" si="5"/>
        <v/>
      </c>
    </row>
    <row r="373" spans="1:3" x14ac:dyDescent="0.25">
      <c r="A373" t="str">
        <f>IF(Scan2VK!E179&lt;&gt;"",Scan2VK!E179,"")</f>
        <v>BROWSER_FORWARD</v>
      </c>
      <c r="B373" t="str">
        <f>IF(ISERROR(MATCH(0,INDEX(COUNTIF($B$1:B372,$A$2:$A$4629),0,0),0)),"",INDEX($A$2:$A$4629,MATCH(0,INDEX(COUNTIF($B$1:B372,$A$2:$A$4629),0,0),0)))</f>
        <v/>
      </c>
      <c r="C373" t="str">
        <f t="shared" si="5"/>
        <v/>
      </c>
    </row>
    <row r="374" spans="1:3" x14ac:dyDescent="0.25">
      <c r="A374" t="str">
        <f>IF(Scan2VK!E180&lt;&gt;"",Scan2VK!E180,"")</f>
        <v>BROWSER_BACK</v>
      </c>
      <c r="B374" t="str">
        <f>IF(ISERROR(MATCH(0,INDEX(COUNTIF($B$1:B373,$A$2:$A$4629),0,0),0)),"",INDEX($A$2:$A$4629,MATCH(0,INDEX(COUNTIF($B$1:B373,$A$2:$A$4629),0,0),0)))</f>
        <v/>
      </c>
      <c r="C374" t="str">
        <f t="shared" si="5"/>
        <v/>
      </c>
    </row>
    <row r="375" spans="1:3" x14ac:dyDescent="0.25">
      <c r="A375" t="str">
        <f>IF(Scan2VK!E181&lt;&gt;"",Scan2VK!E181,"")</f>
        <v>LAUNCH_APP1</v>
      </c>
      <c r="B375" t="str">
        <f>IF(ISERROR(MATCH(0,INDEX(COUNTIF($B$1:B374,$A$2:$A$4629),0,0),0)),"",INDEX($A$2:$A$4629,MATCH(0,INDEX(COUNTIF($B$1:B374,$A$2:$A$4629),0,0),0)))</f>
        <v/>
      </c>
      <c r="C375" t="str">
        <f t="shared" si="5"/>
        <v/>
      </c>
    </row>
    <row r="376" spans="1:3" x14ac:dyDescent="0.25">
      <c r="A376" t="str">
        <f>IF(Scan2VK!E182&lt;&gt;"",Scan2VK!E182,"")</f>
        <v>LAUNCH_MAIL</v>
      </c>
      <c r="B376" t="str">
        <f>IF(ISERROR(MATCH(0,INDEX(COUNTIF($B$1:B375,$A$2:$A$4629),0,0),0)),"",INDEX($A$2:$A$4629,MATCH(0,INDEX(COUNTIF($B$1:B375,$A$2:$A$4629),0,0),0)))</f>
        <v/>
      </c>
      <c r="C376" t="str">
        <f t="shared" si="5"/>
        <v/>
      </c>
    </row>
    <row r="377" spans="1:3" x14ac:dyDescent="0.25">
      <c r="A377" t="str">
        <f>IF(Scan2VK!E183&lt;&gt;"",Scan2VK!E183,"")</f>
        <v>LAUNCH_MEDIA_SELECT</v>
      </c>
      <c r="B377" t="str">
        <f>IF(ISERROR(MATCH(0,INDEX(COUNTIF($B$1:B376,$A$2:$A$4629),0,0),0)),"",INDEX($A$2:$A$4629,MATCH(0,INDEX(COUNTIF($B$1:B376,$A$2:$A$4629),0,0),0)))</f>
        <v/>
      </c>
      <c r="C377" t="str">
        <f t="shared" si="5"/>
        <v/>
      </c>
    </row>
    <row r="378" spans="1:3" x14ac:dyDescent="0.25">
      <c r="A378" t="str">
        <f>IF(Scan2VK!E184&lt;&gt;"",Scan2VK!E184,"")</f>
        <v/>
      </c>
      <c r="B378" t="str">
        <f>IF(ISERROR(MATCH(0,INDEX(COUNTIF($B$1:B377,$A$2:$A$4629),0,0),0)),"",INDEX($A$2:$A$4629,MATCH(0,INDEX(COUNTIF($B$1:B377,$A$2:$A$4629),0,0),0)))</f>
        <v/>
      </c>
      <c r="C378" t="str">
        <f t="shared" si="5"/>
        <v/>
      </c>
    </row>
    <row r="379" spans="1:3" x14ac:dyDescent="0.25">
      <c r="A379" t="str">
        <f>IF(Scan2VK!E185&lt;&gt;"",Scan2VK!E185,"")</f>
        <v/>
      </c>
      <c r="B379" t="str">
        <f>IF(ISERROR(MATCH(0,INDEX(COUNTIF($B$1:B378,$A$2:$A$4629),0,0),0)),"",INDEX($A$2:$A$4629,MATCH(0,INDEX(COUNTIF($B$1:B378,$A$2:$A$4629),0,0),0)))</f>
        <v/>
      </c>
      <c r="C379" t="str">
        <f t="shared" si="5"/>
        <v/>
      </c>
    </row>
    <row r="380" spans="1:3" x14ac:dyDescent="0.25">
      <c r="A380" t="str">
        <f>IF(Scan2VK!E186&lt;&gt;"",Scan2VK!E186,"")</f>
        <v/>
      </c>
      <c r="B380" t="str">
        <f>IF(ISERROR(MATCH(0,INDEX(COUNTIF($B$1:B379,$A$2:$A$4629),0,0),0)),"",INDEX($A$2:$A$4629,MATCH(0,INDEX(COUNTIF($B$1:B379,$A$2:$A$4629),0,0),0)))</f>
        <v/>
      </c>
      <c r="C380" t="str">
        <f t="shared" si="5"/>
        <v/>
      </c>
    </row>
    <row r="381" spans="1:3" x14ac:dyDescent="0.25">
      <c r="A381" t="str">
        <f>IF(Scan2VK!E187&lt;&gt;"",Scan2VK!E187,"")</f>
        <v/>
      </c>
      <c r="B381" t="str">
        <f>IF(ISERROR(MATCH(0,INDEX(COUNTIF($B$1:B380,$A$2:$A$4629),0,0),0)),"",INDEX($A$2:$A$4629,MATCH(0,INDEX(COUNTIF($B$1:B380,$A$2:$A$4629),0,0),0)))</f>
        <v/>
      </c>
      <c r="C381" t="str">
        <f t="shared" si="5"/>
        <v/>
      </c>
    </row>
    <row r="382" spans="1:3" x14ac:dyDescent="0.25">
      <c r="A382" t="str">
        <f>IF(Scan2VK!E188&lt;&gt;"",Scan2VK!E188,"")</f>
        <v/>
      </c>
      <c r="B382" t="str">
        <f>IF(ISERROR(MATCH(0,INDEX(COUNTIF($B$1:B381,$A$2:$A$4629),0,0),0)),"",INDEX($A$2:$A$4629,MATCH(0,INDEX(COUNTIF($B$1:B381,$A$2:$A$4629),0,0),0)))</f>
        <v/>
      </c>
      <c r="C382" t="str">
        <f t="shared" si="5"/>
        <v/>
      </c>
    </row>
    <row r="383" spans="1:3" x14ac:dyDescent="0.25">
      <c r="A383" t="str">
        <f>IF(Scan2VK!E189&lt;&gt;"",Scan2VK!E189,"")</f>
        <v/>
      </c>
      <c r="B383" t="str">
        <f>IF(ISERROR(MATCH(0,INDEX(COUNTIF($B$1:B382,$A$2:$A$4629),0,0),0)),"",INDEX($A$2:$A$4629,MATCH(0,INDEX(COUNTIF($B$1:B382,$A$2:$A$4629),0,0),0)))</f>
        <v/>
      </c>
      <c r="C383" t="str">
        <f t="shared" si="5"/>
        <v/>
      </c>
    </row>
    <row r="384" spans="1:3" x14ac:dyDescent="0.25">
      <c r="A384" t="str">
        <f>IF(Scan2VK!E190&lt;&gt;"",Scan2VK!E190,"")</f>
        <v/>
      </c>
      <c r="B384" t="str">
        <f>IF(ISERROR(MATCH(0,INDEX(COUNTIF($B$1:B383,$A$2:$A$4629),0,0),0)),"",INDEX($A$2:$A$4629,MATCH(0,INDEX(COUNTIF($B$1:B383,$A$2:$A$4629),0,0),0)))</f>
        <v/>
      </c>
      <c r="C384" t="str">
        <f t="shared" si="5"/>
        <v/>
      </c>
    </row>
    <row r="385" spans="1:3" x14ac:dyDescent="0.25">
      <c r="A385" t="str">
        <f>IF(Scan2VK!E191&lt;&gt;"",Scan2VK!E191,"")</f>
        <v/>
      </c>
      <c r="B385" t="str">
        <f>IF(ISERROR(MATCH(0,INDEX(COUNTIF($B$1:B384,$A$2:$A$4629),0,0),0)),"",INDEX($A$2:$A$4629,MATCH(0,INDEX(COUNTIF($B$1:B384,$A$2:$A$4629),0,0),0)))</f>
        <v/>
      </c>
      <c r="C385" t="str">
        <f t="shared" si="5"/>
        <v/>
      </c>
    </row>
    <row r="386" spans="1:3" x14ac:dyDescent="0.25">
      <c r="A386" t="str">
        <f>IF(Scan2VK!E192&lt;&gt;"",Scan2VK!E192,"")</f>
        <v/>
      </c>
      <c r="B386" t="str">
        <f>IF(ISERROR(MATCH(0,INDEX(COUNTIF($B$1:B385,$A$2:$A$4629),0,0),0)),"",INDEX($A$2:$A$4629,MATCH(0,INDEX(COUNTIF($B$1:B385,$A$2:$A$4629),0,0),0)))</f>
        <v/>
      </c>
      <c r="C386" t="str">
        <f t="shared" si="5"/>
        <v/>
      </c>
    </row>
    <row r="387" spans="1:3" x14ac:dyDescent="0.25">
      <c r="A387" t="str">
        <f>IF(Scan2VK!E193&lt;&gt;"",Scan2VK!E193,"")</f>
        <v/>
      </c>
      <c r="B387" t="str">
        <f>IF(ISERROR(MATCH(0,INDEX(COUNTIF($B$1:B386,$A$2:$A$4629),0,0),0)),"",INDEX($A$2:$A$4629,MATCH(0,INDEX(COUNTIF($B$1:B386,$A$2:$A$4629),0,0),0)))</f>
        <v/>
      </c>
      <c r="C387" t="str">
        <f t="shared" ref="C387:C450" si="6">IF(B387&lt;&gt;"","&lt;xs:enumeration value="""&amp;B387&amp;"""/&gt;","")</f>
        <v/>
      </c>
    </row>
    <row r="388" spans="1:3" x14ac:dyDescent="0.25">
      <c r="A388" t="str">
        <f>IF(Scan2VK!E194&lt;&gt;"",Scan2VK!E194,"")</f>
        <v/>
      </c>
      <c r="B388" t="str">
        <f>IF(ISERROR(MATCH(0,INDEX(COUNTIF($B$1:B387,$A$2:$A$4629),0,0),0)),"",INDEX($A$2:$A$4629,MATCH(0,INDEX(COUNTIF($B$1:B387,$A$2:$A$4629),0,0),0)))</f>
        <v/>
      </c>
      <c r="C388" t="str">
        <f t="shared" si="6"/>
        <v/>
      </c>
    </row>
    <row r="389" spans="1:3" x14ac:dyDescent="0.25">
      <c r="A389" t="str">
        <f>IF(Scan2VK!E195&lt;&gt;"",Scan2VK!E195,"")</f>
        <v>PAUSE</v>
      </c>
      <c r="B389" t="str">
        <f>IF(ISERROR(MATCH(0,INDEX(COUNTIF($B$1:B388,$A$2:$A$4629),0,0),0)),"",INDEX($A$2:$A$4629,MATCH(0,INDEX(COUNTIF($B$1:B388,$A$2:$A$4629),0,0),0)))</f>
        <v/>
      </c>
      <c r="C389" t="str">
        <f t="shared" si="6"/>
        <v/>
      </c>
    </row>
    <row r="390" spans="1:3" x14ac:dyDescent="0.25">
      <c r="A390" t="str">
        <f>IF(Scan2VK!F2&lt;&gt;"",Scan2VK!F2,"")</f>
        <v>_none_</v>
      </c>
      <c r="B390" t="str">
        <f>IF(ISERROR(MATCH(0,INDEX(COUNTIF($B$1:B389,$A$2:$A$4629),0,0),0)),"",INDEX($A$2:$A$4629,MATCH(0,INDEX(COUNTIF($B$1:B389,$A$2:$A$4629),0,0),0)))</f>
        <v/>
      </c>
      <c r="C390" t="str">
        <f t="shared" si="6"/>
        <v/>
      </c>
    </row>
    <row r="391" spans="1:3" x14ac:dyDescent="0.25">
      <c r="A391" t="str">
        <f>IF(Scan2VK!F3&lt;&gt;"",Scan2VK!F3,"")</f>
        <v>ESCAPE</v>
      </c>
      <c r="B391" t="str">
        <f>IF(ISERROR(MATCH(0,INDEX(COUNTIF($B$1:B390,$A$2:$A$4629),0,0),0)),"",INDEX($A$2:$A$4629,MATCH(0,INDEX(COUNTIF($B$1:B390,$A$2:$A$4629),0,0),0)))</f>
        <v/>
      </c>
      <c r="C391" t="str">
        <f t="shared" si="6"/>
        <v/>
      </c>
    </row>
    <row r="392" spans="1:3" x14ac:dyDescent="0.25">
      <c r="A392" t="str">
        <f>IF(Scan2VK!F4&lt;&gt;"",Scan2VK!F4,"")</f>
        <v>'1'</v>
      </c>
      <c r="B392" t="str">
        <f>IF(ISERROR(MATCH(0,INDEX(COUNTIF($B$1:B391,$A$2:$A$4629),0,0),0)),"",INDEX($A$2:$A$4629,MATCH(0,INDEX(COUNTIF($B$1:B391,$A$2:$A$4629),0,0),0)))</f>
        <v/>
      </c>
      <c r="C392" t="str">
        <f t="shared" si="6"/>
        <v/>
      </c>
    </row>
    <row r="393" spans="1:3" x14ac:dyDescent="0.25">
      <c r="A393" t="str">
        <f>IF(Scan2VK!F5&lt;&gt;"",Scan2VK!F5,"")</f>
        <v>'2'</v>
      </c>
      <c r="B393" t="str">
        <f>IF(ISERROR(MATCH(0,INDEX(COUNTIF($B$1:B392,$A$2:$A$4629),0,0),0)),"",INDEX($A$2:$A$4629,MATCH(0,INDEX(COUNTIF($B$1:B392,$A$2:$A$4629),0,0),0)))</f>
        <v/>
      </c>
      <c r="C393" t="str">
        <f t="shared" si="6"/>
        <v/>
      </c>
    </row>
    <row r="394" spans="1:3" x14ac:dyDescent="0.25">
      <c r="A394" t="str">
        <f>IF(Scan2VK!F6&lt;&gt;"",Scan2VK!F6,"")</f>
        <v>'3'</v>
      </c>
      <c r="B394" t="str">
        <f>IF(ISERROR(MATCH(0,INDEX(COUNTIF($B$1:B393,$A$2:$A$4629),0,0),0)),"",INDEX($A$2:$A$4629,MATCH(0,INDEX(COUNTIF($B$1:B393,$A$2:$A$4629),0,0),0)))</f>
        <v/>
      </c>
      <c r="C394" t="str">
        <f t="shared" si="6"/>
        <v/>
      </c>
    </row>
    <row r="395" spans="1:3" x14ac:dyDescent="0.25">
      <c r="A395" t="str">
        <f>IF(Scan2VK!F7&lt;&gt;"",Scan2VK!F7,"")</f>
        <v>'4'</v>
      </c>
      <c r="B395" t="str">
        <f>IF(ISERROR(MATCH(0,INDEX(COUNTIF($B$1:B394,$A$2:$A$4629),0,0),0)),"",INDEX($A$2:$A$4629,MATCH(0,INDEX(COUNTIF($B$1:B394,$A$2:$A$4629),0,0),0)))</f>
        <v/>
      </c>
      <c r="C395" t="str">
        <f t="shared" si="6"/>
        <v/>
      </c>
    </row>
    <row r="396" spans="1:3" x14ac:dyDescent="0.25">
      <c r="A396" t="str">
        <f>IF(Scan2VK!F8&lt;&gt;"",Scan2VK!F8,"")</f>
        <v>'5'</v>
      </c>
      <c r="B396" t="str">
        <f>IF(ISERROR(MATCH(0,INDEX(COUNTIF($B$1:B395,$A$2:$A$4629),0,0),0)),"",INDEX($A$2:$A$4629,MATCH(0,INDEX(COUNTIF($B$1:B395,$A$2:$A$4629),0,0),0)))</f>
        <v/>
      </c>
      <c r="C396" t="str">
        <f t="shared" si="6"/>
        <v/>
      </c>
    </row>
    <row r="397" spans="1:3" x14ac:dyDescent="0.25">
      <c r="A397" t="str">
        <f>IF(Scan2VK!F9&lt;&gt;"",Scan2VK!F9,"")</f>
        <v>'6'</v>
      </c>
      <c r="B397" t="str">
        <f>IF(ISERROR(MATCH(0,INDEX(COUNTIF($B$1:B396,$A$2:$A$4629),0,0),0)),"",INDEX($A$2:$A$4629,MATCH(0,INDEX(COUNTIF($B$1:B396,$A$2:$A$4629),0,0),0)))</f>
        <v/>
      </c>
      <c r="C397" t="str">
        <f t="shared" si="6"/>
        <v/>
      </c>
    </row>
    <row r="398" spans="1:3" x14ac:dyDescent="0.25">
      <c r="A398" t="str">
        <f>IF(Scan2VK!F10&lt;&gt;"",Scan2VK!F10,"")</f>
        <v>'7'</v>
      </c>
      <c r="B398" t="str">
        <f>IF(ISERROR(MATCH(0,INDEX(COUNTIF($B$1:B397,$A$2:$A$4629),0,0),0)),"",INDEX($A$2:$A$4629,MATCH(0,INDEX(COUNTIF($B$1:B397,$A$2:$A$4629),0,0),0)))</f>
        <v/>
      </c>
      <c r="C398" t="str">
        <f t="shared" si="6"/>
        <v/>
      </c>
    </row>
    <row r="399" spans="1:3" x14ac:dyDescent="0.25">
      <c r="A399" t="str">
        <f>IF(Scan2VK!F11&lt;&gt;"",Scan2VK!F11,"")</f>
        <v>'8'</v>
      </c>
      <c r="B399" t="str">
        <f>IF(ISERROR(MATCH(0,INDEX(COUNTIF($B$1:B398,$A$2:$A$4629),0,0),0)),"",INDEX($A$2:$A$4629,MATCH(0,INDEX(COUNTIF($B$1:B398,$A$2:$A$4629),0,0),0)))</f>
        <v/>
      </c>
      <c r="C399" t="str">
        <f t="shared" si="6"/>
        <v/>
      </c>
    </row>
    <row r="400" spans="1:3" x14ac:dyDescent="0.25">
      <c r="A400" t="str">
        <f>IF(Scan2VK!F12&lt;&gt;"",Scan2VK!F12,"")</f>
        <v>'9'</v>
      </c>
      <c r="B400" t="str">
        <f>IF(ISERROR(MATCH(0,INDEX(COUNTIF($B$1:B399,$A$2:$A$4629),0,0),0)),"",INDEX($A$2:$A$4629,MATCH(0,INDEX(COUNTIF($B$1:B399,$A$2:$A$4629),0,0),0)))</f>
        <v/>
      </c>
      <c r="C400" t="str">
        <f t="shared" si="6"/>
        <v/>
      </c>
    </row>
    <row r="401" spans="1:3" x14ac:dyDescent="0.25">
      <c r="A401" t="str">
        <f>IF(Scan2VK!F13&lt;&gt;"",Scan2VK!F13,"")</f>
        <v>'0'</v>
      </c>
      <c r="B401" t="str">
        <f>IF(ISERROR(MATCH(0,INDEX(COUNTIF($B$1:B400,$A$2:$A$4629),0,0),0)),"",INDEX($A$2:$A$4629,MATCH(0,INDEX(COUNTIF($B$1:B400,$A$2:$A$4629),0,0),0)))</f>
        <v/>
      </c>
      <c r="C401" t="str">
        <f t="shared" si="6"/>
        <v/>
      </c>
    </row>
    <row r="402" spans="1:3" x14ac:dyDescent="0.25">
      <c r="A402" t="str">
        <f>IF(Scan2VK!F14&lt;&gt;"",Scan2VK!F14,"")</f>
        <v>OEM_MINUS</v>
      </c>
      <c r="B402" t="str">
        <f>IF(ISERROR(MATCH(0,INDEX(COUNTIF($B$1:B401,$A$2:$A$4629),0,0),0)),"",INDEX($A$2:$A$4629,MATCH(0,INDEX(COUNTIF($B$1:B401,$A$2:$A$4629),0,0),0)))</f>
        <v/>
      </c>
      <c r="C402" t="str">
        <f t="shared" si="6"/>
        <v/>
      </c>
    </row>
    <row r="403" spans="1:3" x14ac:dyDescent="0.25">
      <c r="A403" t="str">
        <f>IF(Scan2VK!F15&lt;&gt;"",Scan2VK!F15,"")</f>
        <v>OEM_PLUS</v>
      </c>
      <c r="B403" t="str">
        <f>IF(ISERROR(MATCH(0,INDEX(COUNTIF($B$1:B402,$A$2:$A$4629),0,0),0)),"",INDEX($A$2:$A$4629,MATCH(0,INDEX(COUNTIF($B$1:B402,$A$2:$A$4629),0,0),0)))</f>
        <v/>
      </c>
      <c r="C403" t="str">
        <f t="shared" si="6"/>
        <v/>
      </c>
    </row>
    <row r="404" spans="1:3" x14ac:dyDescent="0.25">
      <c r="A404" t="str">
        <f>IF(Scan2VK!F16&lt;&gt;"",Scan2VK!F16,"")</f>
        <v>BACK</v>
      </c>
      <c r="B404" t="str">
        <f>IF(ISERROR(MATCH(0,INDEX(COUNTIF($B$1:B403,$A$2:$A$4629),0,0),0)),"",INDEX($A$2:$A$4629,MATCH(0,INDEX(COUNTIF($B$1:B403,$A$2:$A$4629),0,0),0)))</f>
        <v/>
      </c>
      <c r="C404" t="str">
        <f t="shared" si="6"/>
        <v/>
      </c>
    </row>
    <row r="405" spans="1:3" x14ac:dyDescent="0.25">
      <c r="A405" t="str">
        <f>IF(Scan2VK!F17&lt;&gt;"",Scan2VK!F17,"")</f>
        <v>TAB</v>
      </c>
      <c r="B405" t="str">
        <f>IF(ISERROR(MATCH(0,INDEX(COUNTIF($B$1:B404,$A$2:$A$4629),0,0),0)),"",INDEX($A$2:$A$4629,MATCH(0,INDEX(COUNTIF($B$1:B404,$A$2:$A$4629),0,0),0)))</f>
        <v/>
      </c>
      <c r="C405" t="str">
        <f t="shared" si="6"/>
        <v/>
      </c>
    </row>
    <row r="406" spans="1:3" x14ac:dyDescent="0.25">
      <c r="A406" t="str">
        <f>IF(Scan2VK!F18&lt;&gt;"",Scan2VK!F18,"")</f>
        <v>'Q'</v>
      </c>
      <c r="B406" t="str">
        <f>IF(ISERROR(MATCH(0,INDEX(COUNTIF($B$1:B405,$A$2:$A$4629),0,0),0)),"",INDEX($A$2:$A$4629,MATCH(0,INDEX(COUNTIF($B$1:B405,$A$2:$A$4629),0,0),0)))</f>
        <v/>
      </c>
      <c r="C406" t="str">
        <f t="shared" si="6"/>
        <v/>
      </c>
    </row>
    <row r="407" spans="1:3" x14ac:dyDescent="0.25">
      <c r="A407" t="str">
        <f>IF(Scan2VK!F19&lt;&gt;"",Scan2VK!F19,"")</f>
        <v>'W'</v>
      </c>
      <c r="B407" t="str">
        <f>IF(ISERROR(MATCH(0,INDEX(COUNTIF($B$1:B406,$A$2:$A$4629),0,0),0)),"",INDEX($A$2:$A$4629,MATCH(0,INDEX(COUNTIF($B$1:B406,$A$2:$A$4629),0,0),0)))</f>
        <v/>
      </c>
      <c r="C407" t="str">
        <f t="shared" si="6"/>
        <v/>
      </c>
    </row>
    <row r="408" spans="1:3" x14ac:dyDescent="0.25">
      <c r="A408" t="str">
        <f>IF(Scan2VK!F20&lt;&gt;"",Scan2VK!F20,"")</f>
        <v>'E'</v>
      </c>
      <c r="B408" t="str">
        <f>IF(ISERROR(MATCH(0,INDEX(COUNTIF($B$1:B407,$A$2:$A$4629),0,0),0)),"",INDEX($A$2:$A$4629,MATCH(0,INDEX(COUNTIF($B$1:B407,$A$2:$A$4629),0,0),0)))</f>
        <v/>
      </c>
      <c r="C408" t="str">
        <f t="shared" si="6"/>
        <v/>
      </c>
    </row>
    <row r="409" spans="1:3" x14ac:dyDescent="0.25">
      <c r="A409" t="str">
        <f>IF(Scan2VK!F21&lt;&gt;"",Scan2VK!F21,"")</f>
        <v>'R'</v>
      </c>
      <c r="B409" t="str">
        <f>IF(ISERROR(MATCH(0,INDEX(COUNTIF($B$1:B408,$A$2:$A$4629),0,0),0)),"",INDEX($A$2:$A$4629,MATCH(0,INDEX(COUNTIF($B$1:B408,$A$2:$A$4629),0,0),0)))</f>
        <v/>
      </c>
      <c r="C409" t="str">
        <f t="shared" si="6"/>
        <v/>
      </c>
    </row>
    <row r="410" spans="1:3" x14ac:dyDescent="0.25">
      <c r="A410" t="str">
        <f>IF(Scan2VK!F22&lt;&gt;"",Scan2VK!F22,"")</f>
        <v>'T'</v>
      </c>
      <c r="B410" t="str">
        <f>IF(ISERROR(MATCH(0,INDEX(COUNTIF($B$1:B409,$A$2:$A$4629),0,0),0)),"",INDEX($A$2:$A$4629,MATCH(0,INDEX(COUNTIF($B$1:B409,$A$2:$A$4629),0,0),0)))</f>
        <v/>
      </c>
      <c r="C410" t="str">
        <f t="shared" si="6"/>
        <v/>
      </c>
    </row>
    <row r="411" spans="1:3" x14ac:dyDescent="0.25">
      <c r="A411" t="str">
        <f>IF(Scan2VK!F23&lt;&gt;"",Scan2VK!F23,"")</f>
        <v>'Y'</v>
      </c>
      <c r="B411" t="str">
        <f>IF(ISERROR(MATCH(0,INDEX(COUNTIF($B$1:B410,$A$2:$A$4629),0,0),0)),"",INDEX($A$2:$A$4629,MATCH(0,INDEX(COUNTIF($B$1:B410,$A$2:$A$4629),0,0),0)))</f>
        <v/>
      </c>
      <c r="C411" t="str">
        <f t="shared" si="6"/>
        <v/>
      </c>
    </row>
    <row r="412" spans="1:3" x14ac:dyDescent="0.25">
      <c r="A412" t="str">
        <f>IF(Scan2VK!F24&lt;&gt;"",Scan2VK!F24,"")</f>
        <v>'U'</v>
      </c>
      <c r="B412" t="str">
        <f>IF(ISERROR(MATCH(0,INDEX(COUNTIF($B$1:B411,$A$2:$A$4629),0,0),0)),"",INDEX($A$2:$A$4629,MATCH(0,INDEX(COUNTIF($B$1:B411,$A$2:$A$4629),0,0),0)))</f>
        <v/>
      </c>
      <c r="C412" t="str">
        <f t="shared" si="6"/>
        <v/>
      </c>
    </row>
    <row r="413" spans="1:3" x14ac:dyDescent="0.25">
      <c r="A413" t="str">
        <f>IF(Scan2VK!F25&lt;&gt;"",Scan2VK!F25,"")</f>
        <v>'I'</v>
      </c>
      <c r="B413" t="str">
        <f>IF(ISERROR(MATCH(0,INDEX(COUNTIF($B$1:B412,$A$2:$A$4629),0,0),0)),"",INDEX($A$2:$A$4629,MATCH(0,INDEX(COUNTIF($B$1:B412,$A$2:$A$4629),0,0),0)))</f>
        <v/>
      </c>
      <c r="C413" t="str">
        <f t="shared" si="6"/>
        <v/>
      </c>
    </row>
    <row r="414" spans="1:3" x14ac:dyDescent="0.25">
      <c r="A414" t="str">
        <f>IF(Scan2VK!F26&lt;&gt;"",Scan2VK!F26,"")</f>
        <v>'O'</v>
      </c>
      <c r="B414" t="str">
        <f>IF(ISERROR(MATCH(0,INDEX(COUNTIF($B$1:B413,$A$2:$A$4629),0,0),0)),"",INDEX($A$2:$A$4629,MATCH(0,INDEX(COUNTIF($B$1:B413,$A$2:$A$4629),0,0),0)))</f>
        <v/>
      </c>
      <c r="C414" t="str">
        <f t="shared" si="6"/>
        <v/>
      </c>
    </row>
    <row r="415" spans="1:3" x14ac:dyDescent="0.25">
      <c r="A415" t="str">
        <f>IF(Scan2VK!F27&lt;&gt;"",Scan2VK!F27,"")</f>
        <v>'P'</v>
      </c>
      <c r="B415" t="str">
        <f>IF(ISERROR(MATCH(0,INDEX(COUNTIF($B$1:B414,$A$2:$A$4629),0,0),0)),"",INDEX($A$2:$A$4629,MATCH(0,INDEX(COUNTIF($B$1:B414,$A$2:$A$4629),0,0),0)))</f>
        <v/>
      </c>
      <c r="C415" t="str">
        <f t="shared" si="6"/>
        <v/>
      </c>
    </row>
    <row r="416" spans="1:3" x14ac:dyDescent="0.25">
      <c r="A416" t="str">
        <f>IF(Scan2VK!F28&lt;&gt;"",Scan2VK!F28,"")</f>
        <v>OEM_4</v>
      </c>
      <c r="B416" t="str">
        <f>IF(ISERROR(MATCH(0,INDEX(COUNTIF($B$1:B415,$A$2:$A$4629),0,0),0)),"",INDEX($A$2:$A$4629,MATCH(0,INDEX(COUNTIF($B$1:B415,$A$2:$A$4629),0,0),0)))</f>
        <v/>
      </c>
      <c r="C416" t="str">
        <f t="shared" si="6"/>
        <v/>
      </c>
    </row>
    <row r="417" spans="1:3" x14ac:dyDescent="0.25">
      <c r="A417" t="str">
        <f>IF(Scan2VK!F29&lt;&gt;"",Scan2VK!F29,"")</f>
        <v>OEM_6</v>
      </c>
      <c r="B417" t="str">
        <f>IF(ISERROR(MATCH(0,INDEX(COUNTIF($B$1:B416,$A$2:$A$4629),0,0),0)),"",INDEX($A$2:$A$4629,MATCH(0,INDEX(COUNTIF($B$1:B416,$A$2:$A$4629),0,0),0)))</f>
        <v/>
      </c>
      <c r="C417" t="str">
        <f t="shared" si="6"/>
        <v/>
      </c>
    </row>
    <row r="418" spans="1:3" x14ac:dyDescent="0.25">
      <c r="A418" t="str">
        <f>IF(Scan2VK!F30&lt;&gt;"",Scan2VK!F30,"")</f>
        <v>RETURN</v>
      </c>
      <c r="B418" t="str">
        <f>IF(ISERROR(MATCH(0,INDEX(COUNTIF($B$1:B417,$A$2:$A$4629),0,0),0)),"",INDEX($A$2:$A$4629,MATCH(0,INDEX(COUNTIF($B$1:B417,$A$2:$A$4629),0,0),0)))</f>
        <v/>
      </c>
      <c r="C418" t="str">
        <f t="shared" si="6"/>
        <v/>
      </c>
    </row>
    <row r="419" spans="1:3" x14ac:dyDescent="0.25">
      <c r="A419" t="str">
        <f>IF(Scan2VK!F31&lt;&gt;"",Scan2VK!F31,"")</f>
        <v>LCONTROL</v>
      </c>
      <c r="B419" t="str">
        <f>IF(ISERROR(MATCH(0,INDEX(COUNTIF($B$1:B418,$A$2:$A$4629),0,0),0)),"",INDEX($A$2:$A$4629,MATCH(0,INDEX(COUNTIF($B$1:B418,$A$2:$A$4629),0,0),0)))</f>
        <v/>
      </c>
      <c r="C419" t="str">
        <f t="shared" si="6"/>
        <v/>
      </c>
    </row>
    <row r="420" spans="1:3" x14ac:dyDescent="0.25">
      <c r="A420" t="str">
        <f>IF(Scan2VK!F32&lt;&gt;"",Scan2VK!F32,"")</f>
        <v>'A'</v>
      </c>
      <c r="B420" t="str">
        <f>IF(ISERROR(MATCH(0,INDEX(COUNTIF($B$1:B419,$A$2:$A$4629),0,0),0)),"",INDEX($A$2:$A$4629,MATCH(0,INDEX(COUNTIF($B$1:B419,$A$2:$A$4629),0,0),0)))</f>
        <v/>
      </c>
      <c r="C420" t="str">
        <f t="shared" si="6"/>
        <v/>
      </c>
    </row>
    <row r="421" spans="1:3" x14ac:dyDescent="0.25">
      <c r="A421" t="str">
        <f>IF(Scan2VK!F33&lt;&gt;"",Scan2VK!F33,"")</f>
        <v>'S'</v>
      </c>
      <c r="B421" t="str">
        <f>IF(ISERROR(MATCH(0,INDEX(COUNTIF($B$1:B420,$A$2:$A$4629),0,0),0)),"",INDEX($A$2:$A$4629,MATCH(0,INDEX(COUNTIF($B$1:B420,$A$2:$A$4629),0,0),0)))</f>
        <v/>
      </c>
      <c r="C421" t="str">
        <f t="shared" si="6"/>
        <v/>
      </c>
    </row>
    <row r="422" spans="1:3" x14ac:dyDescent="0.25">
      <c r="A422" t="str">
        <f>IF(Scan2VK!F34&lt;&gt;"",Scan2VK!F34,"")</f>
        <v>'D'</v>
      </c>
      <c r="B422" t="str">
        <f>IF(ISERROR(MATCH(0,INDEX(COUNTIF($B$1:B421,$A$2:$A$4629),0,0),0)),"",INDEX($A$2:$A$4629,MATCH(0,INDEX(COUNTIF($B$1:B421,$A$2:$A$4629),0,0),0)))</f>
        <v/>
      </c>
      <c r="C422" t="str">
        <f t="shared" si="6"/>
        <v/>
      </c>
    </row>
    <row r="423" spans="1:3" x14ac:dyDescent="0.25">
      <c r="A423" t="str">
        <f>IF(Scan2VK!F35&lt;&gt;"",Scan2VK!F35,"")</f>
        <v>'F'</v>
      </c>
      <c r="B423" t="str">
        <f>IF(ISERROR(MATCH(0,INDEX(COUNTIF($B$1:B422,$A$2:$A$4629),0,0),0)),"",INDEX($A$2:$A$4629,MATCH(0,INDEX(COUNTIF($B$1:B422,$A$2:$A$4629),0,0),0)))</f>
        <v/>
      </c>
      <c r="C423" t="str">
        <f t="shared" si="6"/>
        <v/>
      </c>
    </row>
    <row r="424" spans="1:3" x14ac:dyDescent="0.25">
      <c r="A424" t="str">
        <f>IF(Scan2VK!F36&lt;&gt;"",Scan2VK!F36,"")</f>
        <v>'G'</v>
      </c>
      <c r="B424" t="str">
        <f>IF(ISERROR(MATCH(0,INDEX(COUNTIF($B$1:B423,$A$2:$A$4629),0,0),0)),"",INDEX($A$2:$A$4629,MATCH(0,INDEX(COUNTIF($B$1:B423,$A$2:$A$4629),0,0),0)))</f>
        <v/>
      </c>
      <c r="C424" t="str">
        <f t="shared" si="6"/>
        <v/>
      </c>
    </row>
    <row r="425" spans="1:3" x14ac:dyDescent="0.25">
      <c r="A425" t="str">
        <f>IF(Scan2VK!F37&lt;&gt;"",Scan2VK!F37,"")</f>
        <v>'H'</v>
      </c>
      <c r="B425" t="str">
        <f>IF(ISERROR(MATCH(0,INDEX(COUNTIF($B$1:B424,$A$2:$A$4629),0,0),0)),"",INDEX($A$2:$A$4629,MATCH(0,INDEX(COUNTIF($B$1:B424,$A$2:$A$4629),0,0),0)))</f>
        <v/>
      </c>
      <c r="C425" t="str">
        <f t="shared" si="6"/>
        <v/>
      </c>
    </row>
    <row r="426" spans="1:3" x14ac:dyDescent="0.25">
      <c r="A426" t="str">
        <f>IF(Scan2VK!F38&lt;&gt;"",Scan2VK!F38,"")</f>
        <v>'J'</v>
      </c>
      <c r="B426" t="str">
        <f>IF(ISERROR(MATCH(0,INDEX(COUNTIF($B$1:B425,$A$2:$A$4629),0,0),0)),"",INDEX($A$2:$A$4629,MATCH(0,INDEX(COUNTIF($B$1:B425,$A$2:$A$4629),0,0),0)))</f>
        <v/>
      </c>
      <c r="C426" t="str">
        <f t="shared" si="6"/>
        <v/>
      </c>
    </row>
    <row r="427" spans="1:3" x14ac:dyDescent="0.25">
      <c r="A427" t="str">
        <f>IF(Scan2VK!F39&lt;&gt;"",Scan2VK!F39,"")</f>
        <v>'K'</v>
      </c>
      <c r="B427" t="str">
        <f>IF(ISERROR(MATCH(0,INDEX(COUNTIF($B$1:B426,$A$2:$A$4629),0,0),0)),"",INDEX($A$2:$A$4629,MATCH(0,INDEX(COUNTIF($B$1:B426,$A$2:$A$4629),0,0),0)))</f>
        <v/>
      </c>
      <c r="C427" t="str">
        <f t="shared" si="6"/>
        <v/>
      </c>
    </row>
    <row r="428" spans="1:3" x14ac:dyDescent="0.25">
      <c r="A428" t="str">
        <f>IF(Scan2VK!F40&lt;&gt;"",Scan2VK!F40,"")</f>
        <v>'L'</v>
      </c>
      <c r="B428" t="str">
        <f>IF(ISERROR(MATCH(0,INDEX(COUNTIF($B$1:B427,$A$2:$A$4629),0,0),0)),"",INDEX($A$2:$A$4629,MATCH(0,INDEX(COUNTIF($B$1:B427,$A$2:$A$4629),0,0),0)))</f>
        <v/>
      </c>
      <c r="C428" t="str">
        <f t="shared" si="6"/>
        <v/>
      </c>
    </row>
    <row r="429" spans="1:3" x14ac:dyDescent="0.25">
      <c r="A429" t="str">
        <f>IF(Scan2VK!F41&lt;&gt;"",Scan2VK!F41,"")</f>
        <v>OEM_1</v>
      </c>
      <c r="B429" t="str">
        <f>IF(ISERROR(MATCH(0,INDEX(COUNTIF($B$1:B428,$A$2:$A$4629),0,0),0)),"",INDEX($A$2:$A$4629,MATCH(0,INDEX(COUNTIF($B$1:B428,$A$2:$A$4629),0,0),0)))</f>
        <v/>
      </c>
      <c r="C429" t="str">
        <f t="shared" si="6"/>
        <v/>
      </c>
    </row>
    <row r="430" spans="1:3" x14ac:dyDescent="0.25">
      <c r="A430" t="str">
        <f>IF(Scan2VK!F42&lt;&gt;"",Scan2VK!F42,"")</f>
        <v>OEM_7</v>
      </c>
      <c r="B430" t="str">
        <f>IF(ISERROR(MATCH(0,INDEX(COUNTIF($B$1:B429,$A$2:$A$4629),0,0),0)),"",INDEX($A$2:$A$4629,MATCH(0,INDEX(COUNTIF($B$1:B429,$A$2:$A$4629),0,0),0)))</f>
        <v/>
      </c>
      <c r="C430" t="str">
        <f t="shared" si="6"/>
        <v/>
      </c>
    </row>
    <row r="431" spans="1:3" x14ac:dyDescent="0.25">
      <c r="A431" t="str">
        <f>IF(Scan2VK!F43&lt;&gt;"",Scan2VK!F43,"")</f>
        <v>OEM_3</v>
      </c>
      <c r="B431" t="str">
        <f>IF(ISERROR(MATCH(0,INDEX(COUNTIF($B$1:B430,$A$2:$A$4629),0,0),0)),"",INDEX($A$2:$A$4629,MATCH(0,INDEX(COUNTIF($B$1:B430,$A$2:$A$4629),0,0),0)))</f>
        <v/>
      </c>
      <c r="C431" t="str">
        <f t="shared" si="6"/>
        <v/>
      </c>
    </row>
    <row r="432" spans="1:3" x14ac:dyDescent="0.25">
      <c r="A432" t="str">
        <f>IF(Scan2VK!F44&lt;&gt;"",Scan2VK!F44,"")</f>
        <v>LSHIFT</v>
      </c>
      <c r="B432" t="str">
        <f>IF(ISERROR(MATCH(0,INDEX(COUNTIF($B$1:B431,$A$2:$A$4629),0,0),0)),"",INDEX($A$2:$A$4629,MATCH(0,INDEX(COUNTIF($B$1:B431,$A$2:$A$4629),0,0),0)))</f>
        <v/>
      </c>
      <c r="C432" t="str">
        <f t="shared" si="6"/>
        <v/>
      </c>
    </row>
    <row r="433" spans="1:3" x14ac:dyDescent="0.25">
      <c r="A433" t="str">
        <f>IF(Scan2VK!F45&lt;&gt;"",Scan2VK!F45,"")</f>
        <v>OEM_5</v>
      </c>
      <c r="B433" t="str">
        <f>IF(ISERROR(MATCH(0,INDEX(COUNTIF($B$1:B432,$A$2:$A$4629),0,0),0)),"",INDEX($A$2:$A$4629,MATCH(0,INDEX(COUNTIF($B$1:B432,$A$2:$A$4629),0,0),0)))</f>
        <v/>
      </c>
      <c r="C433" t="str">
        <f t="shared" si="6"/>
        <v/>
      </c>
    </row>
    <row r="434" spans="1:3" x14ac:dyDescent="0.25">
      <c r="A434" t="str">
        <f>IF(Scan2VK!F46&lt;&gt;"",Scan2VK!F46,"")</f>
        <v>'Z'</v>
      </c>
      <c r="B434" t="str">
        <f>IF(ISERROR(MATCH(0,INDEX(COUNTIF($B$1:B433,$A$2:$A$4629),0,0),0)),"",INDEX($A$2:$A$4629,MATCH(0,INDEX(COUNTIF($B$1:B433,$A$2:$A$4629),0,0),0)))</f>
        <v/>
      </c>
      <c r="C434" t="str">
        <f t="shared" si="6"/>
        <v/>
      </c>
    </row>
    <row r="435" spans="1:3" x14ac:dyDescent="0.25">
      <c r="A435" t="str">
        <f>IF(Scan2VK!F47&lt;&gt;"",Scan2VK!F47,"")</f>
        <v>'X'</v>
      </c>
      <c r="B435" t="str">
        <f>IF(ISERROR(MATCH(0,INDEX(COUNTIF($B$1:B434,$A$2:$A$4629),0,0),0)),"",INDEX($A$2:$A$4629,MATCH(0,INDEX(COUNTIF($B$1:B434,$A$2:$A$4629),0,0),0)))</f>
        <v/>
      </c>
      <c r="C435" t="str">
        <f t="shared" si="6"/>
        <v/>
      </c>
    </row>
    <row r="436" spans="1:3" x14ac:dyDescent="0.25">
      <c r="A436" t="str">
        <f>IF(Scan2VK!F48&lt;&gt;"",Scan2VK!F48,"")</f>
        <v>'C'</v>
      </c>
      <c r="B436" t="str">
        <f>IF(ISERROR(MATCH(0,INDEX(COUNTIF($B$1:B435,$A$2:$A$4629),0,0),0)),"",INDEX($A$2:$A$4629,MATCH(0,INDEX(COUNTIF($B$1:B435,$A$2:$A$4629),0,0),0)))</f>
        <v/>
      </c>
      <c r="C436" t="str">
        <f t="shared" si="6"/>
        <v/>
      </c>
    </row>
    <row r="437" spans="1:3" x14ac:dyDescent="0.25">
      <c r="A437" t="str">
        <f>IF(Scan2VK!F49&lt;&gt;"",Scan2VK!F49,"")</f>
        <v>'V'</v>
      </c>
      <c r="B437" t="str">
        <f>IF(ISERROR(MATCH(0,INDEX(COUNTIF($B$1:B436,$A$2:$A$4629),0,0),0)),"",INDEX($A$2:$A$4629,MATCH(0,INDEX(COUNTIF($B$1:B436,$A$2:$A$4629),0,0),0)))</f>
        <v/>
      </c>
      <c r="C437" t="str">
        <f t="shared" si="6"/>
        <v/>
      </c>
    </row>
    <row r="438" spans="1:3" x14ac:dyDescent="0.25">
      <c r="A438" t="str">
        <f>IF(Scan2VK!F50&lt;&gt;"",Scan2VK!F50,"")</f>
        <v>'B'</v>
      </c>
      <c r="B438" t="str">
        <f>IF(ISERROR(MATCH(0,INDEX(COUNTIF($B$1:B437,$A$2:$A$4629),0,0),0)),"",INDEX($A$2:$A$4629,MATCH(0,INDEX(COUNTIF($B$1:B437,$A$2:$A$4629),0,0),0)))</f>
        <v/>
      </c>
      <c r="C438" t="str">
        <f t="shared" si="6"/>
        <v/>
      </c>
    </row>
    <row r="439" spans="1:3" x14ac:dyDescent="0.25">
      <c r="A439" t="str">
        <f>IF(Scan2VK!F51&lt;&gt;"",Scan2VK!F51,"")</f>
        <v>'N'</v>
      </c>
      <c r="B439" t="str">
        <f>IF(ISERROR(MATCH(0,INDEX(COUNTIF($B$1:B438,$A$2:$A$4629),0,0),0)),"",INDEX($A$2:$A$4629,MATCH(0,INDEX(COUNTIF($B$1:B438,$A$2:$A$4629),0,0),0)))</f>
        <v/>
      </c>
      <c r="C439" t="str">
        <f t="shared" si="6"/>
        <v/>
      </c>
    </row>
    <row r="440" spans="1:3" x14ac:dyDescent="0.25">
      <c r="A440" t="str">
        <f>IF(Scan2VK!F52&lt;&gt;"",Scan2VK!F52,"")</f>
        <v>'M'</v>
      </c>
      <c r="B440" t="str">
        <f>IF(ISERROR(MATCH(0,INDEX(COUNTIF($B$1:B439,$A$2:$A$4629),0,0),0)),"",INDEX($A$2:$A$4629,MATCH(0,INDEX(COUNTIF($B$1:B439,$A$2:$A$4629),0,0),0)))</f>
        <v/>
      </c>
      <c r="C440" t="str">
        <f t="shared" si="6"/>
        <v/>
      </c>
    </row>
    <row r="441" spans="1:3" x14ac:dyDescent="0.25">
      <c r="A441" t="str">
        <f>IF(Scan2VK!F53&lt;&gt;"",Scan2VK!F53,"")</f>
        <v>OEM_COMMA</v>
      </c>
      <c r="B441" t="str">
        <f>IF(ISERROR(MATCH(0,INDEX(COUNTIF($B$1:B440,$A$2:$A$4629),0,0),0)),"",INDEX($A$2:$A$4629,MATCH(0,INDEX(COUNTIF($B$1:B440,$A$2:$A$4629),0,0),0)))</f>
        <v/>
      </c>
      <c r="C441" t="str">
        <f t="shared" si="6"/>
        <v/>
      </c>
    </row>
    <row r="442" spans="1:3" x14ac:dyDescent="0.25">
      <c r="A442" t="str">
        <f>IF(Scan2VK!F54&lt;&gt;"",Scan2VK!F54,"")</f>
        <v>OEM_PERIOD</v>
      </c>
      <c r="B442" t="str">
        <f>IF(ISERROR(MATCH(0,INDEX(COUNTIF($B$1:B441,$A$2:$A$4629),0,0),0)),"",INDEX($A$2:$A$4629,MATCH(0,INDEX(COUNTIF($B$1:B441,$A$2:$A$4629),0,0),0)))</f>
        <v/>
      </c>
      <c r="C442" t="str">
        <f t="shared" si="6"/>
        <v/>
      </c>
    </row>
    <row r="443" spans="1:3" x14ac:dyDescent="0.25">
      <c r="A443" t="str">
        <f>IF(Scan2VK!F55&lt;&gt;"",Scan2VK!F55,"")</f>
        <v>OEM_2</v>
      </c>
      <c r="B443" t="str">
        <f>IF(ISERROR(MATCH(0,INDEX(COUNTIF($B$1:B442,$A$2:$A$4629),0,0),0)),"",INDEX($A$2:$A$4629,MATCH(0,INDEX(COUNTIF($B$1:B442,$A$2:$A$4629),0,0),0)))</f>
        <v/>
      </c>
      <c r="C443" t="str">
        <f t="shared" si="6"/>
        <v/>
      </c>
    </row>
    <row r="444" spans="1:3" x14ac:dyDescent="0.25">
      <c r="A444" t="str">
        <f>IF(Scan2VK!F56&lt;&gt;"",Scan2VK!F56,"")</f>
        <v>RSHIFT</v>
      </c>
      <c r="B444" t="str">
        <f>IF(ISERROR(MATCH(0,INDEX(COUNTIF($B$1:B443,$A$2:$A$4629),0,0),0)),"",INDEX($A$2:$A$4629,MATCH(0,INDEX(COUNTIF($B$1:B443,$A$2:$A$4629),0,0),0)))</f>
        <v/>
      </c>
      <c r="C444" t="str">
        <f t="shared" si="6"/>
        <v/>
      </c>
    </row>
    <row r="445" spans="1:3" x14ac:dyDescent="0.25">
      <c r="A445" t="str">
        <f>IF(Scan2VK!F57&lt;&gt;"",Scan2VK!F57,"")</f>
        <v>MULTIPLY</v>
      </c>
      <c r="B445" t="str">
        <f>IF(ISERROR(MATCH(0,INDEX(COUNTIF($B$1:B444,$A$2:$A$4629),0,0),0)),"",INDEX($A$2:$A$4629,MATCH(0,INDEX(COUNTIF($B$1:B444,$A$2:$A$4629),0,0),0)))</f>
        <v/>
      </c>
      <c r="C445" t="str">
        <f t="shared" si="6"/>
        <v/>
      </c>
    </row>
    <row r="446" spans="1:3" x14ac:dyDescent="0.25">
      <c r="A446" t="str">
        <f>IF(Scan2VK!F58&lt;&gt;"",Scan2VK!F58,"")</f>
        <v>LMENU</v>
      </c>
      <c r="B446" t="str">
        <f>IF(ISERROR(MATCH(0,INDEX(COUNTIF($B$1:B445,$A$2:$A$4629),0,0),0)),"",INDEX($A$2:$A$4629,MATCH(0,INDEX(COUNTIF($B$1:B445,$A$2:$A$4629),0,0),0)))</f>
        <v/>
      </c>
      <c r="C446" t="str">
        <f t="shared" si="6"/>
        <v/>
      </c>
    </row>
    <row r="447" spans="1:3" x14ac:dyDescent="0.25">
      <c r="A447" t="str">
        <f>IF(Scan2VK!F59&lt;&gt;"",Scan2VK!F59,"")</f>
        <v>''</v>
      </c>
      <c r="B447" t="str">
        <f>IF(ISERROR(MATCH(0,INDEX(COUNTIF($B$1:B446,$A$2:$A$4629),0,0),0)),"",INDEX($A$2:$A$4629,MATCH(0,INDEX(COUNTIF($B$1:B446,$A$2:$A$4629),0,0),0)))</f>
        <v/>
      </c>
      <c r="C447" t="str">
        <f t="shared" si="6"/>
        <v/>
      </c>
    </row>
    <row r="448" spans="1:3" x14ac:dyDescent="0.25">
      <c r="A448" t="str">
        <f>IF(Scan2VK!F60&lt;&gt;"",Scan2VK!F60,"")</f>
        <v>CAPITAL</v>
      </c>
      <c r="B448" t="str">
        <f>IF(ISERROR(MATCH(0,INDEX(COUNTIF($B$1:B447,$A$2:$A$4629),0,0),0)),"",INDEX($A$2:$A$4629,MATCH(0,INDEX(COUNTIF($B$1:B447,$A$2:$A$4629),0,0),0)))</f>
        <v/>
      </c>
      <c r="C448" t="str">
        <f t="shared" si="6"/>
        <v/>
      </c>
    </row>
    <row r="449" spans="1:3" x14ac:dyDescent="0.25">
      <c r="A449" t="str">
        <f>IF(Scan2VK!F61&lt;&gt;"",Scan2VK!F61,"")</f>
        <v>F1</v>
      </c>
      <c r="B449" t="str">
        <f>IF(ISERROR(MATCH(0,INDEX(COUNTIF($B$1:B448,$A$2:$A$4629),0,0),0)),"",INDEX($A$2:$A$4629,MATCH(0,INDEX(COUNTIF($B$1:B448,$A$2:$A$4629),0,0),0)))</f>
        <v/>
      </c>
      <c r="C449" t="str">
        <f t="shared" si="6"/>
        <v/>
      </c>
    </row>
    <row r="450" spans="1:3" x14ac:dyDescent="0.25">
      <c r="A450" t="str">
        <f>IF(Scan2VK!F62&lt;&gt;"",Scan2VK!F62,"")</f>
        <v>F2</v>
      </c>
      <c r="B450" t="str">
        <f>IF(ISERROR(MATCH(0,INDEX(COUNTIF($B$1:B449,$A$2:$A$4629),0,0),0)),"",INDEX($A$2:$A$4629,MATCH(0,INDEX(COUNTIF($B$1:B449,$A$2:$A$4629),0,0),0)))</f>
        <v/>
      </c>
      <c r="C450" t="str">
        <f t="shared" si="6"/>
        <v/>
      </c>
    </row>
    <row r="451" spans="1:3" x14ac:dyDescent="0.25">
      <c r="A451" t="str">
        <f>IF(Scan2VK!F63&lt;&gt;"",Scan2VK!F63,"")</f>
        <v>F3</v>
      </c>
      <c r="B451" t="str">
        <f>IF(ISERROR(MATCH(0,INDEX(COUNTIF($B$1:B450,$A$2:$A$4629),0,0),0)),"",INDEX($A$2:$A$4629,MATCH(0,INDEX(COUNTIF($B$1:B450,$A$2:$A$4629),0,0),0)))</f>
        <v/>
      </c>
      <c r="C451" t="str">
        <f t="shared" ref="C451:C514" si="7">IF(B451&lt;&gt;"","&lt;xs:enumeration value="""&amp;B451&amp;"""/&gt;","")</f>
        <v/>
      </c>
    </row>
    <row r="452" spans="1:3" x14ac:dyDescent="0.25">
      <c r="A452" t="str">
        <f>IF(Scan2VK!F64&lt;&gt;"",Scan2VK!F64,"")</f>
        <v>F4</v>
      </c>
      <c r="B452" t="str">
        <f>IF(ISERROR(MATCH(0,INDEX(COUNTIF($B$1:B451,$A$2:$A$4629),0,0),0)),"",INDEX($A$2:$A$4629,MATCH(0,INDEX(COUNTIF($B$1:B451,$A$2:$A$4629),0,0),0)))</f>
        <v/>
      </c>
      <c r="C452" t="str">
        <f t="shared" si="7"/>
        <v/>
      </c>
    </row>
    <row r="453" spans="1:3" x14ac:dyDescent="0.25">
      <c r="A453" t="str">
        <f>IF(Scan2VK!F65&lt;&gt;"",Scan2VK!F65,"")</f>
        <v>F5</v>
      </c>
      <c r="B453" t="str">
        <f>IF(ISERROR(MATCH(0,INDEX(COUNTIF($B$1:B452,$A$2:$A$4629),0,0),0)),"",INDEX($A$2:$A$4629,MATCH(0,INDEX(COUNTIF($B$1:B452,$A$2:$A$4629),0,0),0)))</f>
        <v/>
      </c>
      <c r="C453" t="str">
        <f t="shared" si="7"/>
        <v/>
      </c>
    </row>
    <row r="454" spans="1:3" x14ac:dyDescent="0.25">
      <c r="A454" t="str">
        <f>IF(Scan2VK!F66&lt;&gt;"",Scan2VK!F66,"")</f>
        <v>F6</v>
      </c>
      <c r="B454" t="str">
        <f>IF(ISERROR(MATCH(0,INDEX(COUNTIF($B$1:B453,$A$2:$A$4629),0,0),0)),"",INDEX($A$2:$A$4629,MATCH(0,INDEX(COUNTIF($B$1:B453,$A$2:$A$4629),0,0),0)))</f>
        <v/>
      </c>
      <c r="C454" t="str">
        <f t="shared" si="7"/>
        <v/>
      </c>
    </row>
    <row r="455" spans="1:3" x14ac:dyDescent="0.25">
      <c r="A455" t="str">
        <f>IF(Scan2VK!F67&lt;&gt;"",Scan2VK!F67,"")</f>
        <v>F7</v>
      </c>
      <c r="B455" t="str">
        <f>IF(ISERROR(MATCH(0,INDEX(COUNTIF($B$1:B454,$A$2:$A$4629),0,0),0)),"",INDEX($A$2:$A$4629,MATCH(0,INDEX(COUNTIF($B$1:B454,$A$2:$A$4629),0,0),0)))</f>
        <v/>
      </c>
      <c r="C455" t="str">
        <f t="shared" si="7"/>
        <v/>
      </c>
    </row>
    <row r="456" spans="1:3" x14ac:dyDescent="0.25">
      <c r="A456" t="str">
        <f>IF(Scan2VK!F68&lt;&gt;"",Scan2VK!F68,"")</f>
        <v>F8</v>
      </c>
      <c r="B456" t="str">
        <f>IF(ISERROR(MATCH(0,INDEX(COUNTIF($B$1:B455,$A$2:$A$4629),0,0),0)),"",INDEX($A$2:$A$4629,MATCH(0,INDEX(COUNTIF($B$1:B455,$A$2:$A$4629),0,0),0)))</f>
        <v/>
      </c>
      <c r="C456" t="str">
        <f t="shared" si="7"/>
        <v/>
      </c>
    </row>
    <row r="457" spans="1:3" x14ac:dyDescent="0.25">
      <c r="A457" t="str">
        <f>IF(Scan2VK!F69&lt;&gt;"",Scan2VK!F69,"")</f>
        <v>F9</v>
      </c>
      <c r="B457" t="str">
        <f>IF(ISERROR(MATCH(0,INDEX(COUNTIF($B$1:B456,$A$2:$A$4629),0,0),0)),"",INDEX($A$2:$A$4629,MATCH(0,INDEX(COUNTIF($B$1:B456,$A$2:$A$4629),0,0),0)))</f>
        <v/>
      </c>
      <c r="C457" t="str">
        <f t="shared" si="7"/>
        <v/>
      </c>
    </row>
    <row r="458" spans="1:3" x14ac:dyDescent="0.25">
      <c r="A458" t="str">
        <f>IF(Scan2VK!F70&lt;&gt;"",Scan2VK!F70,"")</f>
        <v>F10</v>
      </c>
      <c r="B458" t="str">
        <f>IF(ISERROR(MATCH(0,INDEX(COUNTIF($B$1:B457,$A$2:$A$4629),0,0),0)),"",INDEX($A$2:$A$4629,MATCH(0,INDEX(COUNTIF($B$1:B457,$A$2:$A$4629),0,0),0)))</f>
        <v/>
      </c>
      <c r="C458" t="str">
        <f t="shared" si="7"/>
        <v/>
      </c>
    </row>
    <row r="459" spans="1:3" x14ac:dyDescent="0.25">
      <c r="A459" t="str">
        <f>IF(Scan2VK!F71&lt;&gt;"",Scan2VK!F71,"")</f>
        <v>NUMLOCK</v>
      </c>
      <c r="B459" t="str">
        <f>IF(ISERROR(MATCH(0,INDEX(COUNTIF($B$1:B458,$A$2:$A$4629),0,0),0)),"",INDEX($A$2:$A$4629,MATCH(0,INDEX(COUNTIF($B$1:B458,$A$2:$A$4629),0,0),0)))</f>
        <v/>
      </c>
      <c r="C459" t="str">
        <f t="shared" si="7"/>
        <v/>
      </c>
    </row>
    <row r="460" spans="1:3" x14ac:dyDescent="0.25">
      <c r="A460" t="str">
        <f>IF(Scan2VK!F72&lt;&gt;"",Scan2VK!F72,"")</f>
        <v>SCROLL</v>
      </c>
      <c r="B460" t="str">
        <f>IF(ISERROR(MATCH(0,INDEX(COUNTIF($B$1:B459,$A$2:$A$4629),0,0),0)),"",INDEX($A$2:$A$4629,MATCH(0,INDEX(COUNTIF($B$1:B459,$A$2:$A$4629),0,0),0)))</f>
        <v/>
      </c>
      <c r="C460" t="str">
        <f t="shared" si="7"/>
        <v/>
      </c>
    </row>
    <row r="461" spans="1:3" x14ac:dyDescent="0.25">
      <c r="A461" t="str">
        <f>IF(Scan2VK!F73&lt;&gt;"",Scan2VK!F73,"")</f>
        <v>HOME</v>
      </c>
      <c r="B461" t="str">
        <f>IF(ISERROR(MATCH(0,INDEX(COUNTIF($B$1:B460,$A$2:$A$4629),0,0),0)),"",INDEX($A$2:$A$4629,MATCH(0,INDEX(COUNTIF($B$1:B460,$A$2:$A$4629),0,0),0)))</f>
        <v/>
      </c>
      <c r="C461" t="str">
        <f t="shared" si="7"/>
        <v/>
      </c>
    </row>
    <row r="462" spans="1:3" x14ac:dyDescent="0.25">
      <c r="A462" t="str">
        <f>IF(Scan2VK!F74&lt;&gt;"",Scan2VK!F74,"")</f>
        <v>UP</v>
      </c>
      <c r="B462" t="str">
        <f>IF(ISERROR(MATCH(0,INDEX(COUNTIF($B$1:B461,$A$2:$A$4629),0,0),0)),"",INDEX($A$2:$A$4629,MATCH(0,INDEX(COUNTIF($B$1:B461,$A$2:$A$4629),0,0),0)))</f>
        <v/>
      </c>
      <c r="C462" t="str">
        <f t="shared" si="7"/>
        <v/>
      </c>
    </row>
    <row r="463" spans="1:3" x14ac:dyDescent="0.25">
      <c r="A463" t="str">
        <f>IF(Scan2VK!F75&lt;&gt;"",Scan2VK!F75,"")</f>
        <v>PRIOR</v>
      </c>
      <c r="B463" t="str">
        <f>IF(ISERROR(MATCH(0,INDEX(COUNTIF($B$1:B462,$A$2:$A$4629),0,0),0)),"",INDEX($A$2:$A$4629,MATCH(0,INDEX(COUNTIF($B$1:B462,$A$2:$A$4629),0,0),0)))</f>
        <v/>
      </c>
      <c r="C463" t="str">
        <f t="shared" si="7"/>
        <v/>
      </c>
    </row>
    <row r="464" spans="1:3" x14ac:dyDescent="0.25">
      <c r="A464" t="str">
        <f>IF(Scan2VK!F76&lt;&gt;"",Scan2VK!F76,"")</f>
        <v>SUBTRACT</v>
      </c>
      <c r="B464" t="str">
        <f>IF(ISERROR(MATCH(0,INDEX(COUNTIF($B$1:B463,$A$2:$A$4629),0,0),0)),"",INDEX($A$2:$A$4629,MATCH(0,INDEX(COUNTIF($B$1:B463,$A$2:$A$4629),0,0),0)))</f>
        <v/>
      </c>
      <c r="C464" t="str">
        <f t="shared" si="7"/>
        <v/>
      </c>
    </row>
    <row r="465" spans="1:3" x14ac:dyDescent="0.25">
      <c r="A465" t="str">
        <f>IF(Scan2VK!F77&lt;&gt;"",Scan2VK!F77,"")</f>
        <v>LEFT</v>
      </c>
      <c r="B465" t="str">
        <f>IF(ISERROR(MATCH(0,INDEX(COUNTIF($B$1:B464,$A$2:$A$4629),0,0),0)),"",INDEX($A$2:$A$4629,MATCH(0,INDEX(COUNTIF($B$1:B464,$A$2:$A$4629),0,0),0)))</f>
        <v/>
      </c>
      <c r="C465" t="str">
        <f t="shared" si="7"/>
        <v/>
      </c>
    </row>
    <row r="466" spans="1:3" x14ac:dyDescent="0.25">
      <c r="A466" t="str">
        <f>IF(Scan2VK!F78&lt;&gt;"",Scan2VK!F78,"")</f>
        <v>CLEAR</v>
      </c>
      <c r="B466" t="str">
        <f>IF(ISERROR(MATCH(0,INDEX(COUNTIF($B$1:B465,$A$2:$A$4629),0,0),0)),"",INDEX($A$2:$A$4629,MATCH(0,INDEX(COUNTIF($B$1:B465,$A$2:$A$4629),0,0),0)))</f>
        <v/>
      </c>
      <c r="C466" t="str">
        <f t="shared" si="7"/>
        <v/>
      </c>
    </row>
    <row r="467" spans="1:3" x14ac:dyDescent="0.25">
      <c r="A467" t="str">
        <f>IF(Scan2VK!F79&lt;&gt;"",Scan2VK!F79,"")</f>
        <v>RIGHT</v>
      </c>
      <c r="B467" t="str">
        <f>IF(ISERROR(MATCH(0,INDEX(COUNTIF($B$1:B466,$A$2:$A$4629),0,0),0)),"",INDEX($A$2:$A$4629,MATCH(0,INDEX(COUNTIF($B$1:B466,$A$2:$A$4629),0,0),0)))</f>
        <v/>
      </c>
      <c r="C467" t="str">
        <f t="shared" si="7"/>
        <v/>
      </c>
    </row>
    <row r="468" spans="1:3" x14ac:dyDescent="0.25">
      <c r="A468" t="str">
        <f>IF(Scan2VK!F80&lt;&gt;"",Scan2VK!F80,"")</f>
        <v>ADD</v>
      </c>
      <c r="B468" t="str">
        <f>IF(ISERROR(MATCH(0,INDEX(COUNTIF($B$1:B467,$A$2:$A$4629),0,0),0)),"",INDEX($A$2:$A$4629,MATCH(0,INDEX(COUNTIF($B$1:B467,$A$2:$A$4629),0,0),0)))</f>
        <v/>
      </c>
      <c r="C468" t="str">
        <f t="shared" si="7"/>
        <v/>
      </c>
    </row>
    <row r="469" spans="1:3" x14ac:dyDescent="0.25">
      <c r="A469" t="str">
        <f>IF(Scan2VK!F81&lt;&gt;"",Scan2VK!F81,"")</f>
        <v>END</v>
      </c>
      <c r="B469" t="str">
        <f>IF(ISERROR(MATCH(0,INDEX(COUNTIF($B$1:B468,$A$2:$A$4629),0,0),0)),"",INDEX($A$2:$A$4629,MATCH(0,INDEX(COUNTIF($B$1:B468,$A$2:$A$4629),0,0),0)))</f>
        <v/>
      </c>
      <c r="C469" t="str">
        <f t="shared" si="7"/>
        <v/>
      </c>
    </row>
    <row r="470" spans="1:3" x14ac:dyDescent="0.25">
      <c r="A470" t="str">
        <f>IF(Scan2VK!F82&lt;&gt;"",Scan2VK!F82,"")</f>
        <v>DOWN</v>
      </c>
      <c r="B470" t="str">
        <f>IF(ISERROR(MATCH(0,INDEX(COUNTIF($B$1:B469,$A$2:$A$4629),0,0),0)),"",INDEX($A$2:$A$4629,MATCH(0,INDEX(COUNTIF($B$1:B469,$A$2:$A$4629),0,0),0)))</f>
        <v/>
      </c>
      <c r="C470" t="str">
        <f t="shared" si="7"/>
        <v/>
      </c>
    </row>
    <row r="471" spans="1:3" x14ac:dyDescent="0.25">
      <c r="A471" t="str">
        <f>IF(Scan2VK!F83&lt;&gt;"",Scan2VK!F83,"")</f>
        <v>NEXT</v>
      </c>
      <c r="B471" t="str">
        <f>IF(ISERROR(MATCH(0,INDEX(COUNTIF($B$1:B470,$A$2:$A$4629),0,0),0)),"",INDEX($A$2:$A$4629,MATCH(0,INDEX(COUNTIF($B$1:B470,$A$2:$A$4629),0,0),0)))</f>
        <v/>
      </c>
      <c r="C471" t="str">
        <f t="shared" si="7"/>
        <v/>
      </c>
    </row>
    <row r="472" spans="1:3" x14ac:dyDescent="0.25">
      <c r="A472" t="str">
        <f>IF(Scan2VK!F84&lt;&gt;"",Scan2VK!F84,"")</f>
        <v>INSERT</v>
      </c>
      <c r="B472" t="str">
        <f>IF(ISERROR(MATCH(0,INDEX(COUNTIF($B$1:B471,$A$2:$A$4629),0,0),0)),"",INDEX($A$2:$A$4629,MATCH(0,INDEX(COUNTIF($B$1:B471,$A$2:$A$4629),0,0),0)))</f>
        <v/>
      </c>
      <c r="C472" t="str">
        <f t="shared" si="7"/>
        <v/>
      </c>
    </row>
    <row r="473" spans="1:3" x14ac:dyDescent="0.25">
      <c r="A473" t="str">
        <f>IF(Scan2VK!F85&lt;&gt;"",Scan2VK!F85,"")</f>
        <v>DELETE</v>
      </c>
      <c r="B473" t="str">
        <f>IF(ISERROR(MATCH(0,INDEX(COUNTIF($B$1:B472,$A$2:$A$4629),0,0),0)),"",INDEX($A$2:$A$4629,MATCH(0,INDEX(COUNTIF($B$1:B472,$A$2:$A$4629),0,0),0)))</f>
        <v/>
      </c>
      <c r="C473" t="str">
        <f t="shared" si="7"/>
        <v/>
      </c>
    </row>
    <row r="474" spans="1:3" x14ac:dyDescent="0.25">
      <c r="A474" t="str">
        <f>IF(Scan2VK!F86&lt;&gt;"",Scan2VK!F86,"")</f>
        <v>SNAPSHOT</v>
      </c>
      <c r="B474" t="str">
        <f>IF(ISERROR(MATCH(0,INDEX(COUNTIF($B$1:B473,$A$2:$A$4629),0,0),0)),"",INDEX($A$2:$A$4629,MATCH(0,INDEX(COUNTIF($B$1:B473,$A$2:$A$4629),0,0),0)))</f>
        <v/>
      </c>
      <c r="C474" t="str">
        <f t="shared" si="7"/>
        <v/>
      </c>
    </row>
    <row r="475" spans="1:3" x14ac:dyDescent="0.25">
      <c r="A475" t="str">
        <f>IF(Scan2VK!F87&lt;&gt;"",Scan2VK!F87,"")</f>
        <v>_none_</v>
      </c>
      <c r="B475" t="str">
        <f>IF(ISERROR(MATCH(0,INDEX(COUNTIF($B$1:B474,$A$2:$A$4629),0,0),0)),"",INDEX($A$2:$A$4629,MATCH(0,INDEX(COUNTIF($B$1:B474,$A$2:$A$4629),0,0),0)))</f>
        <v/>
      </c>
      <c r="C475" t="str">
        <f t="shared" si="7"/>
        <v/>
      </c>
    </row>
    <row r="476" spans="1:3" x14ac:dyDescent="0.25">
      <c r="A476" t="str">
        <f>IF(Scan2VK!F88&lt;&gt;"",Scan2VK!F88,"")</f>
        <v>OEM_102</v>
      </c>
      <c r="B476" t="str">
        <f>IF(ISERROR(MATCH(0,INDEX(COUNTIF($B$1:B475,$A$2:$A$4629),0,0),0)),"",INDEX($A$2:$A$4629,MATCH(0,INDEX(COUNTIF($B$1:B475,$A$2:$A$4629),0,0),0)))</f>
        <v/>
      </c>
      <c r="C476" t="str">
        <f t="shared" si="7"/>
        <v/>
      </c>
    </row>
    <row r="477" spans="1:3" x14ac:dyDescent="0.25">
      <c r="A477" t="str">
        <f>IF(Scan2VK!F89&lt;&gt;"",Scan2VK!F89,"")</f>
        <v>F11</v>
      </c>
      <c r="B477" t="str">
        <f>IF(ISERROR(MATCH(0,INDEX(COUNTIF($B$1:B476,$A$2:$A$4629),0,0),0)),"",INDEX($A$2:$A$4629,MATCH(0,INDEX(COUNTIF($B$1:B476,$A$2:$A$4629),0,0),0)))</f>
        <v/>
      </c>
      <c r="C477" t="str">
        <f t="shared" si="7"/>
        <v/>
      </c>
    </row>
    <row r="478" spans="1:3" x14ac:dyDescent="0.25">
      <c r="A478" t="str">
        <f>IF(Scan2VK!F90&lt;&gt;"",Scan2VK!F90,"")</f>
        <v>F12</v>
      </c>
      <c r="B478" t="str">
        <f>IF(ISERROR(MATCH(0,INDEX(COUNTIF($B$1:B477,$A$2:$A$4629),0,0),0)),"",INDEX($A$2:$A$4629,MATCH(0,INDEX(COUNTIF($B$1:B477,$A$2:$A$4629),0,0),0)))</f>
        <v/>
      </c>
      <c r="C478" t="str">
        <f t="shared" si="7"/>
        <v/>
      </c>
    </row>
    <row r="479" spans="1:3" x14ac:dyDescent="0.25">
      <c r="A479" t="str">
        <f>IF(Scan2VK!F91&lt;&gt;"",Scan2VK!F91,"")</f>
        <v>CLEAR</v>
      </c>
      <c r="B479" t="str">
        <f>IF(ISERROR(MATCH(0,INDEX(COUNTIF($B$1:B478,$A$2:$A$4629),0,0),0)),"",INDEX($A$2:$A$4629,MATCH(0,INDEX(COUNTIF($B$1:B478,$A$2:$A$4629),0,0),0)))</f>
        <v/>
      </c>
      <c r="C479" t="str">
        <f t="shared" si="7"/>
        <v/>
      </c>
    </row>
    <row r="480" spans="1:3" x14ac:dyDescent="0.25">
      <c r="A480" t="str">
        <f>IF(Scan2VK!F92&lt;&gt;"",Scan2VK!F92,"")</f>
        <v>OEM_WSCTRL</v>
      </c>
      <c r="B480" t="str">
        <f>IF(ISERROR(MATCH(0,INDEX(COUNTIF($B$1:B479,$A$2:$A$4629),0,0),0)),"",INDEX($A$2:$A$4629,MATCH(0,INDEX(COUNTIF($B$1:B479,$A$2:$A$4629),0,0),0)))</f>
        <v/>
      </c>
      <c r="C480" t="str">
        <f t="shared" si="7"/>
        <v/>
      </c>
    </row>
    <row r="481" spans="1:3" x14ac:dyDescent="0.25">
      <c r="A481" t="str">
        <f>IF(Scan2VK!F93&lt;&gt;"",Scan2VK!F93,"")</f>
        <v>OEM_FINISH</v>
      </c>
      <c r="B481" t="str">
        <f>IF(ISERROR(MATCH(0,INDEX(COUNTIF($B$1:B480,$A$2:$A$4629),0,0),0)),"",INDEX($A$2:$A$4629,MATCH(0,INDEX(COUNTIF($B$1:B480,$A$2:$A$4629),0,0),0)))</f>
        <v/>
      </c>
      <c r="C481" t="str">
        <f t="shared" si="7"/>
        <v/>
      </c>
    </row>
    <row r="482" spans="1:3" x14ac:dyDescent="0.25">
      <c r="A482" t="str">
        <f>IF(Scan2VK!F94&lt;&gt;"",Scan2VK!F94,"")</f>
        <v>OEM_JUMP</v>
      </c>
      <c r="B482" t="str">
        <f>IF(ISERROR(MATCH(0,INDEX(COUNTIF($B$1:B481,$A$2:$A$4629),0,0),0)),"",INDEX($A$2:$A$4629,MATCH(0,INDEX(COUNTIF($B$1:B481,$A$2:$A$4629),0,0),0)))</f>
        <v/>
      </c>
      <c r="C482" t="str">
        <f t="shared" si="7"/>
        <v/>
      </c>
    </row>
    <row r="483" spans="1:3" x14ac:dyDescent="0.25">
      <c r="A483" t="str">
        <f>IF(Scan2VK!F95&lt;&gt;"",Scan2VK!F95,"")</f>
        <v>EREOF</v>
      </c>
      <c r="B483" t="str">
        <f>IF(ISERROR(MATCH(0,INDEX(COUNTIF($B$1:B482,$A$2:$A$4629),0,0),0)),"",INDEX($A$2:$A$4629,MATCH(0,INDEX(COUNTIF($B$1:B482,$A$2:$A$4629),0,0),0)))</f>
        <v/>
      </c>
      <c r="C483" t="str">
        <f t="shared" si="7"/>
        <v/>
      </c>
    </row>
    <row r="484" spans="1:3" x14ac:dyDescent="0.25">
      <c r="A484" t="str">
        <f>IF(Scan2VK!F96&lt;&gt;"",Scan2VK!F96,"")</f>
        <v>OEM_BACKTAB</v>
      </c>
      <c r="B484" t="str">
        <f>IF(ISERROR(MATCH(0,INDEX(COUNTIF($B$1:B483,$A$2:$A$4629),0,0),0)),"",INDEX($A$2:$A$4629,MATCH(0,INDEX(COUNTIF($B$1:B483,$A$2:$A$4629),0,0),0)))</f>
        <v/>
      </c>
      <c r="C484" t="str">
        <f t="shared" si="7"/>
        <v/>
      </c>
    </row>
    <row r="485" spans="1:3" x14ac:dyDescent="0.25">
      <c r="A485" t="str">
        <f>IF(Scan2VK!F97&lt;&gt;"",Scan2VK!F97,"")</f>
        <v>OEM_AUTO</v>
      </c>
      <c r="B485" t="str">
        <f>IF(ISERROR(MATCH(0,INDEX(COUNTIF($B$1:B484,$A$2:$A$4629),0,0),0)),"",INDEX($A$2:$A$4629,MATCH(0,INDEX(COUNTIF($B$1:B484,$A$2:$A$4629),0,0),0)))</f>
        <v/>
      </c>
      <c r="C485" t="str">
        <f t="shared" si="7"/>
        <v/>
      </c>
    </row>
    <row r="486" spans="1:3" x14ac:dyDescent="0.25">
      <c r="A486" t="str">
        <f>IF(Scan2VK!F98&lt;&gt;"",Scan2VK!F98,"")</f>
        <v>_none_</v>
      </c>
      <c r="B486" t="str">
        <f>IF(ISERROR(MATCH(0,INDEX(COUNTIF($B$1:B485,$A$2:$A$4629),0,0),0)),"",INDEX($A$2:$A$4629,MATCH(0,INDEX(COUNTIF($B$1:B485,$A$2:$A$4629),0,0),0)))</f>
        <v/>
      </c>
      <c r="C486" t="str">
        <f t="shared" si="7"/>
        <v/>
      </c>
    </row>
    <row r="487" spans="1:3" x14ac:dyDescent="0.25">
      <c r="A487" t="str">
        <f>IF(Scan2VK!F99&lt;&gt;"",Scan2VK!F99,"")</f>
        <v>_none_</v>
      </c>
      <c r="B487" t="str">
        <f>IF(ISERROR(MATCH(0,INDEX(COUNTIF($B$1:B486,$A$2:$A$4629),0,0),0)),"",INDEX($A$2:$A$4629,MATCH(0,INDEX(COUNTIF($B$1:B486,$A$2:$A$4629),0,0),0)))</f>
        <v/>
      </c>
      <c r="C487" t="str">
        <f t="shared" si="7"/>
        <v/>
      </c>
    </row>
    <row r="488" spans="1:3" x14ac:dyDescent="0.25">
      <c r="A488" t="str">
        <f>IF(Scan2VK!F100&lt;&gt;"",Scan2VK!F100,"")</f>
        <v>ZOOM</v>
      </c>
      <c r="B488" t="str">
        <f>IF(ISERROR(MATCH(0,INDEX(COUNTIF($B$1:B487,$A$2:$A$4629),0,0),0)),"",INDEX($A$2:$A$4629,MATCH(0,INDEX(COUNTIF($B$1:B487,$A$2:$A$4629),0,0),0)))</f>
        <v/>
      </c>
      <c r="C488" t="str">
        <f t="shared" si="7"/>
        <v/>
      </c>
    </row>
    <row r="489" spans="1:3" x14ac:dyDescent="0.25">
      <c r="A489" t="str">
        <f>IF(Scan2VK!F101&lt;&gt;"",Scan2VK!F101,"")</f>
        <v>HELP</v>
      </c>
      <c r="B489" t="str">
        <f>IF(ISERROR(MATCH(0,INDEX(COUNTIF($B$1:B488,$A$2:$A$4629),0,0),0)),"",INDEX($A$2:$A$4629,MATCH(0,INDEX(COUNTIF($B$1:B488,$A$2:$A$4629),0,0),0)))</f>
        <v/>
      </c>
      <c r="C489" t="str">
        <f t="shared" si="7"/>
        <v/>
      </c>
    </row>
    <row r="490" spans="1:3" x14ac:dyDescent="0.25">
      <c r="A490" t="str">
        <f>IF(Scan2VK!F102&lt;&gt;"",Scan2VK!F102,"")</f>
        <v>F13</v>
      </c>
      <c r="B490" t="str">
        <f>IF(ISERROR(MATCH(0,INDEX(COUNTIF($B$1:B489,$A$2:$A$4629),0,0),0)),"",INDEX($A$2:$A$4629,MATCH(0,INDEX(COUNTIF($B$1:B489,$A$2:$A$4629),0,0),0)))</f>
        <v/>
      </c>
      <c r="C490" t="str">
        <f t="shared" si="7"/>
        <v/>
      </c>
    </row>
    <row r="491" spans="1:3" x14ac:dyDescent="0.25">
      <c r="A491" t="str">
        <f>IF(Scan2VK!F103&lt;&gt;"",Scan2VK!F103,"")</f>
        <v>F14</v>
      </c>
      <c r="B491" t="str">
        <f>IF(ISERROR(MATCH(0,INDEX(COUNTIF($B$1:B490,$A$2:$A$4629),0,0),0)),"",INDEX($A$2:$A$4629,MATCH(0,INDEX(COUNTIF($B$1:B490,$A$2:$A$4629),0,0),0)))</f>
        <v/>
      </c>
      <c r="C491" t="str">
        <f t="shared" si="7"/>
        <v/>
      </c>
    </row>
    <row r="492" spans="1:3" x14ac:dyDescent="0.25">
      <c r="A492" t="str">
        <f>IF(Scan2VK!F104&lt;&gt;"",Scan2VK!F104,"")</f>
        <v>F15</v>
      </c>
      <c r="B492" t="str">
        <f>IF(ISERROR(MATCH(0,INDEX(COUNTIF($B$1:B491,$A$2:$A$4629),0,0),0)),"",INDEX($A$2:$A$4629,MATCH(0,INDEX(COUNTIF($B$1:B491,$A$2:$A$4629),0,0),0)))</f>
        <v/>
      </c>
      <c r="C492" t="str">
        <f t="shared" si="7"/>
        <v/>
      </c>
    </row>
    <row r="493" spans="1:3" x14ac:dyDescent="0.25">
      <c r="A493" t="str">
        <f>IF(Scan2VK!F105&lt;&gt;"",Scan2VK!F105,"")</f>
        <v>F16</v>
      </c>
      <c r="B493" t="str">
        <f>IF(ISERROR(MATCH(0,INDEX(COUNTIF($B$1:B492,$A$2:$A$4629),0,0),0)),"",INDEX($A$2:$A$4629,MATCH(0,INDEX(COUNTIF($B$1:B492,$A$2:$A$4629),0,0),0)))</f>
        <v/>
      </c>
      <c r="C493" t="str">
        <f t="shared" si="7"/>
        <v/>
      </c>
    </row>
    <row r="494" spans="1:3" x14ac:dyDescent="0.25">
      <c r="A494" t="str">
        <f>IF(Scan2VK!F106&lt;&gt;"",Scan2VK!F106,"")</f>
        <v>F17</v>
      </c>
      <c r="B494" t="str">
        <f>IF(ISERROR(MATCH(0,INDEX(COUNTIF($B$1:B493,$A$2:$A$4629),0,0),0)),"",INDEX($A$2:$A$4629,MATCH(0,INDEX(COUNTIF($B$1:B493,$A$2:$A$4629),0,0),0)))</f>
        <v/>
      </c>
      <c r="C494" t="str">
        <f t="shared" si="7"/>
        <v/>
      </c>
    </row>
    <row r="495" spans="1:3" x14ac:dyDescent="0.25">
      <c r="A495" t="str">
        <f>IF(Scan2VK!F107&lt;&gt;"",Scan2VK!F107,"")</f>
        <v>F18</v>
      </c>
      <c r="B495" t="str">
        <f>IF(ISERROR(MATCH(0,INDEX(COUNTIF($B$1:B494,$A$2:$A$4629),0,0),0)),"",INDEX($A$2:$A$4629,MATCH(0,INDEX(COUNTIF($B$1:B494,$A$2:$A$4629),0,0),0)))</f>
        <v/>
      </c>
      <c r="C495" t="str">
        <f t="shared" si="7"/>
        <v/>
      </c>
    </row>
    <row r="496" spans="1:3" x14ac:dyDescent="0.25">
      <c r="A496" t="str">
        <f>IF(Scan2VK!F108&lt;&gt;"",Scan2VK!F108,"")</f>
        <v>F19</v>
      </c>
      <c r="B496" t="str">
        <f>IF(ISERROR(MATCH(0,INDEX(COUNTIF($B$1:B495,$A$2:$A$4629),0,0),0)),"",INDEX($A$2:$A$4629,MATCH(0,INDEX(COUNTIF($B$1:B495,$A$2:$A$4629),0,0),0)))</f>
        <v/>
      </c>
      <c r="C496" t="str">
        <f t="shared" si="7"/>
        <v/>
      </c>
    </row>
    <row r="497" spans="1:3" x14ac:dyDescent="0.25">
      <c r="A497" t="str">
        <f>IF(Scan2VK!F109&lt;&gt;"",Scan2VK!F109,"")</f>
        <v>F20</v>
      </c>
      <c r="B497" t="str">
        <f>IF(ISERROR(MATCH(0,INDEX(COUNTIF($B$1:B496,$A$2:$A$4629),0,0),0)),"",INDEX($A$2:$A$4629,MATCH(0,INDEX(COUNTIF($B$1:B496,$A$2:$A$4629),0,0),0)))</f>
        <v/>
      </c>
      <c r="C497" t="str">
        <f t="shared" si="7"/>
        <v/>
      </c>
    </row>
    <row r="498" spans="1:3" x14ac:dyDescent="0.25">
      <c r="A498" t="str">
        <f>IF(Scan2VK!F110&lt;&gt;"",Scan2VK!F110,"")</f>
        <v>F21</v>
      </c>
      <c r="B498" t="str">
        <f>IF(ISERROR(MATCH(0,INDEX(COUNTIF($B$1:B497,$A$2:$A$4629),0,0),0)),"",INDEX($A$2:$A$4629,MATCH(0,INDEX(COUNTIF($B$1:B497,$A$2:$A$4629),0,0),0)))</f>
        <v/>
      </c>
      <c r="C498" t="str">
        <f t="shared" si="7"/>
        <v/>
      </c>
    </row>
    <row r="499" spans="1:3" x14ac:dyDescent="0.25">
      <c r="A499" t="str">
        <f>IF(Scan2VK!F111&lt;&gt;"",Scan2VK!F111,"")</f>
        <v>F22</v>
      </c>
      <c r="B499" t="str">
        <f>IF(ISERROR(MATCH(0,INDEX(COUNTIF($B$1:B498,$A$2:$A$4629),0,0),0)),"",INDEX($A$2:$A$4629,MATCH(0,INDEX(COUNTIF($B$1:B498,$A$2:$A$4629),0,0),0)))</f>
        <v/>
      </c>
      <c r="C499" t="str">
        <f t="shared" si="7"/>
        <v/>
      </c>
    </row>
    <row r="500" spans="1:3" x14ac:dyDescent="0.25">
      <c r="A500" t="str">
        <f>IF(Scan2VK!F112&lt;&gt;"",Scan2VK!F112,"")</f>
        <v>F23</v>
      </c>
      <c r="B500" t="str">
        <f>IF(ISERROR(MATCH(0,INDEX(COUNTIF($B$1:B499,$A$2:$A$4629),0,0),0)),"",INDEX($A$2:$A$4629,MATCH(0,INDEX(COUNTIF($B$1:B499,$A$2:$A$4629),0,0),0)))</f>
        <v/>
      </c>
      <c r="C500" t="str">
        <f t="shared" si="7"/>
        <v/>
      </c>
    </row>
    <row r="501" spans="1:3" x14ac:dyDescent="0.25">
      <c r="A501" t="str">
        <f>IF(Scan2VK!F113&lt;&gt;"",Scan2VK!F113,"")</f>
        <v>OEM_PA3</v>
      </c>
      <c r="B501" t="str">
        <f>IF(ISERROR(MATCH(0,INDEX(COUNTIF($B$1:B500,$A$2:$A$4629),0,0),0)),"",INDEX($A$2:$A$4629,MATCH(0,INDEX(COUNTIF($B$1:B500,$A$2:$A$4629),0,0),0)))</f>
        <v/>
      </c>
      <c r="C501" t="str">
        <f t="shared" si="7"/>
        <v/>
      </c>
    </row>
    <row r="502" spans="1:3" x14ac:dyDescent="0.25">
      <c r="A502" t="str">
        <f>IF(Scan2VK!F114&lt;&gt;"",Scan2VK!F114,"")</f>
        <v>_none_</v>
      </c>
      <c r="B502" t="str">
        <f>IF(ISERROR(MATCH(0,INDEX(COUNTIF($B$1:B501,$A$2:$A$4629),0,0),0)),"",INDEX($A$2:$A$4629,MATCH(0,INDEX(COUNTIF($B$1:B501,$A$2:$A$4629),0,0),0)))</f>
        <v/>
      </c>
      <c r="C502" t="str">
        <f t="shared" si="7"/>
        <v/>
      </c>
    </row>
    <row r="503" spans="1:3" x14ac:dyDescent="0.25">
      <c r="A503" t="str">
        <f>IF(Scan2VK!F115&lt;&gt;"",Scan2VK!F115,"")</f>
        <v>OEM_RESET</v>
      </c>
      <c r="B503" t="str">
        <f>IF(ISERROR(MATCH(0,INDEX(COUNTIF($B$1:B502,$A$2:$A$4629),0,0),0)),"",INDEX($A$2:$A$4629,MATCH(0,INDEX(COUNTIF($B$1:B502,$A$2:$A$4629),0,0),0)))</f>
        <v/>
      </c>
      <c r="C503" t="str">
        <f t="shared" si="7"/>
        <v/>
      </c>
    </row>
    <row r="504" spans="1:3" x14ac:dyDescent="0.25">
      <c r="A504" t="str">
        <f>IF(Scan2VK!F116&lt;&gt;"",Scan2VK!F116,"")</f>
        <v>_none_</v>
      </c>
      <c r="B504" t="str">
        <f>IF(ISERROR(MATCH(0,INDEX(COUNTIF($B$1:B503,$A$2:$A$4629),0,0),0)),"",INDEX($A$2:$A$4629,MATCH(0,INDEX(COUNTIF($B$1:B503,$A$2:$A$4629),0,0),0)))</f>
        <v/>
      </c>
      <c r="C504" t="str">
        <f t="shared" si="7"/>
        <v/>
      </c>
    </row>
    <row r="505" spans="1:3" x14ac:dyDescent="0.25">
      <c r="A505" t="str">
        <f>IF(Scan2VK!F117&lt;&gt;"",Scan2VK!F117,"")</f>
        <v>ABNT_C1</v>
      </c>
      <c r="B505" t="str">
        <f>IF(ISERROR(MATCH(0,INDEX(COUNTIF($B$1:B504,$A$2:$A$4629),0,0),0)),"",INDEX($A$2:$A$4629,MATCH(0,INDEX(COUNTIF($B$1:B504,$A$2:$A$4629),0,0),0)))</f>
        <v/>
      </c>
      <c r="C505" t="str">
        <f t="shared" si="7"/>
        <v/>
      </c>
    </row>
    <row r="506" spans="1:3" x14ac:dyDescent="0.25">
      <c r="A506" t="str">
        <f>IF(Scan2VK!F118&lt;&gt;"",Scan2VK!F118,"")</f>
        <v>_none_</v>
      </c>
      <c r="B506" t="str">
        <f>IF(ISERROR(MATCH(0,INDEX(COUNTIF($B$1:B505,$A$2:$A$4629),0,0),0)),"",INDEX($A$2:$A$4629,MATCH(0,INDEX(COUNTIF($B$1:B505,$A$2:$A$4629),0,0),0)))</f>
        <v/>
      </c>
      <c r="C506" t="str">
        <f t="shared" si="7"/>
        <v/>
      </c>
    </row>
    <row r="507" spans="1:3" x14ac:dyDescent="0.25">
      <c r="A507" t="str">
        <f>IF(Scan2VK!F119&lt;&gt;"",Scan2VK!F119,"")</f>
        <v>_none_</v>
      </c>
      <c r="B507" t="str">
        <f>IF(ISERROR(MATCH(0,INDEX(COUNTIF($B$1:B506,$A$2:$A$4629),0,0),0)),"",INDEX($A$2:$A$4629,MATCH(0,INDEX(COUNTIF($B$1:B506,$A$2:$A$4629),0,0),0)))</f>
        <v/>
      </c>
      <c r="C507" t="str">
        <f t="shared" si="7"/>
        <v/>
      </c>
    </row>
    <row r="508" spans="1:3" x14ac:dyDescent="0.25">
      <c r="A508" t="str">
        <f>IF(Scan2VK!F120&lt;&gt;"",Scan2VK!F120,"")</f>
        <v>F24</v>
      </c>
      <c r="B508" t="str">
        <f>IF(ISERROR(MATCH(0,INDEX(COUNTIF($B$1:B507,$A$2:$A$4629),0,0),0)),"",INDEX($A$2:$A$4629,MATCH(0,INDEX(COUNTIF($B$1:B507,$A$2:$A$4629),0,0),0)))</f>
        <v/>
      </c>
      <c r="C508" t="str">
        <f t="shared" si="7"/>
        <v/>
      </c>
    </row>
    <row r="509" spans="1:3" x14ac:dyDescent="0.25">
      <c r="A509" t="str">
        <f>IF(Scan2VK!F121&lt;&gt;"",Scan2VK!F121,"")</f>
        <v>_none_</v>
      </c>
      <c r="B509" t="str">
        <f>IF(ISERROR(MATCH(0,INDEX(COUNTIF($B$1:B508,$A$2:$A$4629),0,0),0)),"",INDEX($A$2:$A$4629,MATCH(0,INDEX(COUNTIF($B$1:B508,$A$2:$A$4629),0,0),0)))</f>
        <v/>
      </c>
      <c r="C509" t="str">
        <f t="shared" si="7"/>
        <v/>
      </c>
    </row>
    <row r="510" spans="1:3" x14ac:dyDescent="0.25">
      <c r="A510" t="str">
        <f>IF(Scan2VK!F122&lt;&gt;"",Scan2VK!F122,"")</f>
        <v>_none_</v>
      </c>
      <c r="B510" t="str">
        <f>IF(ISERROR(MATCH(0,INDEX(COUNTIF($B$1:B509,$A$2:$A$4629),0,0),0)),"",INDEX($A$2:$A$4629,MATCH(0,INDEX(COUNTIF($B$1:B509,$A$2:$A$4629),0,0),0)))</f>
        <v/>
      </c>
      <c r="C510" t="str">
        <f t="shared" si="7"/>
        <v/>
      </c>
    </row>
    <row r="511" spans="1:3" x14ac:dyDescent="0.25">
      <c r="A511" t="str">
        <f>IF(Scan2VK!F123&lt;&gt;"",Scan2VK!F123,"")</f>
        <v>_none_</v>
      </c>
      <c r="B511" t="str">
        <f>IF(ISERROR(MATCH(0,INDEX(COUNTIF($B$1:B510,$A$2:$A$4629),0,0),0)),"",INDEX($A$2:$A$4629,MATCH(0,INDEX(COUNTIF($B$1:B510,$A$2:$A$4629),0,0),0)))</f>
        <v/>
      </c>
      <c r="C511" t="str">
        <f t="shared" si="7"/>
        <v/>
      </c>
    </row>
    <row r="512" spans="1:3" x14ac:dyDescent="0.25">
      <c r="A512" t="str">
        <f>IF(Scan2VK!F124&lt;&gt;"",Scan2VK!F124,"")</f>
        <v>_none_</v>
      </c>
      <c r="B512" t="str">
        <f>IF(ISERROR(MATCH(0,INDEX(COUNTIF($B$1:B511,$A$2:$A$4629),0,0),0)),"",INDEX($A$2:$A$4629,MATCH(0,INDEX(COUNTIF($B$1:B511,$A$2:$A$4629),0,0),0)))</f>
        <v/>
      </c>
      <c r="C512" t="str">
        <f t="shared" si="7"/>
        <v/>
      </c>
    </row>
    <row r="513" spans="1:3" x14ac:dyDescent="0.25">
      <c r="A513" t="str">
        <f>IF(Scan2VK!F125&lt;&gt;"",Scan2VK!F125,"")</f>
        <v>OEM_PA1</v>
      </c>
      <c r="B513" t="str">
        <f>IF(ISERROR(MATCH(0,INDEX(COUNTIF($B$1:B512,$A$2:$A$4629),0,0),0)),"",INDEX($A$2:$A$4629,MATCH(0,INDEX(COUNTIF($B$1:B512,$A$2:$A$4629),0,0),0)))</f>
        <v/>
      </c>
      <c r="C513" t="str">
        <f t="shared" si="7"/>
        <v/>
      </c>
    </row>
    <row r="514" spans="1:3" x14ac:dyDescent="0.25">
      <c r="A514" t="str">
        <f>IF(Scan2VK!F126&lt;&gt;"",Scan2VK!F126,"")</f>
        <v>TAB</v>
      </c>
      <c r="B514" t="str">
        <f>IF(ISERROR(MATCH(0,INDEX(COUNTIF($B$1:B513,$A$2:$A$4629),0,0),0)),"",INDEX($A$2:$A$4629,MATCH(0,INDEX(COUNTIF($B$1:B513,$A$2:$A$4629),0,0),0)))</f>
        <v/>
      </c>
      <c r="C514" t="str">
        <f t="shared" si="7"/>
        <v/>
      </c>
    </row>
    <row r="515" spans="1:3" x14ac:dyDescent="0.25">
      <c r="A515" t="str">
        <f>IF(Scan2VK!F127&lt;&gt;"",Scan2VK!F127,"")</f>
        <v>_none_</v>
      </c>
      <c r="B515" t="str">
        <f>IF(ISERROR(MATCH(0,INDEX(COUNTIF($B$1:B514,$A$2:$A$4629),0,0),0)),"",INDEX($A$2:$A$4629,MATCH(0,INDEX(COUNTIF($B$1:B514,$A$2:$A$4629),0,0),0)))</f>
        <v/>
      </c>
      <c r="C515" t="str">
        <f t="shared" ref="C515:C578" si="8">IF(B515&lt;&gt;"","&lt;xs:enumeration value="""&amp;B515&amp;"""/&gt;","")</f>
        <v/>
      </c>
    </row>
    <row r="516" spans="1:3" x14ac:dyDescent="0.25">
      <c r="A516" t="str">
        <f>IF(Scan2VK!F128&lt;&gt;"",Scan2VK!F128,"")</f>
        <v>ABNT_C2</v>
      </c>
      <c r="B516" t="str">
        <f>IF(ISERROR(MATCH(0,INDEX(COUNTIF($B$1:B515,$A$2:$A$4629),0,0),0)),"",INDEX($A$2:$A$4629,MATCH(0,INDEX(COUNTIF($B$1:B515,$A$2:$A$4629),0,0),0)))</f>
        <v/>
      </c>
      <c r="C516" t="str">
        <f t="shared" si="8"/>
        <v/>
      </c>
    </row>
    <row r="517" spans="1:3" x14ac:dyDescent="0.25">
      <c r="A517" t="str">
        <f>IF(Scan2VK!F129&lt;&gt;"",Scan2VK!F129,"")</f>
        <v>OEM_PA2</v>
      </c>
      <c r="B517" t="str">
        <f>IF(ISERROR(MATCH(0,INDEX(COUNTIF($B$1:B516,$A$2:$A$4629),0,0),0)),"",INDEX($A$2:$A$4629,MATCH(0,INDEX(COUNTIF($B$1:B516,$A$2:$A$4629),0,0),0)))</f>
        <v/>
      </c>
      <c r="C517" t="str">
        <f t="shared" si="8"/>
        <v/>
      </c>
    </row>
    <row r="518" spans="1:3" x14ac:dyDescent="0.25">
      <c r="A518" t="str">
        <f>IF(Scan2VK!F130&lt;&gt;"",Scan2VK!F130,"")</f>
        <v/>
      </c>
      <c r="B518" t="str">
        <f>IF(ISERROR(MATCH(0,INDEX(COUNTIF($B$1:B517,$A$2:$A$4629),0,0),0)),"",INDEX($A$2:$A$4629,MATCH(0,INDEX(COUNTIF($B$1:B517,$A$2:$A$4629),0,0),0)))</f>
        <v/>
      </c>
      <c r="C518" t="str">
        <f t="shared" si="8"/>
        <v/>
      </c>
    </row>
    <row r="519" spans="1:3" x14ac:dyDescent="0.25">
      <c r="A519" t="str">
        <f>IF(Scan2VK!F131&lt;&gt;"",Scan2VK!F131,"")</f>
        <v>MEDIA_PREV_TRACK</v>
      </c>
      <c r="B519" t="str">
        <f>IF(ISERROR(MATCH(0,INDEX(COUNTIF($B$1:B518,$A$2:$A$4629),0,0),0)),"",INDEX($A$2:$A$4629,MATCH(0,INDEX(COUNTIF($B$1:B518,$A$2:$A$4629),0,0),0)))</f>
        <v/>
      </c>
      <c r="C519" t="str">
        <f t="shared" si="8"/>
        <v/>
      </c>
    </row>
    <row r="520" spans="1:3" x14ac:dyDescent="0.25">
      <c r="A520" t="str">
        <f>IF(Scan2VK!F132&lt;&gt;"",Scan2VK!F132,"")</f>
        <v>MEDIA_NEXT_TRACK</v>
      </c>
      <c r="B520" t="str">
        <f>IF(ISERROR(MATCH(0,INDEX(COUNTIF($B$1:B519,$A$2:$A$4629),0,0),0)),"",INDEX($A$2:$A$4629,MATCH(0,INDEX(COUNTIF($B$1:B519,$A$2:$A$4629),0,0),0)))</f>
        <v/>
      </c>
      <c r="C520" t="str">
        <f t="shared" si="8"/>
        <v/>
      </c>
    </row>
    <row r="521" spans="1:3" x14ac:dyDescent="0.25">
      <c r="A521" t="str">
        <f>IF(Scan2VK!F133&lt;&gt;"",Scan2VK!F133,"")</f>
        <v>RETURN</v>
      </c>
      <c r="B521" t="str">
        <f>IF(ISERROR(MATCH(0,INDEX(COUNTIF($B$1:B520,$A$2:$A$4629),0,0),0)),"",INDEX($A$2:$A$4629,MATCH(0,INDEX(COUNTIF($B$1:B520,$A$2:$A$4629),0,0),0)))</f>
        <v/>
      </c>
      <c r="C521" t="str">
        <f t="shared" si="8"/>
        <v/>
      </c>
    </row>
    <row r="522" spans="1:3" x14ac:dyDescent="0.25">
      <c r="A522" t="str">
        <f>IF(Scan2VK!F134&lt;&gt;"",Scan2VK!F134,"")</f>
        <v>RCONTROL</v>
      </c>
      <c r="B522" t="str">
        <f>IF(ISERROR(MATCH(0,INDEX(COUNTIF($B$1:B521,$A$2:$A$4629),0,0),0)),"",INDEX($A$2:$A$4629,MATCH(0,INDEX(COUNTIF($B$1:B521,$A$2:$A$4629),0,0),0)))</f>
        <v/>
      </c>
      <c r="C522" t="str">
        <f t="shared" si="8"/>
        <v/>
      </c>
    </row>
    <row r="523" spans="1:3" x14ac:dyDescent="0.25">
      <c r="A523" t="str">
        <f>IF(Scan2VK!F135&lt;&gt;"",Scan2VK!F135,"")</f>
        <v>VOLUME_MUTE</v>
      </c>
      <c r="B523" t="str">
        <f>IF(ISERROR(MATCH(0,INDEX(COUNTIF($B$1:B522,$A$2:$A$4629),0,0),0)),"",INDEX($A$2:$A$4629,MATCH(0,INDEX(COUNTIF($B$1:B522,$A$2:$A$4629),0,0),0)))</f>
        <v/>
      </c>
      <c r="C523" t="str">
        <f t="shared" si="8"/>
        <v/>
      </c>
    </row>
    <row r="524" spans="1:3" x14ac:dyDescent="0.25">
      <c r="A524" t="str">
        <f>IF(Scan2VK!F136&lt;&gt;"",Scan2VK!F136,"")</f>
        <v>LAUNCH_APP2</v>
      </c>
      <c r="B524" t="str">
        <f>IF(ISERROR(MATCH(0,INDEX(COUNTIF($B$1:B523,$A$2:$A$4629),0,0),0)),"",INDEX($A$2:$A$4629,MATCH(0,INDEX(COUNTIF($B$1:B523,$A$2:$A$4629),0,0),0)))</f>
        <v/>
      </c>
      <c r="C524" t="str">
        <f t="shared" si="8"/>
        <v/>
      </c>
    </row>
    <row r="525" spans="1:3" x14ac:dyDescent="0.25">
      <c r="A525" t="str">
        <f>IF(Scan2VK!F137&lt;&gt;"",Scan2VK!F137,"")</f>
        <v>MEDIA_PLAY_PAUSE</v>
      </c>
      <c r="B525" t="str">
        <f>IF(ISERROR(MATCH(0,INDEX(COUNTIF($B$1:B524,$A$2:$A$4629),0,0),0)),"",INDEX($A$2:$A$4629,MATCH(0,INDEX(COUNTIF($B$1:B524,$A$2:$A$4629),0,0),0)))</f>
        <v/>
      </c>
      <c r="C525" t="str">
        <f t="shared" si="8"/>
        <v/>
      </c>
    </row>
    <row r="526" spans="1:3" x14ac:dyDescent="0.25">
      <c r="A526" t="str">
        <f>IF(Scan2VK!F138&lt;&gt;"",Scan2VK!F138,"")</f>
        <v>MEDIA_STOP</v>
      </c>
      <c r="B526" t="str">
        <f>IF(ISERROR(MATCH(0,INDEX(COUNTIF($B$1:B525,$A$2:$A$4629),0,0),0)),"",INDEX($A$2:$A$4629,MATCH(0,INDEX(COUNTIF($B$1:B525,$A$2:$A$4629),0,0),0)))</f>
        <v/>
      </c>
      <c r="C526" t="str">
        <f t="shared" si="8"/>
        <v/>
      </c>
    </row>
    <row r="527" spans="1:3" x14ac:dyDescent="0.25">
      <c r="A527" t="str">
        <f>IF(Scan2VK!F139&lt;&gt;"",Scan2VK!F139,"")</f>
        <v>VOLUME_DOWN</v>
      </c>
      <c r="B527" t="str">
        <f>IF(ISERROR(MATCH(0,INDEX(COUNTIF($B$1:B526,$A$2:$A$4629),0,0),0)),"",INDEX($A$2:$A$4629,MATCH(0,INDEX(COUNTIF($B$1:B526,$A$2:$A$4629),0,0),0)))</f>
        <v/>
      </c>
      <c r="C527" t="str">
        <f t="shared" si="8"/>
        <v/>
      </c>
    </row>
    <row r="528" spans="1:3" x14ac:dyDescent="0.25">
      <c r="A528" t="str">
        <f>IF(Scan2VK!F140&lt;&gt;"",Scan2VK!F140,"")</f>
        <v>VOLUME_UP</v>
      </c>
      <c r="B528" t="str">
        <f>IF(ISERROR(MATCH(0,INDEX(COUNTIF($B$1:B527,$A$2:$A$4629),0,0),0)),"",INDEX($A$2:$A$4629,MATCH(0,INDEX(COUNTIF($B$1:B527,$A$2:$A$4629),0,0),0)))</f>
        <v/>
      </c>
      <c r="C528" t="str">
        <f t="shared" si="8"/>
        <v/>
      </c>
    </row>
    <row r="529" spans="1:3" x14ac:dyDescent="0.25">
      <c r="A529" t="str">
        <f>IF(Scan2VK!F141&lt;&gt;"",Scan2VK!F141,"")</f>
        <v>BROWSER_HOME</v>
      </c>
      <c r="B529" t="str">
        <f>IF(ISERROR(MATCH(0,INDEX(COUNTIF($B$1:B528,$A$2:$A$4629),0,0),0)),"",INDEX($A$2:$A$4629,MATCH(0,INDEX(COUNTIF($B$1:B528,$A$2:$A$4629),0,0),0)))</f>
        <v/>
      </c>
      <c r="C529" t="str">
        <f t="shared" si="8"/>
        <v/>
      </c>
    </row>
    <row r="530" spans="1:3" x14ac:dyDescent="0.25">
      <c r="A530" t="str">
        <f>IF(Scan2VK!F142&lt;&gt;"",Scan2VK!F142,"")</f>
        <v/>
      </c>
      <c r="B530" t="str">
        <f>IF(ISERROR(MATCH(0,INDEX(COUNTIF($B$1:B529,$A$2:$A$4629),0,0),0)),"",INDEX($A$2:$A$4629,MATCH(0,INDEX(COUNTIF($B$1:B529,$A$2:$A$4629),0,0),0)))</f>
        <v/>
      </c>
      <c r="C530" t="str">
        <f t="shared" si="8"/>
        <v/>
      </c>
    </row>
    <row r="531" spans="1:3" x14ac:dyDescent="0.25">
      <c r="A531" t="str">
        <f>IF(Scan2VK!F143&lt;&gt;"",Scan2VK!F143,"")</f>
        <v>DIVIDE</v>
      </c>
      <c r="B531" t="str">
        <f>IF(ISERROR(MATCH(0,INDEX(COUNTIF($B$1:B530,$A$2:$A$4629),0,0),0)),"",INDEX($A$2:$A$4629,MATCH(0,INDEX(COUNTIF($B$1:B530,$A$2:$A$4629),0,0),0)))</f>
        <v/>
      </c>
      <c r="C531" t="str">
        <f t="shared" si="8"/>
        <v/>
      </c>
    </row>
    <row r="532" spans="1:3" x14ac:dyDescent="0.25">
      <c r="A532" t="str">
        <f>IF(Scan2VK!F144&lt;&gt;"",Scan2VK!F144,"")</f>
        <v>SNAPSHOT</v>
      </c>
      <c r="B532" t="str">
        <f>IF(ISERROR(MATCH(0,INDEX(COUNTIF($B$1:B531,$A$2:$A$4629),0,0),0)),"",INDEX($A$2:$A$4629,MATCH(0,INDEX(COUNTIF($B$1:B531,$A$2:$A$4629),0,0),0)))</f>
        <v/>
      </c>
      <c r="C532" t="str">
        <f t="shared" si="8"/>
        <v/>
      </c>
    </row>
    <row r="533" spans="1:3" x14ac:dyDescent="0.25">
      <c r="A533" t="str">
        <f>IF(Scan2VK!F145&lt;&gt;"",Scan2VK!F145,"")</f>
        <v>RMENU</v>
      </c>
      <c r="B533" t="str">
        <f>IF(ISERROR(MATCH(0,INDEX(COUNTIF($B$1:B532,$A$2:$A$4629),0,0),0)),"",INDEX($A$2:$A$4629,MATCH(0,INDEX(COUNTIF($B$1:B532,$A$2:$A$4629),0,0),0)))</f>
        <v/>
      </c>
      <c r="C533" t="str">
        <f t="shared" si="8"/>
        <v/>
      </c>
    </row>
    <row r="534" spans="1:3" x14ac:dyDescent="0.25">
      <c r="A534" t="str">
        <f>IF(Scan2VK!F146&lt;&gt;"",Scan2VK!F146,"")</f>
        <v/>
      </c>
      <c r="B534" t="str">
        <f>IF(ISERROR(MATCH(0,INDEX(COUNTIF($B$1:B533,$A$2:$A$4629),0,0),0)),"",INDEX($A$2:$A$4629,MATCH(0,INDEX(COUNTIF($B$1:B533,$A$2:$A$4629),0,0),0)))</f>
        <v/>
      </c>
      <c r="C534" t="str">
        <f t="shared" si="8"/>
        <v/>
      </c>
    </row>
    <row r="535" spans="1:3" x14ac:dyDescent="0.25">
      <c r="A535" t="str">
        <f>IF(Scan2VK!F147&lt;&gt;"",Scan2VK!F147,"")</f>
        <v/>
      </c>
      <c r="B535" t="str">
        <f>IF(ISERROR(MATCH(0,INDEX(COUNTIF($B$1:B534,$A$2:$A$4629),0,0),0)),"",INDEX($A$2:$A$4629,MATCH(0,INDEX(COUNTIF($B$1:B534,$A$2:$A$4629),0,0),0)))</f>
        <v/>
      </c>
      <c r="C535" t="str">
        <f t="shared" si="8"/>
        <v/>
      </c>
    </row>
    <row r="536" spans="1:3" x14ac:dyDescent="0.25">
      <c r="A536" t="str">
        <f>IF(Scan2VK!F148&lt;&gt;"",Scan2VK!F148,"")</f>
        <v/>
      </c>
      <c r="B536" t="str">
        <f>IF(ISERROR(MATCH(0,INDEX(COUNTIF($B$1:B535,$A$2:$A$4629),0,0),0)),"",INDEX($A$2:$A$4629,MATCH(0,INDEX(COUNTIF($B$1:B535,$A$2:$A$4629),0,0),0)))</f>
        <v/>
      </c>
      <c r="C536" t="str">
        <f t="shared" si="8"/>
        <v/>
      </c>
    </row>
    <row r="537" spans="1:3" x14ac:dyDescent="0.25">
      <c r="A537" t="str">
        <f>IF(Scan2VK!F149&lt;&gt;"",Scan2VK!F149,"")</f>
        <v/>
      </c>
      <c r="B537" t="str">
        <f>IF(ISERROR(MATCH(0,INDEX(COUNTIF($B$1:B536,$A$2:$A$4629),0,0),0)),"",INDEX($A$2:$A$4629,MATCH(0,INDEX(COUNTIF($B$1:B536,$A$2:$A$4629),0,0),0)))</f>
        <v/>
      </c>
      <c r="C537" t="str">
        <f t="shared" si="8"/>
        <v/>
      </c>
    </row>
    <row r="538" spans="1:3" x14ac:dyDescent="0.25">
      <c r="A538" t="str">
        <f>IF(Scan2VK!F150&lt;&gt;"",Scan2VK!F150,"")</f>
        <v/>
      </c>
      <c r="B538" t="str">
        <f>IF(ISERROR(MATCH(0,INDEX(COUNTIF($B$1:B537,$A$2:$A$4629),0,0),0)),"",INDEX($A$2:$A$4629,MATCH(0,INDEX(COUNTIF($B$1:B537,$A$2:$A$4629),0,0),0)))</f>
        <v/>
      </c>
      <c r="C538" t="str">
        <f t="shared" si="8"/>
        <v/>
      </c>
    </row>
    <row r="539" spans="1:3" x14ac:dyDescent="0.25">
      <c r="A539" t="str">
        <f>IF(Scan2VK!F151&lt;&gt;"",Scan2VK!F151,"")</f>
        <v/>
      </c>
      <c r="B539" t="str">
        <f>IF(ISERROR(MATCH(0,INDEX(COUNTIF($B$1:B538,$A$2:$A$4629),0,0),0)),"",INDEX($A$2:$A$4629,MATCH(0,INDEX(COUNTIF($B$1:B538,$A$2:$A$4629),0,0),0)))</f>
        <v/>
      </c>
      <c r="C539" t="str">
        <f t="shared" si="8"/>
        <v/>
      </c>
    </row>
    <row r="540" spans="1:3" x14ac:dyDescent="0.25">
      <c r="A540" t="str">
        <f>IF(Scan2VK!F152&lt;&gt;"",Scan2VK!F152,"")</f>
        <v/>
      </c>
      <c r="B540" t="str">
        <f>IF(ISERROR(MATCH(0,INDEX(COUNTIF($B$1:B539,$A$2:$A$4629),0,0),0)),"",INDEX($A$2:$A$4629,MATCH(0,INDEX(COUNTIF($B$1:B539,$A$2:$A$4629),0,0),0)))</f>
        <v/>
      </c>
      <c r="C540" t="str">
        <f t="shared" si="8"/>
        <v/>
      </c>
    </row>
    <row r="541" spans="1:3" x14ac:dyDescent="0.25">
      <c r="A541" t="str">
        <f>IF(Scan2VK!F153&lt;&gt;"",Scan2VK!F153,"")</f>
        <v/>
      </c>
      <c r="B541" t="str">
        <f>IF(ISERROR(MATCH(0,INDEX(COUNTIF($B$1:B540,$A$2:$A$4629),0,0),0)),"",INDEX($A$2:$A$4629,MATCH(0,INDEX(COUNTIF($B$1:B540,$A$2:$A$4629),0,0),0)))</f>
        <v/>
      </c>
      <c r="C541" t="str">
        <f t="shared" si="8"/>
        <v/>
      </c>
    </row>
    <row r="542" spans="1:3" x14ac:dyDescent="0.25">
      <c r="A542" t="str">
        <f>IF(Scan2VK!F154&lt;&gt;"",Scan2VK!F154,"")</f>
        <v>CANCEL</v>
      </c>
      <c r="B542" t="str">
        <f>IF(ISERROR(MATCH(0,INDEX(COUNTIF($B$1:B541,$A$2:$A$4629),0,0),0)),"",INDEX($A$2:$A$4629,MATCH(0,INDEX(COUNTIF($B$1:B541,$A$2:$A$4629),0,0),0)))</f>
        <v/>
      </c>
      <c r="C542" t="str">
        <f t="shared" si="8"/>
        <v/>
      </c>
    </row>
    <row r="543" spans="1:3" x14ac:dyDescent="0.25">
      <c r="A543" t="str">
        <f>IF(Scan2VK!F155&lt;&gt;"",Scan2VK!F155,"")</f>
        <v>HOME</v>
      </c>
      <c r="B543" t="str">
        <f>IF(ISERROR(MATCH(0,INDEX(COUNTIF($B$1:B542,$A$2:$A$4629),0,0),0)),"",INDEX($A$2:$A$4629,MATCH(0,INDEX(COUNTIF($B$1:B542,$A$2:$A$4629),0,0),0)))</f>
        <v/>
      </c>
      <c r="C543" t="str">
        <f t="shared" si="8"/>
        <v/>
      </c>
    </row>
    <row r="544" spans="1:3" x14ac:dyDescent="0.25">
      <c r="A544" t="str">
        <f>IF(Scan2VK!F156&lt;&gt;"",Scan2VK!F156,"")</f>
        <v>UP</v>
      </c>
      <c r="B544" t="str">
        <f>IF(ISERROR(MATCH(0,INDEX(COUNTIF($B$1:B543,$A$2:$A$4629),0,0),0)),"",INDEX($A$2:$A$4629,MATCH(0,INDEX(COUNTIF($B$1:B543,$A$2:$A$4629),0,0),0)))</f>
        <v/>
      </c>
      <c r="C544" t="str">
        <f t="shared" si="8"/>
        <v/>
      </c>
    </row>
    <row r="545" spans="1:3" x14ac:dyDescent="0.25">
      <c r="A545" t="str">
        <f>IF(Scan2VK!F157&lt;&gt;"",Scan2VK!F157,"")</f>
        <v>PRIOR</v>
      </c>
      <c r="B545" t="str">
        <f>IF(ISERROR(MATCH(0,INDEX(COUNTIF($B$1:B544,$A$2:$A$4629),0,0),0)),"",INDEX($A$2:$A$4629,MATCH(0,INDEX(COUNTIF($B$1:B544,$A$2:$A$4629),0,0),0)))</f>
        <v/>
      </c>
      <c r="C545" t="str">
        <f t="shared" si="8"/>
        <v/>
      </c>
    </row>
    <row r="546" spans="1:3" x14ac:dyDescent="0.25">
      <c r="A546" t="str">
        <f>IF(Scan2VK!F158&lt;&gt;"",Scan2VK!F158,"")</f>
        <v>LEFT</v>
      </c>
      <c r="B546" t="str">
        <f>IF(ISERROR(MATCH(0,INDEX(COUNTIF($B$1:B545,$A$2:$A$4629),0,0),0)),"",INDEX($A$2:$A$4629,MATCH(0,INDEX(COUNTIF($B$1:B545,$A$2:$A$4629),0,0),0)))</f>
        <v/>
      </c>
      <c r="C546" t="str">
        <f t="shared" si="8"/>
        <v/>
      </c>
    </row>
    <row r="547" spans="1:3" x14ac:dyDescent="0.25">
      <c r="A547" t="str">
        <f>IF(Scan2VK!F159&lt;&gt;"",Scan2VK!F159,"")</f>
        <v>RIGHT</v>
      </c>
      <c r="B547" t="str">
        <f>IF(ISERROR(MATCH(0,INDEX(COUNTIF($B$1:B546,$A$2:$A$4629),0,0),0)),"",INDEX($A$2:$A$4629,MATCH(0,INDEX(COUNTIF($B$1:B546,$A$2:$A$4629),0,0),0)))</f>
        <v/>
      </c>
      <c r="C547" t="str">
        <f t="shared" si="8"/>
        <v/>
      </c>
    </row>
    <row r="548" spans="1:3" x14ac:dyDescent="0.25">
      <c r="A548" t="str">
        <f>IF(Scan2VK!F160&lt;&gt;"",Scan2VK!F160,"")</f>
        <v>END</v>
      </c>
      <c r="B548" t="str">
        <f>IF(ISERROR(MATCH(0,INDEX(COUNTIF($B$1:B547,$A$2:$A$4629),0,0),0)),"",INDEX($A$2:$A$4629,MATCH(0,INDEX(COUNTIF($B$1:B547,$A$2:$A$4629),0,0),0)))</f>
        <v/>
      </c>
      <c r="C548" t="str">
        <f t="shared" si="8"/>
        <v/>
      </c>
    </row>
    <row r="549" spans="1:3" x14ac:dyDescent="0.25">
      <c r="A549" t="str">
        <f>IF(Scan2VK!F161&lt;&gt;"",Scan2VK!F161,"")</f>
        <v>DOWN</v>
      </c>
      <c r="B549" t="str">
        <f>IF(ISERROR(MATCH(0,INDEX(COUNTIF($B$1:B548,$A$2:$A$4629),0,0),0)),"",INDEX($A$2:$A$4629,MATCH(0,INDEX(COUNTIF($B$1:B548,$A$2:$A$4629),0,0),0)))</f>
        <v/>
      </c>
      <c r="C549" t="str">
        <f t="shared" si="8"/>
        <v/>
      </c>
    </row>
    <row r="550" spans="1:3" x14ac:dyDescent="0.25">
      <c r="A550" t="str">
        <f>IF(Scan2VK!F162&lt;&gt;"",Scan2VK!F162,"")</f>
        <v>NEXT</v>
      </c>
      <c r="B550" t="str">
        <f>IF(ISERROR(MATCH(0,INDEX(COUNTIF($B$1:B549,$A$2:$A$4629),0,0),0)),"",INDEX($A$2:$A$4629,MATCH(0,INDEX(COUNTIF($B$1:B549,$A$2:$A$4629),0,0),0)))</f>
        <v/>
      </c>
      <c r="C550" t="str">
        <f t="shared" si="8"/>
        <v/>
      </c>
    </row>
    <row r="551" spans="1:3" x14ac:dyDescent="0.25">
      <c r="A551" t="str">
        <f>IF(Scan2VK!F163&lt;&gt;"",Scan2VK!F163,"")</f>
        <v>INSERT</v>
      </c>
      <c r="B551" t="str">
        <f>IF(ISERROR(MATCH(0,INDEX(COUNTIF($B$1:B550,$A$2:$A$4629),0,0),0)),"",INDEX($A$2:$A$4629,MATCH(0,INDEX(COUNTIF($B$1:B550,$A$2:$A$4629),0,0),0)))</f>
        <v/>
      </c>
      <c r="C551" t="str">
        <f t="shared" si="8"/>
        <v/>
      </c>
    </row>
    <row r="552" spans="1:3" x14ac:dyDescent="0.25">
      <c r="A552" t="str">
        <f>IF(Scan2VK!F164&lt;&gt;"",Scan2VK!F164,"")</f>
        <v>DELETE</v>
      </c>
      <c r="B552" t="str">
        <f>IF(ISERROR(MATCH(0,INDEX(COUNTIF($B$1:B551,$A$2:$A$4629),0,0),0)),"",INDEX($A$2:$A$4629,MATCH(0,INDEX(COUNTIF($B$1:B551,$A$2:$A$4629),0,0),0)))</f>
        <v/>
      </c>
      <c r="C552" t="str">
        <f t="shared" si="8"/>
        <v/>
      </c>
    </row>
    <row r="553" spans="1:3" x14ac:dyDescent="0.25">
      <c r="A553" t="str">
        <f>IF(Scan2VK!F165&lt;&gt;"",Scan2VK!F165,"")</f>
        <v>LWIN</v>
      </c>
      <c r="B553" t="str">
        <f>IF(ISERROR(MATCH(0,INDEX(COUNTIF($B$1:B552,$A$2:$A$4629),0,0),0)),"",INDEX($A$2:$A$4629,MATCH(0,INDEX(COUNTIF($B$1:B552,$A$2:$A$4629),0,0),0)))</f>
        <v/>
      </c>
      <c r="C553" t="str">
        <f t="shared" si="8"/>
        <v/>
      </c>
    </row>
    <row r="554" spans="1:3" x14ac:dyDescent="0.25">
      <c r="A554" t="str">
        <f>IF(Scan2VK!F166&lt;&gt;"",Scan2VK!F166,"")</f>
        <v>RWIN</v>
      </c>
      <c r="B554" t="str">
        <f>IF(ISERROR(MATCH(0,INDEX(COUNTIF($B$1:B553,$A$2:$A$4629),0,0),0)),"",INDEX($A$2:$A$4629,MATCH(0,INDEX(COUNTIF($B$1:B553,$A$2:$A$4629),0,0),0)))</f>
        <v/>
      </c>
      <c r="C554" t="str">
        <f t="shared" si="8"/>
        <v/>
      </c>
    </row>
    <row r="555" spans="1:3" x14ac:dyDescent="0.25">
      <c r="A555" t="str">
        <f>IF(Scan2VK!F167&lt;&gt;"",Scan2VK!F167,"")</f>
        <v>APPS</v>
      </c>
      <c r="B555" t="str">
        <f>IF(ISERROR(MATCH(0,INDEX(COUNTIF($B$1:B554,$A$2:$A$4629),0,0),0)),"",INDEX($A$2:$A$4629,MATCH(0,INDEX(COUNTIF($B$1:B554,$A$2:$A$4629),0,0),0)))</f>
        <v/>
      </c>
      <c r="C555" t="str">
        <f t="shared" si="8"/>
        <v/>
      </c>
    </row>
    <row r="556" spans="1:3" x14ac:dyDescent="0.25">
      <c r="A556" t="str">
        <f>IF(Scan2VK!F168&lt;&gt;"",Scan2VK!F168,"")</f>
        <v>POWER</v>
      </c>
      <c r="B556" t="str">
        <f>IF(ISERROR(MATCH(0,INDEX(COUNTIF($B$1:B555,$A$2:$A$4629),0,0),0)),"",INDEX($A$2:$A$4629,MATCH(0,INDEX(COUNTIF($B$1:B555,$A$2:$A$4629),0,0),0)))</f>
        <v/>
      </c>
      <c r="C556" t="str">
        <f t="shared" si="8"/>
        <v/>
      </c>
    </row>
    <row r="557" spans="1:3" x14ac:dyDescent="0.25">
      <c r="A557" t="str">
        <f>IF(Scan2VK!F169&lt;&gt;"",Scan2VK!F169,"")</f>
        <v>SLEEP</v>
      </c>
      <c r="B557" t="str">
        <f>IF(ISERROR(MATCH(0,INDEX(COUNTIF($B$1:B556,$A$2:$A$4629),0,0),0)),"",INDEX($A$2:$A$4629,MATCH(0,INDEX(COUNTIF($B$1:B556,$A$2:$A$4629),0,0),0)))</f>
        <v/>
      </c>
      <c r="C557" t="str">
        <f t="shared" si="8"/>
        <v/>
      </c>
    </row>
    <row r="558" spans="1:3" x14ac:dyDescent="0.25">
      <c r="A558" t="str">
        <f>IF(Scan2VK!F170&lt;&gt;"",Scan2VK!F170,"")</f>
        <v/>
      </c>
      <c r="B558" t="str">
        <f>IF(ISERROR(MATCH(0,INDEX(COUNTIF($B$1:B557,$A$2:$A$4629),0,0),0)),"",INDEX($A$2:$A$4629,MATCH(0,INDEX(COUNTIF($B$1:B557,$A$2:$A$4629),0,0),0)))</f>
        <v/>
      </c>
      <c r="C558" t="str">
        <f t="shared" si="8"/>
        <v/>
      </c>
    </row>
    <row r="559" spans="1:3" x14ac:dyDescent="0.25">
      <c r="A559" t="str">
        <f>IF(Scan2VK!F171&lt;&gt;"",Scan2VK!F171,"")</f>
        <v/>
      </c>
      <c r="B559" t="str">
        <f>IF(ISERROR(MATCH(0,INDEX(COUNTIF($B$1:B558,$A$2:$A$4629),0,0),0)),"",INDEX($A$2:$A$4629,MATCH(0,INDEX(COUNTIF($B$1:B558,$A$2:$A$4629),0,0),0)))</f>
        <v/>
      </c>
      <c r="C559" t="str">
        <f t="shared" si="8"/>
        <v/>
      </c>
    </row>
    <row r="560" spans="1:3" x14ac:dyDescent="0.25">
      <c r="A560" t="str">
        <f>IF(Scan2VK!F172&lt;&gt;"",Scan2VK!F172,"")</f>
        <v/>
      </c>
      <c r="B560" t="str">
        <f>IF(ISERROR(MATCH(0,INDEX(COUNTIF($B$1:B559,$A$2:$A$4629),0,0),0)),"",INDEX($A$2:$A$4629,MATCH(0,INDEX(COUNTIF($B$1:B559,$A$2:$A$4629),0,0),0)))</f>
        <v/>
      </c>
      <c r="C560" t="str">
        <f t="shared" si="8"/>
        <v/>
      </c>
    </row>
    <row r="561" spans="1:3" x14ac:dyDescent="0.25">
      <c r="A561" t="str">
        <f>IF(Scan2VK!F173&lt;&gt;"",Scan2VK!F173,"")</f>
        <v/>
      </c>
      <c r="B561" t="str">
        <f>IF(ISERROR(MATCH(0,INDEX(COUNTIF($B$1:B560,$A$2:$A$4629),0,0),0)),"",INDEX($A$2:$A$4629,MATCH(0,INDEX(COUNTIF($B$1:B560,$A$2:$A$4629),0,0),0)))</f>
        <v/>
      </c>
      <c r="C561" t="str">
        <f t="shared" si="8"/>
        <v/>
      </c>
    </row>
    <row r="562" spans="1:3" x14ac:dyDescent="0.25">
      <c r="A562" t="str">
        <f>IF(Scan2VK!F174&lt;&gt;"",Scan2VK!F174,"")</f>
        <v/>
      </c>
      <c r="B562" t="str">
        <f>IF(ISERROR(MATCH(0,INDEX(COUNTIF($B$1:B561,$A$2:$A$4629),0,0),0)),"",INDEX($A$2:$A$4629,MATCH(0,INDEX(COUNTIF($B$1:B561,$A$2:$A$4629),0,0),0)))</f>
        <v/>
      </c>
      <c r="C562" t="str">
        <f t="shared" si="8"/>
        <v/>
      </c>
    </row>
    <row r="563" spans="1:3" x14ac:dyDescent="0.25">
      <c r="A563" t="str">
        <f>IF(Scan2VK!F175&lt;&gt;"",Scan2VK!F175,"")</f>
        <v>BROWSER_SEARCH</v>
      </c>
      <c r="B563" t="str">
        <f>IF(ISERROR(MATCH(0,INDEX(COUNTIF($B$1:B562,$A$2:$A$4629),0,0),0)),"",INDEX($A$2:$A$4629,MATCH(0,INDEX(COUNTIF($B$1:B562,$A$2:$A$4629),0,0),0)))</f>
        <v/>
      </c>
      <c r="C563" t="str">
        <f t="shared" si="8"/>
        <v/>
      </c>
    </row>
    <row r="564" spans="1:3" x14ac:dyDescent="0.25">
      <c r="A564" t="str">
        <f>IF(Scan2VK!F176&lt;&gt;"",Scan2VK!F176,"")</f>
        <v>BROWSER_FAVORITES</v>
      </c>
      <c r="B564" t="str">
        <f>IF(ISERROR(MATCH(0,INDEX(COUNTIF($B$1:B563,$A$2:$A$4629),0,0),0)),"",INDEX($A$2:$A$4629,MATCH(0,INDEX(COUNTIF($B$1:B563,$A$2:$A$4629),0,0),0)))</f>
        <v/>
      </c>
      <c r="C564" t="str">
        <f t="shared" si="8"/>
        <v/>
      </c>
    </row>
    <row r="565" spans="1:3" x14ac:dyDescent="0.25">
      <c r="A565" t="str">
        <f>IF(Scan2VK!F177&lt;&gt;"",Scan2VK!F177,"")</f>
        <v>BROWSER_REFRESH</v>
      </c>
      <c r="B565" t="str">
        <f>IF(ISERROR(MATCH(0,INDEX(COUNTIF($B$1:B564,$A$2:$A$4629),0,0),0)),"",INDEX($A$2:$A$4629,MATCH(0,INDEX(COUNTIF($B$1:B564,$A$2:$A$4629),0,0),0)))</f>
        <v/>
      </c>
      <c r="C565" t="str">
        <f t="shared" si="8"/>
        <v/>
      </c>
    </row>
    <row r="566" spans="1:3" x14ac:dyDescent="0.25">
      <c r="A566" t="str">
        <f>IF(Scan2VK!F178&lt;&gt;"",Scan2VK!F178,"")</f>
        <v>BROWSER_STOP</v>
      </c>
      <c r="B566" t="str">
        <f>IF(ISERROR(MATCH(0,INDEX(COUNTIF($B$1:B565,$A$2:$A$4629),0,0),0)),"",INDEX($A$2:$A$4629,MATCH(0,INDEX(COUNTIF($B$1:B565,$A$2:$A$4629),0,0),0)))</f>
        <v/>
      </c>
      <c r="C566" t="str">
        <f t="shared" si="8"/>
        <v/>
      </c>
    </row>
    <row r="567" spans="1:3" x14ac:dyDescent="0.25">
      <c r="A567" t="str">
        <f>IF(Scan2VK!F179&lt;&gt;"",Scan2VK!F179,"")</f>
        <v>BROWSER_FORWARD</v>
      </c>
      <c r="B567" t="str">
        <f>IF(ISERROR(MATCH(0,INDEX(COUNTIF($B$1:B566,$A$2:$A$4629),0,0),0)),"",INDEX($A$2:$A$4629,MATCH(0,INDEX(COUNTIF($B$1:B566,$A$2:$A$4629),0,0),0)))</f>
        <v/>
      </c>
      <c r="C567" t="str">
        <f t="shared" si="8"/>
        <v/>
      </c>
    </row>
    <row r="568" spans="1:3" x14ac:dyDescent="0.25">
      <c r="A568" t="str">
        <f>IF(Scan2VK!F180&lt;&gt;"",Scan2VK!F180,"")</f>
        <v>BROWSER_BACK</v>
      </c>
      <c r="B568" t="str">
        <f>IF(ISERROR(MATCH(0,INDEX(COUNTIF($B$1:B567,$A$2:$A$4629),0,0),0)),"",INDEX($A$2:$A$4629,MATCH(0,INDEX(COUNTIF($B$1:B567,$A$2:$A$4629),0,0),0)))</f>
        <v/>
      </c>
      <c r="C568" t="str">
        <f t="shared" si="8"/>
        <v/>
      </c>
    </row>
    <row r="569" spans="1:3" x14ac:dyDescent="0.25">
      <c r="A569" t="str">
        <f>IF(Scan2VK!F181&lt;&gt;"",Scan2VK!F181,"")</f>
        <v>LAUNCH_APP1</v>
      </c>
      <c r="B569" t="str">
        <f>IF(ISERROR(MATCH(0,INDEX(COUNTIF($B$1:B568,$A$2:$A$4629),0,0),0)),"",INDEX($A$2:$A$4629,MATCH(0,INDEX(COUNTIF($B$1:B568,$A$2:$A$4629),0,0),0)))</f>
        <v/>
      </c>
      <c r="C569" t="str">
        <f t="shared" si="8"/>
        <v/>
      </c>
    </row>
    <row r="570" spans="1:3" x14ac:dyDescent="0.25">
      <c r="A570" t="str">
        <f>IF(Scan2VK!F182&lt;&gt;"",Scan2VK!F182,"")</f>
        <v>LAUNCH_MAIL</v>
      </c>
      <c r="B570" t="str">
        <f>IF(ISERROR(MATCH(0,INDEX(COUNTIF($B$1:B569,$A$2:$A$4629),0,0),0)),"",INDEX($A$2:$A$4629,MATCH(0,INDEX(COUNTIF($B$1:B569,$A$2:$A$4629),0,0),0)))</f>
        <v/>
      </c>
      <c r="C570" t="str">
        <f t="shared" si="8"/>
        <v/>
      </c>
    </row>
    <row r="571" spans="1:3" x14ac:dyDescent="0.25">
      <c r="A571" t="str">
        <f>IF(Scan2VK!F183&lt;&gt;"",Scan2VK!F183,"")</f>
        <v>LAUNCH_MEDIA_SELECT</v>
      </c>
      <c r="B571" t="str">
        <f>IF(ISERROR(MATCH(0,INDEX(COUNTIF($B$1:B570,$A$2:$A$4629),0,0),0)),"",INDEX($A$2:$A$4629,MATCH(0,INDEX(COUNTIF($B$1:B570,$A$2:$A$4629),0,0),0)))</f>
        <v/>
      </c>
      <c r="C571" t="str">
        <f t="shared" si="8"/>
        <v/>
      </c>
    </row>
    <row r="572" spans="1:3" x14ac:dyDescent="0.25">
      <c r="A572" t="str">
        <f>IF(Scan2VK!F184&lt;&gt;"",Scan2VK!F184,"")</f>
        <v/>
      </c>
      <c r="B572" t="str">
        <f>IF(ISERROR(MATCH(0,INDEX(COUNTIF($B$1:B571,$A$2:$A$4629),0,0),0)),"",INDEX($A$2:$A$4629,MATCH(0,INDEX(COUNTIF($B$1:B571,$A$2:$A$4629),0,0),0)))</f>
        <v/>
      </c>
      <c r="C572" t="str">
        <f t="shared" si="8"/>
        <v/>
      </c>
    </row>
    <row r="573" spans="1:3" x14ac:dyDescent="0.25">
      <c r="A573" t="str">
        <f>IF(Scan2VK!F185&lt;&gt;"",Scan2VK!F185,"")</f>
        <v/>
      </c>
      <c r="B573" t="str">
        <f>IF(ISERROR(MATCH(0,INDEX(COUNTIF($B$1:B572,$A$2:$A$4629),0,0),0)),"",INDEX($A$2:$A$4629,MATCH(0,INDEX(COUNTIF($B$1:B572,$A$2:$A$4629),0,0),0)))</f>
        <v/>
      </c>
      <c r="C573" t="str">
        <f t="shared" si="8"/>
        <v/>
      </c>
    </row>
    <row r="574" spans="1:3" x14ac:dyDescent="0.25">
      <c r="A574" t="str">
        <f>IF(Scan2VK!F186&lt;&gt;"",Scan2VK!F186,"")</f>
        <v/>
      </c>
      <c r="B574" t="str">
        <f>IF(ISERROR(MATCH(0,INDEX(COUNTIF($B$1:B573,$A$2:$A$4629),0,0),0)),"",INDEX($A$2:$A$4629,MATCH(0,INDEX(COUNTIF($B$1:B573,$A$2:$A$4629),0,0),0)))</f>
        <v/>
      </c>
      <c r="C574" t="str">
        <f t="shared" si="8"/>
        <v/>
      </c>
    </row>
    <row r="575" spans="1:3" x14ac:dyDescent="0.25">
      <c r="A575" t="str">
        <f>IF(Scan2VK!F187&lt;&gt;"",Scan2VK!F187,"")</f>
        <v/>
      </c>
      <c r="B575" t="str">
        <f>IF(ISERROR(MATCH(0,INDEX(COUNTIF($B$1:B574,$A$2:$A$4629),0,0),0)),"",INDEX($A$2:$A$4629,MATCH(0,INDEX(COUNTIF($B$1:B574,$A$2:$A$4629),0,0),0)))</f>
        <v/>
      </c>
      <c r="C575" t="str">
        <f t="shared" si="8"/>
        <v/>
      </c>
    </row>
    <row r="576" spans="1:3" x14ac:dyDescent="0.25">
      <c r="A576" t="str">
        <f>IF(Scan2VK!F188&lt;&gt;"",Scan2VK!F188,"")</f>
        <v/>
      </c>
      <c r="B576" t="str">
        <f>IF(ISERROR(MATCH(0,INDEX(COUNTIF($B$1:B575,$A$2:$A$4629),0,0),0)),"",INDEX($A$2:$A$4629,MATCH(0,INDEX(COUNTIF($B$1:B575,$A$2:$A$4629),0,0),0)))</f>
        <v/>
      </c>
      <c r="C576" t="str">
        <f t="shared" si="8"/>
        <v/>
      </c>
    </row>
    <row r="577" spans="1:3" x14ac:dyDescent="0.25">
      <c r="A577" t="str">
        <f>IF(Scan2VK!F189&lt;&gt;"",Scan2VK!F189,"")</f>
        <v/>
      </c>
      <c r="B577" t="str">
        <f>IF(ISERROR(MATCH(0,INDEX(COUNTIF($B$1:B576,$A$2:$A$4629),0,0),0)),"",INDEX($A$2:$A$4629,MATCH(0,INDEX(COUNTIF($B$1:B576,$A$2:$A$4629),0,0),0)))</f>
        <v/>
      </c>
      <c r="C577" t="str">
        <f t="shared" si="8"/>
        <v/>
      </c>
    </row>
    <row r="578" spans="1:3" x14ac:dyDescent="0.25">
      <c r="A578" t="str">
        <f>IF(Scan2VK!F190&lt;&gt;"",Scan2VK!F190,"")</f>
        <v/>
      </c>
      <c r="B578" t="str">
        <f>IF(ISERROR(MATCH(0,INDEX(COUNTIF($B$1:B577,$A$2:$A$4629),0,0),0)),"",INDEX($A$2:$A$4629,MATCH(0,INDEX(COUNTIF($B$1:B577,$A$2:$A$4629),0,0),0)))</f>
        <v/>
      </c>
      <c r="C578" t="str">
        <f t="shared" si="8"/>
        <v/>
      </c>
    </row>
    <row r="579" spans="1:3" x14ac:dyDescent="0.25">
      <c r="A579" t="str">
        <f>IF(Scan2VK!F191&lt;&gt;"",Scan2VK!F191,"")</f>
        <v/>
      </c>
      <c r="B579" t="str">
        <f>IF(ISERROR(MATCH(0,INDEX(COUNTIF($B$1:B578,$A$2:$A$4629),0,0),0)),"",INDEX($A$2:$A$4629,MATCH(0,INDEX(COUNTIF($B$1:B578,$A$2:$A$4629),0,0),0)))</f>
        <v/>
      </c>
      <c r="C579" t="str">
        <f t="shared" ref="C579:C642" si="9">IF(B579&lt;&gt;"","&lt;xs:enumeration value="""&amp;B579&amp;"""/&gt;","")</f>
        <v/>
      </c>
    </row>
    <row r="580" spans="1:3" x14ac:dyDescent="0.25">
      <c r="A580" t="str">
        <f>IF(Scan2VK!F192&lt;&gt;"",Scan2VK!F192,"")</f>
        <v/>
      </c>
      <c r="B580" t="str">
        <f>IF(ISERROR(MATCH(0,INDEX(COUNTIF($B$1:B579,$A$2:$A$4629),0,0),0)),"",INDEX($A$2:$A$4629,MATCH(0,INDEX(COUNTIF($B$1:B579,$A$2:$A$4629),0,0),0)))</f>
        <v/>
      </c>
      <c r="C580" t="str">
        <f t="shared" si="9"/>
        <v/>
      </c>
    </row>
    <row r="581" spans="1:3" x14ac:dyDescent="0.25">
      <c r="A581" t="str">
        <f>IF(Scan2VK!F193&lt;&gt;"",Scan2VK!F193,"")</f>
        <v/>
      </c>
      <c r="B581" t="str">
        <f>IF(ISERROR(MATCH(0,INDEX(COUNTIF($B$1:B580,$A$2:$A$4629),0,0),0)),"",INDEX($A$2:$A$4629,MATCH(0,INDEX(COUNTIF($B$1:B580,$A$2:$A$4629),0,0),0)))</f>
        <v/>
      </c>
      <c r="C581" t="str">
        <f t="shared" si="9"/>
        <v/>
      </c>
    </row>
    <row r="582" spans="1:3" x14ac:dyDescent="0.25">
      <c r="A582" t="str">
        <f>IF(Scan2VK!F194&lt;&gt;"",Scan2VK!F194,"")</f>
        <v/>
      </c>
      <c r="B582" t="str">
        <f>IF(ISERROR(MATCH(0,INDEX(COUNTIF($B$1:B581,$A$2:$A$4629),0,0),0)),"",INDEX($A$2:$A$4629,MATCH(0,INDEX(COUNTIF($B$1:B581,$A$2:$A$4629),0,0),0)))</f>
        <v/>
      </c>
      <c r="C582" t="str">
        <f t="shared" si="9"/>
        <v/>
      </c>
    </row>
    <row r="583" spans="1:3" x14ac:dyDescent="0.25">
      <c r="A583" t="str">
        <f>IF(Scan2VK!F195&lt;&gt;"",Scan2VK!F195,"")</f>
        <v>PAUSE</v>
      </c>
      <c r="B583" t="str">
        <f>IF(ISERROR(MATCH(0,INDEX(COUNTIF($B$1:B582,$A$2:$A$4629),0,0),0)),"",INDEX($A$2:$A$4629,MATCH(0,INDEX(COUNTIF($B$1:B582,$A$2:$A$4629),0,0),0)))</f>
        <v/>
      </c>
      <c r="C583" t="str">
        <f t="shared" si="9"/>
        <v/>
      </c>
    </row>
    <row r="584" spans="1:3" x14ac:dyDescent="0.25">
      <c r="A584" t="str">
        <f>IF(Scan2VK!G2&lt;&gt;"",Scan2VK!G2,"")</f>
        <v>_none_</v>
      </c>
      <c r="B584" t="str">
        <f>IF(ISERROR(MATCH(0,INDEX(COUNTIF($B$1:B583,$A$2:$A$4629),0,0),0)),"",INDEX($A$2:$A$4629,MATCH(0,INDEX(COUNTIF($B$1:B583,$A$2:$A$4629),0,0),0)))</f>
        <v/>
      </c>
      <c r="C584" t="str">
        <f t="shared" si="9"/>
        <v/>
      </c>
    </row>
    <row r="585" spans="1:3" x14ac:dyDescent="0.25">
      <c r="A585" t="str">
        <f>IF(Scan2VK!G3&lt;&gt;"",Scan2VK!G3,"")</f>
        <v>ESCAPE</v>
      </c>
      <c r="B585" t="str">
        <f>IF(ISERROR(MATCH(0,INDEX(COUNTIF($B$1:B584,$A$2:$A$4629),0,0),0)),"",INDEX($A$2:$A$4629,MATCH(0,INDEX(COUNTIF($B$1:B584,$A$2:$A$4629),0,0),0)))</f>
        <v/>
      </c>
      <c r="C585" t="str">
        <f t="shared" si="9"/>
        <v/>
      </c>
    </row>
    <row r="586" spans="1:3" x14ac:dyDescent="0.25">
      <c r="A586" t="str">
        <f>IF(Scan2VK!G4&lt;&gt;"",Scan2VK!G4,"")</f>
        <v>'1'</v>
      </c>
      <c r="B586" t="str">
        <f>IF(ISERROR(MATCH(0,INDEX(COUNTIF($B$1:B585,$A$2:$A$4629),0,0),0)),"",INDEX($A$2:$A$4629,MATCH(0,INDEX(COUNTIF($B$1:B585,$A$2:$A$4629),0,0),0)))</f>
        <v/>
      </c>
      <c r="C586" t="str">
        <f t="shared" si="9"/>
        <v/>
      </c>
    </row>
    <row r="587" spans="1:3" x14ac:dyDescent="0.25">
      <c r="A587" t="str">
        <f>IF(Scan2VK!G5&lt;&gt;"",Scan2VK!G5,"")</f>
        <v>'2'</v>
      </c>
      <c r="B587" t="str">
        <f>IF(ISERROR(MATCH(0,INDEX(COUNTIF($B$1:B586,$A$2:$A$4629),0,0),0)),"",INDEX($A$2:$A$4629,MATCH(0,INDEX(COUNTIF($B$1:B586,$A$2:$A$4629),0,0),0)))</f>
        <v/>
      </c>
      <c r="C587" t="str">
        <f t="shared" si="9"/>
        <v/>
      </c>
    </row>
    <row r="588" spans="1:3" x14ac:dyDescent="0.25">
      <c r="A588" t="str">
        <f>IF(Scan2VK!G6&lt;&gt;"",Scan2VK!G6,"")</f>
        <v>'3'</v>
      </c>
      <c r="B588" t="str">
        <f>IF(ISERROR(MATCH(0,INDEX(COUNTIF($B$1:B587,$A$2:$A$4629),0,0),0)),"",INDEX($A$2:$A$4629,MATCH(0,INDEX(COUNTIF($B$1:B587,$A$2:$A$4629),0,0),0)))</f>
        <v/>
      </c>
      <c r="C588" t="str">
        <f t="shared" si="9"/>
        <v/>
      </c>
    </row>
    <row r="589" spans="1:3" x14ac:dyDescent="0.25">
      <c r="A589" t="str">
        <f>IF(Scan2VK!G7&lt;&gt;"",Scan2VK!G7,"")</f>
        <v>'4'</v>
      </c>
      <c r="B589" t="str">
        <f>IF(ISERROR(MATCH(0,INDEX(COUNTIF($B$1:B588,$A$2:$A$4629),0,0),0)),"",INDEX($A$2:$A$4629,MATCH(0,INDEX(COUNTIF($B$1:B588,$A$2:$A$4629),0,0),0)))</f>
        <v/>
      </c>
      <c r="C589" t="str">
        <f t="shared" si="9"/>
        <v/>
      </c>
    </row>
    <row r="590" spans="1:3" x14ac:dyDescent="0.25">
      <c r="A590" t="str">
        <f>IF(Scan2VK!G8&lt;&gt;"",Scan2VK!G8,"")</f>
        <v>'5'</v>
      </c>
      <c r="B590" t="str">
        <f>IF(ISERROR(MATCH(0,INDEX(COUNTIF($B$1:B589,$A$2:$A$4629),0,0),0)),"",INDEX($A$2:$A$4629,MATCH(0,INDEX(COUNTIF($B$1:B589,$A$2:$A$4629),0,0),0)))</f>
        <v/>
      </c>
      <c r="C590" t="str">
        <f t="shared" si="9"/>
        <v/>
      </c>
    </row>
    <row r="591" spans="1:3" x14ac:dyDescent="0.25">
      <c r="A591" t="str">
        <f>IF(Scan2VK!G9&lt;&gt;"",Scan2VK!G9,"")</f>
        <v>'6'</v>
      </c>
      <c r="B591" t="str">
        <f>IF(ISERROR(MATCH(0,INDEX(COUNTIF($B$1:B590,$A$2:$A$4629),0,0),0)),"",INDEX($A$2:$A$4629,MATCH(0,INDEX(COUNTIF($B$1:B590,$A$2:$A$4629),0,0),0)))</f>
        <v/>
      </c>
      <c r="C591" t="str">
        <f t="shared" si="9"/>
        <v/>
      </c>
    </row>
    <row r="592" spans="1:3" x14ac:dyDescent="0.25">
      <c r="A592" t="str">
        <f>IF(Scan2VK!G10&lt;&gt;"",Scan2VK!G10,"")</f>
        <v>'7'</v>
      </c>
      <c r="B592" t="str">
        <f>IF(ISERROR(MATCH(0,INDEX(COUNTIF($B$1:B591,$A$2:$A$4629),0,0),0)),"",INDEX($A$2:$A$4629,MATCH(0,INDEX(COUNTIF($B$1:B591,$A$2:$A$4629),0,0),0)))</f>
        <v/>
      </c>
      <c r="C592" t="str">
        <f t="shared" si="9"/>
        <v/>
      </c>
    </row>
    <row r="593" spans="1:3" x14ac:dyDescent="0.25">
      <c r="A593" t="str">
        <f>IF(Scan2VK!G11&lt;&gt;"",Scan2VK!G11,"")</f>
        <v>'8'</v>
      </c>
      <c r="B593" t="str">
        <f>IF(ISERROR(MATCH(0,INDEX(COUNTIF($B$1:B592,$A$2:$A$4629),0,0),0)),"",INDEX($A$2:$A$4629,MATCH(0,INDEX(COUNTIF($B$1:B592,$A$2:$A$4629),0,0),0)))</f>
        <v/>
      </c>
      <c r="C593" t="str">
        <f t="shared" si="9"/>
        <v/>
      </c>
    </row>
    <row r="594" spans="1:3" x14ac:dyDescent="0.25">
      <c r="A594" t="str">
        <f>IF(Scan2VK!G12&lt;&gt;"",Scan2VK!G12,"")</f>
        <v>'9'</v>
      </c>
      <c r="B594" t="str">
        <f>IF(ISERROR(MATCH(0,INDEX(COUNTIF($B$1:B593,$A$2:$A$4629),0,0),0)),"",INDEX($A$2:$A$4629,MATCH(0,INDEX(COUNTIF($B$1:B593,$A$2:$A$4629),0,0),0)))</f>
        <v/>
      </c>
      <c r="C594" t="str">
        <f t="shared" si="9"/>
        <v/>
      </c>
    </row>
    <row r="595" spans="1:3" x14ac:dyDescent="0.25">
      <c r="A595" t="str">
        <f>IF(Scan2VK!G13&lt;&gt;"",Scan2VK!G13,"")</f>
        <v>'0'</v>
      </c>
      <c r="B595" t="str">
        <f>IF(ISERROR(MATCH(0,INDEX(COUNTIF($B$1:B594,$A$2:$A$4629),0,0),0)),"",INDEX($A$2:$A$4629,MATCH(0,INDEX(COUNTIF($B$1:B594,$A$2:$A$4629),0,0),0)))</f>
        <v/>
      </c>
      <c r="C595" t="str">
        <f t="shared" si="9"/>
        <v/>
      </c>
    </row>
    <row r="596" spans="1:3" x14ac:dyDescent="0.25">
      <c r="A596" t="str">
        <f>IF(Scan2VK!G14&lt;&gt;"",Scan2VK!G14,"")</f>
        <v>OEM_MINUS</v>
      </c>
      <c r="B596" t="str">
        <f>IF(ISERROR(MATCH(0,INDEX(COUNTIF($B$1:B595,$A$2:$A$4629),0,0),0)),"",INDEX($A$2:$A$4629,MATCH(0,INDEX(COUNTIF($B$1:B595,$A$2:$A$4629),0,0),0)))</f>
        <v/>
      </c>
      <c r="C596" t="str">
        <f t="shared" si="9"/>
        <v/>
      </c>
    </row>
    <row r="597" spans="1:3" x14ac:dyDescent="0.25">
      <c r="A597" t="str">
        <f>IF(Scan2VK!G15&lt;&gt;"",Scan2VK!G15,"")</f>
        <v>OEM_PLUS</v>
      </c>
      <c r="B597" t="str">
        <f>IF(ISERROR(MATCH(0,INDEX(COUNTIF($B$1:B596,$A$2:$A$4629),0,0),0)),"",INDEX($A$2:$A$4629,MATCH(0,INDEX(COUNTIF($B$1:B596,$A$2:$A$4629),0,0),0)))</f>
        <v/>
      </c>
      <c r="C597" t="str">
        <f t="shared" si="9"/>
        <v/>
      </c>
    </row>
    <row r="598" spans="1:3" x14ac:dyDescent="0.25">
      <c r="A598" t="str">
        <f>IF(Scan2VK!G16&lt;&gt;"",Scan2VK!G16,"")</f>
        <v>BACK</v>
      </c>
      <c r="B598" t="str">
        <f>IF(ISERROR(MATCH(0,INDEX(COUNTIF($B$1:B597,$A$2:$A$4629),0,0),0)),"",INDEX($A$2:$A$4629,MATCH(0,INDEX(COUNTIF($B$1:B597,$A$2:$A$4629),0,0),0)))</f>
        <v/>
      </c>
      <c r="C598" t="str">
        <f t="shared" si="9"/>
        <v/>
      </c>
    </row>
    <row r="599" spans="1:3" x14ac:dyDescent="0.25">
      <c r="A599" t="str">
        <f>IF(Scan2VK!G17&lt;&gt;"",Scan2VK!G17,"")</f>
        <v>TAB</v>
      </c>
      <c r="B599" t="str">
        <f>IF(ISERROR(MATCH(0,INDEX(COUNTIF($B$1:B598,$A$2:$A$4629),0,0),0)),"",INDEX($A$2:$A$4629,MATCH(0,INDEX(COUNTIF($B$1:B598,$A$2:$A$4629),0,0),0)))</f>
        <v/>
      </c>
      <c r="C599" t="str">
        <f t="shared" si="9"/>
        <v/>
      </c>
    </row>
    <row r="600" spans="1:3" x14ac:dyDescent="0.25">
      <c r="A600" t="str">
        <f>IF(Scan2VK!G18&lt;&gt;"",Scan2VK!G18,"")</f>
        <v>'Q'</v>
      </c>
      <c r="B600" t="str">
        <f>IF(ISERROR(MATCH(0,INDEX(COUNTIF($B$1:B599,$A$2:$A$4629),0,0),0)),"",INDEX($A$2:$A$4629,MATCH(0,INDEX(COUNTIF($B$1:B599,$A$2:$A$4629),0,0),0)))</f>
        <v/>
      </c>
      <c r="C600" t="str">
        <f t="shared" si="9"/>
        <v/>
      </c>
    </row>
    <row r="601" spans="1:3" x14ac:dyDescent="0.25">
      <c r="A601" t="str">
        <f>IF(Scan2VK!G19&lt;&gt;"",Scan2VK!G19,"")</f>
        <v>'W'</v>
      </c>
      <c r="B601" t="str">
        <f>IF(ISERROR(MATCH(0,INDEX(COUNTIF($B$1:B600,$A$2:$A$4629),0,0),0)),"",INDEX($A$2:$A$4629,MATCH(0,INDEX(COUNTIF($B$1:B600,$A$2:$A$4629),0,0),0)))</f>
        <v/>
      </c>
      <c r="C601" t="str">
        <f t="shared" si="9"/>
        <v/>
      </c>
    </row>
    <row r="602" spans="1:3" x14ac:dyDescent="0.25">
      <c r="A602" t="str">
        <f>IF(Scan2VK!G20&lt;&gt;"",Scan2VK!G20,"")</f>
        <v>'E'</v>
      </c>
      <c r="B602" t="str">
        <f>IF(ISERROR(MATCH(0,INDEX(COUNTIF($B$1:B601,$A$2:$A$4629),0,0),0)),"",INDEX($A$2:$A$4629,MATCH(0,INDEX(COUNTIF($B$1:B601,$A$2:$A$4629),0,0),0)))</f>
        <v/>
      </c>
      <c r="C602" t="str">
        <f t="shared" si="9"/>
        <v/>
      </c>
    </row>
    <row r="603" spans="1:3" x14ac:dyDescent="0.25">
      <c r="A603" t="str">
        <f>IF(Scan2VK!G21&lt;&gt;"",Scan2VK!G21,"")</f>
        <v>'R'</v>
      </c>
      <c r="B603" t="str">
        <f>IF(ISERROR(MATCH(0,INDEX(COUNTIF($B$1:B602,$A$2:$A$4629),0,0),0)),"",INDEX($A$2:$A$4629,MATCH(0,INDEX(COUNTIF($B$1:B602,$A$2:$A$4629),0,0),0)))</f>
        <v/>
      </c>
      <c r="C603" t="str">
        <f t="shared" si="9"/>
        <v/>
      </c>
    </row>
    <row r="604" spans="1:3" x14ac:dyDescent="0.25">
      <c r="A604" t="str">
        <f>IF(Scan2VK!G22&lt;&gt;"",Scan2VK!G22,"")</f>
        <v>'T'</v>
      </c>
      <c r="B604" t="str">
        <f>IF(ISERROR(MATCH(0,INDEX(COUNTIF($B$1:B603,$A$2:$A$4629),0,0),0)),"",INDEX($A$2:$A$4629,MATCH(0,INDEX(COUNTIF($B$1:B603,$A$2:$A$4629),0,0),0)))</f>
        <v/>
      </c>
      <c r="C604" t="str">
        <f t="shared" si="9"/>
        <v/>
      </c>
    </row>
    <row r="605" spans="1:3" x14ac:dyDescent="0.25">
      <c r="A605" t="str">
        <f>IF(Scan2VK!G23&lt;&gt;"",Scan2VK!G23,"")</f>
        <v>'Y'</v>
      </c>
      <c r="B605" t="str">
        <f>IF(ISERROR(MATCH(0,INDEX(COUNTIF($B$1:B604,$A$2:$A$4629),0,0),0)),"",INDEX($A$2:$A$4629,MATCH(0,INDEX(COUNTIF($B$1:B604,$A$2:$A$4629),0,0),0)))</f>
        <v/>
      </c>
      <c r="C605" t="str">
        <f t="shared" si="9"/>
        <v/>
      </c>
    </row>
    <row r="606" spans="1:3" x14ac:dyDescent="0.25">
      <c r="A606" t="str">
        <f>IF(Scan2VK!G24&lt;&gt;"",Scan2VK!G24,"")</f>
        <v>'U'</v>
      </c>
      <c r="B606" t="str">
        <f>IF(ISERROR(MATCH(0,INDEX(COUNTIF($B$1:B605,$A$2:$A$4629),0,0),0)),"",INDEX($A$2:$A$4629,MATCH(0,INDEX(COUNTIF($B$1:B605,$A$2:$A$4629),0,0),0)))</f>
        <v/>
      </c>
      <c r="C606" t="str">
        <f t="shared" si="9"/>
        <v/>
      </c>
    </row>
    <row r="607" spans="1:3" x14ac:dyDescent="0.25">
      <c r="A607" t="str">
        <f>IF(Scan2VK!G25&lt;&gt;"",Scan2VK!G25,"")</f>
        <v>'I'</v>
      </c>
      <c r="B607" t="str">
        <f>IF(ISERROR(MATCH(0,INDEX(COUNTIF($B$1:B606,$A$2:$A$4629),0,0),0)),"",INDEX($A$2:$A$4629,MATCH(0,INDEX(COUNTIF($B$1:B606,$A$2:$A$4629),0,0),0)))</f>
        <v/>
      </c>
      <c r="C607" t="str">
        <f t="shared" si="9"/>
        <v/>
      </c>
    </row>
    <row r="608" spans="1:3" x14ac:dyDescent="0.25">
      <c r="A608" t="str">
        <f>IF(Scan2VK!G26&lt;&gt;"",Scan2VK!G26,"")</f>
        <v>'O'</v>
      </c>
      <c r="B608" t="str">
        <f>IF(ISERROR(MATCH(0,INDEX(COUNTIF($B$1:B607,$A$2:$A$4629),0,0),0)),"",INDEX($A$2:$A$4629,MATCH(0,INDEX(COUNTIF($B$1:B607,$A$2:$A$4629),0,0),0)))</f>
        <v/>
      </c>
      <c r="C608" t="str">
        <f t="shared" si="9"/>
        <v/>
      </c>
    </row>
    <row r="609" spans="1:3" x14ac:dyDescent="0.25">
      <c r="A609" t="str">
        <f>IF(Scan2VK!G27&lt;&gt;"",Scan2VK!G27,"")</f>
        <v>'P'</v>
      </c>
      <c r="B609" t="str">
        <f>IF(ISERROR(MATCH(0,INDEX(COUNTIF($B$1:B608,$A$2:$A$4629),0,0),0)),"",INDEX($A$2:$A$4629,MATCH(0,INDEX(COUNTIF($B$1:B608,$A$2:$A$4629),0,0),0)))</f>
        <v/>
      </c>
      <c r="C609" t="str">
        <f t="shared" si="9"/>
        <v/>
      </c>
    </row>
    <row r="610" spans="1:3" x14ac:dyDescent="0.25">
      <c r="A610" t="str">
        <f>IF(Scan2VK!G28&lt;&gt;"",Scan2VK!G28,"")</f>
        <v>OEM_4</v>
      </c>
      <c r="B610" t="str">
        <f>IF(ISERROR(MATCH(0,INDEX(COUNTIF($B$1:B609,$A$2:$A$4629),0,0),0)),"",INDEX($A$2:$A$4629,MATCH(0,INDEX(COUNTIF($B$1:B609,$A$2:$A$4629),0,0),0)))</f>
        <v/>
      </c>
      <c r="C610" t="str">
        <f t="shared" si="9"/>
        <v/>
      </c>
    </row>
    <row r="611" spans="1:3" x14ac:dyDescent="0.25">
      <c r="A611" t="str">
        <f>IF(Scan2VK!G29&lt;&gt;"",Scan2VK!G29,"")</f>
        <v>OEM_6</v>
      </c>
      <c r="B611" t="str">
        <f>IF(ISERROR(MATCH(0,INDEX(COUNTIF($B$1:B610,$A$2:$A$4629),0,0),0)),"",INDEX($A$2:$A$4629,MATCH(0,INDEX(COUNTIF($B$1:B610,$A$2:$A$4629),0,0),0)))</f>
        <v/>
      </c>
      <c r="C611" t="str">
        <f t="shared" si="9"/>
        <v/>
      </c>
    </row>
    <row r="612" spans="1:3" x14ac:dyDescent="0.25">
      <c r="A612" t="str">
        <f>IF(Scan2VK!G30&lt;&gt;"",Scan2VK!G30,"")</f>
        <v>RETURN</v>
      </c>
      <c r="B612" t="str">
        <f>IF(ISERROR(MATCH(0,INDEX(COUNTIF($B$1:B611,$A$2:$A$4629),0,0),0)),"",INDEX($A$2:$A$4629,MATCH(0,INDEX(COUNTIF($B$1:B611,$A$2:$A$4629),0,0),0)))</f>
        <v/>
      </c>
      <c r="C612" t="str">
        <f t="shared" si="9"/>
        <v/>
      </c>
    </row>
    <row r="613" spans="1:3" x14ac:dyDescent="0.25">
      <c r="A613" t="str">
        <f>IF(Scan2VK!G31&lt;&gt;"",Scan2VK!G31,"")</f>
        <v>LCONTROL</v>
      </c>
      <c r="B613" t="str">
        <f>IF(ISERROR(MATCH(0,INDEX(COUNTIF($B$1:B612,$A$2:$A$4629),0,0),0)),"",INDEX($A$2:$A$4629,MATCH(0,INDEX(COUNTIF($B$1:B612,$A$2:$A$4629),0,0),0)))</f>
        <v/>
      </c>
      <c r="C613" t="str">
        <f t="shared" si="9"/>
        <v/>
      </c>
    </row>
    <row r="614" spans="1:3" x14ac:dyDescent="0.25">
      <c r="A614" t="str">
        <f>IF(Scan2VK!G32&lt;&gt;"",Scan2VK!G32,"")</f>
        <v>'A'</v>
      </c>
      <c r="B614" t="str">
        <f>IF(ISERROR(MATCH(0,INDEX(COUNTIF($B$1:B613,$A$2:$A$4629),0,0),0)),"",INDEX($A$2:$A$4629,MATCH(0,INDEX(COUNTIF($B$1:B613,$A$2:$A$4629),0,0),0)))</f>
        <v/>
      </c>
      <c r="C614" t="str">
        <f t="shared" si="9"/>
        <v/>
      </c>
    </row>
    <row r="615" spans="1:3" x14ac:dyDescent="0.25">
      <c r="A615" t="str">
        <f>IF(Scan2VK!G33&lt;&gt;"",Scan2VK!G33,"")</f>
        <v>'S'</v>
      </c>
      <c r="B615" t="str">
        <f>IF(ISERROR(MATCH(0,INDEX(COUNTIF($B$1:B614,$A$2:$A$4629),0,0),0)),"",INDEX($A$2:$A$4629,MATCH(0,INDEX(COUNTIF($B$1:B614,$A$2:$A$4629),0,0),0)))</f>
        <v/>
      </c>
      <c r="C615" t="str">
        <f t="shared" si="9"/>
        <v/>
      </c>
    </row>
    <row r="616" spans="1:3" x14ac:dyDescent="0.25">
      <c r="A616" t="str">
        <f>IF(Scan2VK!G34&lt;&gt;"",Scan2VK!G34,"")</f>
        <v>'D'</v>
      </c>
      <c r="B616" t="str">
        <f>IF(ISERROR(MATCH(0,INDEX(COUNTIF($B$1:B615,$A$2:$A$4629),0,0),0)),"",INDEX($A$2:$A$4629,MATCH(0,INDEX(COUNTIF($B$1:B615,$A$2:$A$4629),0,0),0)))</f>
        <v/>
      </c>
      <c r="C616" t="str">
        <f t="shared" si="9"/>
        <v/>
      </c>
    </row>
    <row r="617" spans="1:3" x14ac:dyDescent="0.25">
      <c r="A617" t="str">
        <f>IF(Scan2VK!G35&lt;&gt;"",Scan2VK!G35,"")</f>
        <v>'F'</v>
      </c>
      <c r="B617" t="str">
        <f>IF(ISERROR(MATCH(0,INDEX(COUNTIF($B$1:B616,$A$2:$A$4629),0,0),0)),"",INDEX($A$2:$A$4629,MATCH(0,INDEX(COUNTIF($B$1:B616,$A$2:$A$4629),0,0),0)))</f>
        <v/>
      </c>
      <c r="C617" t="str">
        <f t="shared" si="9"/>
        <v/>
      </c>
    </row>
    <row r="618" spans="1:3" x14ac:dyDescent="0.25">
      <c r="A618" t="str">
        <f>IF(Scan2VK!G36&lt;&gt;"",Scan2VK!G36,"")</f>
        <v>'G'</v>
      </c>
      <c r="B618" t="str">
        <f>IF(ISERROR(MATCH(0,INDEX(COUNTIF($B$1:B617,$A$2:$A$4629),0,0),0)),"",INDEX($A$2:$A$4629,MATCH(0,INDEX(COUNTIF($B$1:B617,$A$2:$A$4629),0,0),0)))</f>
        <v/>
      </c>
      <c r="C618" t="str">
        <f t="shared" si="9"/>
        <v/>
      </c>
    </row>
    <row r="619" spans="1:3" x14ac:dyDescent="0.25">
      <c r="A619" t="str">
        <f>IF(Scan2VK!G37&lt;&gt;"",Scan2VK!G37,"")</f>
        <v>'H'</v>
      </c>
      <c r="B619" t="str">
        <f>IF(ISERROR(MATCH(0,INDEX(COUNTIF($B$1:B618,$A$2:$A$4629),0,0),0)),"",INDEX($A$2:$A$4629,MATCH(0,INDEX(COUNTIF($B$1:B618,$A$2:$A$4629),0,0),0)))</f>
        <v/>
      </c>
      <c r="C619" t="str">
        <f t="shared" si="9"/>
        <v/>
      </c>
    </row>
    <row r="620" spans="1:3" x14ac:dyDescent="0.25">
      <c r="A620" t="str">
        <f>IF(Scan2VK!G38&lt;&gt;"",Scan2VK!G38,"")</f>
        <v>'J'</v>
      </c>
      <c r="B620" t="str">
        <f>IF(ISERROR(MATCH(0,INDEX(COUNTIF($B$1:B619,$A$2:$A$4629),0,0),0)),"",INDEX($A$2:$A$4629,MATCH(0,INDEX(COUNTIF($B$1:B619,$A$2:$A$4629),0,0),0)))</f>
        <v/>
      </c>
      <c r="C620" t="str">
        <f t="shared" si="9"/>
        <v/>
      </c>
    </row>
    <row r="621" spans="1:3" x14ac:dyDescent="0.25">
      <c r="A621" t="str">
        <f>IF(Scan2VK!G39&lt;&gt;"",Scan2VK!G39,"")</f>
        <v>'K'</v>
      </c>
      <c r="B621" t="str">
        <f>IF(ISERROR(MATCH(0,INDEX(COUNTIF($B$1:B620,$A$2:$A$4629),0,0),0)),"",INDEX($A$2:$A$4629,MATCH(0,INDEX(COUNTIF($B$1:B620,$A$2:$A$4629),0,0),0)))</f>
        <v/>
      </c>
      <c r="C621" t="str">
        <f t="shared" si="9"/>
        <v/>
      </c>
    </row>
    <row r="622" spans="1:3" x14ac:dyDescent="0.25">
      <c r="A622" t="str">
        <f>IF(Scan2VK!G40&lt;&gt;"",Scan2VK!G40,"")</f>
        <v>'L'</v>
      </c>
      <c r="B622" t="str">
        <f>IF(ISERROR(MATCH(0,INDEX(COUNTIF($B$1:B621,$A$2:$A$4629),0,0),0)),"",INDEX($A$2:$A$4629,MATCH(0,INDEX(COUNTIF($B$1:B621,$A$2:$A$4629),0,0),0)))</f>
        <v/>
      </c>
      <c r="C622" t="str">
        <f t="shared" si="9"/>
        <v/>
      </c>
    </row>
    <row r="623" spans="1:3" x14ac:dyDescent="0.25">
      <c r="A623" t="str">
        <f>IF(Scan2VK!G41&lt;&gt;"",Scan2VK!G41,"")</f>
        <v>OEM_1</v>
      </c>
      <c r="B623" t="str">
        <f>IF(ISERROR(MATCH(0,INDEX(COUNTIF($B$1:B622,$A$2:$A$4629),0,0),0)),"",INDEX($A$2:$A$4629,MATCH(0,INDEX(COUNTIF($B$1:B622,$A$2:$A$4629),0,0),0)))</f>
        <v/>
      </c>
      <c r="C623" t="str">
        <f t="shared" si="9"/>
        <v/>
      </c>
    </row>
    <row r="624" spans="1:3" x14ac:dyDescent="0.25">
      <c r="A624" t="str">
        <f>IF(Scan2VK!G42&lt;&gt;"",Scan2VK!G42,"")</f>
        <v>OEM_7</v>
      </c>
      <c r="B624" t="str">
        <f>IF(ISERROR(MATCH(0,INDEX(COUNTIF($B$1:B623,$A$2:$A$4629),0,0),0)),"",INDEX($A$2:$A$4629,MATCH(0,INDEX(COUNTIF($B$1:B623,$A$2:$A$4629),0,0),0)))</f>
        <v/>
      </c>
      <c r="C624" t="str">
        <f t="shared" si="9"/>
        <v/>
      </c>
    </row>
    <row r="625" spans="1:3" x14ac:dyDescent="0.25">
      <c r="A625" t="str">
        <f>IF(Scan2VK!G43&lt;&gt;"",Scan2VK!G43,"")</f>
        <v>OEM_3</v>
      </c>
      <c r="B625" t="str">
        <f>IF(ISERROR(MATCH(0,INDEX(COUNTIF($B$1:B624,$A$2:$A$4629),0,0),0)),"",INDEX($A$2:$A$4629,MATCH(0,INDEX(COUNTIF($B$1:B624,$A$2:$A$4629),0,0),0)))</f>
        <v/>
      </c>
      <c r="C625" t="str">
        <f t="shared" si="9"/>
        <v/>
      </c>
    </row>
    <row r="626" spans="1:3" x14ac:dyDescent="0.25">
      <c r="A626" t="str">
        <f>IF(Scan2VK!G44&lt;&gt;"",Scan2VK!G44,"")</f>
        <v>LSHIFT</v>
      </c>
      <c r="B626" t="str">
        <f>IF(ISERROR(MATCH(0,INDEX(COUNTIF($B$1:B625,$A$2:$A$4629),0,0),0)),"",INDEX($A$2:$A$4629,MATCH(0,INDEX(COUNTIF($B$1:B625,$A$2:$A$4629),0,0),0)))</f>
        <v/>
      </c>
      <c r="C626" t="str">
        <f t="shared" si="9"/>
        <v/>
      </c>
    </row>
    <row r="627" spans="1:3" x14ac:dyDescent="0.25">
      <c r="A627" t="str">
        <f>IF(Scan2VK!G45&lt;&gt;"",Scan2VK!G45,"")</f>
        <v>OEM_5</v>
      </c>
      <c r="B627" t="str">
        <f>IF(ISERROR(MATCH(0,INDEX(COUNTIF($B$1:B626,$A$2:$A$4629),0,0),0)),"",INDEX($A$2:$A$4629,MATCH(0,INDEX(COUNTIF($B$1:B626,$A$2:$A$4629),0,0),0)))</f>
        <v/>
      </c>
      <c r="C627" t="str">
        <f t="shared" si="9"/>
        <v/>
      </c>
    </row>
    <row r="628" spans="1:3" x14ac:dyDescent="0.25">
      <c r="A628" t="str">
        <f>IF(Scan2VK!G46&lt;&gt;"",Scan2VK!G46,"")</f>
        <v>'Z'</v>
      </c>
      <c r="B628" t="str">
        <f>IF(ISERROR(MATCH(0,INDEX(COUNTIF($B$1:B627,$A$2:$A$4629),0,0),0)),"",INDEX($A$2:$A$4629,MATCH(0,INDEX(COUNTIF($B$1:B627,$A$2:$A$4629),0,0),0)))</f>
        <v/>
      </c>
      <c r="C628" t="str">
        <f t="shared" si="9"/>
        <v/>
      </c>
    </row>
    <row r="629" spans="1:3" x14ac:dyDescent="0.25">
      <c r="A629" t="str">
        <f>IF(Scan2VK!G47&lt;&gt;"",Scan2VK!G47,"")</f>
        <v>'X'</v>
      </c>
      <c r="B629" t="str">
        <f>IF(ISERROR(MATCH(0,INDEX(COUNTIF($B$1:B628,$A$2:$A$4629),0,0),0)),"",INDEX($A$2:$A$4629,MATCH(0,INDEX(COUNTIF($B$1:B628,$A$2:$A$4629),0,0),0)))</f>
        <v/>
      </c>
      <c r="C629" t="str">
        <f t="shared" si="9"/>
        <v/>
      </c>
    </row>
    <row r="630" spans="1:3" x14ac:dyDescent="0.25">
      <c r="A630" t="str">
        <f>IF(Scan2VK!G48&lt;&gt;"",Scan2VK!G48,"")</f>
        <v>'C'</v>
      </c>
      <c r="B630" t="str">
        <f>IF(ISERROR(MATCH(0,INDEX(COUNTIF($B$1:B629,$A$2:$A$4629),0,0),0)),"",INDEX($A$2:$A$4629,MATCH(0,INDEX(COUNTIF($B$1:B629,$A$2:$A$4629),0,0),0)))</f>
        <v/>
      </c>
      <c r="C630" t="str">
        <f t="shared" si="9"/>
        <v/>
      </c>
    </row>
    <row r="631" spans="1:3" x14ac:dyDescent="0.25">
      <c r="A631" t="str">
        <f>IF(Scan2VK!G49&lt;&gt;"",Scan2VK!G49,"")</f>
        <v>'V'</v>
      </c>
      <c r="B631" t="str">
        <f>IF(ISERROR(MATCH(0,INDEX(COUNTIF($B$1:B630,$A$2:$A$4629),0,0),0)),"",INDEX($A$2:$A$4629,MATCH(0,INDEX(COUNTIF($B$1:B630,$A$2:$A$4629),0,0),0)))</f>
        <v/>
      </c>
      <c r="C631" t="str">
        <f t="shared" si="9"/>
        <v/>
      </c>
    </row>
    <row r="632" spans="1:3" x14ac:dyDescent="0.25">
      <c r="A632" t="str">
        <f>IF(Scan2VK!G50&lt;&gt;"",Scan2VK!G50,"")</f>
        <v>'B'</v>
      </c>
      <c r="B632" t="str">
        <f>IF(ISERROR(MATCH(0,INDEX(COUNTIF($B$1:B631,$A$2:$A$4629),0,0),0)),"",INDEX($A$2:$A$4629,MATCH(0,INDEX(COUNTIF($B$1:B631,$A$2:$A$4629),0,0),0)))</f>
        <v/>
      </c>
      <c r="C632" t="str">
        <f t="shared" si="9"/>
        <v/>
      </c>
    </row>
    <row r="633" spans="1:3" x14ac:dyDescent="0.25">
      <c r="A633" t="str">
        <f>IF(Scan2VK!G51&lt;&gt;"",Scan2VK!G51,"")</f>
        <v>'N'</v>
      </c>
      <c r="B633" t="str">
        <f>IF(ISERROR(MATCH(0,INDEX(COUNTIF($B$1:B632,$A$2:$A$4629),0,0),0)),"",INDEX($A$2:$A$4629,MATCH(0,INDEX(COUNTIF($B$1:B632,$A$2:$A$4629),0,0),0)))</f>
        <v/>
      </c>
      <c r="C633" t="str">
        <f t="shared" si="9"/>
        <v/>
      </c>
    </row>
    <row r="634" spans="1:3" x14ac:dyDescent="0.25">
      <c r="A634" t="str">
        <f>IF(Scan2VK!G52&lt;&gt;"",Scan2VK!G52,"")</f>
        <v>'M'</v>
      </c>
      <c r="B634" t="str">
        <f>IF(ISERROR(MATCH(0,INDEX(COUNTIF($B$1:B633,$A$2:$A$4629),0,0),0)),"",INDEX($A$2:$A$4629,MATCH(0,INDEX(COUNTIF($B$1:B633,$A$2:$A$4629),0,0),0)))</f>
        <v/>
      </c>
      <c r="C634" t="str">
        <f t="shared" si="9"/>
        <v/>
      </c>
    </row>
    <row r="635" spans="1:3" x14ac:dyDescent="0.25">
      <c r="A635" t="str">
        <f>IF(Scan2VK!G53&lt;&gt;"",Scan2VK!G53,"")</f>
        <v>OEM_COMMA</v>
      </c>
      <c r="B635" t="str">
        <f>IF(ISERROR(MATCH(0,INDEX(COUNTIF($B$1:B634,$A$2:$A$4629),0,0),0)),"",INDEX($A$2:$A$4629,MATCH(0,INDEX(COUNTIF($B$1:B634,$A$2:$A$4629),0,0),0)))</f>
        <v/>
      </c>
      <c r="C635" t="str">
        <f t="shared" si="9"/>
        <v/>
      </c>
    </row>
    <row r="636" spans="1:3" x14ac:dyDescent="0.25">
      <c r="A636" t="str">
        <f>IF(Scan2VK!G54&lt;&gt;"",Scan2VK!G54,"")</f>
        <v>OEM_PERIOD</v>
      </c>
      <c r="B636" t="str">
        <f>IF(ISERROR(MATCH(0,INDEX(COUNTIF($B$1:B635,$A$2:$A$4629),0,0),0)),"",INDEX($A$2:$A$4629,MATCH(0,INDEX(COUNTIF($B$1:B635,$A$2:$A$4629),0,0),0)))</f>
        <v/>
      </c>
      <c r="C636" t="str">
        <f t="shared" si="9"/>
        <v/>
      </c>
    </row>
    <row r="637" spans="1:3" x14ac:dyDescent="0.25">
      <c r="A637" t="str">
        <f>IF(Scan2VK!G55&lt;&gt;"",Scan2VK!G55,"")</f>
        <v>OEM_2</v>
      </c>
      <c r="B637" t="str">
        <f>IF(ISERROR(MATCH(0,INDEX(COUNTIF($B$1:B636,$A$2:$A$4629),0,0),0)),"",INDEX($A$2:$A$4629,MATCH(0,INDEX(COUNTIF($B$1:B636,$A$2:$A$4629),0,0),0)))</f>
        <v/>
      </c>
      <c r="C637" t="str">
        <f t="shared" si="9"/>
        <v/>
      </c>
    </row>
    <row r="638" spans="1:3" x14ac:dyDescent="0.25">
      <c r="A638" t="str">
        <f>IF(Scan2VK!G56&lt;&gt;"",Scan2VK!G56,"")</f>
        <v>RSHIFT</v>
      </c>
      <c r="B638" t="str">
        <f>IF(ISERROR(MATCH(0,INDEX(COUNTIF($B$1:B637,$A$2:$A$4629),0,0),0)),"",INDEX($A$2:$A$4629,MATCH(0,INDEX(COUNTIF($B$1:B637,$A$2:$A$4629),0,0),0)))</f>
        <v/>
      </c>
      <c r="C638" t="str">
        <f t="shared" si="9"/>
        <v/>
      </c>
    </row>
    <row r="639" spans="1:3" x14ac:dyDescent="0.25">
      <c r="A639" t="str">
        <f>IF(Scan2VK!G57&lt;&gt;"",Scan2VK!G57,"")</f>
        <v>MULTIPLY</v>
      </c>
      <c r="B639" t="str">
        <f>IF(ISERROR(MATCH(0,INDEX(COUNTIF($B$1:B638,$A$2:$A$4629),0,0),0)),"",INDEX($A$2:$A$4629,MATCH(0,INDEX(COUNTIF($B$1:B638,$A$2:$A$4629),0,0),0)))</f>
        <v/>
      </c>
      <c r="C639" t="str">
        <f t="shared" si="9"/>
        <v/>
      </c>
    </row>
    <row r="640" spans="1:3" x14ac:dyDescent="0.25">
      <c r="A640" t="str">
        <f>IF(Scan2VK!G58&lt;&gt;"",Scan2VK!G58,"")</f>
        <v>LMENU</v>
      </c>
      <c r="B640" t="str">
        <f>IF(ISERROR(MATCH(0,INDEX(COUNTIF($B$1:B639,$A$2:$A$4629),0,0),0)),"",INDEX($A$2:$A$4629,MATCH(0,INDEX(COUNTIF($B$1:B639,$A$2:$A$4629),0,0),0)))</f>
        <v/>
      </c>
      <c r="C640" t="str">
        <f t="shared" si="9"/>
        <v/>
      </c>
    </row>
    <row r="641" spans="1:3" x14ac:dyDescent="0.25">
      <c r="A641" t="str">
        <f>IF(Scan2VK!G59&lt;&gt;"",Scan2VK!G59,"")</f>
        <v>''</v>
      </c>
      <c r="B641" t="str">
        <f>IF(ISERROR(MATCH(0,INDEX(COUNTIF($B$1:B640,$A$2:$A$4629),0,0),0)),"",INDEX($A$2:$A$4629,MATCH(0,INDEX(COUNTIF($B$1:B640,$A$2:$A$4629),0,0),0)))</f>
        <v/>
      </c>
      <c r="C641" t="str">
        <f t="shared" si="9"/>
        <v/>
      </c>
    </row>
    <row r="642" spans="1:3" x14ac:dyDescent="0.25">
      <c r="A642" t="str">
        <f>IF(Scan2VK!G60&lt;&gt;"",Scan2VK!G60,"")</f>
        <v>CAPITAL</v>
      </c>
      <c r="B642" t="str">
        <f>IF(ISERROR(MATCH(0,INDEX(COUNTIF($B$1:B641,$A$2:$A$4629),0,0),0)),"",INDEX($A$2:$A$4629,MATCH(0,INDEX(COUNTIF($B$1:B641,$A$2:$A$4629),0,0),0)))</f>
        <v/>
      </c>
      <c r="C642" t="str">
        <f t="shared" si="9"/>
        <v/>
      </c>
    </row>
    <row r="643" spans="1:3" x14ac:dyDescent="0.25">
      <c r="A643" t="str">
        <f>IF(Scan2VK!G61&lt;&gt;"",Scan2VK!G61,"")</f>
        <v>F1</v>
      </c>
      <c r="B643" t="str">
        <f>IF(ISERROR(MATCH(0,INDEX(COUNTIF($B$1:B642,$A$2:$A$4629),0,0),0)),"",INDEX($A$2:$A$4629,MATCH(0,INDEX(COUNTIF($B$1:B642,$A$2:$A$4629),0,0),0)))</f>
        <v/>
      </c>
      <c r="C643" t="str">
        <f t="shared" ref="C643:C706" si="10">IF(B643&lt;&gt;"","&lt;xs:enumeration value="""&amp;B643&amp;"""/&gt;","")</f>
        <v/>
      </c>
    </row>
    <row r="644" spans="1:3" x14ac:dyDescent="0.25">
      <c r="A644" t="str">
        <f>IF(Scan2VK!G62&lt;&gt;"",Scan2VK!G62,"")</f>
        <v>F2</v>
      </c>
      <c r="B644" t="str">
        <f>IF(ISERROR(MATCH(0,INDEX(COUNTIF($B$1:B643,$A$2:$A$4629),0,0),0)),"",INDEX($A$2:$A$4629,MATCH(0,INDEX(COUNTIF($B$1:B643,$A$2:$A$4629),0,0),0)))</f>
        <v/>
      </c>
      <c r="C644" t="str">
        <f t="shared" si="10"/>
        <v/>
      </c>
    </row>
    <row r="645" spans="1:3" x14ac:dyDescent="0.25">
      <c r="A645" t="str">
        <f>IF(Scan2VK!G63&lt;&gt;"",Scan2VK!G63,"")</f>
        <v>F3</v>
      </c>
      <c r="B645" t="str">
        <f>IF(ISERROR(MATCH(0,INDEX(COUNTIF($B$1:B644,$A$2:$A$4629),0,0),0)),"",INDEX($A$2:$A$4629,MATCH(0,INDEX(COUNTIF($B$1:B644,$A$2:$A$4629),0,0),0)))</f>
        <v/>
      </c>
      <c r="C645" t="str">
        <f t="shared" si="10"/>
        <v/>
      </c>
    </row>
    <row r="646" spans="1:3" x14ac:dyDescent="0.25">
      <c r="A646" t="str">
        <f>IF(Scan2VK!G64&lt;&gt;"",Scan2VK!G64,"")</f>
        <v>F4</v>
      </c>
      <c r="B646" t="str">
        <f>IF(ISERROR(MATCH(0,INDEX(COUNTIF($B$1:B645,$A$2:$A$4629),0,0),0)),"",INDEX($A$2:$A$4629,MATCH(0,INDEX(COUNTIF($B$1:B645,$A$2:$A$4629),0,0),0)))</f>
        <v/>
      </c>
      <c r="C646" t="str">
        <f t="shared" si="10"/>
        <v/>
      </c>
    </row>
    <row r="647" spans="1:3" x14ac:dyDescent="0.25">
      <c r="A647" t="str">
        <f>IF(Scan2VK!G65&lt;&gt;"",Scan2VK!G65,"")</f>
        <v>F5</v>
      </c>
      <c r="B647" t="str">
        <f>IF(ISERROR(MATCH(0,INDEX(COUNTIF($B$1:B646,$A$2:$A$4629),0,0),0)),"",INDEX($A$2:$A$4629,MATCH(0,INDEX(COUNTIF($B$1:B646,$A$2:$A$4629),0,0),0)))</f>
        <v/>
      </c>
      <c r="C647" t="str">
        <f t="shared" si="10"/>
        <v/>
      </c>
    </row>
    <row r="648" spans="1:3" x14ac:dyDescent="0.25">
      <c r="A648" t="str">
        <f>IF(Scan2VK!G66&lt;&gt;"",Scan2VK!G66,"")</f>
        <v>F6</v>
      </c>
      <c r="B648" t="str">
        <f>IF(ISERROR(MATCH(0,INDEX(COUNTIF($B$1:B647,$A$2:$A$4629),0,0),0)),"",INDEX($A$2:$A$4629,MATCH(0,INDEX(COUNTIF($B$1:B647,$A$2:$A$4629),0,0),0)))</f>
        <v/>
      </c>
      <c r="C648" t="str">
        <f t="shared" si="10"/>
        <v/>
      </c>
    </row>
    <row r="649" spans="1:3" x14ac:dyDescent="0.25">
      <c r="A649" t="str">
        <f>IF(Scan2VK!G67&lt;&gt;"",Scan2VK!G67,"")</f>
        <v>F7</v>
      </c>
      <c r="B649" t="str">
        <f>IF(ISERROR(MATCH(0,INDEX(COUNTIF($B$1:B648,$A$2:$A$4629),0,0),0)),"",INDEX($A$2:$A$4629,MATCH(0,INDEX(COUNTIF($B$1:B648,$A$2:$A$4629),0,0),0)))</f>
        <v/>
      </c>
      <c r="C649" t="str">
        <f t="shared" si="10"/>
        <v/>
      </c>
    </row>
    <row r="650" spans="1:3" x14ac:dyDescent="0.25">
      <c r="A650" t="str">
        <f>IF(Scan2VK!G68&lt;&gt;"",Scan2VK!G68,"")</f>
        <v>F8</v>
      </c>
      <c r="B650" t="str">
        <f>IF(ISERROR(MATCH(0,INDEX(COUNTIF($B$1:B649,$A$2:$A$4629),0,0),0)),"",INDEX($A$2:$A$4629,MATCH(0,INDEX(COUNTIF($B$1:B649,$A$2:$A$4629),0,0),0)))</f>
        <v/>
      </c>
      <c r="C650" t="str">
        <f t="shared" si="10"/>
        <v/>
      </c>
    </row>
    <row r="651" spans="1:3" x14ac:dyDescent="0.25">
      <c r="A651" t="str">
        <f>IF(Scan2VK!G69&lt;&gt;"",Scan2VK!G69,"")</f>
        <v>F9</v>
      </c>
      <c r="B651" t="str">
        <f>IF(ISERROR(MATCH(0,INDEX(COUNTIF($B$1:B650,$A$2:$A$4629),0,0),0)),"",INDEX($A$2:$A$4629,MATCH(0,INDEX(COUNTIF($B$1:B650,$A$2:$A$4629),0,0),0)))</f>
        <v/>
      </c>
      <c r="C651" t="str">
        <f t="shared" si="10"/>
        <v/>
      </c>
    </row>
    <row r="652" spans="1:3" x14ac:dyDescent="0.25">
      <c r="A652" t="str">
        <f>IF(Scan2VK!G70&lt;&gt;"",Scan2VK!G70,"")</f>
        <v>F10</v>
      </c>
      <c r="B652" t="str">
        <f>IF(ISERROR(MATCH(0,INDEX(COUNTIF($B$1:B651,$A$2:$A$4629),0,0),0)),"",INDEX($A$2:$A$4629,MATCH(0,INDEX(COUNTIF($B$1:B651,$A$2:$A$4629),0,0),0)))</f>
        <v/>
      </c>
      <c r="C652" t="str">
        <f t="shared" si="10"/>
        <v/>
      </c>
    </row>
    <row r="653" spans="1:3" x14ac:dyDescent="0.25">
      <c r="A653" t="str">
        <f>IF(Scan2VK!G71&lt;&gt;"",Scan2VK!G71,"")</f>
        <v>NUMLOCK</v>
      </c>
      <c r="B653" t="str">
        <f>IF(ISERROR(MATCH(0,INDEX(COUNTIF($B$1:B652,$A$2:$A$4629),0,0),0)),"",INDEX($A$2:$A$4629,MATCH(0,INDEX(COUNTIF($B$1:B652,$A$2:$A$4629),0,0),0)))</f>
        <v/>
      </c>
      <c r="C653" t="str">
        <f t="shared" si="10"/>
        <v/>
      </c>
    </row>
    <row r="654" spans="1:3" x14ac:dyDescent="0.25">
      <c r="A654" t="str">
        <f>IF(Scan2VK!G72&lt;&gt;"",Scan2VK!G72,"")</f>
        <v>SCROLL</v>
      </c>
      <c r="B654" t="str">
        <f>IF(ISERROR(MATCH(0,INDEX(COUNTIF($B$1:B653,$A$2:$A$4629),0,0),0)),"",INDEX($A$2:$A$4629,MATCH(0,INDEX(COUNTIF($B$1:B653,$A$2:$A$4629),0,0),0)))</f>
        <v/>
      </c>
      <c r="C654" t="str">
        <f t="shared" si="10"/>
        <v/>
      </c>
    </row>
    <row r="655" spans="1:3" x14ac:dyDescent="0.25">
      <c r="A655" t="str">
        <f>IF(Scan2VK!G73&lt;&gt;"",Scan2VK!G73,"")</f>
        <v>HOME</v>
      </c>
      <c r="B655" t="str">
        <f>IF(ISERROR(MATCH(0,INDEX(COUNTIF($B$1:B654,$A$2:$A$4629),0,0),0)),"",INDEX($A$2:$A$4629,MATCH(0,INDEX(COUNTIF($B$1:B654,$A$2:$A$4629),0,0),0)))</f>
        <v/>
      </c>
      <c r="C655" t="str">
        <f t="shared" si="10"/>
        <v/>
      </c>
    </row>
    <row r="656" spans="1:3" x14ac:dyDescent="0.25">
      <c r="A656" t="str">
        <f>IF(Scan2VK!G74&lt;&gt;"",Scan2VK!G74,"")</f>
        <v>UP</v>
      </c>
      <c r="B656" t="str">
        <f>IF(ISERROR(MATCH(0,INDEX(COUNTIF($B$1:B655,$A$2:$A$4629),0,0),0)),"",INDEX($A$2:$A$4629,MATCH(0,INDEX(COUNTIF($B$1:B655,$A$2:$A$4629),0,0),0)))</f>
        <v/>
      </c>
      <c r="C656" t="str">
        <f t="shared" si="10"/>
        <v/>
      </c>
    </row>
    <row r="657" spans="1:3" x14ac:dyDescent="0.25">
      <c r="A657" t="str">
        <f>IF(Scan2VK!G75&lt;&gt;"",Scan2VK!G75,"")</f>
        <v>PRIOR</v>
      </c>
      <c r="B657" t="str">
        <f>IF(ISERROR(MATCH(0,INDEX(COUNTIF($B$1:B656,$A$2:$A$4629),0,0),0)),"",INDEX($A$2:$A$4629,MATCH(0,INDEX(COUNTIF($B$1:B656,$A$2:$A$4629),0,0),0)))</f>
        <v/>
      </c>
      <c r="C657" t="str">
        <f t="shared" si="10"/>
        <v/>
      </c>
    </row>
    <row r="658" spans="1:3" x14ac:dyDescent="0.25">
      <c r="A658" t="str">
        <f>IF(Scan2VK!G76&lt;&gt;"",Scan2VK!G76,"")</f>
        <v>SUBTRACT</v>
      </c>
      <c r="B658" t="str">
        <f>IF(ISERROR(MATCH(0,INDEX(COUNTIF($B$1:B657,$A$2:$A$4629),0,0),0)),"",INDEX($A$2:$A$4629,MATCH(0,INDEX(COUNTIF($B$1:B657,$A$2:$A$4629),0,0),0)))</f>
        <v/>
      </c>
      <c r="C658" t="str">
        <f t="shared" si="10"/>
        <v/>
      </c>
    </row>
    <row r="659" spans="1:3" x14ac:dyDescent="0.25">
      <c r="A659" t="str">
        <f>IF(Scan2VK!G77&lt;&gt;"",Scan2VK!G77,"")</f>
        <v>LEFT</v>
      </c>
      <c r="B659" t="str">
        <f>IF(ISERROR(MATCH(0,INDEX(COUNTIF($B$1:B658,$A$2:$A$4629),0,0),0)),"",INDEX($A$2:$A$4629,MATCH(0,INDEX(COUNTIF($B$1:B658,$A$2:$A$4629),0,0),0)))</f>
        <v/>
      </c>
      <c r="C659" t="str">
        <f t="shared" si="10"/>
        <v/>
      </c>
    </row>
    <row r="660" spans="1:3" x14ac:dyDescent="0.25">
      <c r="A660" t="str">
        <f>IF(Scan2VK!G78&lt;&gt;"",Scan2VK!G78,"")</f>
        <v>CLEAR</v>
      </c>
      <c r="B660" t="str">
        <f>IF(ISERROR(MATCH(0,INDEX(COUNTIF($B$1:B659,$A$2:$A$4629),0,0),0)),"",INDEX($A$2:$A$4629,MATCH(0,INDEX(COUNTIF($B$1:B659,$A$2:$A$4629),0,0),0)))</f>
        <v/>
      </c>
      <c r="C660" t="str">
        <f t="shared" si="10"/>
        <v/>
      </c>
    </row>
    <row r="661" spans="1:3" x14ac:dyDescent="0.25">
      <c r="A661" t="str">
        <f>IF(Scan2VK!G79&lt;&gt;"",Scan2VK!G79,"")</f>
        <v>RIGHT</v>
      </c>
      <c r="B661" t="str">
        <f>IF(ISERROR(MATCH(0,INDEX(COUNTIF($B$1:B660,$A$2:$A$4629),0,0),0)),"",INDEX($A$2:$A$4629,MATCH(0,INDEX(COUNTIF($B$1:B660,$A$2:$A$4629),0,0),0)))</f>
        <v/>
      </c>
      <c r="C661" t="str">
        <f t="shared" si="10"/>
        <v/>
      </c>
    </row>
    <row r="662" spans="1:3" x14ac:dyDescent="0.25">
      <c r="A662" t="str">
        <f>IF(Scan2VK!G80&lt;&gt;"",Scan2VK!G80,"")</f>
        <v>ADD</v>
      </c>
      <c r="B662" t="str">
        <f>IF(ISERROR(MATCH(0,INDEX(COUNTIF($B$1:B661,$A$2:$A$4629),0,0),0)),"",INDEX($A$2:$A$4629,MATCH(0,INDEX(COUNTIF($B$1:B661,$A$2:$A$4629),0,0),0)))</f>
        <v/>
      </c>
      <c r="C662" t="str">
        <f t="shared" si="10"/>
        <v/>
      </c>
    </row>
    <row r="663" spans="1:3" x14ac:dyDescent="0.25">
      <c r="A663" t="str">
        <f>IF(Scan2VK!G81&lt;&gt;"",Scan2VK!G81,"")</f>
        <v>END</v>
      </c>
      <c r="B663" t="str">
        <f>IF(ISERROR(MATCH(0,INDEX(COUNTIF($B$1:B662,$A$2:$A$4629),0,0),0)),"",INDEX($A$2:$A$4629,MATCH(0,INDEX(COUNTIF($B$1:B662,$A$2:$A$4629),0,0),0)))</f>
        <v/>
      </c>
      <c r="C663" t="str">
        <f t="shared" si="10"/>
        <v/>
      </c>
    </row>
    <row r="664" spans="1:3" x14ac:dyDescent="0.25">
      <c r="A664" t="str">
        <f>IF(Scan2VK!G82&lt;&gt;"",Scan2VK!G82,"")</f>
        <v>DOWN</v>
      </c>
      <c r="B664" t="str">
        <f>IF(ISERROR(MATCH(0,INDEX(COUNTIF($B$1:B663,$A$2:$A$4629),0,0),0)),"",INDEX($A$2:$A$4629,MATCH(0,INDEX(COUNTIF($B$1:B663,$A$2:$A$4629),0,0),0)))</f>
        <v/>
      </c>
      <c r="C664" t="str">
        <f t="shared" si="10"/>
        <v/>
      </c>
    </row>
    <row r="665" spans="1:3" x14ac:dyDescent="0.25">
      <c r="A665" t="str">
        <f>IF(Scan2VK!G83&lt;&gt;"",Scan2VK!G83,"")</f>
        <v>NEXT</v>
      </c>
      <c r="B665" t="str">
        <f>IF(ISERROR(MATCH(0,INDEX(COUNTIF($B$1:B664,$A$2:$A$4629),0,0),0)),"",INDEX($A$2:$A$4629,MATCH(0,INDEX(COUNTIF($B$1:B664,$A$2:$A$4629),0,0),0)))</f>
        <v/>
      </c>
      <c r="C665" t="str">
        <f t="shared" si="10"/>
        <v/>
      </c>
    </row>
    <row r="666" spans="1:3" x14ac:dyDescent="0.25">
      <c r="A666" t="str">
        <f>IF(Scan2VK!G84&lt;&gt;"",Scan2VK!G84,"")</f>
        <v>INSERT</v>
      </c>
      <c r="B666" t="str">
        <f>IF(ISERROR(MATCH(0,INDEX(COUNTIF($B$1:B665,$A$2:$A$4629),0,0),0)),"",INDEX($A$2:$A$4629,MATCH(0,INDEX(COUNTIF($B$1:B665,$A$2:$A$4629),0,0),0)))</f>
        <v/>
      </c>
      <c r="C666" t="str">
        <f t="shared" si="10"/>
        <v/>
      </c>
    </row>
    <row r="667" spans="1:3" x14ac:dyDescent="0.25">
      <c r="A667" t="str">
        <f>IF(Scan2VK!G85&lt;&gt;"",Scan2VK!G85,"")</f>
        <v>DELETE</v>
      </c>
      <c r="B667" t="str">
        <f>IF(ISERROR(MATCH(0,INDEX(COUNTIF($B$1:B666,$A$2:$A$4629),0,0),0)),"",INDEX($A$2:$A$4629,MATCH(0,INDEX(COUNTIF($B$1:B666,$A$2:$A$4629),0,0),0)))</f>
        <v/>
      </c>
      <c r="C667" t="str">
        <f t="shared" si="10"/>
        <v/>
      </c>
    </row>
    <row r="668" spans="1:3" x14ac:dyDescent="0.25">
      <c r="A668" t="str">
        <f>IF(Scan2VK!G86&lt;&gt;"",Scan2VK!G86,"")</f>
        <v>SNAPSHOT</v>
      </c>
      <c r="B668" t="str">
        <f>IF(ISERROR(MATCH(0,INDEX(COUNTIF($B$1:B667,$A$2:$A$4629),0,0),0)),"",INDEX($A$2:$A$4629,MATCH(0,INDEX(COUNTIF($B$1:B667,$A$2:$A$4629),0,0),0)))</f>
        <v/>
      </c>
      <c r="C668" t="str">
        <f t="shared" si="10"/>
        <v/>
      </c>
    </row>
    <row r="669" spans="1:3" x14ac:dyDescent="0.25">
      <c r="A669" t="str">
        <f>IF(Scan2VK!G87&lt;&gt;"",Scan2VK!G87,"")</f>
        <v>_none_</v>
      </c>
      <c r="B669" t="str">
        <f>IF(ISERROR(MATCH(0,INDEX(COUNTIF($B$1:B668,$A$2:$A$4629),0,0),0)),"",INDEX($A$2:$A$4629,MATCH(0,INDEX(COUNTIF($B$1:B668,$A$2:$A$4629),0,0),0)))</f>
        <v/>
      </c>
      <c r="C669" t="str">
        <f t="shared" si="10"/>
        <v/>
      </c>
    </row>
    <row r="670" spans="1:3" x14ac:dyDescent="0.25">
      <c r="A670" t="str">
        <f>IF(Scan2VK!G88&lt;&gt;"",Scan2VK!G88,"")</f>
        <v>OEM_102</v>
      </c>
      <c r="B670" t="str">
        <f>IF(ISERROR(MATCH(0,INDEX(COUNTIF($B$1:B669,$A$2:$A$4629),0,0),0)),"",INDEX($A$2:$A$4629,MATCH(0,INDEX(COUNTIF($B$1:B669,$A$2:$A$4629),0,0),0)))</f>
        <v/>
      </c>
      <c r="C670" t="str">
        <f t="shared" si="10"/>
        <v/>
      </c>
    </row>
    <row r="671" spans="1:3" x14ac:dyDescent="0.25">
      <c r="A671" t="str">
        <f>IF(Scan2VK!G89&lt;&gt;"",Scan2VK!G89,"")</f>
        <v>F11</v>
      </c>
      <c r="B671" t="str">
        <f>IF(ISERROR(MATCH(0,INDEX(COUNTIF($B$1:B670,$A$2:$A$4629),0,0),0)),"",INDEX($A$2:$A$4629,MATCH(0,INDEX(COUNTIF($B$1:B670,$A$2:$A$4629),0,0),0)))</f>
        <v/>
      </c>
      <c r="C671" t="str">
        <f t="shared" si="10"/>
        <v/>
      </c>
    </row>
    <row r="672" spans="1:3" x14ac:dyDescent="0.25">
      <c r="A672" t="str">
        <f>IF(Scan2VK!G90&lt;&gt;"",Scan2VK!G90,"")</f>
        <v>F12</v>
      </c>
      <c r="B672" t="str">
        <f>IF(ISERROR(MATCH(0,INDEX(COUNTIF($B$1:B671,$A$2:$A$4629),0,0),0)),"",INDEX($A$2:$A$4629,MATCH(0,INDEX(COUNTIF($B$1:B671,$A$2:$A$4629),0,0),0)))</f>
        <v/>
      </c>
      <c r="C672" t="str">
        <f t="shared" si="10"/>
        <v/>
      </c>
    </row>
    <row r="673" spans="1:3" x14ac:dyDescent="0.25">
      <c r="A673" t="str">
        <f>IF(Scan2VK!G91&lt;&gt;"",Scan2VK!G91,"")</f>
        <v>CLEAR</v>
      </c>
      <c r="B673" t="str">
        <f>IF(ISERROR(MATCH(0,INDEX(COUNTIF($B$1:B672,$A$2:$A$4629),0,0),0)),"",INDEX($A$2:$A$4629,MATCH(0,INDEX(COUNTIF($B$1:B672,$A$2:$A$4629),0,0),0)))</f>
        <v/>
      </c>
      <c r="C673" t="str">
        <f t="shared" si="10"/>
        <v/>
      </c>
    </row>
    <row r="674" spans="1:3" x14ac:dyDescent="0.25">
      <c r="A674" t="str">
        <f>IF(Scan2VK!G92&lt;&gt;"",Scan2VK!G92,"")</f>
        <v>OEM_WSCTRL</v>
      </c>
      <c r="B674" t="str">
        <f>IF(ISERROR(MATCH(0,INDEX(COUNTIF($B$1:B673,$A$2:$A$4629),0,0),0)),"",INDEX($A$2:$A$4629,MATCH(0,INDEX(COUNTIF($B$1:B673,$A$2:$A$4629),0,0),0)))</f>
        <v/>
      </c>
      <c r="C674" t="str">
        <f t="shared" si="10"/>
        <v/>
      </c>
    </row>
    <row r="675" spans="1:3" x14ac:dyDescent="0.25">
      <c r="A675" t="str">
        <f>IF(Scan2VK!G93&lt;&gt;"",Scan2VK!G93,"")</f>
        <v>OEM_FINISH</v>
      </c>
      <c r="B675" t="str">
        <f>IF(ISERROR(MATCH(0,INDEX(COUNTIF($B$1:B674,$A$2:$A$4629),0,0),0)),"",INDEX($A$2:$A$4629,MATCH(0,INDEX(COUNTIF($B$1:B674,$A$2:$A$4629),0,0),0)))</f>
        <v/>
      </c>
      <c r="C675" t="str">
        <f t="shared" si="10"/>
        <v/>
      </c>
    </row>
    <row r="676" spans="1:3" x14ac:dyDescent="0.25">
      <c r="A676" t="str">
        <f>IF(Scan2VK!G94&lt;&gt;"",Scan2VK!G94,"")</f>
        <v>OEM_JUMP</v>
      </c>
      <c r="B676" t="str">
        <f>IF(ISERROR(MATCH(0,INDEX(COUNTIF($B$1:B675,$A$2:$A$4629),0,0),0)),"",INDEX($A$2:$A$4629,MATCH(0,INDEX(COUNTIF($B$1:B675,$A$2:$A$4629),0,0),0)))</f>
        <v/>
      </c>
      <c r="C676" t="str">
        <f t="shared" si="10"/>
        <v/>
      </c>
    </row>
    <row r="677" spans="1:3" x14ac:dyDescent="0.25">
      <c r="A677" t="str">
        <f>IF(Scan2VK!G95&lt;&gt;"",Scan2VK!G95,"")</f>
        <v>EREOF</v>
      </c>
      <c r="B677" t="str">
        <f>IF(ISERROR(MATCH(0,INDEX(COUNTIF($B$1:B676,$A$2:$A$4629),0,0),0)),"",INDEX($A$2:$A$4629,MATCH(0,INDEX(COUNTIF($B$1:B676,$A$2:$A$4629),0,0),0)))</f>
        <v/>
      </c>
      <c r="C677" t="str">
        <f t="shared" si="10"/>
        <v/>
      </c>
    </row>
    <row r="678" spans="1:3" x14ac:dyDescent="0.25">
      <c r="A678" t="str">
        <f>IF(Scan2VK!G96&lt;&gt;"",Scan2VK!G96,"")</f>
        <v>OEM_BACKTAB</v>
      </c>
      <c r="B678" t="str">
        <f>IF(ISERROR(MATCH(0,INDEX(COUNTIF($B$1:B677,$A$2:$A$4629),0,0),0)),"",INDEX($A$2:$A$4629,MATCH(0,INDEX(COUNTIF($B$1:B677,$A$2:$A$4629),0,0),0)))</f>
        <v/>
      </c>
      <c r="C678" t="str">
        <f t="shared" si="10"/>
        <v/>
      </c>
    </row>
    <row r="679" spans="1:3" x14ac:dyDescent="0.25">
      <c r="A679" t="str">
        <f>IF(Scan2VK!G97&lt;&gt;"",Scan2VK!G97,"")</f>
        <v>OEM_AUTO</v>
      </c>
      <c r="B679" t="str">
        <f>IF(ISERROR(MATCH(0,INDEX(COUNTIF($B$1:B678,$A$2:$A$4629),0,0),0)),"",INDEX($A$2:$A$4629,MATCH(0,INDEX(COUNTIF($B$1:B678,$A$2:$A$4629),0,0),0)))</f>
        <v/>
      </c>
      <c r="C679" t="str">
        <f t="shared" si="10"/>
        <v/>
      </c>
    </row>
    <row r="680" spans="1:3" x14ac:dyDescent="0.25">
      <c r="A680" t="str">
        <f>IF(Scan2VK!G98&lt;&gt;"",Scan2VK!G98,"")</f>
        <v>_none_</v>
      </c>
      <c r="B680" t="str">
        <f>IF(ISERROR(MATCH(0,INDEX(COUNTIF($B$1:B679,$A$2:$A$4629),0,0),0)),"",INDEX($A$2:$A$4629,MATCH(0,INDEX(COUNTIF($B$1:B679,$A$2:$A$4629),0,0),0)))</f>
        <v/>
      </c>
      <c r="C680" t="str">
        <f t="shared" si="10"/>
        <v/>
      </c>
    </row>
    <row r="681" spans="1:3" x14ac:dyDescent="0.25">
      <c r="A681" t="str">
        <f>IF(Scan2VK!G99&lt;&gt;"",Scan2VK!G99,"")</f>
        <v>_none_</v>
      </c>
      <c r="B681" t="str">
        <f>IF(ISERROR(MATCH(0,INDEX(COUNTIF($B$1:B680,$A$2:$A$4629),0,0),0)),"",INDEX($A$2:$A$4629,MATCH(0,INDEX(COUNTIF($B$1:B680,$A$2:$A$4629),0,0),0)))</f>
        <v/>
      </c>
      <c r="C681" t="str">
        <f t="shared" si="10"/>
        <v/>
      </c>
    </row>
    <row r="682" spans="1:3" x14ac:dyDescent="0.25">
      <c r="A682" t="str">
        <f>IF(Scan2VK!G100&lt;&gt;"",Scan2VK!G100,"")</f>
        <v>ZOOM</v>
      </c>
      <c r="B682" t="str">
        <f>IF(ISERROR(MATCH(0,INDEX(COUNTIF($B$1:B681,$A$2:$A$4629),0,0),0)),"",INDEX($A$2:$A$4629,MATCH(0,INDEX(COUNTIF($B$1:B681,$A$2:$A$4629),0,0),0)))</f>
        <v/>
      </c>
      <c r="C682" t="str">
        <f t="shared" si="10"/>
        <v/>
      </c>
    </row>
    <row r="683" spans="1:3" x14ac:dyDescent="0.25">
      <c r="A683" t="str">
        <f>IF(Scan2VK!G101&lt;&gt;"",Scan2VK!G101,"")</f>
        <v>HELP</v>
      </c>
      <c r="B683" t="str">
        <f>IF(ISERROR(MATCH(0,INDEX(COUNTIF($B$1:B682,$A$2:$A$4629),0,0),0)),"",INDEX($A$2:$A$4629,MATCH(0,INDEX(COUNTIF($B$1:B682,$A$2:$A$4629),0,0),0)))</f>
        <v/>
      </c>
      <c r="C683" t="str">
        <f t="shared" si="10"/>
        <v/>
      </c>
    </row>
    <row r="684" spans="1:3" x14ac:dyDescent="0.25">
      <c r="A684" t="str">
        <f>IF(Scan2VK!G102&lt;&gt;"",Scan2VK!G102,"")</f>
        <v>F13</v>
      </c>
      <c r="B684" t="str">
        <f>IF(ISERROR(MATCH(0,INDEX(COUNTIF($B$1:B683,$A$2:$A$4629),0,0),0)),"",INDEX($A$2:$A$4629,MATCH(0,INDEX(COUNTIF($B$1:B683,$A$2:$A$4629),0,0),0)))</f>
        <v/>
      </c>
      <c r="C684" t="str">
        <f t="shared" si="10"/>
        <v/>
      </c>
    </row>
    <row r="685" spans="1:3" x14ac:dyDescent="0.25">
      <c r="A685" t="str">
        <f>IF(Scan2VK!G103&lt;&gt;"",Scan2VK!G103,"")</f>
        <v>F14</v>
      </c>
      <c r="B685" t="str">
        <f>IF(ISERROR(MATCH(0,INDEX(COUNTIF($B$1:B684,$A$2:$A$4629),0,0),0)),"",INDEX($A$2:$A$4629,MATCH(0,INDEX(COUNTIF($B$1:B684,$A$2:$A$4629),0,0),0)))</f>
        <v/>
      </c>
      <c r="C685" t="str">
        <f t="shared" si="10"/>
        <v/>
      </c>
    </row>
    <row r="686" spans="1:3" x14ac:dyDescent="0.25">
      <c r="A686" t="str">
        <f>IF(Scan2VK!G104&lt;&gt;"",Scan2VK!G104,"")</f>
        <v>F15</v>
      </c>
      <c r="B686" t="str">
        <f>IF(ISERROR(MATCH(0,INDEX(COUNTIF($B$1:B685,$A$2:$A$4629),0,0),0)),"",INDEX($A$2:$A$4629,MATCH(0,INDEX(COUNTIF($B$1:B685,$A$2:$A$4629),0,0),0)))</f>
        <v/>
      </c>
      <c r="C686" t="str">
        <f t="shared" si="10"/>
        <v/>
      </c>
    </row>
    <row r="687" spans="1:3" x14ac:dyDescent="0.25">
      <c r="A687" t="str">
        <f>IF(Scan2VK!G105&lt;&gt;"",Scan2VK!G105,"")</f>
        <v>F16</v>
      </c>
      <c r="B687" t="str">
        <f>IF(ISERROR(MATCH(0,INDEX(COUNTIF($B$1:B686,$A$2:$A$4629),0,0),0)),"",INDEX($A$2:$A$4629,MATCH(0,INDEX(COUNTIF($B$1:B686,$A$2:$A$4629),0,0),0)))</f>
        <v/>
      </c>
      <c r="C687" t="str">
        <f t="shared" si="10"/>
        <v/>
      </c>
    </row>
    <row r="688" spans="1:3" x14ac:dyDescent="0.25">
      <c r="A688" t="str">
        <f>IF(Scan2VK!G106&lt;&gt;"",Scan2VK!G106,"")</f>
        <v>F17</v>
      </c>
      <c r="B688" t="str">
        <f>IF(ISERROR(MATCH(0,INDEX(COUNTIF($B$1:B687,$A$2:$A$4629),0,0),0)),"",INDEX($A$2:$A$4629,MATCH(0,INDEX(COUNTIF($B$1:B687,$A$2:$A$4629),0,0),0)))</f>
        <v/>
      </c>
      <c r="C688" t="str">
        <f t="shared" si="10"/>
        <v/>
      </c>
    </row>
    <row r="689" spans="1:3" x14ac:dyDescent="0.25">
      <c r="A689" t="str">
        <f>IF(Scan2VK!G107&lt;&gt;"",Scan2VK!G107,"")</f>
        <v>F18</v>
      </c>
      <c r="B689" t="str">
        <f>IF(ISERROR(MATCH(0,INDEX(COUNTIF($B$1:B688,$A$2:$A$4629),0,0),0)),"",INDEX($A$2:$A$4629,MATCH(0,INDEX(COUNTIF($B$1:B688,$A$2:$A$4629),0,0),0)))</f>
        <v/>
      </c>
      <c r="C689" t="str">
        <f t="shared" si="10"/>
        <v/>
      </c>
    </row>
    <row r="690" spans="1:3" x14ac:dyDescent="0.25">
      <c r="A690" t="str">
        <f>IF(Scan2VK!G108&lt;&gt;"",Scan2VK!G108,"")</f>
        <v>F19</v>
      </c>
      <c r="B690" t="str">
        <f>IF(ISERROR(MATCH(0,INDEX(COUNTIF($B$1:B689,$A$2:$A$4629),0,0),0)),"",INDEX($A$2:$A$4629,MATCH(0,INDEX(COUNTIF($B$1:B689,$A$2:$A$4629),0,0),0)))</f>
        <v/>
      </c>
      <c r="C690" t="str">
        <f t="shared" si="10"/>
        <v/>
      </c>
    </row>
    <row r="691" spans="1:3" x14ac:dyDescent="0.25">
      <c r="A691" t="str">
        <f>IF(Scan2VK!G109&lt;&gt;"",Scan2VK!G109,"")</f>
        <v>F20</v>
      </c>
      <c r="B691" t="str">
        <f>IF(ISERROR(MATCH(0,INDEX(COUNTIF($B$1:B690,$A$2:$A$4629),0,0),0)),"",INDEX($A$2:$A$4629,MATCH(0,INDEX(COUNTIF($B$1:B690,$A$2:$A$4629),0,0),0)))</f>
        <v/>
      </c>
      <c r="C691" t="str">
        <f t="shared" si="10"/>
        <v/>
      </c>
    </row>
    <row r="692" spans="1:3" x14ac:dyDescent="0.25">
      <c r="A692" t="str">
        <f>IF(Scan2VK!G110&lt;&gt;"",Scan2VK!G110,"")</f>
        <v>F21</v>
      </c>
      <c r="B692" t="str">
        <f>IF(ISERROR(MATCH(0,INDEX(COUNTIF($B$1:B691,$A$2:$A$4629),0,0),0)),"",INDEX($A$2:$A$4629,MATCH(0,INDEX(COUNTIF($B$1:B691,$A$2:$A$4629),0,0),0)))</f>
        <v/>
      </c>
      <c r="C692" t="str">
        <f t="shared" si="10"/>
        <v/>
      </c>
    </row>
    <row r="693" spans="1:3" x14ac:dyDescent="0.25">
      <c r="A693" t="str">
        <f>IF(Scan2VK!G111&lt;&gt;"",Scan2VK!G111,"")</f>
        <v>F22</v>
      </c>
      <c r="B693" t="str">
        <f>IF(ISERROR(MATCH(0,INDEX(COUNTIF($B$1:B692,$A$2:$A$4629),0,0),0)),"",INDEX($A$2:$A$4629,MATCH(0,INDEX(COUNTIF($B$1:B692,$A$2:$A$4629),0,0),0)))</f>
        <v/>
      </c>
      <c r="C693" t="str">
        <f t="shared" si="10"/>
        <v/>
      </c>
    </row>
    <row r="694" spans="1:3" x14ac:dyDescent="0.25">
      <c r="A694" t="str">
        <f>IF(Scan2VK!G112&lt;&gt;"",Scan2VK!G112,"")</f>
        <v>F23</v>
      </c>
      <c r="B694" t="str">
        <f>IF(ISERROR(MATCH(0,INDEX(COUNTIF($B$1:B693,$A$2:$A$4629),0,0),0)),"",INDEX($A$2:$A$4629,MATCH(0,INDEX(COUNTIF($B$1:B693,$A$2:$A$4629),0,0),0)))</f>
        <v/>
      </c>
      <c r="C694" t="str">
        <f t="shared" si="10"/>
        <v/>
      </c>
    </row>
    <row r="695" spans="1:3" x14ac:dyDescent="0.25">
      <c r="A695" t="str">
        <f>IF(Scan2VK!G113&lt;&gt;"",Scan2VK!G113,"")</f>
        <v>OEM_PA3</v>
      </c>
      <c r="B695" t="str">
        <f>IF(ISERROR(MATCH(0,INDEX(COUNTIF($B$1:B694,$A$2:$A$4629),0,0),0)),"",INDEX($A$2:$A$4629,MATCH(0,INDEX(COUNTIF($B$1:B694,$A$2:$A$4629),0,0),0)))</f>
        <v/>
      </c>
      <c r="C695" t="str">
        <f t="shared" si="10"/>
        <v/>
      </c>
    </row>
    <row r="696" spans="1:3" x14ac:dyDescent="0.25">
      <c r="A696" t="str">
        <f>IF(Scan2VK!G114&lt;&gt;"",Scan2VK!G114,"")</f>
        <v>_none_</v>
      </c>
      <c r="B696" t="str">
        <f>IF(ISERROR(MATCH(0,INDEX(COUNTIF($B$1:B695,$A$2:$A$4629),0,0),0)),"",INDEX($A$2:$A$4629,MATCH(0,INDEX(COUNTIF($B$1:B695,$A$2:$A$4629),0,0),0)))</f>
        <v/>
      </c>
      <c r="C696" t="str">
        <f t="shared" si="10"/>
        <v/>
      </c>
    </row>
    <row r="697" spans="1:3" x14ac:dyDescent="0.25">
      <c r="A697" t="str">
        <f>IF(Scan2VK!G115&lt;&gt;"",Scan2VK!G115,"")</f>
        <v>OEM_RESET</v>
      </c>
      <c r="B697" t="str">
        <f>IF(ISERROR(MATCH(0,INDEX(COUNTIF($B$1:B696,$A$2:$A$4629),0,0),0)),"",INDEX($A$2:$A$4629,MATCH(0,INDEX(COUNTIF($B$1:B696,$A$2:$A$4629),0,0),0)))</f>
        <v/>
      </c>
      <c r="C697" t="str">
        <f t="shared" si="10"/>
        <v/>
      </c>
    </row>
    <row r="698" spans="1:3" x14ac:dyDescent="0.25">
      <c r="A698" t="str">
        <f>IF(Scan2VK!G116&lt;&gt;"",Scan2VK!G116,"")</f>
        <v>_none_</v>
      </c>
      <c r="B698" t="str">
        <f>IF(ISERROR(MATCH(0,INDEX(COUNTIF($B$1:B697,$A$2:$A$4629),0,0),0)),"",INDEX($A$2:$A$4629,MATCH(0,INDEX(COUNTIF($B$1:B697,$A$2:$A$4629),0,0),0)))</f>
        <v/>
      </c>
      <c r="C698" t="str">
        <f t="shared" si="10"/>
        <v/>
      </c>
    </row>
    <row r="699" spans="1:3" x14ac:dyDescent="0.25">
      <c r="A699" t="str">
        <f>IF(Scan2VK!G117&lt;&gt;"",Scan2VK!G117,"")</f>
        <v>ABNT_C1</v>
      </c>
      <c r="B699" t="str">
        <f>IF(ISERROR(MATCH(0,INDEX(COUNTIF($B$1:B698,$A$2:$A$4629),0,0),0)),"",INDEX($A$2:$A$4629,MATCH(0,INDEX(COUNTIF($B$1:B698,$A$2:$A$4629),0,0),0)))</f>
        <v/>
      </c>
      <c r="C699" t="str">
        <f t="shared" si="10"/>
        <v/>
      </c>
    </row>
    <row r="700" spans="1:3" x14ac:dyDescent="0.25">
      <c r="A700" t="str">
        <f>IF(Scan2VK!G118&lt;&gt;"",Scan2VK!G118,"")</f>
        <v>_none_</v>
      </c>
      <c r="B700" t="str">
        <f>IF(ISERROR(MATCH(0,INDEX(COUNTIF($B$1:B699,$A$2:$A$4629),0,0),0)),"",INDEX($A$2:$A$4629,MATCH(0,INDEX(COUNTIF($B$1:B699,$A$2:$A$4629),0,0),0)))</f>
        <v/>
      </c>
      <c r="C700" t="str">
        <f t="shared" si="10"/>
        <v/>
      </c>
    </row>
    <row r="701" spans="1:3" x14ac:dyDescent="0.25">
      <c r="A701" t="str">
        <f>IF(Scan2VK!G119&lt;&gt;"",Scan2VK!G119,"")</f>
        <v>_none_</v>
      </c>
      <c r="B701" t="str">
        <f>IF(ISERROR(MATCH(0,INDEX(COUNTIF($B$1:B700,$A$2:$A$4629),0,0),0)),"",INDEX($A$2:$A$4629,MATCH(0,INDEX(COUNTIF($B$1:B700,$A$2:$A$4629),0,0),0)))</f>
        <v/>
      </c>
      <c r="C701" t="str">
        <f t="shared" si="10"/>
        <v/>
      </c>
    </row>
    <row r="702" spans="1:3" x14ac:dyDescent="0.25">
      <c r="A702" t="str">
        <f>IF(Scan2VK!G120&lt;&gt;"",Scan2VK!G120,"")</f>
        <v>F24</v>
      </c>
      <c r="B702" t="str">
        <f>IF(ISERROR(MATCH(0,INDEX(COUNTIF($B$1:B701,$A$2:$A$4629),0,0),0)),"",INDEX($A$2:$A$4629,MATCH(0,INDEX(COUNTIF($B$1:B701,$A$2:$A$4629),0,0),0)))</f>
        <v/>
      </c>
      <c r="C702" t="str">
        <f t="shared" si="10"/>
        <v/>
      </c>
    </row>
    <row r="703" spans="1:3" x14ac:dyDescent="0.25">
      <c r="A703" t="str">
        <f>IF(Scan2VK!G121&lt;&gt;"",Scan2VK!G121,"")</f>
        <v>_none_</v>
      </c>
      <c r="B703" t="str">
        <f>IF(ISERROR(MATCH(0,INDEX(COUNTIF($B$1:B702,$A$2:$A$4629),0,0),0)),"",INDEX($A$2:$A$4629,MATCH(0,INDEX(COUNTIF($B$1:B702,$A$2:$A$4629),0,0),0)))</f>
        <v/>
      </c>
      <c r="C703" t="str">
        <f t="shared" si="10"/>
        <v/>
      </c>
    </row>
    <row r="704" spans="1:3" x14ac:dyDescent="0.25">
      <c r="A704" t="str">
        <f>IF(Scan2VK!G122&lt;&gt;"",Scan2VK!G122,"")</f>
        <v>_none_</v>
      </c>
      <c r="B704" t="str">
        <f>IF(ISERROR(MATCH(0,INDEX(COUNTIF($B$1:B703,$A$2:$A$4629),0,0),0)),"",INDEX($A$2:$A$4629,MATCH(0,INDEX(COUNTIF($B$1:B703,$A$2:$A$4629),0,0),0)))</f>
        <v/>
      </c>
      <c r="C704" t="str">
        <f t="shared" si="10"/>
        <v/>
      </c>
    </row>
    <row r="705" spans="1:3" x14ac:dyDescent="0.25">
      <c r="A705" t="str">
        <f>IF(Scan2VK!G123&lt;&gt;"",Scan2VK!G123,"")</f>
        <v>_none_</v>
      </c>
      <c r="B705" t="str">
        <f>IF(ISERROR(MATCH(0,INDEX(COUNTIF($B$1:B704,$A$2:$A$4629),0,0),0)),"",INDEX($A$2:$A$4629,MATCH(0,INDEX(COUNTIF($B$1:B704,$A$2:$A$4629),0,0),0)))</f>
        <v/>
      </c>
      <c r="C705" t="str">
        <f t="shared" si="10"/>
        <v/>
      </c>
    </row>
    <row r="706" spans="1:3" x14ac:dyDescent="0.25">
      <c r="A706" t="str">
        <f>IF(Scan2VK!G124&lt;&gt;"",Scan2VK!G124,"")</f>
        <v>_none_</v>
      </c>
      <c r="B706" t="str">
        <f>IF(ISERROR(MATCH(0,INDEX(COUNTIF($B$1:B705,$A$2:$A$4629),0,0),0)),"",INDEX($A$2:$A$4629,MATCH(0,INDEX(COUNTIF($B$1:B705,$A$2:$A$4629),0,0),0)))</f>
        <v/>
      </c>
      <c r="C706" t="str">
        <f t="shared" si="10"/>
        <v/>
      </c>
    </row>
    <row r="707" spans="1:3" x14ac:dyDescent="0.25">
      <c r="A707" t="str">
        <f>IF(Scan2VK!G125&lt;&gt;"",Scan2VK!G125,"")</f>
        <v>OEM_PA1</v>
      </c>
      <c r="B707" t="str">
        <f>IF(ISERROR(MATCH(0,INDEX(COUNTIF($B$1:B706,$A$2:$A$4629),0,0),0)),"",INDEX($A$2:$A$4629,MATCH(0,INDEX(COUNTIF($B$1:B706,$A$2:$A$4629),0,0),0)))</f>
        <v/>
      </c>
      <c r="C707" t="str">
        <f t="shared" ref="C707:C770" si="11">IF(B707&lt;&gt;"","&lt;xs:enumeration value="""&amp;B707&amp;"""/&gt;","")</f>
        <v/>
      </c>
    </row>
    <row r="708" spans="1:3" x14ac:dyDescent="0.25">
      <c r="A708" t="str">
        <f>IF(Scan2VK!G126&lt;&gt;"",Scan2VK!G126,"")</f>
        <v>TAB</v>
      </c>
      <c r="B708" t="str">
        <f>IF(ISERROR(MATCH(0,INDEX(COUNTIF($B$1:B707,$A$2:$A$4629),0,0),0)),"",INDEX($A$2:$A$4629,MATCH(0,INDEX(COUNTIF($B$1:B707,$A$2:$A$4629),0,0),0)))</f>
        <v/>
      </c>
      <c r="C708" t="str">
        <f t="shared" si="11"/>
        <v/>
      </c>
    </row>
    <row r="709" spans="1:3" x14ac:dyDescent="0.25">
      <c r="A709" t="str">
        <f>IF(Scan2VK!G127&lt;&gt;"",Scan2VK!G127,"")</f>
        <v>_none_</v>
      </c>
      <c r="B709" t="str">
        <f>IF(ISERROR(MATCH(0,INDEX(COUNTIF($B$1:B708,$A$2:$A$4629),0,0),0)),"",INDEX($A$2:$A$4629,MATCH(0,INDEX(COUNTIF($B$1:B708,$A$2:$A$4629),0,0),0)))</f>
        <v/>
      </c>
      <c r="C709" t="str">
        <f t="shared" si="11"/>
        <v/>
      </c>
    </row>
    <row r="710" spans="1:3" x14ac:dyDescent="0.25">
      <c r="A710" t="str">
        <f>IF(Scan2VK!G128&lt;&gt;"",Scan2VK!G128,"")</f>
        <v>ABNT_C2</v>
      </c>
      <c r="B710" t="str">
        <f>IF(ISERROR(MATCH(0,INDEX(COUNTIF($B$1:B709,$A$2:$A$4629),0,0),0)),"",INDEX($A$2:$A$4629,MATCH(0,INDEX(COUNTIF($B$1:B709,$A$2:$A$4629),0,0),0)))</f>
        <v/>
      </c>
      <c r="C710" t="str">
        <f t="shared" si="11"/>
        <v/>
      </c>
    </row>
    <row r="711" spans="1:3" x14ac:dyDescent="0.25">
      <c r="A711" t="str">
        <f>IF(Scan2VK!G129&lt;&gt;"",Scan2VK!G129,"")</f>
        <v>OEM_PA2</v>
      </c>
      <c r="B711" t="str">
        <f>IF(ISERROR(MATCH(0,INDEX(COUNTIF($B$1:B710,$A$2:$A$4629),0,0),0)),"",INDEX($A$2:$A$4629,MATCH(0,INDEX(COUNTIF($B$1:B710,$A$2:$A$4629),0,0),0)))</f>
        <v/>
      </c>
      <c r="C711" t="str">
        <f t="shared" si="11"/>
        <v/>
      </c>
    </row>
    <row r="712" spans="1:3" x14ac:dyDescent="0.25">
      <c r="A712" t="str">
        <f>IF(Scan2VK!G130&lt;&gt;"",Scan2VK!G130,"")</f>
        <v/>
      </c>
      <c r="B712" t="str">
        <f>IF(ISERROR(MATCH(0,INDEX(COUNTIF($B$1:B711,$A$2:$A$4629),0,0),0)),"",INDEX($A$2:$A$4629,MATCH(0,INDEX(COUNTIF($B$1:B711,$A$2:$A$4629),0,0),0)))</f>
        <v/>
      </c>
      <c r="C712" t="str">
        <f t="shared" si="11"/>
        <v/>
      </c>
    </row>
    <row r="713" spans="1:3" x14ac:dyDescent="0.25">
      <c r="A713" t="str">
        <f>IF(Scan2VK!G131&lt;&gt;"",Scan2VK!G131,"")</f>
        <v>MEDIA_PREV_TRACK</v>
      </c>
      <c r="B713" t="str">
        <f>IF(ISERROR(MATCH(0,INDEX(COUNTIF($B$1:B712,$A$2:$A$4629),0,0),0)),"",INDEX($A$2:$A$4629,MATCH(0,INDEX(COUNTIF($B$1:B712,$A$2:$A$4629),0,0),0)))</f>
        <v/>
      </c>
      <c r="C713" t="str">
        <f t="shared" si="11"/>
        <v/>
      </c>
    </row>
    <row r="714" spans="1:3" x14ac:dyDescent="0.25">
      <c r="A714" t="str">
        <f>IF(Scan2VK!G132&lt;&gt;"",Scan2VK!G132,"")</f>
        <v>MEDIA_NEXT_TRACK</v>
      </c>
      <c r="B714" t="str">
        <f>IF(ISERROR(MATCH(0,INDEX(COUNTIF($B$1:B713,$A$2:$A$4629),0,0),0)),"",INDEX($A$2:$A$4629,MATCH(0,INDEX(COUNTIF($B$1:B713,$A$2:$A$4629),0,0),0)))</f>
        <v/>
      </c>
      <c r="C714" t="str">
        <f t="shared" si="11"/>
        <v/>
      </c>
    </row>
    <row r="715" spans="1:3" x14ac:dyDescent="0.25">
      <c r="A715" t="str">
        <f>IF(Scan2VK!G133&lt;&gt;"",Scan2VK!G133,"")</f>
        <v>RETURN</v>
      </c>
      <c r="B715" t="str">
        <f>IF(ISERROR(MATCH(0,INDEX(COUNTIF($B$1:B714,$A$2:$A$4629),0,0),0)),"",INDEX($A$2:$A$4629,MATCH(0,INDEX(COUNTIF($B$1:B714,$A$2:$A$4629),0,0),0)))</f>
        <v/>
      </c>
      <c r="C715" t="str">
        <f t="shared" si="11"/>
        <v/>
      </c>
    </row>
    <row r="716" spans="1:3" x14ac:dyDescent="0.25">
      <c r="A716" t="str">
        <f>IF(Scan2VK!G134&lt;&gt;"",Scan2VK!G134,"")</f>
        <v>RCONTROL</v>
      </c>
      <c r="B716" t="str">
        <f>IF(ISERROR(MATCH(0,INDEX(COUNTIF($B$1:B715,$A$2:$A$4629),0,0),0)),"",INDEX($A$2:$A$4629,MATCH(0,INDEX(COUNTIF($B$1:B715,$A$2:$A$4629),0,0),0)))</f>
        <v/>
      </c>
      <c r="C716" t="str">
        <f t="shared" si="11"/>
        <v/>
      </c>
    </row>
    <row r="717" spans="1:3" x14ac:dyDescent="0.25">
      <c r="A717" t="str">
        <f>IF(Scan2VK!G135&lt;&gt;"",Scan2VK!G135,"")</f>
        <v>VOLUME_MUTE</v>
      </c>
      <c r="B717" t="str">
        <f>IF(ISERROR(MATCH(0,INDEX(COUNTIF($B$1:B716,$A$2:$A$4629),0,0),0)),"",INDEX($A$2:$A$4629,MATCH(0,INDEX(COUNTIF($B$1:B716,$A$2:$A$4629),0,0),0)))</f>
        <v/>
      </c>
      <c r="C717" t="str">
        <f t="shared" si="11"/>
        <v/>
      </c>
    </row>
    <row r="718" spans="1:3" x14ac:dyDescent="0.25">
      <c r="A718" t="str">
        <f>IF(Scan2VK!G136&lt;&gt;"",Scan2VK!G136,"")</f>
        <v>LAUNCH_APP2</v>
      </c>
      <c r="B718" t="str">
        <f>IF(ISERROR(MATCH(0,INDEX(COUNTIF($B$1:B717,$A$2:$A$4629),0,0),0)),"",INDEX($A$2:$A$4629,MATCH(0,INDEX(COUNTIF($B$1:B717,$A$2:$A$4629),0,0),0)))</f>
        <v/>
      </c>
      <c r="C718" t="str">
        <f t="shared" si="11"/>
        <v/>
      </c>
    </row>
    <row r="719" spans="1:3" x14ac:dyDescent="0.25">
      <c r="A719" t="str">
        <f>IF(Scan2VK!G137&lt;&gt;"",Scan2VK!G137,"")</f>
        <v>MEDIA_PLAY_PAUSE</v>
      </c>
      <c r="B719" t="str">
        <f>IF(ISERROR(MATCH(0,INDEX(COUNTIF($B$1:B718,$A$2:$A$4629),0,0),0)),"",INDEX($A$2:$A$4629,MATCH(0,INDEX(COUNTIF($B$1:B718,$A$2:$A$4629),0,0),0)))</f>
        <v/>
      </c>
      <c r="C719" t="str">
        <f t="shared" si="11"/>
        <v/>
      </c>
    </row>
    <row r="720" spans="1:3" x14ac:dyDescent="0.25">
      <c r="A720" t="str">
        <f>IF(Scan2VK!G138&lt;&gt;"",Scan2VK!G138,"")</f>
        <v>MEDIA_STOP</v>
      </c>
      <c r="B720" t="str">
        <f>IF(ISERROR(MATCH(0,INDEX(COUNTIF($B$1:B719,$A$2:$A$4629),0,0),0)),"",INDEX($A$2:$A$4629,MATCH(0,INDEX(COUNTIF($B$1:B719,$A$2:$A$4629),0,0),0)))</f>
        <v/>
      </c>
      <c r="C720" t="str">
        <f t="shared" si="11"/>
        <v/>
      </c>
    </row>
    <row r="721" spans="1:3" x14ac:dyDescent="0.25">
      <c r="A721" t="str">
        <f>IF(Scan2VK!G139&lt;&gt;"",Scan2VK!G139,"")</f>
        <v>VOLUME_DOWN</v>
      </c>
      <c r="B721" t="str">
        <f>IF(ISERROR(MATCH(0,INDEX(COUNTIF($B$1:B720,$A$2:$A$4629),0,0),0)),"",INDEX($A$2:$A$4629,MATCH(0,INDEX(COUNTIF($B$1:B720,$A$2:$A$4629),0,0),0)))</f>
        <v/>
      </c>
      <c r="C721" t="str">
        <f t="shared" si="11"/>
        <v/>
      </c>
    </row>
    <row r="722" spans="1:3" x14ac:dyDescent="0.25">
      <c r="A722" t="str">
        <f>IF(Scan2VK!G140&lt;&gt;"",Scan2VK!G140,"")</f>
        <v>VOLUME_UP</v>
      </c>
      <c r="B722" t="str">
        <f>IF(ISERROR(MATCH(0,INDEX(COUNTIF($B$1:B721,$A$2:$A$4629),0,0),0)),"",INDEX($A$2:$A$4629,MATCH(0,INDEX(COUNTIF($B$1:B721,$A$2:$A$4629),0,0),0)))</f>
        <v/>
      </c>
      <c r="C722" t="str">
        <f t="shared" si="11"/>
        <v/>
      </c>
    </row>
    <row r="723" spans="1:3" x14ac:dyDescent="0.25">
      <c r="A723" t="str">
        <f>IF(Scan2VK!G141&lt;&gt;"",Scan2VK!G141,"")</f>
        <v>BROWSER_HOME</v>
      </c>
      <c r="B723" t="str">
        <f>IF(ISERROR(MATCH(0,INDEX(COUNTIF($B$1:B722,$A$2:$A$4629),0,0),0)),"",INDEX($A$2:$A$4629,MATCH(0,INDEX(COUNTIF($B$1:B722,$A$2:$A$4629),0,0),0)))</f>
        <v/>
      </c>
      <c r="C723" t="str">
        <f t="shared" si="11"/>
        <v/>
      </c>
    </row>
    <row r="724" spans="1:3" x14ac:dyDescent="0.25">
      <c r="A724" t="str">
        <f>IF(Scan2VK!G142&lt;&gt;"",Scan2VK!G142,"")</f>
        <v/>
      </c>
      <c r="B724" t="str">
        <f>IF(ISERROR(MATCH(0,INDEX(COUNTIF($B$1:B723,$A$2:$A$4629),0,0),0)),"",INDEX($A$2:$A$4629,MATCH(0,INDEX(COUNTIF($B$1:B723,$A$2:$A$4629),0,0),0)))</f>
        <v/>
      </c>
      <c r="C724" t="str">
        <f t="shared" si="11"/>
        <v/>
      </c>
    </row>
    <row r="725" spans="1:3" x14ac:dyDescent="0.25">
      <c r="A725" t="str">
        <f>IF(Scan2VK!G143&lt;&gt;"",Scan2VK!G143,"")</f>
        <v>DIVIDE</v>
      </c>
      <c r="B725" t="str">
        <f>IF(ISERROR(MATCH(0,INDEX(COUNTIF($B$1:B724,$A$2:$A$4629),0,0),0)),"",INDEX($A$2:$A$4629,MATCH(0,INDEX(COUNTIF($B$1:B724,$A$2:$A$4629),0,0),0)))</f>
        <v/>
      </c>
      <c r="C725" t="str">
        <f t="shared" si="11"/>
        <v/>
      </c>
    </row>
    <row r="726" spans="1:3" x14ac:dyDescent="0.25">
      <c r="A726" t="str">
        <f>IF(Scan2VK!G144&lt;&gt;"",Scan2VK!G144,"")</f>
        <v>SNAPSHOT</v>
      </c>
      <c r="B726" t="str">
        <f>IF(ISERROR(MATCH(0,INDEX(COUNTIF($B$1:B725,$A$2:$A$4629),0,0),0)),"",INDEX($A$2:$A$4629,MATCH(0,INDEX(COUNTIF($B$1:B725,$A$2:$A$4629),0,0),0)))</f>
        <v/>
      </c>
      <c r="C726" t="str">
        <f t="shared" si="11"/>
        <v/>
      </c>
    </row>
    <row r="727" spans="1:3" x14ac:dyDescent="0.25">
      <c r="A727" t="str">
        <f>IF(Scan2VK!G145&lt;&gt;"",Scan2VK!G145,"")</f>
        <v>RMENU</v>
      </c>
      <c r="B727" t="str">
        <f>IF(ISERROR(MATCH(0,INDEX(COUNTIF($B$1:B726,$A$2:$A$4629),0,0),0)),"",INDEX($A$2:$A$4629,MATCH(0,INDEX(COUNTIF($B$1:B726,$A$2:$A$4629),0,0),0)))</f>
        <v/>
      </c>
      <c r="C727" t="str">
        <f t="shared" si="11"/>
        <v/>
      </c>
    </row>
    <row r="728" spans="1:3" x14ac:dyDescent="0.25">
      <c r="A728" t="str">
        <f>IF(Scan2VK!G146&lt;&gt;"",Scan2VK!G146,"")</f>
        <v/>
      </c>
      <c r="B728" t="str">
        <f>IF(ISERROR(MATCH(0,INDEX(COUNTIF($B$1:B727,$A$2:$A$4629),0,0),0)),"",INDEX($A$2:$A$4629,MATCH(0,INDEX(COUNTIF($B$1:B727,$A$2:$A$4629),0,0),0)))</f>
        <v/>
      </c>
      <c r="C728" t="str">
        <f t="shared" si="11"/>
        <v/>
      </c>
    </row>
    <row r="729" spans="1:3" x14ac:dyDescent="0.25">
      <c r="A729" t="str">
        <f>IF(Scan2VK!G147&lt;&gt;"",Scan2VK!G147,"")</f>
        <v/>
      </c>
      <c r="B729" t="str">
        <f>IF(ISERROR(MATCH(0,INDEX(COUNTIF($B$1:B728,$A$2:$A$4629),0,0),0)),"",INDEX($A$2:$A$4629,MATCH(0,INDEX(COUNTIF($B$1:B728,$A$2:$A$4629),0,0),0)))</f>
        <v/>
      </c>
      <c r="C729" t="str">
        <f t="shared" si="11"/>
        <v/>
      </c>
    </row>
    <row r="730" spans="1:3" x14ac:dyDescent="0.25">
      <c r="A730" t="str">
        <f>IF(Scan2VK!G148&lt;&gt;"",Scan2VK!G148,"")</f>
        <v/>
      </c>
      <c r="B730" t="str">
        <f>IF(ISERROR(MATCH(0,INDEX(COUNTIF($B$1:B729,$A$2:$A$4629),0,0),0)),"",INDEX($A$2:$A$4629,MATCH(0,INDEX(COUNTIF($B$1:B729,$A$2:$A$4629),0,0),0)))</f>
        <v/>
      </c>
      <c r="C730" t="str">
        <f t="shared" si="11"/>
        <v/>
      </c>
    </row>
    <row r="731" spans="1:3" x14ac:dyDescent="0.25">
      <c r="A731" t="str">
        <f>IF(Scan2VK!G149&lt;&gt;"",Scan2VK!G149,"")</f>
        <v/>
      </c>
      <c r="B731" t="str">
        <f>IF(ISERROR(MATCH(0,INDEX(COUNTIF($B$1:B730,$A$2:$A$4629),0,0),0)),"",INDEX($A$2:$A$4629,MATCH(0,INDEX(COUNTIF($B$1:B730,$A$2:$A$4629),0,0),0)))</f>
        <v/>
      </c>
      <c r="C731" t="str">
        <f t="shared" si="11"/>
        <v/>
      </c>
    </row>
    <row r="732" spans="1:3" x14ac:dyDescent="0.25">
      <c r="A732" t="str">
        <f>IF(Scan2VK!G150&lt;&gt;"",Scan2VK!G150,"")</f>
        <v/>
      </c>
      <c r="B732" t="str">
        <f>IF(ISERROR(MATCH(0,INDEX(COUNTIF($B$1:B731,$A$2:$A$4629),0,0),0)),"",INDEX($A$2:$A$4629,MATCH(0,INDEX(COUNTIF($B$1:B731,$A$2:$A$4629),0,0),0)))</f>
        <v/>
      </c>
      <c r="C732" t="str">
        <f t="shared" si="11"/>
        <v/>
      </c>
    </row>
    <row r="733" spans="1:3" x14ac:dyDescent="0.25">
      <c r="A733" t="str">
        <f>IF(Scan2VK!G151&lt;&gt;"",Scan2VK!G151,"")</f>
        <v/>
      </c>
      <c r="B733" t="str">
        <f>IF(ISERROR(MATCH(0,INDEX(COUNTIF($B$1:B732,$A$2:$A$4629),0,0),0)),"",INDEX($A$2:$A$4629,MATCH(0,INDEX(COUNTIF($B$1:B732,$A$2:$A$4629),0,0),0)))</f>
        <v/>
      </c>
      <c r="C733" t="str">
        <f t="shared" si="11"/>
        <v/>
      </c>
    </row>
    <row r="734" spans="1:3" x14ac:dyDescent="0.25">
      <c r="A734" t="str">
        <f>IF(Scan2VK!G152&lt;&gt;"",Scan2VK!G152,"")</f>
        <v/>
      </c>
      <c r="B734" t="str">
        <f>IF(ISERROR(MATCH(0,INDEX(COUNTIF($B$1:B733,$A$2:$A$4629),0,0),0)),"",INDEX($A$2:$A$4629,MATCH(0,INDEX(COUNTIF($B$1:B733,$A$2:$A$4629),0,0),0)))</f>
        <v/>
      </c>
      <c r="C734" t="str">
        <f t="shared" si="11"/>
        <v/>
      </c>
    </row>
    <row r="735" spans="1:3" x14ac:dyDescent="0.25">
      <c r="A735" t="str">
        <f>IF(Scan2VK!G153&lt;&gt;"",Scan2VK!G153,"")</f>
        <v/>
      </c>
      <c r="B735" t="str">
        <f>IF(ISERROR(MATCH(0,INDEX(COUNTIF($B$1:B734,$A$2:$A$4629),0,0),0)),"",INDEX($A$2:$A$4629,MATCH(0,INDEX(COUNTIF($B$1:B734,$A$2:$A$4629),0,0),0)))</f>
        <v/>
      </c>
      <c r="C735" t="str">
        <f t="shared" si="11"/>
        <v/>
      </c>
    </row>
    <row r="736" spans="1:3" x14ac:dyDescent="0.25">
      <c r="A736" t="str">
        <f>IF(Scan2VK!G154&lt;&gt;"",Scan2VK!G154,"")</f>
        <v>CANCEL</v>
      </c>
      <c r="B736" t="str">
        <f>IF(ISERROR(MATCH(0,INDEX(COUNTIF($B$1:B735,$A$2:$A$4629),0,0),0)),"",INDEX($A$2:$A$4629,MATCH(0,INDEX(COUNTIF($B$1:B735,$A$2:$A$4629),0,0),0)))</f>
        <v/>
      </c>
      <c r="C736" t="str">
        <f t="shared" si="11"/>
        <v/>
      </c>
    </row>
    <row r="737" spans="1:3" x14ac:dyDescent="0.25">
      <c r="A737" t="str">
        <f>IF(Scan2VK!G155&lt;&gt;"",Scan2VK!G155,"")</f>
        <v>HOME</v>
      </c>
      <c r="B737" t="str">
        <f>IF(ISERROR(MATCH(0,INDEX(COUNTIF($B$1:B736,$A$2:$A$4629),0,0),0)),"",INDEX($A$2:$A$4629,MATCH(0,INDEX(COUNTIF($B$1:B736,$A$2:$A$4629),0,0),0)))</f>
        <v/>
      </c>
      <c r="C737" t="str">
        <f t="shared" si="11"/>
        <v/>
      </c>
    </row>
    <row r="738" spans="1:3" x14ac:dyDescent="0.25">
      <c r="A738" t="str">
        <f>IF(Scan2VK!G156&lt;&gt;"",Scan2VK!G156,"")</f>
        <v>UP</v>
      </c>
      <c r="B738" t="str">
        <f>IF(ISERROR(MATCH(0,INDEX(COUNTIF($B$1:B737,$A$2:$A$4629),0,0),0)),"",INDEX($A$2:$A$4629,MATCH(0,INDEX(COUNTIF($B$1:B737,$A$2:$A$4629),0,0),0)))</f>
        <v/>
      </c>
      <c r="C738" t="str">
        <f t="shared" si="11"/>
        <v/>
      </c>
    </row>
    <row r="739" spans="1:3" x14ac:dyDescent="0.25">
      <c r="A739" t="str">
        <f>IF(Scan2VK!G157&lt;&gt;"",Scan2VK!G157,"")</f>
        <v>PRIOR</v>
      </c>
      <c r="B739" t="str">
        <f>IF(ISERROR(MATCH(0,INDEX(COUNTIF($B$1:B738,$A$2:$A$4629),0,0),0)),"",INDEX($A$2:$A$4629,MATCH(0,INDEX(COUNTIF($B$1:B738,$A$2:$A$4629),0,0),0)))</f>
        <v/>
      </c>
      <c r="C739" t="str">
        <f t="shared" si="11"/>
        <v/>
      </c>
    </row>
    <row r="740" spans="1:3" x14ac:dyDescent="0.25">
      <c r="A740" t="str">
        <f>IF(Scan2VK!G158&lt;&gt;"",Scan2VK!G158,"")</f>
        <v>LEFT</v>
      </c>
      <c r="B740" t="str">
        <f>IF(ISERROR(MATCH(0,INDEX(COUNTIF($B$1:B739,$A$2:$A$4629),0,0),0)),"",INDEX($A$2:$A$4629,MATCH(0,INDEX(COUNTIF($B$1:B739,$A$2:$A$4629),0,0),0)))</f>
        <v/>
      </c>
      <c r="C740" t="str">
        <f t="shared" si="11"/>
        <v/>
      </c>
    </row>
    <row r="741" spans="1:3" x14ac:dyDescent="0.25">
      <c r="A741" t="str">
        <f>IF(Scan2VK!G159&lt;&gt;"",Scan2VK!G159,"")</f>
        <v>RIGHT</v>
      </c>
      <c r="B741" t="str">
        <f>IF(ISERROR(MATCH(0,INDEX(COUNTIF($B$1:B740,$A$2:$A$4629),0,0),0)),"",INDEX($A$2:$A$4629,MATCH(0,INDEX(COUNTIF($B$1:B740,$A$2:$A$4629),0,0),0)))</f>
        <v/>
      </c>
      <c r="C741" t="str">
        <f t="shared" si="11"/>
        <v/>
      </c>
    </row>
    <row r="742" spans="1:3" x14ac:dyDescent="0.25">
      <c r="A742" t="str">
        <f>IF(Scan2VK!G160&lt;&gt;"",Scan2VK!G160,"")</f>
        <v>END</v>
      </c>
      <c r="B742" t="str">
        <f>IF(ISERROR(MATCH(0,INDEX(COUNTIF($B$1:B741,$A$2:$A$4629),0,0),0)),"",INDEX($A$2:$A$4629,MATCH(0,INDEX(COUNTIF($B$1:B741,$A$2:$A$4629),0,0),0)))</f>
        <v/>
      </c>
      <c r="C742" t="str">
        <f t="shared" si="11"/>
        <v/>
      </c>
    </row>
    <row r="743" spans="1:3" x14ac:dyDescent="0.25">
      <c r="A743" t="str">
        <f>IF(Scan2VK!G161&lt;&gt;"",Scan2VK!G161,"")</f>
        <v>DOWN</v>
      </c>
      <c r="B743" t="str">
        <f>IF(ISERROR(MATCH(0,INDEX(COUNTIF($B$1:B742,$A$2:$A$4629),0,0),0)),"",INDEX($A$2:$A$4629,MATCH(0,INDEX(COUNTIF($B$1:B742,$A$2:$A$4629),0,0),0)))</f>
        <v/>
      </c>
      <c r="C743" t="str">
        <f t="shared" si="11"/>
        <v/>
      </c>
    </row>
    <row r="744" spans="1:3" x14ac:dyDescent="0.25">
      <c r="A744" t="str">
        <f>IF(Scan2VK!G162&lt;&gt;"",Scan2VK!G162,"")</f>
        <v>NEXT</v>
      </c>
      <c r="B744" t="str">
        <f>IF(ISERROR(MATCH(0,INDEX(COUNTIF($B$1:B743,$A$2:$A$4629),0,0),0)),"",INDEX($A$2:$A$4629,MATCH(0,INDEX(COUNTIF($B$1:B743,$A$2:$A$4629),0,0),0)))</f>
        <v/>
      </c>
      <c r="C744" t="str">
        <f t="shared" si="11"/>
        <v/>
      </c>
    </row>
    <row r="745" spans="1:3" x14ac:dyDescent="0.25">
      <c r="A745" t="str">
        <f>IF(Scan2VK!G163&lt;&gt;"",Scan2VK!G163,"")</f>
        <v>INSERT</v>
      </c>
      <c r="B745" t="str">
        <f>IF(ISERROR(MATCH(0,INDEX(COUNTIF($B$1:B744,$A$2:$A$4629),0,0),0)),"",INDEX($A$2:$A$4629,MATCH(0,INDEX(COUNTIF($B$1:B744,$A$2:$A$4629),0,0),0)))</f>
        <v/>
      </c>
      <c r="C745" t="str">
        <f t="shared" si="11"/>
        <v/>
      </c>
    </row>
    <row r="746" spans="1:3" x14ac:dyDescent="0.25">
      <c r="A746" t="str">
        <f>IF(Scan2VK!G164&lt;&gt;"",Scan2VK!G164,"")</f>
        <v>DELETE</v>
      </c>
      <c r="B746" t="str">
        <f>IF(ISERROR(MATCH(0,INDEX(COUNTIF($B$1:B745,$A$2:$A$4629),0,0),0)),"",INDEX($A$2:$A$4629,MATCH(0,INDEX(COUNTIF($B$1:B745,$A$2:$A$4629),0,0),0)))</f>
        <v/>
      </c>
      <c r="C746" t="str">
        <f t="shared" si="11"/>
        <v/>
      </c>
    </row>
    <row r="747" spans="1:3" x14ac:dyDescent="0.25">
      <c r="A747" t="str">
        <f>IF(Scan2VK!G165&lt;&gt;"",Scan2VK!G165,"")</f>
        <v>LWIN</v>
      </c>
      <c r="B747" t="str">
        <f>IF(ISERROR(MATCH(0,INDEX(COUNTIF($B$1:B746,$A$2:$A$4629),0,0),0)),"",INDEX($A$2:$A$4629,MATCH(0,INDEX(COUNTIF($B$1:B746,$A$2:$A$4629),0,0),0)))</f>
        <v/>
      </c>
      <c r="C747" t="str">
        <f t="shared" si="11"/>
        <v/>
      </c>
    </row>
    <row r="748" spans="1:3" x14ac:dyDescent="0.25">
      <c r="A748" t="str">
        <f>IF(Scan2VK!G166&lt;&gt;"",Scan2VK!G166,"")</f>
        <v>RWIN</v>
      </c>
      <c r="B748" t="str">
        <f>IF(ISERROR(MATCH(0,INDEX(COUNTIF($B$1:B747,$A$2:$A$4629),0,0),0)),"",INDEX($A$2:$A$4629,MATCH(0,INDEX(COUNTIF($B$1:B747,$A$2:$A$4629),0,0),0)))</f>
        <v/>
      </c>
      <c r="C748" t="str">
        <f t="shared" si="11"/>
        <v/>
      </c>
    </row>
    <row r="749" spans="1:3" x14ac:dyDescent="0.25">
      <c r="A749" t="str">
        <f>IF(Scan2VK!G167&lt;&gt;"",Scan2VK!G167,"")</f>
        <v>APPS</v>
      </c>
      <c r="B749" t="str">
        <f>IF(ISERROR(MATCH(0,INDEX(COUNTIF($B$1:B748,$A$2:$A$4629),0,0),0)),"",INDEX($A$2:$A$4629,MATCH(0,INDEX(COUNTIF($B$1:B748,$A$2:$A$4629),0,0),0)))</f>
        <v/>
      </c>
      <c r="C749" t="str">
        <f t="shared" si="11"/>
        <v/>
      </c>
    </row>
    <row r="750" spans="1:3" x14ac:dyDescent="0.25">
      <c r="A750" t="str">
        <f>IF(Scan2VK!G168&lt;&gt;"",Scan2VK!G168,"")</f>
        <v>POWER</v>
      </c>
      <c r="B750" t="str">
        <f>IF(ISERROR(MATCH(0,INDEX(COUNTIF($B$1:B749,$A$2:$A$4629),0,0),0)),"",INDEX($A$2:$A$4629,MATCH(0,INDEX(COUNTIF($B$1:B749,$A$2:$A$4629),0,0),0)))</f>
        <v/>
      </c>
      <c r="C750" t="str">
        <f t="shared" si="11"/>
        <v/>
      </c>
    </row>
    <row r="751" spans="1:3" x14ac:dyDescent="0.25">
      <c r="A751" t="str">
        <f>IF(Scan2VK!G169&lt;&gt;"",Scan2VK!G169,"")</f>
        <v>SLEEP</v>
      </c>
      <c r="B751" t="str">
        <f>IF(ISERROR(MATCH(0,INDEX(COUNTIF($B$1:B750,$A$2:$A$4629),0,0),0)),"",INDEX($A$2:$A$4629,MATCH(0,INDEX(COUNTIF($B$1:B750,$A$2:$A$4629),0,0),0)))</f>
        <v/>
      </c>
      <c r="C751" t="str">
        <f t="shared" si="11"/>
        <v/>
      </c>
    </row>
    <row r="752" spans="1:3" x14ac:dyDescent="0.25">
      <c r="A752" t="str">
        <f>IF(Scan2VK!G170&lt;&gt;"",Scan2VK!G170,"")</f>
        <v/>
      </c>
      <c r="B752" t="str">
        <f>IF(ISERROR(MATCH(0,INDEX(COUNTIF($B$1:B751,$A$2:$A$4629),0,0),0)),"",INDEX($A$2:$A$4629,MATCH(0,INDEX(COUNTIF($B$1:B751,$A$2:$A$4629),0,0),0)))</f>
        <v/>
      </c>
      <c r="C752" t="str">
        <f t="shared" si="11"/>
        <v/>
      </c>
    </row>
    <row r="753" spans="1:3" x14ac:dyDescent="0.25">
      <c r="A753" t="str">
        <f>IF(Scan2VK!G171&lt;&gt;"",Scan2VK!G171,"")</f>
        <v/>
      </c>
      <c r="B753" t="str">
        <f>IF(ISERROR(MATCH(0,INDEX(COUNTIF($B$1:B752,$A$2:$A$4629),0,0),0)),"",INDEX($A$2:$A$4629,MATCH(0,INDEX(COUNTIF($B$1:B752,$A$2:$A$4629),0,0),0)))</f>
        <v/>
      </c>
      <c r="C753" t="str">
        <f t="shared" si="11"/>
        <v/>
      </c>
    </row>
    <row r="754" spans="1:3" x14ac:dyDescent="0.25">
      <c r="A754" t="str">
        <f>IF(Scan2VK!G172&lt;&gt;"",Scan2VK!G172,"")</f>
        <v/>
      </c>
      <c r="B754" t="str">
        <f>IF(ISERROR(MATCH(0,INDEX(COUNTIF($B$1:B753,$A$2:$A$4629),0,0),0)),"",INDEX($A$2:$A$4629,MATCH(0,INDEX(COUNTIF($B$1:B753,$A$2:$A$4629),0,0),0)))</f>
        <v/>
      </c>
      <c r="C754" t="str">
        <f t="shared" si="11"/>
        <v/>
      </c>
    </row>
    <row r="755" spans="1:3" x14ac:dyDescent="0.25">
      <c r="A755" t="str">
        <f>IF(Scan2VK!G173&lt;&gt;"",Scan2VK!G173,"")</f>
        <v/>
      </c>
      <c r="B755" t="str">
        <f>IF(ISERROR(MATCH(0,INDEX(COUNTIF($B$1:B754,$A$2:$A$4629),0,0),0)),"",INDEX($A$2:$A$4629,MATCH(0,INDEX(COUNTIF($B$1:B754,$A$2:$A$4629),0,0),0)))</f>
        <v/>
      </c>
      <c r="C755" t="str">
        <f t="shared" si="11"/>
        <v/>
      </c>
    </row>
    <row r="756" spans="1:3" x14ac:dyDescent="0.25">
      <c r="A756" t="str">
        <f>IF(Scan2VK!G174&lt;&gt;"",Scan2VK!G174,"")</f>
        <v/>
      </c>
      <c r="B756" t="str">
        <f>IF(ISERROR(MATCH(0,INDEX(COUNTIF($B$1:B755,$A$2:$A$4629),0,0),0)),"",INDEX($A$2:$A$4629,MATCH(0,INDEX(COUNTIF($B$1:B755,$A$2:$A$4629),0,0),0)))</f>
        <v/>
      </c>
      <c r="C756" t="str">
        <f t="shared" si="11"/>
        <v/>
      </c>
    </row>
    <row r="757" spans="1:3" x14ac:dyDescent="0.25">
      <c r="A757" t="str">
        <f>IF(Scan2VK!G175&lt;&gt;"",Scan2VK!G175,"")</f>
        <v>BROWSER_SEARCH</v>
      </c>
      <c r="B757" t="str">
        <f>IF(ISERROR(MATCH(0,INDEX(COUNTIF($B$1:B756,$A$2:$A$4629),0,0),0)),"",INDEX($A$2:$A$4629,MATCH(0,INDEX(COUNTIF($B$1:B756,$A$2:$A$4629),0,0),0)))</f>
        <v/>
      </c>
      <c r="C757" t="str">
        <f t="shared" si="11"/>
        <v/>
      </c>
    </row>
    <row r="758" spans="1:3" x14ac:dyDescent="0.25">
      <c r="A758" t="str">
        <f>IF(Scan2VK!G176&lt;&gt;"",Scan2VK!G176,"")</f>
        <v>BROWSER_FAVORITES</v>
      </c>
      <c r="B758" t="str">
        <f>IF(ISERROR(MATCH(0,INDEX(COUNTIF($B$1:B757,$A$2:$A$4629),0,0),0)),"",INDEX($A$2:$A$4629,MATCH(0,INDEX(COUNTIF($B$1:B757,$A$2:$A$4629),0,0),0)))</f>
        <v/>
      </c>
      <c r="C758" t="str">
        <f t="shared" si="11"/>
        <v/>
      </c>
    </row>
    <row r="759" spans="1:3" x14ac:dyDescent="0.25">
      <c r="A759" t="str">
        <f>IF(Scan2VK!G177&lt;&gt;"",Scan2VK!G177,"")</f>
        <v>BROWSER_REFRESH</v>
      </c>
      <c r="B759" t="str">
        <f>IF(ISERROR(MATCH(0,INDEX(COUNTIF($B$1:B758,$A$2:$A$4629),0,0),0)),"",INDEX($A$2:$A$4629,MATCH(0,INDEX(COUNTIF($B$1:B758,$A$2:$A$4629),0,0),0)))</f>
        <v/>
      </c>
      <c r="C759" t="str">
        <f t="shared" si="11"/>
        <v/>
      </c>
    </row>
    <row r="760" spans="1:3" x14ac:dyDescent="0.25">
      <c r="A760" t="str">
        <f>IF(Scan2VK!G178&lt;&gt;"",Scan2VK!G178,"")</f>
        <v>BROWSER_STOP</v>
      </c>
      <c r="B760" t="str">
        <f>IF(ISERROR(MATCH(0,INDEX(COUNTIF($B$1:B759,$A$2:$A$4629),0,0),0)),"",INDEX($A$2:$A$4629,MATCH(0,INDEX(COUNTIF($B$1:B759,$A$2:$A$4629),0,0),0)))</f>
        <v/>
      </c>
      <c r="C760" t="str">
        <f t="shared" si="11"/>
        <v/>
      </c>
    </row>
    <row r="761" spans="1:3" x14ac:dyDescent="0.25">
      <c r="A761" t="str">
        <f>IF(Scan2VK!G179&lt;&gt;"",Scan2VK!G179,"")</f>
        <v>BROWSER_FORWARD</v>
      </c>
      <c r="B761" t="str">
        <f>IF(ISERROR(MATCH(0,INDEX(COUNTIF($B$1:B760,$A$2:$A$4629),0,0),0)),"",INDEX($A$2:$A$4629,MATCH(0,INDEX(COUNTIF($B$1:B760,$A$2:$A$4629),0,0),0)))</f>
        <v/>
      </c>
      <c r="C761" t="str">
        <f t="shared" si="11"/>
        <v/>
      </c>
    </row>
    <row r="762" spans="1:3" x14ac:dyDescent="0.25">
      <c r="A762" t="str">
        <f>IF(Scan2VK!G180&lt;&gt;"",Scan2VK!G180,"")</f>
        <v>BROWSER_BACK</v>
      </c>
      <c r="B762" t="str">
        <f>IF(ISERROR(MATCH(0,INDEX(COUNTIF($B$1:B761,$A$2:$A$4629),0,0),0)),"",INDEX($A$2:$A$4629,MATCH(0,INDEX(COUNTIF($B$1:B761,$A$2:$A$4629),0,0),0)))</f>
        <v/>
      </c>
      <c r="C762" t="str">
        <f t="shared" si="11"/>
        <v/>
      </c>
    </row>
    <row r="763" spans="1:3" x14ac:dyDescent="0.25">
      <c r="A763" t="str">
        <f>IF(Scan2VK!G181&lt;&gt;"",Scan2VK!G181,"")</f>
        <v>LAUNCH_APP1</v>
      </c>
      <c r="B763" t="str">
        <f>IF(ISERROR(MATCH(0,INDEX(COUNTIF($B$1:B762,$A$2:$A$4629),0,0),0)),"",INDEX($A$2:$A$4629,MATCH(0,INDEX(COUNTIF($B$1:B762,$A$2:$A$4629),0,0),0)))</f>
        <v/>
      </c>
      <c r="C763" t="str">
        <f t="shared" si="11"/>
        <v/>
      </c>
    </row>
    <row r="764" spans="1:3" x14ac:dyDescent="0.25">
      <c r="A764" t="str">
        <f>IF(Scan2VK!G182&lt;&gt;"",Scan2VK!G182,"")</f>
        <v>LAUNCH_MAIL</v>
      </c>
      <c r="B764" t="str">
        <f>IF(ISERROR(MATCH(0,INDEX(COUNTIF($B$1:B763,$A$2:$A$4629),0,0),0)),"",INDEX($A$2:$A$4629,MATCH(0,INDEX(COUNTIF($B$1:B763,$A$2:$A$4629),0,0),0)))</f>
        <v/>
      </c>
      <c r="C764" t="str">
        <f t="shared" si="11"/>
        <v/>
      </c>
    </row>
    <row r="765" spans="1:3" x14ac:dyDescent="0.25">
      <c r="A765" t="str">
        <f>IF(Scan2VK!G183&lt;&gt;"",Scan2VK!G183,"")</f>
        <v>LAUNCH_MEDIA_SELECT</v>
      </c>
      <c r="B765" t="str">
        <f>IF(ISERROR(MATCH(0,INDEX(COUNTIF($B$1:B764,$A$2:$A$4629),0,0),0)),"",INDEX($A$2:$A$4629,MATCH(0,INDEX(COUNTIF($B$1:B764,$A$2:$A$4629),0,0),0)))</f>
        <v/>
      </c>
      <c r="C765" t="str">
        <f t="shared" si="11"/>
        <v/>
      </c>
    </row>
    <row r="766" spans="1:3" x14ac:dyDescent="0.25">
      <c r="A766" t="str">
        <f>IF(Scan2VK!G184&lt;&gt;"",Scan2VK!G184,"")</f>
        <v/>
      </c>
      <c r="B766" t="str">
        <f>IF(ISERROR(MATCH(0,INDEX(COUNTIF($B$1:B765,$A$2:$A$4629),0,0),0)),"",INDEX($A$2:$A$4629,MATCH(0,INDEX(COUNTIF($B$1:B765,$A$2:$A$4629),0,0),0)))</f>
        <v/>
      </c>
      <c r="C766" t="str">
        <f t="shared" si="11"/>
        <v/>
      </c>
    </row>
    <row r="767" spans="1:3" x14ac:dyDescent="0.25">
      <c r="A767" t="str">
        <f>IF(Scan2VK!G185&lt;&gt;"",Scan2VK!G185,"")</f>
        <v/>
      </c>
      <c r="B767" t="str">
        <f>IF(ISERROR(MATCH(0,INDEX(COUNTIF($B$1:B766,$A$2:$A$4629),0,0),0)),"",INDEX($A$2:$A$4629,MATCH(0,INDEX(COUNTIF($B$1:B766,$A$2:$A$4629),0,0),0)))</f>
        <v/>
      </c>
      <c r="C767" t="str">
        <f t="shared" si="11"/>
        <v/>
      </c>
    </row>
    <row r="768" spans="1:3" x14ac:dyDescent="0.25">
      <c r="A768" t="str">
        <f>IF(Scan2VK!G186&lt;&gt;"",Scan2VK!G186,"")</f>
        <v/>
      </c>
      <c r="B768" t="str">
        <f>IF(ISERROR(MATCH(0,INDEX(COUNTIF($B$1:B767,$A$2:$A$4629),0,0),0)),"",INDEX($A$2:$A$4629,MATCH(0,INDEX(COUNTIF($B$1:B767,$A$2:$A$4629),0,0),0)))</f>
        <v/>
      </c>
      <c r="C768" t="str">
        <f t="shared" si="11"/>
        <v/>
      </c>
    </row>
    <row r="769" spans="1:3" x14ac:dyDescent="0.25">
      <c r="A769" t="str">
        <f>IF(Scan2VK!G187&lt;&gt;"",Scan2VK!G187,"")</f>
        <v/>
      </c>
      <c r="B769" t="str">
        <f>IF(ISERROR(MATCH(0,INDEX(COUNTIF($B$1:B768,$A$2:$A$4629),0,0),0)),"",INDEX($A$2:$A$4629,MATCH(0,INDEX(COUNTIF($B$1:B768,$A$2:$A$4629),0,0),0)))</f>
        <v/>
      </c>
      <c r="C769" t="str">
        <f t="shared" si="11"/>
        <v/>
      </c>
    </row>
    <row r="770" spans="1:3" x14ac:dyDescent="0.25">
      <c r="A770" t="str">
        <f>IF(Scan2VK!G188&lt;&gt;"",Scan2VK!G188,"")</f>
        <v/>
      </c>
      <c r="B770" t="str">
        <f>IF(ISERROR(MATCH(0,INDEX(COUNTIF($B$1:B769,$A$2:$A$4629),0,0),0)),"",INDEX($A$2:$A$4629,MATCH(0,INDEX(COUNTIF($B$1:B769,$A$2:$A$4629),0,0),0)))</f>
        <v/>
      </c>
      <c r="C770" t="str">
        <f t="shared" si="11"/>
        <v/>
      </c>
    </row>
    <row r="771" spans="1:3" x14ac:dyDescent="0.25">
      <c r="A771" t="str">
        <f>IF(Scan2VK!G189&lt;&gt;"",Scan2VK!G189,"")</f>
        <v/>
      </c>
      <c r="B771" t="str">
        <f>IF(ISERROR(MATCH(0,INDEX(COUNTIF($B$1:B770,$A$2:$A$4629),0,0),0)),"",INDEX($A$2:$A$4629,MATCH(0,INDEX(COUNTIF($B$1:B770,$A$2:$A$4629),0,0),0)))</f>
        <v/>
      </c>
      <c r="C771" t="str">
        <f t="shared" ref="C771:C834" si="12">IF(B771&lt;&gt;"","&lt;xs:enumeration value="""&amp;B771&amp;"""/&gt;","")</f>
        <v/>
      </c>
    </row>
    <row r="772" spans="1:3" x14ac:dyDescent="0.25">
      <c r="A772" t="str">
        <f>IF(Scan2VK!G190&lt;&gt;"",Scan2VK!G190,"")</f>
        <v/>
      </c>
      <c r="B772" t="str">
        <f>IF(ISERROR(MATCH(0,INDEX(COUNTIF($B$1:B771,$A$2:$A$4629),0,0),0)),"",INDEX($A$2:$A$4629,MATCH(0,INDEX(COUNTIF($B$1:B771,$A$2:$A$4629),0,0),0)))</f>
        <v/>
      </c>
      <c r="C772" t="str">
        <f t="shared" si="12"/>
        <v/>
      </c>
    </row>
    <row r="773" spans="1:3" x14ac:dyDescent="0.25">
      <c r="A773" t="str">
        <f>IF(Scan2VK!G191&lt;&gt;"",Scan2VK!G191,"")</f>
        <v/>
      </c>
      <c r="B773" t="str">
        <f>IF(ISERROR(MATCH(0,INDEX(COUNTIF($B$1:B772,$A$2:$A$4629),0,0),0)),"",INDEX($A$2:$A$4629,MATCH(0,INDEX(COUNTIF($B$1:B772,$A$2:$A$4629),0,0),0)))</f>
        <v/>
      </c>
      <c r="C773" t="str">
        <f t="shared" si="12"/>
        <v/>
      </c>
    </row>
    <row r="774" spans="1:3" x14ac:dyDescent="0.25">
      <c r="A774" t="str">
        <f>IF(Scan2VK!G192&lt;&gt;"",Scan2VK!G192,"")</f>
        <v/>
      </c>
      <c r="B774" t="str">
        <f>IF(ISERROR(MATCH(0,INDEX(COUNTIF($B$1:B773,$A$2:$A$4629),0,0),0)),"",INDEX($A$2:$A$4629,MATCH(0,INDEX(COUNTIF($B$1:B773,$A$2:$A$4629),0,0),0)))</f>
        <v/>
      </c>
      <c r="C774" t="str">
        <f t="shared" si="12"/>
        <v/>
      </c>
    </row>
    <row r="775" spans="1:3" x14ac:dyDescent="0.25">
      <c r="A775" t="str">
        <f>IF(Scan2VK!G193&lt;&gt;"",Scan2VK!G193,"")</f>
        <v/>
      </c>
      <c r="B775" t="str">
        <f>IF(ISERROR(MATCH(0,INDEX(COUNTIF($B$1:B774,$A$2:$A$4629),0,0),0)),"",INDEX($A$2:$A$4629,MATCH(0,INDEX(COUNTIF($B$1:B774,$A$2:$A$4629),0,0),0)))</f>
        <v/>
      </c>
      <c r="C775" t="str">
        <f t="shared" si="12"/>
        <v/>
      </c>
    </row>
    <row r="776" spans="1:3" x14ac:dyDescent="0.25">
      <c r="A776" t="str">
        <f>IF(Scan2VK!G194&lt;&gt;"",Scan2VK!G194,"")</f>
        <v/>
      </c>
      <c r="B776" t="str">
        <f>IF(ISERROR(MATCH(0,INDEX(COUNTIF($B$1:B775,$A$2:$A$4629),0,0),0)),"",INDEX($A$2:$A$4629,MATCH(0,INDEX(COUNTIF($B$1:B775,$A$2:$A$4629),0,0),0)))</f>
        <v/>
      </c>
      <c r="C776" t="str">
        <f t="shared" si="12"/>
        <v/>
      </c>
    </row>
    <row r="777" spans="1:3" x14ac:dyDescent="0.25">
      <c r="A777" t="str">
        <f>IF(Scan2VK!G195&lt;&gt;"",Scan2VK!G195,"")</f>
        <v>PAUSE</v>
      </c>
      <c r="B777" t="str">
        <f>IF(ISERROR(MATCH(0,INDEX(COUNTIF($B$1:B776,$A$2:$A$4629),0,0),0)),"",INDEX($A$2:$A$4629,MATCH(0,INDEX(COUNTIF($B$1:B776,$A$2:$A$4629),0,0),0)))</f>
        <v/>
      </c>
      <c r="C777" t="str">
        <f t="shared" si="12"/>
        <v/>
      </c>
    </row>
    <row r="778" spans="1:3" x14ac:dyDescent="0.25">
      <c r="A778" t="str">
        <f>IF(Scan2VK!H2&lt;&gt;"",Scan2VK!H2,"")</f>
        <v>_none_</v>
      </c>
      <c r="B778" t="str">
        <f>IF(ISERROR(MATCH(0,INDEX(COUNTIF($B$1:B777,$A$2:$A$4629),0,0),0)),"",INDEX($A$2:$A$4629,MATCH(0,INDEX(COUNTIF($B$1:B777,$A$2:$A$4629),0,0),0)))</f>
        <v/>
      </c>
      <c r="C778" t="str">
        <f t="shared" si="12"/>
        <v/>
      </c>
    </row>
    <row r="779" spans="1:3" x14ac:dyDescent="0.25">
      <c r="A779" t="str">
        <f>IF(Scan2VK!H3&lt;&gt;"",Scan2VK!H3,"")</f>
        <v>ESCAPE</v>
      </c>
      <c r="B779" t="str">
        <f>IF(ISERROR(MATCH(0,INDEX(COUNTIF($B$1:B778,$A$2:$A$4629),0,0),0)),"",INDEX($A$2:$A$4629,MATCH(0,INDEX(COUNTIF($B$1:B778,$A$2:$A$4629),0,0),0)))</f>
        <v/>
      </c>
      <c r="C779" t="str">
        <f t="shared" si="12"/>
        <v/>
      </c>
    </row>
    <row r="780" spans="1:3" x14ac:dyDescent="0.25">
      <c r="A780" t="str">
        <f>IF(Scan2VK!H4&lt;&gt;"",Scan2VK!H4,"")</f>
        <v>'1'</v>
      </c>
      <c r="B780" t="str">
        <f>IF(ISERROR(MATCH(0,INDEX(COUNTIF($B$1:B779,$A$2:$A$4629),0,0),0)),"",INDEX($A$2:$A$4629,MATCH(0,INDEX(COUNTIF($B$1:B779,$A$2:$A$4629),0,0),0)))</f>
        <v/>
      </c>
      <c r="C780" t="str">
        <f t="shared" si="12"/>
        <v/>
      </c>
    </row>
    <row r="781" spans="1:3" x14ac:dyDescent="0.25">
      <c r="A781" t="str">
        <f>IF(Scan2VK!H5&lt;&gt;"",Scan2VK!H5,"")</f>
        <v>'2'</v>
      </c>
      <c r="B781" t="str">
        <f>IF(ISERROR(MATCH(0,INDEX(COUNTIF($B$1:B780,$A$2:$A$4629),0,0),0)),"",INDEX($A$2:$A$4629,MATCH(0,INDEX(COUNTIF($B$1:B780,$A$2:$A$4629),0,0),0)))</f>
        <v/>
      </c>
      <c r="C781" t="str">
        <f t="shared" si="12"/>
        <v/>
      </c>
    </row>
    <row r="782" spans="1:3" x14ac:dyDescent="0.25">
      <c r="A782" t="str">
        <f>IF(Scan2VK!H6&lt;&gt;"",Scan2VK!H6,"")</f>
        <v>'3'</v>
      </c>
      <c r="B782" t="str">
        <f>IF(ISERROR(MATCH(0,INDEX(COUNTIF($B$1:B781,$A$2:$A$4629),0,0),0)),"",INDEX($A$2:$A$4629,MATCH(0,INDEX(COUNTIF($B$1:B781,$A$2:$A$4629),0,0),0)))</f>
        <v/>
      </c>
      <c r="C782" t="str">
        <f t="shared" si="12"/>
        <v/>
      </c>
    </row>
    <row r="783" spans="1:3" x14ac:dyDescent="0.25">
      <c r="A783" t="str">
        <f>IF(Scan2VK!H7&lt;&gt;"",Scan2VK!H7,"")</f>
        <v>'4'</v>
      </c>
      <c r="B783" t="str">
        <f>IF(ISERROR(MATCH(0,INDEX(COUNTIF($B$1:B782,$A$2:$A$4629),0,0),0)),"",INDEX($A$2:$A$4629,MATCH(0,INDEX(COUNTIF($B$1:B782,$A$2:$A$4629),0,0),0)))</f>
        <v/>
      </c>
      <c r="C783" t="str">
        <f t="shared" si="12"/>
        <v/>
      </c>
    </row>
    <row r="784" spans="1:3" x14ac:dyDescent="0.25">
      <c r="A784" t="str">
        <f>IF(Scan2VK!H8&lt;&gt;"",Scan2VK!H8,"")</f>
        <v>'5'</v>
      </c>
      <c r="B784" t="str">
        <f>IF(ISERROR(MATCH(0,INDEX(COUNTIF($B$1:B783,$A$2:$A$4629),0,0),0)),"",INDEX($A$2:$A$4629,MATCH(0,INDEX(COUNTIF($B$1:B783,$A$2:$A$4629),0,0),0)))</f>
        <v/>
      </c>
      <c r="C784" t="str">
        <f t="shared" si="12"/>
        <v/>
      </c>
    </row>
    <row r="785" spans="1:3" x14ac:dyDescent="0.25">
      <c r="A785" t="str">
        <f>IF(Scan2VK!H9&lt;&gt;"",Scan2VK!H9,"")</f>
        <v>'6'</v>
      </c>
      <c r="B785" t="str">
        <f>IF(ISERROR(MATCH(0,INDEX(COUNTIF($B$1:B784,$A$2:$A$4629),0,0),0)),"",INDEX($A$2:$A$4629,MATCH(0,INDEX(COUNTIF($B$1:B784,$A$2:$A$4629),0,0),0)))</f>
        <v/>
      </c>
      <c r="C785" t="str">
        <f t="shared" si="12"/>
        <v/>
      </c>
    </row>
    <row r="786" spans="1:3" x14ac:dyDescent="0.25">
      <c r="A786" t="str">
        <f>IF(Scan2VK!H10&lt;&gt;"",Scan2VK!H10,"")</f>
        <v>'7'</v>
      </c>
      <c r="B786" t="str">
        <f>IF(ISERROR(MATCH(0,INDEX(COUNTIF($B$1:B785,$A$2:$A$4629),0,0),0)),"",INDEX($A$2:$A$4629,MATCH(0,INDEX(COUNTIF($B$1:B785,$A$2:$A$4629),0,0),0)))</f>
        <v/>
      </c>
      <c r="C786" t="str">
        <f t="shared" si="12"/>
        <v/>
      </c>
    </row>
    <row r="787" spans="1:3" x14ac:dyDescent="0.25">
      <c r="A787" t="str">
        <f>IF(Scan2VK!H11&lt;&gt;"",Scan2VK!H11,"")</f>
        <v>'8'</v>
      </c>
      <c r="B787" t="str">
        <f>IF(ISERROR(MATCH(0,INDEX(COUNTIF($B$1:B786,$A$2:$A$4629),0,0),0)),"",INDEX($A$2:$A$4629,MATCH(0,INDEX(COUNTIF($B$1:B786,$A$2:$A$4629),0,0),0)))</f>
        <v/>
      </c>
      <c r="C787" t="str">
        <f t="shared" si="12"/>
        <v/>
      </c>
    </row>
    <row r="788" spans="1:3" x14ac:dyDescent="0.25">
      <c r="A788" t="str">
        <f>IF(Scan2VK!H12&lt;&gt;"",Scan2VK!H12,"")</f>
        <v>'9'</v>
      </c>
      <c r="B788" t="str">
        <f>IF(ISERROR(MATCH(0,INDEX(COUNTIF($B$1:B787,$A$2:$A$4629),0,0),0)),"",INDEX($A$2:$A$4629,MATCH(0,INDEX(COUNTIF($B$1:B787,$A$2:$A$4629),0,0),0)))</f>
        <v/>
      </c>
      <c r="C788" t="str">
        <f t="shared" si="12"/>
        <v/>
      </c>
    </row>
    <row r="789" spans="1:3" x14ac:dyDescent="0.25">
      <c r="A789" t="str">
        <f>IF(Scan2VK!H13&lt;&gt;"",Scan2VK!H13,"")</f>
        <v>'0'</v>
      </c>
      <c r="B789" t="str">
        <f>IF(ISERROR(MATCH(0,INDEX(COUNTIF($B$1:B788,$A$2:$A$4629),0,0),0)),"",INDEX($A$2:$A$4629,MATCH(0,INDEX(COUNTIF($B$1:B788,$A$2:$A$4629),0,0),0)))</f>
        <v/>
      </c>
      <c r="C789" t="str">
        <f t="shared" si="12"/>
        <v/>
      </c>
    </row>
    <row r="790" spans="1:3" x14ac:dyDescent="0.25">
      <c r="A790" t="str">
        <f>IF(Scan2VK!H14&lt;&gt;"",Scan2VK!H14,"")</f>
        <v>OEM_MINUS</v>
      </c>
      <c r="B790" t="str">
        <f>IF(ISERROR(MATCH(0,INDEX(COUNTIF($B$1:B789,$A$2:$A$4629),0,0),0)),"",INDEX($A$2:$A$4629,MATCH(0,INDEX(COUNTIF($B$1:B789,$A$2:$A$4629),0,0),0)))</f>
        <v/>
      </c>
      <c r="C790" t="str">
        <f t="shared" si="12"/>
        <v/>
      </c>
    </row>
    <row r="791" spans="1:3" x14ac:dyDescent="0.25">
      <c r="A791" t="str">
        <f>IF(Scan2VK!H15&lt;&gt;"",Scan2VK!H15,"")</f>
        <v>OEM_PLUS</v>
      </c>
      <c r="B791" t="str">
        <f>IF(ISERROR(MATCH(0,INDEX(COUNTIF($B$1:B790,$A$2:$A$4629),0,0),0)),"",INDEX($A$2:$A$4629,MATCH(0,INDEX(COUNTIF($B$1:B790,$A$2:$A$4629),0,0),0)))</f>
        <v/>
      </c>
      <c r="C791" t="str">
        <f t="shared" si="12"/>
        <v/>
      </c>
    </row>
    <row r="792" spans="1:3" x14ac:dyDescent="0.25">
      <c r="A792" t="str">
        <f>IF(Scan2VK!H16&lt;&gt;"",Scan2VK!H16,"")</f>
        <v>BACK</v>
      </c>
      <c r="B792" t="str">
        <f>IF(ISERROR(MATCH(0,INDEX(COUNTIF($B$1:B791,$A$2:$A$4629),0,0),0)),"",INDEX($A$2:$A$4629,MATCH(0,INDEX(COUNTIF($B$1:B791,$A$2:$A$4629),0,0),0)))</f>
        <v/>
      </c>
      <c r="C792" t="str">
        <f t="shared" si="12"/>
        <v/>
      </c>
    </row>
    <row r="793" spans="1:3" x14ac:dyDescent="0.25">
      <c r="A793" t="str">
        <f>IF(Scan2VK!H17&lt;&gt;"",Scan2VK!H17,"")</f>
        <v>TAB</v>
      </c>
      <c r="B793" t="str">
        <f>IF(ISERROR(MATCH(0,INDEX(COUNTIF($B$1:B792,$A$2:$A$4629),0,0),0)),"",INDEX($A$2:$A$4629,MATCH(0,INDEX(COUNTIF($B$1:B792,$A$2:$A$4629),0,0),0)))</f>
        <v/>
      </c>
      <c r="C793" t="str">
        <f t="shared" si="12"/>
        <v/>
      </c>
    </row>
    <row r="794" spans="1:3" x14ac:dyDescent="0.25">
      <c r="A794" t="str">
        <f>IF(Scan2VK!H18&lt;&gt;"",Scan2VK!H18,"")</f>
        <v>'Q'</v>
      </c>
      <c r="B794" t="str">
        <f>IF(ISERROR(MATCH(0,INDEX(COUNTIF($B$1:B793,$A$2:$A$4629),0,0),0)),"",INDEX($A$2:$A$4629,MATCH(0,INDEX(COUNTIF($B$1:B793,$A$2:$A$4629),0,0),0)))</f>
        <v/>
      </c>
      <c r="C794" t="str">
        <f t="shared" si="12"/>
        <v/>
      </c>
    </row>
    <row r="795" spans="1:3" x14ac:dyDescent="0.25">
      <c r="A795" t="str">
        <f>IF(Scan2VK!H19&lt;&gt;"",Scan2VK!H19,"")</f>
        <v>'W'</v>
      </c>
      <c r="B795" t="str">
        <f>IF(ISERROR(MATCH(0,INDEX(COUNTIF($B$1:B794,$A$2:$A$4629),0,0),0)),"",INDEX($A$2:$A$4629,MATCH(0,INDEX(COUNTIF($B$1:B794,$A$2:$A$4629),0,0),0)))</f>
        <v/>
      </c>
      <c r="C795" t="str">
        <f t="shared" si="12"/>
        <v/>
      </c>
    </row>
    <row r="796" spans="1:3" x14ac:dyDescent="0.25">
      <c r="A796" t="str">
        <f>IF(Scan2VK!H20&lt;&gt;"",Scan2VK!H20,"")</f>
        <v>'E'</v>
      </c>
      <c r="B796" t="str">
        <f>IF(ISERROR(MATCH(0,INDEX(COUNTIF($B$1:B795,$A$2:$A$4629),0,0),0)),"",INDEX($A$2:$A$4629,MATCH(0,INDEX(COUNTIF($B$1:B795,$A$2:$A$4629),0,0),0)))</f>
        <v/>
      </c>
      <c r="C796" t="str">
        <f t="shared" si="12"/>
        <v/>
      </c>
    </row>
    <row r="797" spans="1:3" x14ac:dyDescent="0.25">
      <c r="A797" t="str">
        <f>IF(Scan2VK!H21&lt;&gt;"",Scan2VK!H21,"")</f>
        <v>'R'</v>
      </c>
      <c r="B797" t="str">
        <f>IF(ISERROR(MATCH(0,INDEX(COUNTIF($B$1:B796,$A$2:$A$4629),0,0),0)),"",INDEX($A$2:$A$4629,MATCH(0,INDEX(COUNTIF($B$1:B796,$A$2:$A$4629),0,0),0)))</f>
        <v/>
      </c>
      <c r="C797" t="str">
        <f t="shared" si="12"/>
        <v/>
      </c>
    </row>
    <row r="798" spans="1:3" x14ac:dyDescent="0.25">
      <c r="A798" t="str">
        <f>IF(Scan2VK!H22&lt;&gt;"",Scan2VK!H22,"")</f>
        <v>'T'</v>
      </c>
      <c r="B798" t="str">
        <f>IF(ISERROR(MATCH(0,INDEX(COUNTIF($B$1:B797,$A$2:$A$4629),0,0),0)),"",INDEX($A$2:$A$4629,MATCH(0,INDEX(COUNTIF($B$1:B797,$A$2:$A$4629),0,0),0)))</f>
        <v/>
      </c>
      <c r="C798" t="str">
        <f t="shared" si="12"/>
        <v/>
      </c>
    </row>
    <row r="799" spans="1:3" x14ac:dyDescent="0.25">
      <c r="A799" t="str">
        <f>IF(Scan2VK!H23&lt;&gt;"",Scan2VK!H23,"")</f>
        <v>'Y'</v>
      </c>
      <c r="B799" t="str">
        <f>IF(ISERROR(MATCH(0,INDEX(COUNTIF($B$1:B798,$A$2:$A$4629),0,0),0)),"",INDEX($A$2:$A$4629,MATCH(0,INDEX(COUNTIF($B$1:B798,$A$2:$A$4629),0,0),0)))</f>
        <v/>
      </c>
      <c r="C799" t="str">
        <f t="shared" si="12"/>
        <v/>
      </c>
    </row>
    <row r="800" spans="1:3" x14ac:dyDescent="0.25">
      <c r="A800" t="str">
        <f>IF(Scan2VK!H24&lt;&gt;"",Scan2VK!H24,"")</f>
        <v>'U'</v>
      </c>
      <c r="B800" t="str">
        <f>IF(ISERROR(MATCH(0,INDEX(COUNTIF($B$1:B799,$A$2:$A$4629),0,0),0)),"",INDEX($A$2:$A$4629,MATCH(0,INDEX(COUNTIF($B$1:B799,$A$2:$A$4629),0,0),0)))</f>
        <v/>
      </c>
      <c r="C800" t="str">
        <f t="shared" si="12"/>
        <v/>
      </c>
    </row>
    <row r="801" spans="1:3" x14ac:dyDescent="0.25">
      <c r="A801" t="str">
        <f>IF(Scan2VK!H25&lt;&gt;"",Scan2VK!H25,"")</f>
        <v>'I'</v>
      </c>
      <c r="B801" t="str">
        <f>IF(ISERROR(MATCH(0,INDEX(COUNTIF($B$1:B800,$A$2:$A$4629),0,0),0)),"",INDEX($A$2:$A$4629,MATCH(0,INDEX(COUNTIF($B$1:B800,$A$2:$A$4629),0,0),0)))</f>
        <v/>
      </c>
      <c r="C801" t="str">
        <f t="shared" si="12"/>
        <v/>
      </c>
    </row>
    <row r="802" spans="1:3" x14ac:dyDescent="0.25">
      <c r="A802" t="str">
        <f>IF(Scan2VK!H26&lt;&gt;"",Scan2VK!H26,"")</f>
        <v>'O'</v>
      </c>
      <c r="B802" t="str">
        <f>IF(ISERROR(MATCH(0,INDEX(COUNTIF($B$1:B801,$A$2:$A$4629),0,0),0)),"",INDEX($A$2:$A$4629,MATCH(0,INDEX(COUNTIF($B$1:B801,$A$2:$A$4629),0,0),0)))</f>
        <v/>
      </c>
      <c r="C802" t="str">
        <f t="shared" si="12"/>
        <v/>
      </c>
    </row>
    <row r="803" spans="1:3" x14ac:dyDescent="0.25">
      <c r="A803" t="str">
        <f>IF(Scan2VK!H27&lt;&gt;"",Scan2VK!H27,"")</f>
        <v>'P'</v>
      </c>
      <c r="B803" t="str">
        <f>IF(ISERROR(MATCH(0,INDEX(COUNTIF($B$1:B802,$A$2:$A$4629),0,0),0)),"",INDEX($A$2:$A$4629,MATCH(0,INDEX(COUNTIF($B$1:B802,$A$2:$A$4629),0,0),0)))</f>
        <v/>
      </c>
      <c r="C803" t="str">
        <f t="shared" si="12"/>
        <v/>
      </c>
    </row>
    <row r="804" spans="1:3" x14ac:dyDescent="0.25">
      <c r="A804" t="str">
        <f>IF(Scan2VK!H28&lt;&gt;"",Scan2VK!H28,"")</f>
        <v>OEM_4</v>
      </c>
      <c r="B804" t="str">
        <f>IF(ISERROR(MATCH(0,INDEX(COUNTIF($B$1:B803,$A$2:$A$4629),0,0),0)),"",INDEX($A$2:$A$4629,MATCH(0,INDEX(COUNTIF($B$1:B803,$A$2:$A$4629),0,0),0)))</f>
        <v/>
      </c>
      <c r="C804" t="str">
        <f t="shared" si="12"/>
        <v/>
      </c>
    </row>
    <row r="805" spans="1:3" x14ac:dyDescent="0.25">
      <c r="A805" t="str">
        <f>IF(Scan2VK!H29&lt;&gt;"",Scan2VK!H29,"")</f>
        <v>OEM_6</v>
      </c>
      <c r="B805" t="str">
        <f>IF(ISERROR(MATCH(0,INDEX(COUNTIF($B$1:B804,$A$2:$A$4629),0,0),0)),"",INDEX($A$2:$A$4629,MATCH(0,INDEX(COUNTIF($B$1:B804,$A$2:$A$4629),0,0),0)))</f>
        <v/>
      </c>
      <c r="C805" t="str">
        <f t="shared" si="12"/>
        <v/>
      </c>
    </row>
    <row r="806" spans="1:3" x14ac:dyDescent="0.25">
      <c r="A806" t="str">
        <f>IF(Scan2VK!H30&lt;&gt;"",Scan2VK!H30,"")</f>
        <v>RETURN</v>
      </c>
      <c r="B806" t="str">
        <f>IF(ISERROR(MATCH(0,INDEX(COUNTIF($B$1:B805,$A$2:$A$4629),0,0),0)),"",INDEX($A$2:$A$4629,MATCH(0,INDEX(COUNTIF($B$1:B805,$A$2:$A$4629),0,0),0)))</f>
        <v/>
      </c>
      <c r="C806" t="str">
        <f t="shared" si="12"/>
        <v/>
      </c>
    </row>
    <row r="807" spans="1:3" x14ac:dyDescent="0.25">
      <c r="A807" t="str">
        <f>IF(Scan2VK!H31&lt;&gt;"",Scan2VK!H31,"")</f>
        <v>LCONTROL</v>
      </c>
      <c r="B807" t="str">
        <f>IF(ISERROR(MATCH(0,INDEX(COUNTIF($B$1:B806,$A$2:$A$4629),0,0),0)),"",INDEX($A$2:$A$4629,MATCH(0,INDEX(COUNTIF($B$1:B806,$A$2:$A$4629),0,0),0)))</f>
        <v/>
      </c>
      <c r="C807" t="str">
        <f t="shared" si="12"/>
        <v/>
      </c>
    </row>
    <row r="808" spans="1:3" x14ac:dyDescent="0.25">
      <c r="A808" t="str">
        <f>IF(Scan2VK!H32&lt;&gt;"",Scan2VK!H32,"")</f>
        <v>'A'</v>
      </c>
      <c r="B808" t="str">
        <f>IF(ISERROR(MATCH(0,INDEX(COUNTIF($B$1:B807,$A$2:$A$4629),0,0),0)),"",INDEX($A$2:$A$4629,MATCH(0,INDEX(COUNTIF($B$1:B807,$A$2:$A$4629),0,0),0)))</f>
        <v/>
      </c>
      <c r="C808" t="str">
        <f t="shared" si="12"/>
        <v/>
      </c>
    </row>
    <row r="809" spans="1:3" x14ac:dyDescent="0.25">
      <c r="A809" t="str">
        <f>IF(Scan2VK!H33&lt;&gt;"",Scan2VK!H33,"")</f>
        <v>'S'</v>
      </c>
      <c r="B809" t="str">
        <f>IF(ISERROR(MATCH(0,INDEX(COUNTIF($B$1:B808,$A$2:$A$4629),0,0),0)),"",INDEX($A$2:$A$4629,MATCH(0,INDEX(COUNTIF($B$1:B808,$A$2:$A$4629),0,0),0)))</f>
        <v/>
      </c>
      <c r="C809" t="str">
        <f t="shared" si="12"/>
        <v/>
      </c>
    </row>
    <row r="810" spans="1:3" x14ac:dyDescent="0.25">
      <c r="A810" t="str">
        <f>IF(Scan2VK!H34&lt;&gt;"",Scan2VK!H34,"")</f>
        <v>'D'</v>
      </c>
      <c r="B810" t="str">
        <f>IF(ISERROR(MATCH(0,INDEX(COUNTIF($B$1:B809,$A$2:$A$4629),0,0),0)),"",INDEX($A$2:$A$4629,MATCH(0,INDEX(COUNTIF($B$1:B809,$A$2:$A$4629),0,0),0)))</f>
        <v/>
      </c>
      <c r="C810" t="str">
        <f t="shared" si="12"/>
        <v/>
      </c>
    </row>
    <row r="811" spans="1:3" x14ac:dyDescent="0.25">
      <c r="A811" t="str">
        <f>IF(Scan2VK!H35&lt;&gt;"",Scan2VK!H35,"")</f>
        <v>'F'</v>
      </c>
      <c r="B811" t="str">
        <f>IF(ISERROR(MATCH(0,INDEX(COUNTIF($B$1:B810,$A$2:$A$4629),0,0),0)),"",INDEX($A$2:$A$4629,MATCH(0,INDEX(COUNTIF($B$1:B810,$A$2:$A$4629),0,0),0)))</f>
        <v/>
      </c>
      <c r="C811" t="str">
        <f t="shared" si="12"/>
        <v/>
      </c>
    </row>
    <row r="812" spans="1:3" x14ac:dyDescent="0.25">
      <c r="A812" t="str">
        <f>IF(Scan2VK!H36&lt;&gt;"",Scan2VK!H36,"")</f>
        <v>'G'</v>
      </c>
      <c r="B812" t="str">
        <f>IF(ISERROR(MATCH(0,INDEX(COUNTIF($B$1:B811,$A$2:$A$4629),0,0),0)),"",INDEX($A$2:$A$4629,MATCH(0,INDEX(COUNTIF($B$1:B811,$A$2:$A$4629),0,0),0)))</f>
        <v/>
      </c>
      <c r="C812" t="str">
        <f t="shared" si="12"/>
        <v/>
      </c>
    </row>
    <row r="813" spans="1:3" x14ac:dyDescent="0.25">
      <c r="A813" t="str">
        <f>IF(Scan2VK!H37&lt;&gt;"",Scan2VK!H37,"")</f>
        <v>'H'</v>
      </c>
      <c r="B813" t="str">
        <f>IF(ISERROR(MATCH(0,INDEX(COUNTIF($B$1:B812,$A$2:$A$4629),0,0),0)),"",INDEX($A$2:$A$4629,MATCH(0,INDEX(COUNTIF($B$1:B812,$A$2:$A$4629),0,0),0)))</f>
        <v/>
      </c>
      <c r="C813" t="str">
        <f t="shared" si="12"/>
        <v/>
      </c>
    </row>
    <row r="814" spans="1:3" x14ac:dyDescent="0.25">
      <c r="A814" t="str">
        <f>IF(Scan2VK!H38&lt;&gt;"",Scan2VK!H38,"")</f>
        <v>'J'</v>
      </c>
      <c r="B814" t="str">
        <f>IF(ISERROR(MATCH(0,INDEX(COUNTIF($B$1:B813,$A$2:$A$4629),0,0),0)),"",INDEX($A$2:$A$4629,MATCH(0,INDEX(COUNTIF($B$1:B813,$A$2:$A$4629),0,0),0)))</f>
        <v/>
      </c>
      <c r="C814" t="str">
        <f t="shared" si="12"/>
        <v/>
      </c>
    </row>
    <row r="815" spans="1:3" x14ac:dyDescent="0.25">
      <c r="A815" t="str">
        <f>IF(Scan2VK!H39&lt;&gt;"",Scan2VK!H39,"")</f>
        <v>'K'</v>
      </c>
      <c r="B815" t="str">
        <f>IF(ISERROR(MATCH(0,INDEX(COUNTIF($B$1:B814,$A$2:$A$4629),0,0),0)),"",INDEX($A$2:$A$4629,MATCH(0,INDEX(COUNTIF($B$1:B814,$A$2:$A$4629),0,0),0)))</f>
        <v/>
      </c>
      <c r="C815" t="str">
        <f t="shared" si="12"/>
        <v/>
      </c>
    </row>
    <row r="816" spans="1:3" x14ac:dyDescent="0.25">
      <c r="A816" t="str">
        <f>IF(Scan2VK!H40&lt;&gt;"",Scan2VK!H40,"")</f>
        <v>'L'</v>
      </c>
      <c r="B816" t="str">
        <f>IF(ISERROR(MATCH(0,INDEX(COUNTIF($B$1:B815,$A$2:$A$4629),0,0),0)),"",INDEX($A$2:$A$4629,MATCH(0,INDEX(COUNTIF($B$1:B815,$A$2:$A$4629),0,0),0)))</f>
        <v/>
      </c>
      <c r="C816" t="str">
        <f t="shared" si="12"/>
        <v/>
      </c>
    </row>
    <row r="817" spans="1:3" x14ac:dyDescent="0.25">
      <c r="A817" t="str">
        <f>IF(Scan2VK!H41&lt;&gt;"",Scan2VK!H41,"")</f>
        <v>OEM_1</v>
      </c>
      <c r="B817" t="str">
        <f>IF(ISERROR(MATCH(0,INDEX(COUNTIF($B$1:B816,$A$2:$A$4629),0,0),0)),"",INDEX($A$2:$A$4629,MATCH(0,INDEX(COUNTIF($B$1:B816,$A$2:$A$4629),0,0),0)))</f>
        <v/>
      </c>
      <c r="C817" t="str">
        <f t="shared" si="12"/>
        <v/>
      </c>
    </row>
    <row r="818" spans="1:3" x14ac:dyDescent="0.25">
      <c r="A818" t="str">
        <f>IF(Scan2VK!H42&lt;&gt;"",Scan2VK!H42,"")</f>
        <v>OEM_3</v>
      </c>
      <c r="B818" t="str">
        <f>IF(ISERROR(MATCH(0,INDEX(COUNTIF($B$1:B817,$A$2:$A$4629),0,0),0)),"",INDEX($A$2:$A$4629,MATCH(0,INDEX(COUNTIF($B$1:B817,$A$2:$A$4629),0,0),0)))</f>
        <v/>
      </c>
      <c r="C818" t="str">
        <f t="shared" si="12"/>
        <v/>
      </c>
    </row>
    <row r="819" spans="1:3" x14ac:dyDescent="0.25">
      <c r="A819" t="str">
        <f>IF(Scan2VK!H43&lt;&gt;"",Scan2VK!H43,"")</f>
        <v>OEM_7</v>
      </c>
      <c r="B819" t="str">
        <f>IF(ISERROR(MATCH(0,INDEX(COUNTIF($B$1:B818,$A$2:$A$4629),0,0),0)),"",INDEX($A$2:$A$4629,MATCH(0,INDEX(COUNTIF($B$1:B818,$A$2:$A$4629),0,0),0)))</f>
        <v/>
      </c>
      <c r="C819" t="str">
        <f t="shared" si="12"/>
        <v/>
      </c>
    </row>
    <row r="820" spans="1:3" x14ac:dyDescent="0.25">
      <c r="A820" t="str">
        <f>IF(Scan2VK!H44&lt;&gt;"",Scan2VK!H44,"")</f>
        <v>LSHIFT</v>
      </c>
      <c r="B820" t="str">
        <f>IF(ISERROR(MATCH(0,INDEX(COUNTIF($B$1:B819,$A$2:$A$4629),0,0),0)),"",INDEX($A$2:$A$4629,MATCH(0,INDEX(COUNTIF($B$1:B819,$A$2:$A$4629),0,0),0)))</f>
        <v/>
      </c>
      <c r="C820" t="str">
        <f t="shared" si="12"/>
        <v/>
      </c>
    </row>
    <row r="821" spans="1:3" x14ac:dyDescent="0.25">
      <c r="A821" t="str">
        <f>IF(Scan2VK!H45&lt;&gt;"",Scan2VK!H45,"")</f>
        <v>OEM_5</v>
      </c>
      <c r="B821" t="str">
        <f>IF(ISERROR(MATCH(0,INDEX(COUNTIF($B$1:B820,$A$2:$A$4629),0,0),0)),"",INDEX($A$2:$A$4629,MATCH(0,INDEX(COUNTIF($B$1:B820,$A$2:$A$4629),0,0),0)))</f>
        <v/>
      </c>
      <c r="C821" t="str">
        <f t="shared" si="12"/>
        <v/>
      </c>
    </row>
    <row r="822" spans="1:3" x14ac:dyDescent="0.25">
      <c r="A822" t="str">
        <f>IF(Scan2VK!H46&lt;&gt;"",Scan2VK!H46,"")</f>
        <v>'Z'</v>
      </c>
      <c r="B822" t="str">
        <f>IF(ISERROR(MATCH(0,INDEX(COUNTIF($B$1:B821,$A$2:$A$4629),0,0),0)),"",INDEX($A$2:$A$4629,MATCH(0,INDEX(COUNTIF($B$1:B821,$A$2:$A$4629),0,0),0)))</f>
        <v/>
      </c>
      <c r="C822" t="str">
        <f t="shared" si="12"/>
        <v/>
      </c>
    </row>
    <row r="823" spans="1:3" x14ac:dyDescent="0.25">
      <c r="A823" t="str">
        <f>IF(Scan2VK!H47&lt;&gt;"",Scan2VK!H47,"")</f>
        <v>'X'</v>
      </c>
      <c r="B823" t="str">
        <f>IF(ISERROR(MATCH(0,INDEX(COUNTIF($B$1:B822,$A$2:$A$4629),0,0),0)),"",INDEX($A$2:$A$4629,MATCH(0,INDEX(COUNTIF($B$1:B822,$A$2:$A$4629),0,0),0)))</f>
        <v/>
      </c>
      <c r="C823" t="str">
        <f t="shared" si="12"/>
        <v/>
      </c>
    </row>
    <row r="824" spans="1:3" x14ac:dyDescent="0.25">
      <c r="A824" t="str">
        <f>IF(Scan2VK!H48&lt;&gt;"",Scan2VK!H48,"")</f>
        <v>'C'</v>
      </c>
      <c r="B824" t="str">
        <f>IF(ISERROR(MATCH(0,INDEX(COUNTIF($B$1:B823,$A$2:$A$4629),0,0),0)),"",INDEX($A$2:$A$4629,MATCH(0,INDEX(COUNTIF($B$1:B823,$A$2:$A$4629),0,0),0)))</f>
        <v/>
      </c>
      <c r="C824" t="str">
        <f t="shared" si="12"/>
        <v/>
      </c>
    </row>
    <row r="825" spans="1:3" x14ac:dyDescent="0.25">
      <c r="A825" t="str">
        <f>IF(Scan2VK!H49&lt;&gt;"",Scan2VK!H49,"")</f>
        <v>'V'</v>
      </c>
      <c r="B825" t="str">
        <f>IF(ISERROR(MATCH(0,INDEX(COUNTIF($B$1:B824,$A$2:$A$4629),0,0),0)),"",INDEX($A$2:$A$4629,MATCH(0,INDEX(COUNTIF($B$1:B824,$A$2:$A$4629),0,0),0)))</f>
        <v/>
      </c>
      <c r="C825" t="str">
        <f t="shared" si="12"/>
        <v/>
      </c>
    </row>
    <row r="826" spans="1:3" x14ac:dyDescent="0.25">
      <c r="A826" t="str">
        <f>IF(Scan2VK!H50&lt;&gt;"",Scan2VK!H50,"")</f>
        <v>'B'</v>
      </c>
      <c r="B826" t="str">
        <f>IF(ISERROR(MATCH(0,INDEX(COUNTIF($B$1:B825,$A$2:$A$4629),0,0),0)),"",INDEX($A$2:$A$4629,MATCH(0,INDEX(COUNTIF($B$1:B825,$A$2:$A$4629),0,0),0)))</f>
        <v/>
      </c>
      <c r="C826" t="str">
        <f t="shared" si="12"/>
        <v/>
      </c>
    </row>
    <row r="827" spans="1:3" x14ac:dyDescent="0.25">
      <c r="A827" t="str">
        <f>IF(Scan2VK!H51&lt;&gt;"",Scan2VK!H51,"")</f>
        <v>'N'</v>
      </c>
      <c r="B827" t="str">
        <f>IF(ISERROR(MATCH(0,INDEX(COUNTIF($B$1:B826,$A$2:$A$4629),0,0),0)),"",INDEX($A$2:$A$4629,MATCH(0,INDEX(COUNTIF($B$1:B826,$A$2:$A$4629),0,0),0)))</f>
        <v/>
      </c>
      <c r="C827" t="str">
        <f t="shared" si="12"/>
        <v/>
      </c>
    </row>
    <row r="828" spans="1:3" x14ac:dyDescent="0.25">
      <c r="A828" t="str">
        <f>IF(Scan2VK!H52&lt;&gt;"",Scan2VK!H52,"")</f>
        <v>'M'</v>
      </c>
      <c r="B828" t="str">
        <f>IF(ISERROR(MATCH(0,INDEX(COUNTIF($B$1:B827,$A$2:$A$4629),0,0),0)),"",INDEX($A$2:$A$4629,MATCH(0,INDEX(COUNTIF($B$1:B827,$A$2:$A$4629),0,0),0)))</f>
        <v/>
      </c>
      <c r="C828" t="str">
        <f t="shared" si="12"/>
        <v/>
      </c>
    </row>
    <row r="829" spans="1:3" x14ac:dyDescent="0.25">
      <c r="A829" t="str">
        <f>IF(Scan2VK!H53&lt;&gt;"",Scan2VK!H53,"")</f>
        <v>OEM_COMMA</v>
      </c>
      <c r="B829" t="str">
        <f>IF(ISERROR(MATCH(0,INDEX(COUNTIF($B$1:B828,$A$2:$A$4629),0,0),0)),"",INDEX($A$2:$A$4629,MATCH(0,INDEX(COUNTIF($B$1:B828,$A$2:$A$4629),0,0),0)))</f>
        <v/>
      </c>
      <c r="C829" t="str">
        <f t="shared" si="12"/>
        <v/>
      </c>
    </row>
    <row r="830" spans="1:3" x14ac:dyDescent="0.25">
      <c r="A830" t="str">
        <f>IF(Scan2VK!H54&lt;&gt;"",Scan2VK!H54,"")</f>
        <v>OEM_PERIOD</v>
      </c>
      <c r="B830" t="str">
        <f>IF(ISERROR(MATCH(0,INDEX(COUNTIF($B$1:B829,$A$2:$A$4629),0,0),0)),"",INDEX($A$2:$A$4629,MATCH(0,INDEX(COUNTIF($B$1:B829,$A$2:$A$4629),0,0),0)))</f>
        <v/>
      </c>
      <c r="C830" t="str">
        <f t="shared" si="12"/>
        <v/>
      </c>
    </row>
    <row r="831" spans="1:3" x14ac:dyDescent="0.25">
      <c r="A831" t="str">
        <f>IF(Scan2VK!H55&lt;&gt;"",Scan2VK!H55,"")</f>
        <v>OEM_2</v>
      </c>
      <c r="B831" t="str">
        <f>IF(ISERROR(MATCH(0,INDEX(COUNTIF($B$1:B830,$A$2:$A$4629),0,0),0)),"",INDEX($A$2:$A$4629,MATCH(0,INDEX(COUNTIF($B$1:B830,$A$2:$A$4629),0,0),0)))</f>
        <v/>
      </c>
      <c r="C831" t="str">
        <f t="shared" si="12"/>
        <v/>
      </c>
    </row>
    <row r="832" spans="1:3" x14ac:dyDescent="0.25">
      <c r="A832" t="str">
        <f>IF(Scan2VK!H56&lt;&gt;"",Scan2VK!H56,"")</f>
        <v>RSHIFT</v>
      </c>
      <c r="B832" t="str">
        <f>IF(ISERROR(MATCH(0,INDEX(COUNTIF($B$1:B831,$A$2:$A$4629),0,0),0)),"",INDEX($A$2:$A$4629,MATCH(0,INDEX(COUNTIF($B$1:B831,$A$2:$A$4629),0,0),0)))</f>
        <v/>
      </c>
      <c r="C832" t="str">
        <f t="shared" si="12"/>
        <v/>
      </c>
    </row>
    <row r="833" spans="1:3" x14ac:dyDescent="0.25">
      <c r="A833" t="str">
        <f>IF(Scan2VK!H57&lt;&gt;"",Scan2VK!H57,"")</f>
        <v>MULTIPLY</v>
      </c>
      <c r="B833" t="str">
        <f>IF(ISERROR(MATCH(0,INDEX(COUNTIF($B$1:B832,$A$2:$A$4629),0,0),0)),"",INDEX($A$2:$A$4629,MATCH(0,INDEX(COUNTIF($B$1:B832,$A$2:$A$4629),0,0),0)))</f>
        <v/>
      </c>
      <c r="C833" t="str">
        <f t="shared" si="12"/>
        <v/>
      </c>
    </row>
    <row r="834" spans="1:3" x14ac:dyDescent="0.25">
      <c r="A834" t="str">
        <f>IF(Scan2VK!H58&lt;&gt;"",Scan2VK!H58,"")</f>
        <v>LMENU</v>
      </c>
      <c r="B834" t="str">
        <f>IF(ISERROR(MATCH(0,INDEX(COUNTIF($B$1:B833,$A$2:$A$4629),0,0),0)),"",INDEX($A$2:$A$4629,MATCH(0,INDEX(COUNTIF($B$1:B833,$A$2:$A$4629),0,0),0)))</f>
        <v/>
      </c>
      <c r="C834" t="str">
        <f t="shared" si="12"/>
        <v/>
      </c>
    </row>
    <row r="835" spans="1:3" x14ac:dyDescent="0.25">
      <c r="A835" t="str">
        <f>IF(Scan2VK!H59&lt;&gt;"",Scan2VK!H59,"")</f>
        <v>''</v>
      </c>
      <c r="B835" t="str">
        <f>IF(ISERROR(MATCH(0,INDEX(COUNTIF($B$1:B834,$A$2:$A$4629),0,0),0)),"",INDEX($A$2:$A$4629,MATCH(0,INDEX(COUNTIF($B$1:B834,$A$2:$A$4629),0,0),0)))</f>
        <v/>
      </c>
      <c r="C835" t="str">
        <f t="shared" ref="C835:C898" si="13">IF(B835&lt;&gt;"","&lt;xs:enumeration value="""&amp;B835&amp;"""/&gt;","")</f>
        <v/>
      </c>
    </row>
    <row r="836" spans="1:3" x14ac:dyDescent="0.25">
      <c r="A836" t="str">
        <f>IF(Scan2VK!H60&lt;&gt;"",Scan2VK!H60,"")</f>
        <v>CAPITAL</v>
      </c>
      <c r="B836" t="str">
        <f>IF(ISERROR(MATCH(0,INDEX(COUNTIF($B$1:B835,$A$2:$A$4629),0,0),0)),"",INDEX($A$2:$A$4629,MATCH(0,INDEX(COUNTIF($B$1:B835,$A$2:$A$4629),0,0),0)))</f>
        <v/>
      </c>
      <c r="C836" t="str">
        <f t="shared" si="13"/>
        <v/>
      </c>
    </row>
    <row r="837" spans="1:3" x14ac:dyDescent="0.25">
      <c r="A837" t="str">
        <f>IF(Scan2VK!H61&lt;&gt;"",Scan2VK!H61,"")</f>
        <v>F1</v>
      </c>
      <c r="B837" t="str">
        <f>IF(ISERROR(MATCH(0,INDEX(COUNTIF($B$1:B836,$A$2:$A$4629),0,0),0)),"",INDEX($A$2:$A$4629,MATCH(0,INDEX(COUNTIF($B$1:B836,$A$2:$A$4629),0,0),0)))</f>
        <v/>
      </c>
      <c r="C837" t="str">
        <f t="shared" si="13"/>
        <v/>
      </c>
    </row>
    <row r="838" spans="1:3" x14ac:dyDescent="0.25">
      <c r="A838" t="str">
        <f>IF(Scan2VK!H62&lt;&gt;"",Scan2VK!H62,"")</f>
        <v>F2</v>
      </c>
      <c r="B838" t="str">
        <f>IF(ISERROR(MATCH(0,INDEX(COUNTIF($B$1:B837,$A$2:$A$4629),0,0),0)),"",INDEX($A$2:$A$4629,MATCH(0,INDEX(COUNTIF($B$1:B837,$A$2:$A$4629),0,0),0)))</f>
        <v/>
      </c>
      <c r="C838" t="str">
        <f t="shared" si="13"/>
        <v/>
      </c>
    </row>
    <row r="839" spans="1:3" x14ac:dyDescent="0.25">
      <c r="A839" t="str">
        <f>IF(Scan2VK!H63&lt;&gt;"",Scan2VK!H63,"")</f>
        <v>F3</v>
      </c>
      <c r="B839" t="str">
        <f>IF(ISERROR(MATCH(0,INDEX(COUNTIF($B$1:B838,$A$2:$A$4629),0,0),0)),"",INDEX($A$2:$A$4629,MATCH(0,INDEX(COUNTIF($B$1:B838,$A$2:$A$4629),0,0),0)))</f>
        <v/>
      </c>
      <c r="C839" t="str">
        <f t="shared" si="13"/>
        <v/>
      </c>
    </row>
    <row r="840" spans="1:3" x14ac:dyDescent="0.25">
      <c r="A840" t="str">
        <f>IF(Scan2VK!H64&lt;&gt;"",Scan2VK!H64,"")</f>
        <v>F4</v>
      </c>
      <c r="B840" t="str">
        <f>IF(ISERROR(MATCH(0,INDEX(COUNTIF($B$1:B839,$A$2:$A$4629),0,0),0)),"",INDEX($A$2:$A$4629,MATCH(0,INDEX(COUNTIF($B$1:B839,$A$2:$A$4629),0,0),0)))</f>
        <v/>
      </c>
      <c r="C840" t="str">
        <f t="shared" si="13"/>
        <v/>
      </c>
    </row>
    <row r="841" spans="1:3" x14ac:dyDescent="0.25">
      <c r="A841" t="str">
        <f>IF(Scan2VK!H65&lt;&gt;"",Scan2VK!H65,"")</f>
        <v>F5</v>
      </c>
      <c r="B841" t="str">
        <f>IF(ISERROR(MATCH(0,INDEX(COUNTIF($B$1:B840,$A$2:$A$4629),0,0),0)),"",INDEX($A$2:$A$4629,MATCH(0,INDEX(COUNTIF($B$1:B840,$A$2:$A$4629),0,0),0)))</f>
        <v/>
      </c>
      <c r="C841" t="str">
        <f t="shared" si="13"/>
        <v/>
      </c>
    </row>
    <row r="842" spans="1:3" x14ac:dyDescent="0.25">
      <c r="A842" t="str">
        <f>IF(Scan2VK!H66&lt;&gt;"",Scan2VK!H66,"")</f>
        <v>F6</v>
      </c>
      <c r="B842" t="str">
        <f>IF(ISERROR(MATCH(0,INDEX(COUNTIF($B$1:B841,$A$2:$A$4629),0,0),0)),"",INDEX($A$2:$A$4629,MATCH(0,INDEX(COUNTIF($B$1:B841,$A$2:$A$4629),0,0),0)))</f>
        <v/>
      </c>
      <c r="C842" t="str">
        <f t="shared" si="13"/>
        <v/>
      </c>
    </row>
    <row r="843" spans="1:3" x14ac:dyDescent="0.25">
      <c r="A843" t="str">
        <f>IF(Scan2VK!H67&lt;&gt;"",Scan2VK!H67,"")</f>
        <v>F7</v>
      </c>
      <c r="B843" t="str">
        <f>IF(ISERROR(MATCH(0,INDEX(COUNTIF($B$1:B842,$A$2:$A$4629),0,0),0)),"",INDEX($A$2:$A$4629,MATCH(0,INDEX(COUNTIF($B$1:B842,$A$2:$A$4629),0,0),0)))</f>
        <v/>
      </c>
      <c r="C843" t="str">
        <f t="shared" si="13"/>
        <v/>
      </c>
    </row>
    <row r="844" spans="1:3" x14ac:dyDescent="0.25">
      <c r="A844" t="str">
        <f>IF(Scan2VK!H68&lt;&gt;"",Scan2VK!H68,"")</f>
        <v>F8</v>
      </c>
      <c r="B844" t="str">
        <f>IF(ISERROR(MATCH(0,INDEX(COUNTIF($B$1:B843,$A$2:$A$4629),0,0),0)),"",INDEX($A$2:$A$4629,MATCH(0,INDEX(COUNTIF($B$1:B843,$A$2:$A$4629),0,0),0)))</f>
        <v/>
      </c>
      <c r="C844" t="str">
        <f t="shared" si="13"/>
        <v/>
      </c>
    </row>
    <row r="845" spans="1:3" x14ac:dyDescent="0.25">
      <c r="A845" t="str">
        <f>IF(Scan2VK!H69&lt;&gt;"",Scan2VK!H69,"")</f>
        <v>F9</v>
      </c>
      <c r="B845" t="str">
        <f>IF(ISERROR(MATCH(0,INDEX(COUNTIF($B$1:B844,$A$2:$A$4629),0,0),0)),"",INDEX($A$2:$A$4629,MATCH(0,INDEX(COUNTIF($B$1:B844,$A$2:$A$4629),0,0),0)))</f>
        <v/>
      </c>
      <c r="C845" t="str">
        <f t="shared" si="13"/>
        <v/>
      </c>
    </row>
    <row r="846" spans="1:3" x14ac:dyDescent="0.25">
      <c r="A846" t="str">
        <f>IF(Scan2VK!H70&lt;&gt;"",Scan2VK!H70,"")</f>
        <v>F10</v>
      </c>
      <c r="B846" t="str">
        <f>IF(ISERROR(MATCH(0,INDEX(COUNTIF($B$1:B845,$A$2:$A$4629),0,0),0)),"",INDEX($A$2:$A$4629,MATCH(0,INDEX(COUNTIF($B$1:B845,$A$2:$A$4629),0,0),0)))</f>
        <v/>
      </c>
      <c r="C846" t="str">
        <f t="shared" si="13"/>
        <v/>
      </c>
    </row>
    <row r="847" spans="1:3" x14ac:dyDescent="0.25">
      <c r="A847" t="str">
        <f>IF(Scan2VK!H71&lt;&gt;"",Scan2VK!H71,"")</f>
        <v>NUMLOCK</v>
      </c>
      <c r="B847" t="str">
        <f>IF(ISERROR(MATCH(0,INDEX(COUNTIF($B$1:B846,$A$2:$A$4629),0,0),0)),"",INDEX($A$2:$A$4629,MATCH(0,INDEX(COUNTIF($B$1:B846,$A$2:$A$4629),0,0),0)))</f>
        <v/>
      </c>
      <c r="C847" t="str">
        <f t="shared" si="13"/>
        <v/>
      </c>
    </row>
    <row r="848" spans="1:3" x14ac:dyDescent="0.25">
      <c r="A848" t="str">
        <f>IF(Scan2VK!H72&lt;&gt;"",Scan2VK!H72,"")</f>
        <v>SCROLL</v>
      </c>
      <c r="B848" t="str">
        <f>IF(ISERROR(MATCH(0,INDEX(COUNTIF($B$1:B847,$A$2:$A$4629),0,0),0)),"",INDEX($A$2:$A$4629,MATCH(0,INDEX(COUNTIF($B$1:B847,$A$2:$A$4629),0,0),0)))</f>
        <v/>
      </c>
      <c r="C848" t="str">
        <f t="shared" si="13"/>
        <v/>
      </c>
    </row>
    <row r="849" spans="1:3" x14ac:dyDescent="0.25">
      <c r="A849" t="str">
        <f>IF(Scan2VK!H73&lt;&gt;"",Scan2VK!H73,"")</f>
        <v>HOME</v>
      </c>
      <c r="B849" t="str">
        <f>IF(ISERROR(MATCH(0,INDEX(COUNTIF($B$1:B848,$A$2:$A$4629),0,0),0)),"",INDEX($A$2:$A$4629,MATCH(0,INDEX(COUNTIF($B$1:B848,$A$2:$A$4629),0,0),0)))</f>
        <v/>
      </c>
      <c r="C849" t="str">
        <f t="shared" si="13"/>
        <v/>
      </c>
    </row>
    <row r="850" spans="1:3" x14ac:dyDescent="0.25">
      <c r="A850" t="str">
        <f>IF(Scan2VK!H74&lt;&gt;"",Scan2VK!H74,"")</f>
        <v>UP</v>
      </c>
      <c r="B850" t="str">
        <f>IF(ISERROR(MATCH(0,INDEX(COUNTIF($B$1:B849,$A$2:$A$4629),0,0),0)),"",INDEX($A$2:$A$4629,MATCH(0,INDEX(COUNTIF($B$1:B849,$A$2:$A$4629),0,0),0)))</f>
        <v/>
      </c>
      <c r="C850" t="str">
        <f t="shared" si="13"/>
        <v/>
      </c>
    </row>
    <row r="851" spans="1:3" x14ac:dyDescent="0.25">
      <c r="A851" t="str">
        <f>IF(Scan2VK!H75&lt;&gt;"",Scan2VK!H75,"")</f>
        <v>PRIOR</v>
      </c>
      <c r="B851" t="str">
        <f>IF(ISERROR(MATCH(0,INDEX(COUNTIF($B$1:B850,$A$2:$A$4629),0,0),0)),"",INDEX($A$2:$A$4629,MATCH(0,INDEX(COUNTIF($B$1:B850,$A$2:$A$4629),0,0),0)))</f>
        <v/>
      </c>
      <c r="C851" t="str">
        <f t="shared" si="13"/>
        <v/>
      </c>
    </row>
    <row r="852" spans="1:3" x14ac:dyDescent="0.25">
      <c r="A852" t="str">
        <f>IF(Scan2VK!H76&lt;&gt;"",Scan2VK!H76,"")</f>
        <v>SUBTRACT</v>
      </c>
      <c r="B852" t="str">
        <f>IF(ISERROR(MATCH(0,INDEX(COUNTIF($B$1:B851,$A$2:$A$4629),0,0),0)),"",INDEX($A$2:$A$4629,MATCH(0,INDEX(COUNTIF($B$1:B851,$A$2:$A$4629),0,0),0)))</f>
        <v/>
      </c>
      <c r="C852" t="str">
        <f t="shared" si="13"/>
        <v/>
      </c>
    </row>
    <row r="853" spans="1:3" x14ac:dyDescent="0.25">
      <c r="A853" t="str">
        <f>IF(Scan2VK!H77&lt;&gt;"",Scan2VK!H77,"")</f>
        <v>LEFT</v>
      </c>
      <c r="B853" t="str">
        <f>IF(ISERROR(MATCH(0,INDEX(COUNTIF($B$1:B852,$A$2:$A$4629),0,0),0)),"",INDEX($A$2:$A$4629,MATCH(0,INDEX(COUNTIF($B$1:B852,$A$2:$A$4629),0,0),0)))</f>
        <v/>
      </c>
      <c r="C853" t="str">
        <f t="shared" si="13"/>
        <v/>
      </c>
    </row>
    <row r="854" spans="1:3" x14ac:dyDescent="0.25">
      <c r="A854" t="str">
        <f>IF(Scan2VK!H78&lt;&gt;"",Scan2VK!H78,"")</f>
        <v>CLEAR</v>
      </c>
      <c r="B854" t="str">
        <f>IF(ISERROR(MATCH(0,INDEX(COUNTIF($B$1:B853,$A$2:$A$4629),0,0),0)),"",INDEX($A$2:$A$4629,MATCH(0,INDEX(COUNTIF($B$1:B853,$A$2:$A$4629),0,0),0)))</f>
        <v/>
      </c>
      <c r="C854" t="str">
        <f t="shared" si="13"/>
        <v/>
      </c>
    </row>
    <row r="855" spans="1:3" x14ac:dyDescent="0.25">
      <c r="A855" t="str">
        <f>IF(Scan2VK!H79&lt;&gt;"",Scan2VK!H79,"")</f>
        <v>RIGHT</v>
      </c>
      <c r="B855" t="str">
        <f>IF(ISERROR(MATCH(0,INDEX(COUNTIF($B$1:B854,$A$2:$A$4629),0,0),0)),"",INDEX($A$2:$A$4629,MATCH(0,INDEX(COUNTIF($B$1:B854,$A$2:$A$4629),0,0),0)))</f>
        <v/>
      </c>
      <c r="C855" t="str">
        <f t="shared" si="13"/>
        <v/>
      </c>
    </row>
    <row r="856" spans="1:3" x14ac:dyDescent="0.25">
      <c r="A856" t="str">
        <f>IF(Scan2VK!H80&lt;&gt;"",Scan2VK!H80,"")</f>
        <v>ADD</v>
      </c>
      <c r="B856" t="str">
        <f>IF(ISERROR(MATCH(0,INDEX(COUNTIF($B$1:B855,$A$2:$A$4629),0,0),0)),"",INDEX($A$2:$A$4629,MATCH(0,INDEX(COUNTIF($B$1:B855,$A$2:$A$4629),0,0),0)))</f>
        <v/>
      </c>
      <c r="C856" t="str">
        <f t="shared" si="13"/>
        <v/>
      </c>
    </row>
    <row r="857" spans="1:3" x14ac:dyDescent="0.25">
      <c r="A857" t="str">
        <f>IF(Scan2VK!H81&lt;&gt;"",Scan2VK!H81,"")</f>
        <v>END</v>
      </c>
      <c r="B857" t="str">
        <f>IF(ISERROR(MATCH(0,INDEX(COUNTIF($B$1:B856,$A$2:$A$4629),0,0),0)),"",INDEX($A$2:$A$4629,MATCH(0,INDEX(COUNTIF($B$1:B856,$A$2:$A$4629),0,0),0)))</f>
        <v/>
      </c>
      <c r="C857" t="str">
        <f t="shared" si="13"/>
        <v/>
      </c>
    </row>
    <row r="858" spans="1:3" x14ac:dyDescent="0.25">
      <c r="A858" t="str">
        <f>IF(Scan2VK!H82&lt;&gt;"",Scan2VK!H82,"")</f>
        <v>DOWN</v>
      </c>
      <c r="B858" t="str">
        <f>IF(ISERROR(MATCH(0,INDEX(COUNTIF($B$1:B857,$A$2:$A$4629),0,0),0)),"",INDEX($A$2:$A$4629,MATCH(0,INDEX(COUNTIF($B$1:B857,$A$2:$A$4629),0,0),0)))</f>
        <v/>
      </c>
      <c r="C858" t="str">
        <f t="shared" si="13"/>
        <v/>
      </c>
    </row>
    <row r="859" spans="1:3" x14ac:dyDescent="0.25">
      <c r="A859" t="str">
        <f>IF(Scan2VK!H83&lt;&gt;"",Scan2VK!H83,"")</f>
        <v>NEXT</v>
      </c>
      <c r="B859" t="str">
        <f>IF(ISERROR(MATCH(0,INDEX(COUNTIF($B$1:B858,$A$2:$A$4629),0,0),0)),"",INDEX($A$2:$A$4629,MATCH(0,INDEX(COUNTIF($B$1:B858,$A$2:$A$4629),0,0),0)))</f>
        <v/>
      </c>
      <c r="C859" t="str">
        <f t="shared" si="13"/>
        <v/>
      </c>
    </row>
    <row r="860" spans="1:3" x14ac:dyDescent="0.25">
      <c r="A860" t="str">
        <f>IF(Scan2VK!H84&lt;&gt;"",Scan2VK!H84,"")</f>
        <v>INSERT</v>
      </c>
      <c r="B860" t="str">
        <f>IF(ISERROR(MATCH(0,INDEX(COUNTIF($B$1:B859,$A$2:$A$4629),0,0),0)),"",INDEX($A$2:$A$4629,MATCH(0,INDEX(COUNTIF($B$1:B859,$A$2:$A$4629),0,0),0)))</f>
        <v/>
      </c>
      <c r="C860" t="str">
        <f t="shared" si="13"/>
        <v/>
      </c>
    </row>
    <row r="861" spans="1:3" x14ac:dyDescent="0.25">
      <c r="A861" t="str">
        <f>IF(Scan2VK!H85&lt;&gt;"",Scan2VK!H85,"")</f>
        <v>DELETE</v>
      </c>
      <c r="B861" t="str">
        <f>IF(ISERROR(MATCH(0,INDEX(COUNTIF($B$1:B860,$A$2:$A$4629),0,0),0)),"",INDEX($A$2:$A$4629,MATCH(0,INDEX(COUNTIF($B$1:B860,$A$2:$A$4629),0,0),0)))</f>
        <v/>
      </c>
      <c r="C861" t="str">
        <f t="shared" si="13"/>
        <v/>
      </c>
    </row>
    <row r="862" spans="1:3" x14ac:dyDescent="0.25">
      <c r="A862" t="str">
        <f>IF(Scan2VK!H86&lt;&gt;"",Scan2VK!H86,"")</f>
        <v>SNAPSHOT</v>
      </c>
      <c r="B862" t="str">
        <f>IF(ISERROR(MATCH(0,INDEX(COUNTIF($B$1:B861,$A$2:$A$4629),0,0),0)),"",INDEX($A$2:$A$4629,MATCH(0,INDEX(COUNTIF($B$1:B861,$A$2:$A$4629),0,0),0)))</f>
        <v/>
      </c>
      <c r="C862" t="str">
        <f t="shared" si="13"/>
        <v/>
      </c>
    </row>
    <row r="863" spans="1:3" x14ac:dyDescent="0.25">
      <c r="A863" t="str">
        <f>IF(Scan2VK!H87&lt;&gt;"",Scan2VK!H87,"")</f>
        <v>_none_</v>
      </c>
      <c r="B863" t="str">
        <f>IF(ISERROR(MATCH(0,INDEX(COUNTIF($B$1:B862,$A$2:$A$4629),0,0),0)),"",INDEX($A$2:$A$4629,MATCH(0,INDEX(COUNTIF($B$1:B862,$A$2:$A$4629),0,0),0)))</f>
        <v/>
      </c>
      <c r="C863" t="str">
        <f t="shared" si="13"/>
        <v/>
      </c>
    </row>
    <row r="864" spans="1:3" x14ac:dyDescent="0.25">
      <c r="A864" t="str">
        <f>IF(Scan2VK!H88&lt;&gt;"",Scan2VK!H88,"")</f>
        <v>_none_</v>
      </c>
      <c r="B864" t="str">
        <f>IF(ISERROR(MATCH(0,INDEX(COUNTIF($B$1:B863,$A$2:$A$4629),0,0),0)),"",INDEX($A$2:$A$4629,MATCH(0,INDEX(COUNTIF($B$1:B863,$A$2:$A$4629),0,0),0)))</f>
        <v/>
      </c>
      <c r="C864" t="str">
        <f t="shared" si="13"/>
        <v/>
      </c>
    </row>
    <row r="865" spans="1:3" x14ac:dyDescent="0.25">
      <c r="A865" t="str">
        <f>IF(Scan2VK!H89&lt;&gt;"",Scan2VK!H89,"")</f>
        <v>_none_</v>
      </c>
      <c r="B865" t="str">
        <f>IF(ISERROR(MATCH(0,INDEX(COUNTIF($B$1:B864,$A$2:$A$4629),0,0),0)),"",INDEX($A$2:$A$4629,MATCH(0,INDEX(COUNTIF($B$1:B864,$A$2:$A$4629),0,0),0)))</f>
        <v/>
      </c>
      <c r="C865" t="str">
        <f t="shared" si="13"/>
        <v/>
      </c>
    </row>
    <row r="866" spans="1:3" x14ac:dyDescent="0.25">
      <c r="A866" t="str">
        <f>IF(Scan2VK!H90&lt;&gt;"",Scan2VK!H90,"")</f>
        <v>_none_</v>
      </c>
      <c r="B866" t="str">
        <f>IF(ISERROR(MATCH(0,INDEX(COUNTIF($B$1:B865,$A$2:$A$4629),0,0),0)),"",INDEX($A$2:$A$4629,MATCH(0,INDEX(COUNTIF($B$1:B865,$A$2:$A$4629),0,0),0)))</f>
        <v/>
      </c>
      <c r="C866" t="str">
        <f t="shared" si="13"/>
        <v/>
      </c>
    </row>
    <row r="867" spans="1:3" x14ac:dyDescent="0.25">
      <c r="A867" t="str">
        <f>IF(Scan2VK!H91&lt;&gt;"",Scan2VK!H91,"")</f>
        <v>CLEAR</v>
      </c>
      <c r="B867" t="str">
        <f>IF(ISERROR(MATCH(0,INDEX(COUNTIF($B$1:B866,$A$2:$A$4629),0,0),0)),"",INDEX($A$2:$A$4629,MATCH(0,INDEX(COUNTIF($B$1:B866,$A$2:$A$4629),0,0),0)))</f>
        <v/>
      </c>
      <c r="C867" t="str">
        <f t="shared" si="13"/>
        <v/>
      </c>
    </row>
    <row r="868" spans="1:3" x14ac:dyDescent="0.25">
      <c r="A868" t="str">
        <f>IF(Scan2VK!H92&lt;&gt;"",Scan2VK!H92,"")</f>
        <v>OEM_WSCTRL</v>
      </c>
      <c r="B868" t="str">
        <f>IF(ISERROR(MATCH(0,INDEX(COUNTIF($B$1:B867,$A$2:$A$4629),0,0),0)),"",INDEX($A$2:$A$4629,MATCH(0,INDEX(COUNTIF($B$1:B867,$A$2:$A$4629),0,0),0)))</f>
        <v/>
      </c>
      <c r="C868" t="str">
        <f t="shared" si="13"/>
        <v/>
      </c>
    </row>
    <row r="869" spans="1:3" x14ac:dyDescent="0.25">
      <c r="A869" t="str">
        <f>IF(Scan2VK!H93&lt;&gt;"",Scan2VK!H93,"")</f>
        <v>OEM_FINISH</v>
      </c>
      <c r="B869" t="str">
        <f>IF(ISERROR(MATCH(0,INDEX(COUNTIF($B$1:B868,$A$2:$A$4629),0,0),0)),"",INDEX($A$2:$A$4629,MATCH(0,INDEX(COUNTIF($B$1:B868,$A$2:$A$4629),0,0),0)))</f>
        <v/>
      </c>
      <c r="C869" t="str">
        <f t="shared" si="13"/>
        <v/>
      </c>
    </row>
    <row r="870" spans="1:3" x14ac:dyDescent="0.25">
      <c r="A870" t="str">
        <f>IF(Scan2VK!H94&lt;&gt;"",Scan2VK!H94,"")</f>
        <v>OEM_JUMP</v>
      </c>
      <c r="B870" t="str">
        <f>IF(ISERROR(MATCH(0,INDEX(COUNTIF($B$1:B869,$A$2:$A$4629),0,0),0)),"",INDEX($A$2:$A$4629,MATCH(0,INDEX(COUNTIF($B$1:B869,$A$2:$A$4629),0,0),0)))</f>
        <v/>
      </c>
      <c r="C870" t="str">
        <f t="shared" si="13"/>
        <v/>
      </c>
    </row>
    <row r="871" spans="1:3" x14ac:dyDescent="0.25">
      <c r="A871" t="str">
        <f>IF(Scan2VK!H95&lt;&gt;"",Scan2VK!H95,"")</f>
        <v>EREOF</v>
      </c>
      <c r="B871" t="str">
        <f>IF(ISERROR(MATCH(0,INDEX(COUNTIF($B$1:B870,$A$2:$A$4629),0,0),0)),"",INDEX($A$2:$A$4629,MATCH(0,INDEX(COUNTIF($B$1:B870,$A$2:$A$4629),0,0),0)))</f>
        <v/>
      </c>
      <c r="C871" t="str">
        <f t="shared" si="13"/>
        <v/>
      </c>
    </row>
    <row r="872" spans="1:3" x14ac:dyDescent="0.25">
      <c r="A872" t="str">
        <f>IF(Scan2VK!H96&lt;&gt;"",Scan2VK!H96,"")</f>
        <v>OEM_BACKTAB</v>
      </c>
      <c r="B872" t="str">
        <f>IF(ISERROR(MATCH(0,INDEX(COUNTIF($B$1:B871,$A$2:$A$4629),0,0),0)),"",INDEX($A$2:$A$4629,MATCH(0,INDEX(COUNTIF($B$1:B871,$A$2:$A$4629),0,0),0)))</f>
        <v/>
      </c>
      <c r="C872" t="str">
        <f t="shared" si="13"/>
        <v/>
      </c>
    </row>
    <row r="873" spans="1:3" x14ac:dyDescent="0.25">
      <c r="A873" t="str">
        <f>IF(Scan2VK!H97&lt;&gt;"",Scan2VK!H97,"")</f>
        <v>OEM_AUTO</v>
      </c>
      <c r="B873" t="str">
        <f>IF(ISERROR(MATCH(0,INDEX(COUNTIF($B$1:B872,$A$2:$A$4629),0,0),0)),"",INDEX($A$2:$A$4629,MATCH(0,INDEX(COUNTIF($B$1:B872,$A$2:$A$4629),0,0),0)))</f>
        <v/>
      </c>
      <c r="C873" t="str">
        <f t="shared" si="13"/>
        <v/>
      </c>
    </row>
    <row r="874" spans="1:3" x14ac:dyDescent="0.25">
      <c r="A874" t="str">
        <f>IF(Scan2VK!H98&lt;&gt;"",Scan2VK!H98,"")</f>
        <v>_none_</v>
      </c>
      <c r="B874" t="str">
        <f>IF(ISERROR(MATCH(0,INDEX(COUNTIF($B$1:B873,$A$2:$A$4629),0,0),0)),"",INDEX($A$2:$A$4629,MATCH(0,INDEX(COUNTIF($B$1:B873,$A$2:$A$4629),0,0),0)))</f>
        <v/>
      </c>
      <c r="C874" t="str">
        <f t="shared" si="13"/>
        <v/>
      </c>
    </row>
    <row r="875" spans="1:3" x14ac:dyDescent="0.25">
      <c r="A875" t="str">
        <f>IF(Scan2VK!H99&lt;&gt;"",Scan2VK!H99,"")</f>
        <v>_none_</v>
      </c>
      <c r="B875" t="str">
        <f>IF(ISERROR(MATCH(0,INDEX(COUNTIF($B$1:B874,$A$2:$A$4629),0,0),0)),"",INDEX($A$2:$A$4629,MATCH(0,INDEX(COUNTIF($B$1:B874,$A$2:$A$4629),0,0),0)))</f>
        <v/>
      </c>
      <c r="C875" t="str">
        <f t="shared" si="13"/>
        <v/>
      </c>
    </row>
    <row r="876" spans="1:3" x14ac:dyDescent="0.25">
      <c r="A876" t="str">
        <f>IF(Scan2VK!H100&lt;&gt;"",Scan2VK!H100,"")</f>
        <v>ZOOM</v>
      </c>
      <c r="B876" t="str">
        <f>IF(ISERROR(MATCH(0,INDEX(COUNTIF($B$1:B875,$A$2:$A$4629),0,0),0)),"",INDEX($A$2:$A$4629,MATCH(0,INDEX(COUNTIF($B$1:B875,$A$2:$A$4629),0,0),0)))</f>
        <v/>
      </c>
      <c r="C876" t="str">
        <f t="shared" si="13"/>
        <v/>
      </c>
    </row>
    <row r="877" spans="1:3" x14ac:dyDescent="0.25">
      <c r="A877" t="str">
        <f>IF(Scan2VK!H101&lt;&gt;"",Scan2VK!H101,"")</f>
        <v>HELP</v>
      </c>
      <c r="B877" t="str">
        <f>IF(ISERROR(MATCH(0,INDEX(COUNTIF($B$1:B876,$A$2:$A$4629),0,0),0)),"",INDEX($A$2:$A$4629,MATCH(0,INDEX(COUNTIF($B$1:B876,$A$2:$A$4629),0,0),0)))</f>
        <v/>
      </c>
      <c r="C877" t="str">
        <f t="shared" si="13"/>
        <v/>
      </c>
    </row>
    <row r="878" spans="1:3" x14ac:dyDescent="0.25">
      <c r="A878" t="str">
        <f>IF(Scan2VK!H102&lt;&gt;"",Scan2VK!H102,"")</f>
        <v>F13</v>
      </c>
      <c r="B878" t="str">
        <f>IF(ISERROR(MATCH(0,INDEX(COUNTIF($B$1:B877,$A$2:$A$4629),0,0),0)),"",INDEX($A$2:$A$4629,MATCH(0,INDEX(COUNTIF($B$1:B877,$A$2:$A$4629),0,0),0)))</f>
        <v/>
      </c>
      <c r="C878" t="str">
        <f t="shared" si="13"/>
        <v/>
      </c>
    </row>
    <row r="879" spans="1:3" x14ac:dyDescent="0.25">
      <c r="A879" t="str">
        <f>IF(Scan2VK!H103&lt;&gt;"",Scan2VK!H103,"")</f>
        <v>F14</v>
      </c>
      <c r="B879" t="str">
        <f>IF(ISERROR(MATCH(0,INDEX(COUNTIF($B$1:B878,$A$2:$A$4629),0,0),0)),"",INDEX($A$2:$A$4629,MATCH(0,INDEX(COUNTIF($B$1:B878,$A$2:$A$4629),0,0),0)))</f>
        <v/>
      </c>
      <c r="C879" t="str">
        <f t="shared" si="13"/>
        <v/>
      </c>
    </row>
    <row r="880" spans="1:3" x14ac:dyDescent="0.25">
      <c r="A880" t="str">
        <f>IF(Scan2VK!H104&lt;&gt;"",Scan2VK!H104,"")</f>
        <v>F15</v>
      </c>
      <c r="B880" t="str">
        <f>IF(ISERROR(MATCH(0,INDEX(COUNTIF($B$1:B879,$A$2:$A$4629),0,0),0)),"",INDEX($A$2:$A$4629,MATCH(0,INDEX(COUNTIF($B$1:B879,$A$2:$A$4629),0,0),0)))</f>
        <v/>
      </c>
      <c r="C880" t="str">
        <f t="shared" si="13"/>
        <v/>
      </c>
    </row>
    <row r="881" spans="1:3" x14ac:dyDescent="0.25">
      <c r="A881" t="str">
        <f>IF(Scan2VK!H105&lt;&gt;"",Scan2VK!H105,"")</f>
        <v>F16</v>
      </c>
      <c r="B881" t="str">
        <f>IF(ISERROR(MATCH(0,INDEX(COUNTIF($B$1:B880,$A$2:$A$4629),0,0),0)),"",INDEX($A$2:$A$4629,MATCH(0,INDEX(COUNTIF($B$1:B880,$A$2:$A$4629),0,0),0)))</f>
        <v/>
      </c>
      <c r="C881" t="str">
        <f t="shared" si="13"/>
        <v/>
      </c>
    </row>
    <row r="882" spans="1:3" x14ac:dyDescent="0.25">
      <c r="A882" t="str">
        <f>IF(Scan2VK!H106&lt;&gt;"",Scan2VK!H106,"")</f>
        <v>F17</v>
      </c>
      <c r="B882" t="str">
        <f>IF(ISERROR(MATCH(0,INDEX(COUNTIF($B$1:B881,$A$2:$A$4629),0,0),0)),"",INDEX($A$2:$A$4629,MATCH(0,INDEX(COUNTIF($B$1:B881,$A$2:$A$4629),0,0),0)))</f>
        <v/>
      </c>
      <c r="C882" t="str">
        <f t="shared" si="13"/>
        <v/>
      </c>
    </row>
    <row r="883" spans="1:3" x14ac:dyDescent="0.25">
      <c r="A883" t="str">
        <f>IF(Scan2VK!H107&lt;&gt;"",Scan2VK!H107,"")</f>
        <v>F18</v>
      </c>
      <c r="B883" t="str">
        <f>IF(ISERROR(MATCH(0,INDEX(COUNTIF($B$1:B882,$A$2:$A$4629),0,0),0)),"",INDEX($A$2:$A$4629,MATCH(0,INDEX(COUNTIF($B$1:B882,$A$2:$A$4629),0,0),0)))</f>
        <v/>
      </c>
      <c r="C883" t="str">
        <f t="shared" si="13"/>
        <v/>
      </c>
    </row>
    <row r="884" spans="1:3" x14ac:dyDescent="0.25">
      <c r="A884" t="str">
        <f>IF(Scan2VK!H108&lt;&gt;"",Scan2VK!H108,"")</f>
        <v>F19</v>
      </c>
      <c r="B884" t="str">
        <f>IF(ISERROR(MATCH(0,INDEX(COUNTIF($B$1:B883,$A$2:$A$4629),0,0),0)),"",INDEX($A$2:$A$4629,MATCH(0,INDEX(COUNTIF($B$1:B883,$A$2:$A$4629),0,0),0)))</f>
        <v/>
      </c>
      <c r="C884" t="str">
        <f t="shared" si="13"/>
        <v/>
      </c>
    </row>
    <row r="885" spans="1:3" x14ac:dyDescent="0.25">
      <c r="A885" t="str">
        <f>IF(Scan2VK!H109&lt;&gt;"",Scan2VK!H109,"")</f>
        <v>F20</v>
      </c>
      <c r="B885" t="str">
        <f>IF(ISERROR(MATCH(0,INDEX(COUNTIF($B$1:B884,$A$2:$A$4629),0,0),0)),"",INDEX($A$2:$A$4629,MATCH(0,INDEX(COUNTIF($B$1:B884,$A$2:$A$4629),0,0),0)))</f>
        <v/>
      </c>
      <c r="C885" t="str">
        <f t="shared" si="13"/>
        <v/>
      </c>
    </row>
    <row r="886" spans="1:3" x14ac:dyDescent="0.25">
      <c r="A886" t="str">
        <f>IF(Scan2VK!H110&lt;&gt;"",Scan2VK!H110,"")</f>
        <v>F21</v>
      </c>
      <c r="B886" t="str">
        <f>IF(ISERROR(MATCH(0,INDEX(COUNTIF($B$1:B885,$A$2:$A$4629),0,0),0)),"",INDEX($A$2:$A$4629,MATCH(0,INDEX(COUNTIF($B$1:B885,$A$2:$A$4629),0,0),0)))</f>
        <v/>
      </c>
      <c r="C886" t="str">
        <f t="shared" si="13"/>
        <v/>
      </c>
    </row>
    <row r="887" spans="1:3" x14ac:dyDescent="0.25">
      <c r="A887" t="str">
        <f>IF(Scan2VK!H111&lt;&gt;"",Scan2VK!H111,"")</f>
        <v>F22</v>
      </c>
      <c r="B887" t="str">
        <f>IF(ISERROR(MATCH(0,INDEX(COUNTIF($B$1:B886,$A$2:$A$4629),0,0),0)),"",INDEX($A$2:$A$4629,MATCH(0,INDEX(COUNTIF($B$1:B886,$A$2:$A$4629),0,0),0)))</f>
        <v/>
      </c>
      <c r="C887" t="str">
        <f t="shared" si="13"/>
        <v/>
      </c>
    </row>
    <row r="888" spans="1:3" x14ac:dyDescent="0.25">
      <c r="A888" t="str">
        <f>IF(Scan2VK!H112&lt;&gt;"",Scan2VK!H112,"")</f>
        <v>F23</v>
      </c>
      <c r="B888" t="str">
        <f>IF(ISERROR(MATCH(0,INDEX(COUNTIF($B$1:B887,$A$2:$A$4629),0,0),0)),"",INDEX($A$2:$A$4629,MATCH(0,INDEX(COUNTIF($B$1:B887,$A$2:$A$4629),0,0),0)))</f>
        <v/>
      </c>
      <c r="C888" t="str">
        <f t="shared" si="13"/>
        <v/>
      </c>
    </row>
    <row r="889" spans="1:3" x14ac:dyDescent="0.25">
      <c r="A889" t="str">
        <f>IF(Scan2VK!H113&lt;&gt;"",Scan2VK!H113,"")</f>
        <v>OEM_PA3</v>
      </c>
      <c r="B889" t="str">
        <f>IF(ISERROR(MATCH(0,INDEX(COUNTIF($B$1:B888,$A$2:$A$4629),0,0),0)),"",INDEX($A$2:$A$4629,MATCH(0,INDEX(COUNTIF($B$1:B888,$A$2:$A$4629),0,0),0)))</f>
        <v/>
      </c>
      <c r="C889" t="str">
        <f t="shared" si="13"/>
        <v/>
      </c>
    </row>
    <row r="890" spans="1:3" x14ac:dyDescent="0.25">
      <c r="A890" t="str">
        <f>IF(Scan2VK!H114&lt;&gt;"",Scan2VK!H114,"")</f>
        <v>_none_</v>
      </c>
      <c r="B890" t="str">
        <f>IF(ISERROR(MATCH(0,INDEX(COUNTIF($B$1:B889,$A$2:$A$4629),0,0),0)),"",INDEX($A$2:$A$4629,MATCH(0,INDEX(COUNTIF($B$1:B889,$A$2:$A$4629),0,0),0)))</f>
        <v/>
      </c>
      <c r="C890" t="str">
        <f t="shared" si="13"/>
        <v/>
      </c>
    </row>
    <row r="891" spans="1:3" x14ac:dyDescent="0.25">
      <c r="A891" t="str">
        <f>IF(Scan2VK!H115&lt;&gt;"",Scan2VK!H115,"")</f>
        <v>OEM_RESET</v>
      </c>
      <c r="B891" t="str">
        <f>IF(ISERROR(MATCH(0,INDEX(COUNTIF($B$1:B890,$A$2:$A$4629),0,0),0)),"",INDEX($A$2:$A$4629,MATCH(0,INDEX(COUNTIF($B$1:B890,$A$2:$A$4629),0,0),0)))</f>
        <v/>
      </c>
      <c r="C891" t="str">
        <f t="shared" si="13"/>
        <v/>
      </c>
    </row>
    <row r="892" spans="1:3" x14ac:dyDescent="0.25">
      <c r="A892" t="str">
        <f>IF(Scan2VK!H116&lt;&gt;"",Scan2VK!H116,"")</f>
        <v>_none_</v>
      </c>
      <c r="B892" t="str">
        <f>IF(ISERROR(MATCH(0,INDEX(COUNTIF($B$1:B891,$A$2:$A$4629),0,0),0)),"",INDEX($A$2:$A$4629,MATCH(0,INDEX(COUNTIF($B$1:B891,$A$2:$A$4629),0,0),0)))</f>
        <v/>
      </c>
      <c r="C892" t="str">
        <f t="shared" si="13"/>
        <v/>
      </c>
    </row>
    <row r="893" spans="1:3" x14ac:dyDescent="0.25">
      <c r="A893" t="str">
        <f>IF(Scan2VK!H117&lt;&gt;"",Scan2VK!H117,"")</f>
        <v>ABNT_C1</v>
      </c>
      <c r="B893" t="str">
        <f>IF(ISERROR(MATCH(0,INDEX(COUNTIF($B$1:B892,$A$2:$A$4629),0,0),0)),"",INDEX($A$2:$A$4629,MATCH(0,INDEX(COUNTIF($B$1:B892,$A$2:$A$4629),0,0),0)))</f>
        <v/>
      </c>
      <c r="C893" t="str">
        <f t="shared" si="13"/>
        <v/>
      </c>
    </row>
    <row r="894" spans="1:3" x14ac:dyDescent="0.25">
      <c r="A894" t="str">
        <f>IF(Scan2VK!H118&lt;&gt;"",Scan2VK!H118,"")</f>
        <v>_none_</v>
      </c>
      <c r="B894" t="str">
        <f>IF(ISERROR(MATCH(0,INDEX(COUNTIF($B$1:B893,$A$2:$A$4629),0,0),0)),"",INDEX($A$2:$A$4629,MATCH(0,INDEX(COUNTIF($B$1:B893,$A$2:$A$4629),0,0),0)))</f>
        <v/>
      </c>
      <c r="C894" t="str">
        <f t="shared" si="13"/>
        <v/>
      </c>
    </row>
    <row r="895" spans="1:3" x14ac:dyDescent="0.25">
      <c r="A895" t="str">
        <f>IF(Scan2VK!H119&lt;&gt;"",Scan2VK!H119,"")</f>
        <v>_none_</v>
      </c>
      <c r="B895" t="str">
        <f>IF(ISERROR(MATCH(0,INDEX(COUNTIF($B$1:B894,$A$2:$A$4629),0,0),0)),"",INDEX($A$2:$A$4629,MATCH(0,INDEX(COUNTIF($B$1:B894,$A$2:$A$4629),0,0),0)))</f>
        <v/>
      </c>
      <c r="C895" t="str">
        <f t="shared" si="13"/>
        <v/>
      </c>
    </row>
    <row r="896" spans="1:3" x14ac:dyDescent="0.25">
      <c r="A896" t="str">
        <f>IF(Scan2VK!H120&lt;&gt;"",Scan2VK!H120,"")</f>
        <v>F24</v>
      </c>
      <c r="B896" t="str">
        <f>IF(ISERROR(MATCH(0,INDEX(COUNTIF($B$1:B895,$A$2:$A$4629),0,0),0)),"",INDEX($A$2:$A$4629,MATCH(0,INDEX(COUNTIF($B$1:B895,$A$2:$A$4629),0,0),0)))</f>
        <v/>
      </c>
      <c r="C896" t="str">
        <f t="shared" si="13"/>
        <v/>
      </c>
    </row>
    <row r="897" spans="1:3" x14ac:dyDescent="0.25">
      <c r="A897" t="str">
        <f>IF(Scan2VK!H121&lt;&gt;"",Scan2VK!H121,"")</f>
        <v>_none_</v>
      </c>
      <c r="B897" t="str">
        <f>IF(ISERROR(MATCH(0,INDEX(COUNTIF($B$1:B896,$A$2:$A$4629),0,0),0)),"",INDEX($A$2:$A$4629,MATCH(0,INDEX(COUNTIF($B$1:B896,$A$2:$A$4629),0,0),0)))</f>
        <v/>
      </c>
      <c r="C897" t="str">
        <f t="shared" si="13"/>
        <v/>
      </c>
    </row>
    <row r="898" spans="1:3" x14ac:dyDescent="0.25">
      <c r="A898" t="str">
        <f>IF(Scan2VK!H122&lt;&gt;"",Scan2VK!H122,"")</f>
        <v>_none_</v>
      </c>
      <c r="B898" t="str">
        <f>IF(ISERROR(MATCH(0,INDEX(COUNTIF($B$1:B897,$A$2:$A$4629),0,0),0)),"",INDEX($A$2:$A$4629,MATCH(0,INDEX(COUNTIF($B$1:B897,$A$2:$A$4629),0,0),0)))</f>
        <v/>
      </c>
      <c r="C898" t="str">
        <f t="shared" si="13"/>
        <v/>
      </c>
    </row>
    <row r="899" spans="1:3" x14ac:dyDescent="0.25">
      <c r="A899" t="str">
        <f>IF(Scan2VK!H123&lt;&gt;"",Scan2VK!H123,"")</f>
        <v>_none_</v>
      </c>
      <c r="B899" t="str">
        <f>IF(ISERROR(MATCH(0,INDEX(COUNTIF($B$1:B898,$A$2:$A$4629),0,0),0)),"",INDEX($A$2:$A$4629,MATCH(0,INDEX(COUNTIF($B$1:B898,$A$2:$A$4629),0,0),0)))</f>
        <v/>
      </c>
      <c r="C899" t="str">
        <f t="shared" ref="C899:C962" si="14">IF(B899&lt;&gt;"","&lt;xs:enumeration value="""&amp;B899&amp;"""/&gt;","")</f>
        <v/>
      </c>
    </row>
    <row r="900" spans="1:3" x14ac:dyDescent="0.25">
      <c r="A900" t="str">
        <f>IF(Scan2VK!H124&lt;&gt;"",Scan2VK!H124,"")</f>
        <v>_none_</v>
      </c>
      <c r="B900" t="str">
        <f>IF(ISERROR(MATCH(0,INDEX(COUNTIF($B$1:B899,$A$2:$A$4629),0,0),0)),"",INDEX($A$2:$A$4629,MATCH(0,INDEX(COUNTIF($B$1:B899,$A$2:$A$4629),0,0),0)))</f>
        <v/>
      </c>
      <c r="C900" t="str">
        <f t="shared" si="14"/>
        <v/>
      </c>
    </row>
    <row r="901" spans="1:3" x14ac:dyDescent="0.25">
      <c r="A901" t="str">
        <f>IF(Scan2VK!H125&lt;&gt;"",Scan2VK!H125,"")</f>
        <v>OEM_PA1</v>
      </c>
      <c r="B901" t="str">
        <f>IF(ISERROR(MATCH(0,INDEX(COUNTIF($B$1:B900,$A$2:$A$4629),0,0),0)),"",INDEX($A$2:$A$4629,MATCH(0,INDEX(COUNTIF($B$1:B900,$A$2:$A$4629),0,0),0)))</f>
        <v/>
      </c>
      <c r="C901" t="str">
        <f t="shared" si="14"/>
        <v/>
      </c>
    </row>
    <row r="902" spans="1:3" x14ac:dyDescent="0.25">
      <c r="A902" t="str">
        <f>IF(Scan2VK!H126&lt;&gt;"",Scan2VK!H126,"")</f>
        <v>TAB</v>
      </c>
      <c r="B902" t="str">
        <f>IF(ISERROR(MATCH(0,INDEX(COUNTIF($B$1:B901,$A$2:$A$4629),0,0),0)),"",INDEX($A$2:$A$4629,MATCH(0,INDEX(COUNTIF($B$1:B901,$A$2:$A$4629),0,0),0)))</f>
        <v/>
      </c>
      <c r="C902" t="str">
        <f t="shared" si="14"/>
        <v/>
      </c>
    </row>
    <row r="903" spans="1:3" x14ac:dyDescent="0.25">
      <c r="A903" t="str">
        <f>IF(Scan2VK!H127&lt;&gt;"",Scan2VK!H127,"")</f>
        <v>_none_</v>
      </c>
      <c r="B903" t="str">
        <f>IF(ISERROR(MATCH(0,INDEX(COUNTIF($B$1:B902,$A$2:$A$4629),0,0),0)),"",INDEX($A$2:$A$4629,MATCH(0,INDEX(COUNTIF($B$1:B902,$A$2:$A$4629),0,0),0)))</f>
        <v/>
      </c>
      <c r="C903" t="str">
        <f t="shared" si="14"/>
        <v/>
      </c>
    </row>
    <row r="904" spans="1:3" x14ac:dyDescent="0.25">
      <c r="A904" t="str">
        <f>IF(Scan2VK!H128&lt;&gt;"",Scan2VK!H128,"")</f>
        <v>ABNT_C2</v>
      </c>
      <c r="B904" t="str">
        <f>IF(ISERROR(MATCH(0,INDEX(COUNTIF($B$1:B903,$A$2:$A$4629),0,0),0)),"",INDEX($A$2:$A$4629,MATCH(0,INDEX(COUNTIF($B$1:B903,$A$2:$A$4629),0,0),0)))</f>
        <v/>
      </c>
      <c r="C904" t="str">
        <f t="shared" si="14"/>
        <v/>
      </c>
    </row>
    <row r="905" spans="1:3" x14ac:dyDescent="0.25">
      <c r="A905" t="str">
        <f>IF(Scan2VK!H129&lt;&gt;"",Scan2VK!H129,"")</f>
        <v>OEM_PA2</v>
      </c>
      <c r="B905" t="str">
        <f>IF(ISERROR(MATCH(0,INDEX(COUNTIF($B$1:B904,$A$2:$A$4629),0,0),0)),"",INDEX($A$2:$A$4629,MATCH(0,INDEX(COUNTIF($B$1:B904,$A$2:$A$4629),0,0),0)))</f>
        <v/>
      </c>
      <c r="C905" t="str">
        <f t="shared" si="14"/>
        <v/>
      </c>
    </row>
    <row r="906" spans="1:3" x14ac:dyDescent="0.25">
      <c r="A906" t="str">
        <f>IF(Scan2VK!H130&lt;&gt;"",Scan2VK!H130,"")</f>
        <v/>
      </c>
      <c r="B906" t="str">
        <f>IF(ISERROR(MATCH(0,INDEX(COUNTIF($B$1:B905,$A$2:$A$4629),0,0),0)),"",INDEX($A$2:$A$4629,MATCH(0,INDEX(COUNTIF($B$1:B905,$A$2:$A$4629),0,0),0)))</f>
        <v/>
      </c>
      <c r="C906" t="str">
        <f t="shared" si="14"/>
        <v/>
      </c>
    </row>
    <row r="907" spans="1:3" x14ac:dyDescent="0.25">
      <c r="A907" t="str">
        <f>IF(Scan2VK!H131&lt;&gt;"",Scan2VK!H131,"")</f>
        <v>MEDIA_PREV_TRACK</v>
      </c>
      <c r="B907" t="str">
        <f>IF(ISERROR(MATCH(0,INDEX(COUNTIF($B$1:B906,$A$2:$A$4629),0,0),0)),"",INDEX($A$2:$A$4629,MATCH(0,INDEX(COUNTIF($B$1:B906,$A$2:$A$4629),0,0),0)))</f>
        <v/>
      </c>
      <c r="C907" t="str">
        <f t="shared" si="14"/>
        <v/>
      </c>
    </row>
    <row r="908" spans="1:3" x14ac:dyDescent="0.25">
      <c r="A908" t="str">
        <f>IF(Scan2VK!H132&lt;&gt;"",Scan2VK!H132,"")</f>
        <v>MEDIA_NEXT_TRACK</v>
      </c>
      <c r="B908" t="str">
        <f>IF(ISERROR(MATCH(0,INDEX(COUNTIF($B$1:B907,$A$2:$A$4629),0,0),0)),"",INDEX($A$2:$A$4629,MATCH(0,INDEX(COUNTIF($B$1:B907,$A$2:$A$4629),0,0),0)))</f>
        <v/>
      </c>
      <c r="C908" t="str">
        <f t="shared" si="14"/>
        <v/>
      </c>
    </row>
    <row r="909" spans="1:3" x14ac:dyDescent="0.25">
      <c r="A909" t="str">
        <f>IF(Scan2VK!H133&lt;&gt;"",Scan2VK!H133,"")</f>
        <v>RETURN</v>
      </c>
      <c r="B909" t="str">
        <f>IF(ISERROR(MATCH(0,INDEX(COUNTIF($B$1:B908,$A$2:$A$4629),0,0),0)),"",INDEX($A$2:$A$4629,MATCH(0,INDEX(COUNTIF($B$1:B908,$A$2:$A$4629),0,0),0)))</f>
        <v/>
      </c>
      <c r="C909" t="str">
        <f t="shared" si="14"/>
        <v/>
      </c>
    </row>
    <row r="910" spans="1:3" x14ac:dyDescent="0.25">
      <c r="A910" t="str">
        <f>IF(Scan2VK!H134&lt;&gt;"",Scan2VK!H134,"")</f>
        <v>RCONTROL</v>
      </c>
      <c r="B910" t="str">
        <f>IF(ISERROR(MATCH(0,INDEX(COUNTIF($B$1:B909,$A$2:$A$4629),0,0),0)),"",INDEX($A$2:$A$4629,MATCH(0,INDEX(COUNTIF($B$1:B909,$A$2:$A$4629),0,0),0)))</f>
        <v/>
      </c>
      <c r="C910" t="str">
        <f t="shared" si="14"/>
        <v/>
      </c>
    </row>
    <row r="911" spans="1:3" x14ac:dyDescent="0.25">
      <c r="A911" t="str">
        <f>IF(Scan2VK!H135&lt;&gt;"",Scan2VK!H135,"")</f>
        <v>VOLUME_MUTE</v>
      </c>
      <c r="B911" t="str">
        <f>IF(ISERROR(MATCH(0,INDEX(COUNTIF($B$1:B910,$A$2:$A$4629),0,0),0)),"",INDEX($A$2:$A$4629,MATCH(0,INDEX(COUNTIF($B$1:B910,$A$2:$A$4629),0,0),0)))</f>
        <v/>
      </c>
      <c r="C911" t="str">
        <f t="shared" si="14"/>
        <v/>
      </c>
    </row>
    <row r="912" spans="1:3" x14ac:dyDescent="0.25">
      <c r="A912" t="str">
        <f>IF(Scan2VK!H136&lt;&gt;"",Scan2VK!H136,"")</f>
        <v>LAUNCH_APP2</v>
      </c>
      <c r="B912" t="str">
        <f>IF(ISERROR(MATCH(0,INDEX(COUNTIF($B$1:B911,$A$2:$A$4629),0,0),0)),"",INDEX($A$2:$A$4629,MATCH(0,INDEX(COUNTIF($B$1:B911,$A$2:$A$4629),0,0),0)))</f>
        <v/>
      </c>
      <c r="C912" t="str">
        <f t="shared" si="14"/>
        <v/>
      </c>
    </row>
    <row r="913" spans="1:3" x14ac:dyDescent="0.25">
      <c r="A913" t="str">
        <f>IF(Scan2VK!H137&lt;&gt;"",Scan2VK!H137,"")</f>
        <v>MEDIA_PLAY_PAUSE</v>
      </c>
      <c r="B913" t="str">
        <f>IF(ISERROR(MATCH(0,INDEX(COUNTIF($B$1:B912,$A$2:$A$4629),0,0),0)),"",INDEX($A$2:$A$4629,MATCH(0,INDEX(COUNTIF($B$1:B912,$A$2:$A$4629),0,0),0)))</f>
        <v/>
      </c>
      <c r="C913" t="str">
        <f t="shared" si="14"/>
        <v/>
      </c>
    </row>
    <row r="914" spans="1:3" x14ac:dyDescent="0.25">
      <c r="A914" t="str">
        <f>IF(Scan2VK!H138&lt;&gt;"",Scan2VK!H138,"")</f>
        <v>MEDIA_STOP</v>
      </c>
      <c r="B914" t="str">
        <f>IF(ISERROR(MATCH(0,INDEX(COUNTIF($B$1:B913,$A$2:$A$4629),0,0),0)),"",INDEX($A$2:$A$4629,MATCH(0,INDEX(COUNTIF($B$1:B913,$A$2:$A$4629),0,0),0)))</f>
        <v/>
      </c>
      <c r="C914" t="str">
        <f t="shared" si="14"/>
        <v/>
      </c>
    </row>
    <row r="915" spans="1:3" x14ac:dyDescent="0.25">
      <c r="A915" t="str">
        <f>IF(Scan2VK!H139&lt;&gt;"",Scan2VK!H139,"")</f>
        <v>VOLUME_DOWN</v>
      </c>
      <c r="B915" t="str">
        <f>IF(ISERROR(MATCH(0,INDEX(COUNTIF($B$1:B914,$A$2:$A$4629),0,0),0)),"",INDEX($A$2:$A$4629,MATCH(0,INDEX(COUNTIF($B$1:B914,$A$2:$A$4629),0,0),0)))</f>
        <v/>
      </c>
      <c r="C915" t="str">
        <f t="shared" si="14"/>
        <v/>
      </c>
    </row>
    <row r="916" spans="1:3" x14ac:dyDescent="0.25">
      <c r="A916" t="str">
        <f>IF(Scan2VK!H140&lt;&gt;"",Scan2VK!H140,"")</f>
        <v>VOLUME_UP</v>
      </c>
      <c r="B916" t="str">
        <f>IF(ISERROR(MATCH(0,INDEX(COUNTIF($B$1:B915,$A$2:$A$4629),0,0),0)),"",INDEX($A$2:$A$4629,MATCH(0,INDEX(COUNTIF($B$1:B915,$A$2:$A$4629),0,0),0)))</f>
        <v/>
      </c>
      <c r="C916" t="str">
        <f t="shared" si="14"/>
        <v/>
      </c>
    </row>
    <row r="917" spans="1:3" x14ac:dyDescent="0.25">
      <c r="A917" t="str">
        <f>IF(Scan2VK!H141&lt;&gt;"",Scan2VK!H141,"")</f>
        <v>BROWSER_HOME</v>
      </c>
      <c r="B917" t="str">
        <f>IF(ISERROR(MATCH(0,INDEX(COUNTIF($B$1:B916,$A$2:$A$4629),0,0),0)),"",INDEX($A$2:$A$4629,MATCH(0,INDEX(COUNTIF($B$1:B916,$A$2:$A$4629),0,0),0)))</f>
        <v/>
      </c>
      <c r="C917" t="str">
        <f t="shared" si="14"/>
        <v/>
      </c>
    </row>
    <row r="918" spans="1:3" x14ac:dyDescent="0.25">
      <c r="A918" t="str">
        <f>IF(Scan2VK!H142&lt;&gt;"",Scan2VK!H142,"")</f>
        <v/>
      </c>
      <c r="B918" t="str">
        <f>IF(ISERROR(MATCH(0,INDEX(COUNTIF($B$1:B917,$A$2:$A$4629),0,0),0)),"",INDEX($A$2:$A$4629,MATCH(0,INDEX(COUNTIF($B$1:B917,$A$2:$A$4629),0,0),0)))</f>
        <v/>
      </c>
      <c r="C918" t="str">
        <f t="shared" si="14"/>
        <v/>
      </c>
    </row>
    <row r="919" spans="1:3" x14ac:dyDescent="0.25">
      <c r="A919" t="str">
        <f>IF(Scan2VK!H143&lt;&gt;"",Scan2VK!H143,"")</f>
        <v>DIVIDE</v>
      </c>
      <c r="B919" t="str">
        <f>IF(ISERROR(MATCH(0,INDEX(COUNTIF($B$1:B918,$A$2:$A$4629),0,0),0)),"",INDEX($A$2:$A$4629,MATCH(0,INDEX(COUNTIF($B$1:B918,$A$2:$A$4629),0,0),0)))</f>
        <v/>
      </c>
      <c r="C919" t="str">
        <f t="shared" si="14"/>
        <v/>
      </c>
    </row>
    <row r="920" spans="1:3" x14ac:dyDescent="0.25">
      <c r="A920" t="str">
        <f>IF(Scan2VK!H144&lt;&gt;"",Scan2VK!H144,"")</f>
        <v>SNAPSHOT</v>
      </c>
      <c r="B920" t="str">
        <f>IF(ISERROR(MATCH(0,INDEX(COUNTIF($B$1:B919,$A$2:$A$4629),0,0),0)),"",INDEX($A$2:$A$4629,MATCH(0,INDEX(COUNTIF($B$1:B919,$A$2:$A$4629),0,0),0)))</f>
        <v/>
      </c>
      <c r="C920" t="str">
        <f t="shared" si="14"/>
        <v/>
      </c>
    </row>
    <row r="921" spans="1:3" x14ac:dyDescent="0.25">
      <c r="A921" t="str">
        <f>IF(Scan2VK!H145&lt;&gt;"",Scan2VK!H145,"")</f>
        <v>RMENU</v>
      </c>
      <c r="B921" t="str">
        <f>IF(ISERROR(MATCH(0,INDEX(COUNTIF($B$1:B920,$A$2:$A$4629),0,0),0)),"",INDEX($A$2:$A$4629,MATCH(0,INDEX(COUNTIF($B$1:B920,$A$2:$A$4629),0,0),0)))</f>
        <v/>
      </c>
      <c r="C921" t="str">
        <f t="shared" si="14"/>
        <v/>
      </c>
    </row>
    <row r="922" spans="1:3" x14ac:dyDescent="0.25">
      <c r="A922" t="str">
        <f>IF(Scan2VK!H146&lt;&gt;"",Scan2VK!H146,"")</f>
        <v/>
      </c>
      <c r="B922" t="str">
        <f>IF(ISERROR(MATCH(0,INDEX(COUNTIF($B$1:B921,$A$2:$A$4629),0,0),0)),"",INDEX($A$2:$A$4629,MATCH(0,INDEX(COUNTIF($B$1:B921,$A$2:$A$4629),0,0),0)))</f>
        <v/>
      </c>
      <c r="C922" t="str">
        <f t="shared" si="14"/>
        <v/>
      </c>
    </row>
    <row r="923" spans="1:3" x14ac:dyDescent="0.25">
      <c r="A923" t="str">
        <f>IF(Scan2VK!H147&lt;&gt;"",Scan2VK!H147,"")</f>
        <v/>
      </c>
      <c r="B923" t="str">
        <f>IF(ISERROR(MATCH(0,INDEX(COUNTIF($B$1:B922,$A$2:$A$4629),0,0),0)),"",INDEX($A$2:$A$4629,MATCH(0,INDEX(COUNTIF($B$1:B922,$A$2:$A$4629),0,0),0)))</f>
        <v/>
      </c>
      <c r="C923" t="str">
        <f t="shared" si="14"/>
        <v/>
      </c>
    </row>
    <row r="924" spans="1:3" x14ac:dyDescent="0.25">
      <c r="A924" t="str">
        <f>IF(Scan2VK!H148&lt;&gt;"",Scan2VK!H148,"")</f>
        <v/>
      </c>
      <c r="B924" t="str">
        <f>IF(ISERROR(MATCH(0,INDEX(COUNTIF($B$1:B923,$A$2:$A$4629),0,0),0)),"",INDEX($A$2:$A$4629,MATCH(0,INDEX(COUNTIF($B$1:B923,$A$2:$A$4629),0,0),0)))</f>
        <v/>
      </c>
      <c r="C924" t="str">
        <f t="shared" si="14"/>
        <v/>
      </c>
    </row>
    <row r="925" spans="1:3" x14ac:dyDescent="0.25">
      <c r="A925" t="str">
        <f>IF(Scan2VK!H149&lt;&gt;"",Scan2VK!H149,"")</f>
        <v/>
      </c>
      <c r="B925" t="str">
        <f>IF(ISERROR(MATCH(0,INDEX(COUNTIF($B$1:B924,$A$2:$A$4629),0,0),0)),"",INDEX($A$2:$A$4629,MATCH(0,INDEX(COUNTIF($B$1:B924,$A$2:$A$4629),0,0),0)))</f>
        <v/>
      </c>
      <c r="C925" t="str">
        <f t="shared" si="14"/>
        <v/>
      </c>
    </row>
    <row r="926" spans="1:3" x14ac:dyDescent="0.25">
      <c r="A926" t="str">
        <f>IF(Scan2VK!H150&lt;&gt;"",Scan2VK!H150,"")</f>
        <v/>
      </c>
      <c r="B926" t="str">
        <f>IF(ISERROR(MATCH(0,INDEX(COUNTIF($B$1:B925,$A$2:$A$4629),0,0),0)),"",INDEX($A$2:$A$4629,MATCH(0,INDEX(COUNTIF($B$1:B925,$A$2:$A$4629),0,0),0)))</f>
        <v/>
      </c>
      <c r="C926" t="str">
        <f t="shared" si="14"/>
        <v/>
      </c>
    </row>
    <row r="927" spans="1:3" x14ac:dyDescent="0.25">
      <c r="A927" t="str">
        <f>IF(Scan2VK!H151&lt;&gt;"",Scan2VK!H151,"")</f>
        <v/>
      </c>
      <c r="B927" t="str">
        <f>IF(ISERROR(MATCH(0,INDEX(COUNTIF($B$1:B926,$A$2:$A$4629),0,0),0)),"",INDEX($A$2:$A$4629,MATCH(0,INDEX(COUNTIF($B$1:B926,$A$2:$A$4629),0,0),0)))</f>
        <v/>
      </c>
      <c r="C927" t="str">
        <f t="shared" si="14"/>
        <v/>
      </c>
    </row>
    <row r="928" spans="1:3" x14ac:dyDescent="0.25">
      <c r="A928" t="str">
        <f>IF(Scan2VK!H152&lt;&gt;"",Scan2VK!H152,"")</f>
        <v/>
      </c>
      <c r="B928" t="str">
        <f>IF(ISERROR(MATCH(0,INDEX(COUNTIF($B$1:B927,$A$2:$A$4629),0,0),0)),"",INDEX($A$2:$A$4629,MATCH(0,INDEX(COUNTIF($B$1:B927,$A$2:$A$4629),0,0),0)))</f>
        <v/>
      </c>
      <c r="C928" t="str">
        <f t="shared" si="14"/>
        <v/>
      </c>
    </row>
    <row r="929" spans="1:3" x14ac:dyDescent="0.25">
      <c r="A929" t="str">
        <f>IF(Scan2VK!H153&lt;&gt;"",Scan2VK!H153,"")</f>
        <v/>
      </c>
      <c r="B929" t="str">
        <f>IF(ISERROR(MATCH(0,INDEX(COUNTIF($B$1:B928,$A$2:$A$4629),0,0),0)),"",INDEX($A$2:$A$4629,MATCH(0,INDEX(COUNTIF($B$1:B928,$A$2:$A$4629),0,0),0)))</f>
        <v/>
      </c>
      <c r="C929" t="str">
        <f t="shared" si="14"/>
        <v/>
      </c>
    </row>
    <row r="930" spans="1:3" x14ac:dyDescent="0.25">
      <c r="A930" t="str">
        <f>IF(Scan2VK!H154&lt;&gt;"",Scan2VK!H154,"")</f>
        <v>CANCEL</v>
      </c>
      <c r="B930" t="str">
        <f>IF(ISERROR(MATCH(0,INDEX(COUNTIF($B$1:B929,$A$2:$A$4629),0,0),0)),"",INDEX($A$2:$A$4629,MATCH(0,INDEX(COUNTIF($B$1:B929,$A$2:$A$4629),0,0),0)))</f>
        <v/>
      </c>
      <c r="C930" t="str">
        <f t="shared" si="14"/>
        <v/>
      </c>
    </row>
    <row r="931" spans="1:3" x14ac:dyDescent="0.25">
      <c r="A931" t="str">
        <f>IF(Scan2VK!H155&lt;&gt;"",Scan2VK!H155,"")</f>
        <v>HOME</v>
      </c>
      <c r="B931" t="str">
        <f>IF(ISERROR(MATCH(0,INDEX(COUNTIF($B$1:B930,$A$2:$A$4629),0,0),0)),"",INDEX($A$2:$A$4629,MATCH(0,INDEX(COUNTIF($B$1:B930,$A$2:$A$4629),0,0),0)))</f>
        <v/>
      </c>
      <c r="C931" t="str">
        <f t="shared" si="14"/>
        <v/>
      </c>
    </row>
    <row r="932" spans="1:3" x14ac:dyDescent="0.25">
      <c r="A932" t="str">
        <f>IF(Scan2VK!H156&lt;&gt;"",Scan2VK!H156,"")</f>
        <v>UP</v>
      </c>
      <c r="B932" t="str">
        <f>IF(ISERROR(MATCH(0,INDEX(COUNTIF($B$1:B931,$A$2:$A$4629),0,0),0)),"",INDEX($A$2:$A$4629,MATCH(0,INDEX(COUNTIF($B$1:B931,$A$2:$A$4629),0,0),0)))</f>
        <v/>
      </c>
      <c r="C932" t="str">
        <f t="shared" si="14"/>
        <v/>
      </c>
    </row>
    <row r="933" spans="1:3" x14ac:dyDescent="0.25">
      <c r="A933" t="str">
        <f>IF(Scan2VK!H157&lt;&gt;"",Scan2VK!H157,"")</f>
        <v>PRIOR</v>
      </c>
      <c r="B933" t="str">
        <f>IF(ISERROR(MATCH(0,INDEX(COUNTIF($B$1:B932,$A$2:$A$4629),0,0),0)),"",INDEX($A$2:$A$4629,MATCH(0,INDEX(COUNTIF($B$1:B932,$A$2:$A$4629),0,0),0)))</f>
        <v/>
      </c>
      <c r="C933" t="str">
        <f t="shared" si="14"/>
        <v/>
      </c>
    </row>
    <row r="934" spans="1:3" x14ac:dyDescent="0.25">
      <c r="A934" t="str">
        <f>IF(Scan2VK!H158&lt;&gt;"",Scan2VK!H158,"")</f>
        <v>LEFT</v>
      </c>
      <c r="B934" t="str">
        <f>IF(ISERROR(MATCH(0,INDEX(COUNTIF($B$1:B933,$A$2:$A$4629),0,0),0)),"",INDEX($A$2:$A$4629,MATCH(0,INDEX(COUNTIF($B$1:B933,$A$2:$A$4629),0,0),0)))</f>
        <v/>
      </c>
      <c r="C934" t="str">
        <f t="shared" si="14"/>
        <v/>
      </c>
    </row>
    <row r="935" spans="1:3" x14ac:dyDescent="0.25">
      <c r="A935" t="str">
        <f>IF(Scan2VK!H159&lt;&gt;"",Scan2VK!H159,"")</f>
        <v>RIGHT</v>
      </c>
      <c r="B935" t="str">
        <f>IF(ISERROR(MATCH(0,INDEX(COUNTIF($B$1:B934,$A$2:$A$4629),0,0),0)),"",INDEX($A$2:$A$4629,MATCH(0,INDEX(COUNTIF($B$1:B934,$A$2:$A$4629),0,0),0)))</f>
        <v/>
      </c>
      <c r="C935" t="str">
        <f t="shared" si="14"/>
        <v/>
      </c>
    </row>
    <row r="936" spans="1:3" x14ac:dyDescent="0.25">
      <c r="A936" t="str">
        <f>IF(Scan2VK!H160&lt;&gt;"",Scan2VK!H160,"")</f>
        <v>END</v>
      </c>
      <c r="B936" t="str">
        <f>IF(ISERROR(MATCH(0,INDEX(COUNTIF($B$1:B935,$A$2:$A$4629),0,0),0)),"",INDEX($A$2:$A$4629,MATCH(0,INDEX(COUNTIF($B$1:B935,$A$2:$A$4629),0,0),0)))</f>
        <v/>
      </c>
      <c r="C936" t="str">
        <f t="shared" si="14"/>
        <v/>
      </c>
    </row>
    <row r="937" spans="1:3" x14ac:dyDescent="0.25">
      <c r="A937" t="str">
        <f>IF(Scan2VK!H161&lt;&gt;"",Scan2VK!H161,"")</f>
        <v>DOWN</v>
      </c>
      <c r="B937" t="str">
        <f>IF(ISERROR(MATCH(0,INDEX(COUNTIF($B$1:B936,$A$2:$A$4629),0,0),0)),"",INDEX($A$2:$A$4629,MATCH(0,INDEX(COUNTIF($B$1:B936,$A$2:$A$4629),0,0),0)))</f>
        <v/>
      </c>
      <c r="C937" t="str">
        <f t="shared" si="14"/>
        <v/>
      </c>
    </row>
    <row r="938" spans="1:3" x14ac:dyDescent="0.25">
      <c r="A938" t="str">
        <f>IF(Scan2VK!H162&lt;&gt;"",Scan2VK!H162,"")</f>
        <v>_none_</v>
      </c>
      <c r="B938" t="str">
        <f>IF(ISERROR(MATCH(0,INDEX(COUNTIF($B$1:B937,$A$2:$A$4629),0,0),0)),"",INDEX($A$2:$A$4629,MATCH(0,INDEX(COUNTIF($B$1:B937,$A$2:$A$4629),0,0),0)))</f>
        <v/>
      </c>
      <c r="C938" t="str">
        <f t="shared" si="14"/>
        <v/>
      </c>
    </row>
    <row r="939" spans="1:3" x14ac:dyDescent="0.25">
      <c r="A939" t="str">
        <f>IF(Scan2VK!H163&lt;&gt;"",Scan2VK!H163,"")</f>
        <v>INSERT</v>
      </c>
      <c r="B939" t="str">
        <f>IF(ISERROR(MATCH(0,INDEX(COUNTIF($B$1:B938,$A$2:$A$4629),0,0),0)),"",INDEX($A$2:$A$4629,MATCH(0,INDEX(COUNTIF($B$1:B938,$A$2:$A$4629),0,0),0)))</f>
        <v/>
      </c>
      <c r="C939" t="str">
        <f t="shared" si="14"/>
        <v/>
      </c>
    </row>
    <row r="940" spans="1:3" x14ac:dyDescent="0.25">
      <c r="A940" t="str">
        <f>IF(Scan2VK!H164&lt;&gt;"",Scan2VK!H164,"")</f>
        <v>DELETE</v>
      </c>
      <c r="B940" t="str">
        <f>IF(ISERROR(MATCH(0,INDEX(COUNTIF($B$1:B939,$A$2:$A$4629),0,0),0)),"",INDEX($A$2:$A$4629,MATCH(0,INDEX(COUNTIF($B$1:B939,$A$2:$A$4629),0,0),0)))</f>
        <v/>
      </c>
      <c r="C940" t="str">
        <f t="shared" si="14"/>
        <v/>
      </c>
    </row>
    <row r="941" spans="1:3" x14ac:dyDescent="0.25">
      <c r="A941" t="str">
        <f>IF(Scan2VK!H165&lt;&gt;"",Scan2VK!H165,"")</f>
        <v>LWIN</v>
      </c>
      <c r="B941" t="str">
        <f>IF(ISERROR(MATCH(0,INDEX(COUNTIF($B$1:B940,$A$2:$A$4629),0,0),0)),"",INDEX($A$2:$A$4629,MATCH(0,INDEX(COUNTIF($B$1:B940,$A$2:$A$4629),0,0),0)))</f>
        <v/>
      </c>
      <c r="C941" t="str">
        <f t="shared" si="14"/>
        <v/>
      </c>
    </row>
    <row r="942" spans="1:3" x14ac:dyDescent="0.25">
      <c r="A942" t="str">
        <f>IF(Scan2VK!H166&lt;&gt;"",Scan2VK!H166,"")</f>
        <v>RWIN</v>
      </c>
      <c r="B942" t="str">
        <f>IF(ISERROR(MATCH(0,INDEX(COUNTIF($B$1:B941,$A$2:$A$4629),0,0),0)),"",INDEX($A$2:$A$4629,MATCH(0,INDEX(COUNTIF($B$1:B941,$A$2:$A$4629),0,0),0)))</f>
        <v/>
      </c>
      <c r="C942" t="str">
        <f t="shared" si="14"/>
        <v/>
      </c>
    </row>
    <row r="943" spans="1:3" x14ac:dyDescent="0.25">
      <c r="A943" t="str">
        <f>IF(Scan2VK!H167&lt;&gt;"",Scan2VK!H167,"")</f>
        <v>APPS</v>
      </c>
      <c r="B943" t="str">
        <f>IF(ISERROR(MATCH(0,INDEX(COUNTIF($B$1:B942,$A$2:$A$4629),0,0),0)),"",INDEX($A$2:$A$4629,MATCH(0,INDEX(COUNTIF($B$1:B942,$A$2:$A$4629),0,0),0)))</f>
        <v/>
      </c>
      <c r="C943" t="str">
        <f t="shared" si="14"/>
        <v/>
      </c>
    </row>
    <row r="944" spans="1:3" x14ac:dyDescent="0.25">
      <c r="A944" t="str">
        <f>IF(Scan2VK!H168&lt;&gt;"",Scan2VK!H168,"")</f>
        <v>POWER</v>
      </c>
      <c r="B944" t="str">
        <f>IF(ISERROR(MATCH(0,INDEX(COUNTIF($B$1:B943,$A$2:$A$4629),0,0),0)),"",INDEX($A$2:$A$4629,MATCH(0,INDEX(COUNTIF($B$1:B943,$A$2:$A$4629),0,0),0)))</f>
        <v/>
      </c>
      <c r="C944" t="str">
        <f t="shared" si="14"/>
        <v/>
      </c>
    </row>
    <row r="945" spans="1:3" x14ac:dyDescent="0.25">
      <c r="A945" t="str">
        <f>IF(Scan2VK!H169&lt;&gt;"",Scan2VK!H169,"")</f>
        <v>SLEEP</v>
      </c>
      <c r="B945" t="str">
        <f>IF(ISERROR(MATCH(0,INDEX(COUNTIF($B$1:B944,$A$2:$A$4629),0,0),0)),"",INDEX($A$2:$A$4629,MATCH(0,INDEX(COUNTIF($B$1:B944,$A$2:$A$4629),0,0),0)))</f>
        <v/>
      </c>
      <c r="C945" t="str">
        <f t="shared" si="14"/>
        <v/>
      </c>
    </row>
    <row r="946" spans="1:3" x14ac:dyDescent="0.25">
      <c r="A946" t="str">
        <f>IF(Scan2VK!H170&lt;&gt;"",Scan2VK!H170,"")</f>
        <v/>
      </c>
      <c r="B946" t="str">
        <f>IF(ISERROR(MATCH(0,INDEX(COUNTIF($B$1:B945,$A$2:$A$4629),0,0),0)),"",INDEX($A$2:$A$4629,MATCH(0,INDEX(COUNTIF($B$1:B945,$A$2:$A$4629),0,0),0)))</f>
        <v/>
      </c>
      <c r="C946" t="str">
        <f t="shared" si="14"/>
        <v/>
      </c>
    </row>
    <row r="947" spans="1:3" x14ac:dyDescent="0.25">
      <c r="A947" t="str">
        <f>IF(Scan2VK!H171&lt;&gt;"",Scan2VK!H171,"")</f>
        <v/>
      </c>
      <c r="B947" t="str">
        <f>IF(ISERROR(MATCH(0,INDEX(COUNTIF($B$1:B946,$A$2:$A$4629),0,0),0)),"",INDEX($A$2:$A$4629,MATCH(0,INDEX(COUNTIF($B$1:B946,$A$2:$A$4629),0,0),0)))</f>
        <v/>
      </c>
      <c r="C947" t="str">
        <f t="shared" si="14"/>
        <v/>
      </c>
    </row>
    <row r="948" spans="1:3" x14ac:dyDescent="0.25">
      <c r="A948" t="str">
        <f>IF(Scan2VK!H172&lt;&gt;"",Scan2VK!H172,"")</f>
        <v/>
      </c>
      <c r="B948" t="str">
        <f>IF(ISERROR(MATCH(0,INDEX(COUNTIF($B$1:B947,$A$2:$A$4629),0,0),0)),"",INDEX($A$2:$A$4629,MATCH(0,INDEX(COUNTIF($B$1:B947,$A$2:$A$4629),0,0),0)))</f>
        <v/>
      </c>
      <c r="C948" t="str">
        <f t="shared" si="14"/>
        <v/>
      </c>
    </row>
    <row r="949" spans="1:3" x14ac:dyDescent="0.25">
      <c r="A949" t="str">
        <f>IF(Scan2VK!H173&lt;&gt;"",Scan2VK!H173,"")</f>
        <v/>
      </c>
      <c r="B949" t="str">
        <f>IF(ISERROR(MATCH(0,INDEX(COUNTIF($B$1:B948,$A$2:$A$4629),0,0),0)),"",INDEX($A$2:$A$4629,MATCH(0,INDEX(COUNTIF($B$1:B948,$A$2:$A$4629),0,0),0)))</f>
        <v/>
      </c>
      <c r="C949" t="str">
        <f t="shared" si="14"/>
        <v/>
      </c>
    </row>
    <row r="950" spans="1:3" x14ac:dyDescent="0.25">
      <c r="A950" t="str">
        <f>IF(Scan2VK!H174&lt;&gt;"",Scan2VK!H174,"")</f>
        <v/>
      </c>
      <c r="B950" t="str">
        <f>IF(ISERROR(MATCH(0,INDEX(COUNTIF($B$1:B949,$A$2:$A$4629),0,0),0)),"",INDEX($A$2:$A$4629,MATCH(0,INDEX(COUNTIF($B$1:B949,$A$2:$A$4629),0,0),0)))</f>
        <v/>
      </c>
      <c r="C950" t="str">
        <f t="shared" si="14"/>
        <v/>
      </c>
    </row>
    <row r="951" spans="1:3" x14ac:dyDescent="0.25">
      <c r="A951" t="str">
        <f>IF(Scan2VK!H175&lt;&gt;"",Scan2VK!H175,"")</f>
        <v>BROWSER_SEARCH</v>
      </c>
      <c r="B951" t="str">
        <f>IF(ISERROR(MATCH(0,INDEX(COUNTIF($B$1:B950,$A$2:$A$4629),0,0),0)),"",INDEX($A$2:$A$4629,MATCH(0,INDEX(COUNTIF($B$1:B950,$A$2:$A$4629),0,0),0)))</f>
        <v/>
      </c>
      <c r="C951" t="str">
        <f t="shared" si="14"/>
        <v/>
      </c>
    </row>
    <row r="952" spans="1:3" x14ac:dyDescent="0.25">
      <c r="A952" t="str">
        <f>IF(Scan2VK!H176&lt;&gt;"",Scan2VK!H176,"")</f>
        <v>BROWSER_FAVORITES</v>
      </c>
      <c r="B952" t="str">
        <f>IF(ISERROR(MATCH(0,INDEX(COUNTIF($B$1:B951,$A$2:$A$4629),0,0),0)),"",INDEX($A$2:$A$4629,MATCH(0,INDEX(COUNTIF($B$1:B951,$A$2:$A$4629),0,0),0)))</f>
        <v/>
      </c>
      <c r="C952" t="str">
        <f t="shared" si="14"/>
        <v/>
      </c>
    </row>
    <row r="953" spans="1:3" x14ac:dyDescent="0.25">
      <c r="A953" t="str">
        <f>IF(Scan2VK!H177&lt;&gt;"",Scan2VK!H177,"")</f>
        <v>BROWSER_REFRESH</v>
      </c>
      <c r="B953" t="str">
        <f>IF(ISERROR(MATCH(0,INDEX(COUNTIF($B$1:B952,$A$2:$A$4629),0,0),0)),"",INDEX($A$2:$A$4629,MATCH(0,INDEX(COUNTIF($B$1:B952,$A$2:$A$4629),0,0),0)))</f>
        <v/>
      </c>
      <c r="C953" t="str">
        <f t="shared" si="14"/>
        <v/>
      </c>
    </row>
    <row r="954" spans="1:3" x14ac:dyDescent="0.25">
      <c r="A954" t="str">
        <f>IF(Scan2VK!H178&lt;&gt;"",Scan2VK!H178,"")</f>
        <v>BROWSER_STOP</v>
      </c>
      <c r="B954" t="str">
        <f>IF(ISERROR(MATCH(0,INDEX(COUNTIF($B$1:B953,$A$2:$A$4629),0,0),0)),"",INDEX($A$2:$A$4629,MATCH(0,INDEX(COUNTIF($B$1:B953,$A$2:$A$4629),0,0),0)))</f>
        <v/>
      </c>
      <c r="C954" t="str">
        <f t="shared" si="14"/>
        <v/>
      </c>
    </row>
    <row r="955" spans="1:3" x14ac:dyDescent="0.25">
      <c r="A955" t="str">
        <f>IF(Scan2VK!H179&lt;&gt;"",Scan2VK!H179,"")</f>
        <v>BROWSER_FORWARD</v>
      </c>
      <c r="B955" t="str">
        <f>IF(ISERROR(MATCH(0,INDEX(COUNTIF($B$1:B954,$A$2:$A$4629),0,0),0)),"",INDEX($A$2:$A$4629,MATCH(0,INDEX(COUNTIF($B$1:B954,$A$2:$A$4629),0,0),0)))</f>
        <v/>
      </c>
      <c r="C955" t="str">
        <f t="shared" si="14"/>
        <v/>
      </c>
    </row>
    <row r="956" spans="1:3" x14ac:dyDescent="0.25">
      <c r="A956" t="str">
        <f>IF(Scan2VK!H180&lt;&gt;"",Scan2VK!H180,"")</f>
        <v>BROWSER_BACK</v>
      </c>
      <c r="B956" t="str">
        <f>IF(ISERROR(MATCH(0,INDEX(COUNTIF($B$1:B955,$A$2:$A$4629),0,0),0)),"",INDEX($A$2:$A$4629,MATCH(0,INDEX(COUNTIF($B$1:B955,$A$2:$A$4629),0,0),0)))</f>
        <v/>
      </c>
      <c r="C956" t="str">
        <f t="shared" si="14"/>
        <v/>
      </c>
    </row>
    <row r="957" spans="1:3" x14ac:dyDescent="0.25">
      <c r="A957" t="str">
        <f>IF(Scan2VK!H181&lt;&gt;"",Scan2VK!H181,"")</f>
        <v>LAUNCH_APP1</v>
      </c>
      <c r="B957" t="str">
        <f>IF(ISERROR(MATCH(0,INDEX(COUNTIF($B$1:B956,$A$2:$A$4629),0,0),0)),"",INDEX($A$2:$A$4629,MATCH(0,INDEX(COUNTIF($B$1:B956,$A$2:$A$4629),0,0),0)))</f>
        <v/>
      </c>
      <c r="C957" t="str">
        <f t="shared" si="14"/>
        <v/>
      </c>
    </row>
    <row r="958" spans="1:3" x14ac:dyDescent="0.25">
      <c r="A958" t="str">
        <f>IF(Scan2VK!H182&lt;&gt;"",Scan2VK!H182,"")</f>
        <v>LAUNCH_MAIL</v>
      </c>
      <c r="B958" t="str">
        <f>IF(ISERROR(MATCH(0,INDEX(COUNTIF($B$1:B957,$A$2:$A$4629),0,0),0)),"",INDEX($A$2:$A$4629,MATCH(0,INDEX(COUNTIF($B$1:B957,$A$2:$A$4629),0,0),0)))</f>
        <v/>
      </c>
      <c r="C958" t="str">
        <f t="shared" si="14"/>
        <v/>
      </c>
    </row>
    <row r="959" spans="1:3" x14ac:dyDescent="0.25">
      <c r="A959" t="str">
        <f>IF(Scan2VK!H183&lt;&gt;"",Scan2VK!H183,"")</f>
        <v>LAUNCH_MEDIA_SELECT</v>
      </c>
      <c r="B959" t="str">
        <f>IF(ISERROR(MATCH(0,INDEX(COUNTIF($B$1:B958,$A$2:$A$4629),0,0),0)),"",INDEX($A$2:$A$4629,MATCH(0,INDEX(COUNTIF($B$1:B958,$A$2:$A$4629),0,0),0)))</f>
        <v/>
      </c>
      <c r="C959" t="str">
        <f t="shared" si="14"/>
        <v/>
      </c>
    </row>
    <row r="960" spans="1:3" x14ac:dyDescent="0.25">
      <c r="A960" t="str">
        <f>IF(Scan2VK!H184&lt;&gt;"",Scan2VK!H184,"")</f>
        <v/>
      </c>
      <c r="B960" t="str">
        <f>IF(ISERROR(MATCH(0,INDEX(COUNTIF($B$1:B959,$A$2:$A$4629),0,0),0)),"",INDEX($A$2:$A$4629,MATCH(0,INDEX(COUNTIF($B$1:B959,$A$2:$A$4629),0,0),0)))</f>
        <v/>
      </c>
      <c r="C960" t="str">
        <f t="shared" si="14"/>
        <v/>
      </c>
    </row>
    <row r="961" spans="1:3" x14ac:dyDescent="0.25">
      <c r="A961" t="str">
        <f>IF(Scan2VK!H185&lt;&gt;"",Scan2VK!H185,"")</f>
        <v/>
      </c>
      <c r="B961" t="str">
        <f>IF(ISERROR(MATCH(0,INDEX(COUNTIF($B$1:B960,$A$2:$A$4629),0,0),0)),"",INDEX($A$2:$A$4629,MATCH(0,INDEX(COUNTIF($B$1:B960,$A$2:$A$4629),0,0),0)))</f>
        <v/>
      </c>
      <c r="C961" t="str">
        <f t="shared" si="14"/>
        <v/>
      </c>
    </row>
    <row r="962" spans="1:3" x14ac:dyDescent="0.25">
      <c r="A962" t="str">
        <f>IF(Scan2VK!H186&lt;&gt;"",Scan2VK!H186,"")</f>
        <v/>
      </c>
      <c r="B962" t="str">
        <f>IF(ISERROR(MATCH(0,INDEX(COUNTIF($B$1:B961,$A$2:$A$4629),0,0),0)),"",INDEX($A$2:$A$4629,MATCH(0,INDEX(COUNTIF($B$1:B961,$A$2:$A$4629),0,0),0)))</f>
        <v/>
      </c>
      <c r="C962" t="str">
        <f t="shared" si="14"/>
        <v/>
      </c>
    </row>
    <row r="963" spans="1:3" x14ac:dyDescent="0.25">
      <c r="A963" t="str">
        <f>IF(Scan2VK!H187&lt;&gt;"",Scan2VK!H187,"")</f>
        <v/>
      </c>
      <c r="B963" t="str">
        <f>IF(ISERROR(MATCH(0,INDEX(COUNTIF($B$1:B962,$A$2:$A$4629),0,0),0)),"",INDEX($A$2:$A$4629,MATCH(0,INDEX(COUNTIF($B$1:B962,$A$2:$A$4629),0,0),0)))</f>
        <v/>
      </c>
      <c r="C963" t="str">
        <f t="shared" ref="C963:C1026" si="15">IF(B963&lt;&gt;"","&lt;xs:enumeration value="""&amp;B963&amp;"""/&gt;","")</f>
        <v/>
      </c>
    </row>
    <row r="964" spans="1:3" x14ac:dyDescent="0.25">
      <c r="A964" t="str">
        <f>IF(Scan2VK!H188&lt;&gt;"",Scan2VK!H188,"")</f>
        <v/>
      </c>
      <c r="B964" t="str">
        <f>IF(ISERROR(MATCH(0,INDEX(COUNTIF($B$1:B963,$A$2:$A$4629),0,0),0)),"",INDEX($A$2:$A$4629,MATCH(0,INDEX(COUNTIF($B$1:B963,$A$2:$A$4629),0,0),0)))</f>
        <v/>
      </c>
      <c r="C964" t="str">
        <f t="shared" si="15"/>
        <v/>
      </c>
    </row>
    <row r="965" spans="1:3" x14ac:dyDescent="0.25">
      <c r="A965" t="str">
        <f>IF(Scan2VK!H189&lt;&gt;"",Scan2VK!H189,"")</f>
        <v/>
      </c>
      <c r="B965" t="str">
        <f>IF(ISERROR(MATCH(0,INDEX(COUNTIF($B$1:B964,$A$2:$A$4629),0,0),0)),"",INDEX($A$2:$A$4629,MATCH(0,INDEX(COUNTIF($B$1:B964,$A$2:$A$4629),0,0),0)))</f>
        <v/>
      </c>
      <c r="C965" t="str">
        <f t="shared" si="15"/>
        <v/>
      </c>
    </row>
    <row r="966" spans="1:3" x14ac:dyDescent="0.25">
      <c r="A966" t="str">
        <f>IF(Scan2VK!H190&lt;&gt;"",Scan2VK!H190,"")</f>
        <v/>
      </c>
      <c r="B966" t="str">
        <f>IF(ISERROR(MATCH(0,INDEX(COUNTIF($B$1:B965,$A$2:$A$4629),0,0),0)),"",INDEX($A$2:$A$4629,MATCH(0,INDEX(COUNTIF($B$1:B965,$A$2:$A$4629),0,0),0)))</f>
        <v/>
      </c>
      <c r="C966" t="str">
        <f t="shared" si="15"/>
        <v/>
      </c>
    </row>
    <row r="967" spans="1:3" x14ac:dyDescent="0.25">
      <c r="A967" t="str">
        <f>IF(Scan2VK!H191&lt;&gt;"",Scan2VK!H191,"")</f>
        <v/>
      </c>
      <c r="B967" t="str">
        <f>IF(ISERROR(MATCH(0,INDEX(COUNTIF($B$1:B966,$A$2:$A$4629),0,0),0)),"",INDEX($A$2:$A$4629,MATCH(0,INDEX(COUNTIF($B$1:B966,$A$2:$A$4629),0,0),0)))</f>
        <v/>
      </c>
      <c r="C967" t="str">
        <f t="shared" si="15"/>
        <v/>
      </c>
    </row>
    <row r="968" spans="1:3" x14ac:dyDescent="0.25">
      <c r="A968" t="str">
        <f>IF(Scan2VK!H192&lt;&gt;"",Scan2VK!H192,"")</f>
        <v/>
      </c>
      <c r="B968" t="str">
        <f>IF(ISERROR(MATCH(0,INDEX(COUNTIF($B$1:B967,$A$2:$A$4629),0,0),0)),"",INDEX($A$2:$A$4629,MATCH(0,INDEX(COUNTIF($B$1:B967,$A$2:$A$4629),0,0),0)))</f>
        <v/>
      </c>
      <c r="C968" t="str">
        <f t="shared" si="15"/>
        <v/>
      </c>
    </row>
    <row r="969" spans="1:3" x14ac:dyDescent="0.25">
      <c r="A969" t="str">
        <f>IF(Scan2VK!H193&lt;&gt;"",Scan2VK!H193,"")</f>
        <v/>
      </c>
      <c r="B969" t="str">
        <f>IF(ISERROR(MATCH(0,INDEX(COUNTIF($B$1:B968,$A$2:$A$4629),0,0),0)),"",INDEX($A$2:$A$4629,MATCH(0,INDEX(COUNTIF($B$1:B968,$A$2:$A$4629),0,0),0)))</f>
        <v/>
      </c>
      <c r="C969" t="str">
        <f t="shared" si="15"/>
        <v/>
      </c>
    </row>
    <row r="970" spans="1:3" x14ac:dyDescent="0.25">
      <c r="A970" t="str">
        <f>IF(Scan2VK!H194&lt;&gt;"",Scan2VK!H194,"")</f>
        <v/>
      </c>
      <c r="B970" t="str">
        <f>IF(ISERROR(MATCH(0,INDEX(COUNTIF($B$1:B969,$A$2:$A$4629),0,0),0)),"",INDEX($A$2:$A$4629,MATCH(0,INDEX(COUNTIF($B$1:B969,$A$2:$A$4629),0,0),0)))</f>
        <v/>
      </c>
      <c r="C970" t="str">
        <f t="shared" si="15"/>
        <v/>
      </c>
    </row>
    <row r="971" spans="1:3" x14ac:dyDescent="0.25">
      <c r="A971" t="str">
        <f>IF(Scan2VK!H195&lt;&gt;"",Scan2VK!H195,"")</f>
        <v>PAUSE</v>
      </c>
      <c r="B971" t="str">
        <f>IF(ISERROR(MATCH(0,INDEX(COUNTIF($B$1:B970,$A$2:$A$4629),0,0),0)),"",INDEX($A$2:$A$4629,MATCH(0,INDEX(COUNTIF($B$1:B970,$A$2:$A$4629),0,0),0)))</f>
        <v/>
      </c>
      <c r="C971" t="str">
        <f t="shared" si="15"/>
        <v/>
      </c>
    </row>
    <row r="972" spans="1:3" x14ac:dyDescent="0.25">
      <c r="A972" t="str">
        <f>IF(Scan2VK!I2&lt;&gt;"",Scan2VK!I2,"")</f>
        <v>_none_</v>
      </c>
      <c r="B972" t="str">
        <f>IF(ISERROR(MATCH(0,INDEX(COUNTIF($B$1:B971,$A$2:$A$4629),0,0),0)),"",INDEX($A$2:$A$4629,MATCH(0,INDEX(COUNTIF($B$1:B971,$A$2:$A$4629),0,0),0)))</f>
        <v/>
      </c>
      <c r="C972" t="str">
        <f t="shared" si="15"/>
        <v/>
      </c>
    </row>
    <row r="973" spans="1:3" x14ac:dyDescent="0.25">
      <c r="A973" t="str">
        <f>IF(Scan2VK!I3&lt;&gt;"",Scan2VK!I3,"")</f>
        <v>ESCAPE</v>
      </c>
      <c r="B973" t="str">
        <f>IF(ISERROR(MATCH(0,INDEX(COUNTIF($B$1:B972,$A$2:$A$4629),0,0),0)),"",INDEX($A$2:$A$4629,MATCH(0,INDEX(COUNTIF($B$1:B972,$A$2:$A$4629),0,0),0)))</f>
        <v/>
      </c>
      <c r="C973" t="str">
        <f t="shared" si="15"/>
        <v/>
      </c>
    </row>
    <row r="974" spans="1:3" x14ac:dyDescent="0.25">
      <c r="A974" t="str">
        <f>IF(Scan2VK!I4&lt;&gt;"",Scan2VK!I4,"")</f>
        <v>'1'</v>
      </c>
      <c r="B974" t="str">
        <f>IF(ISERROR(MATCH(0,INDEX(COUNTIF($B$1:B973,$A$2:$A$4629),0,0),0)),"",INDEX($A$2:$A$4629,MATCH(0,INDEX(COUNTIF($B$1:B973,$A$2:$A$4629),0,0),0)))</f>
        <v/>
      </c>
      <c r="C974" t="str">
        <f t="shared" si="15"/>
        <v/>
      </c>
    </row>
    <row r="975" spans="1:3" x14ac:dyDescent="0.25">
      <c r="A975" t="str">
        <f>IF(Scan2VK!I5&lt;&gt;"",Scan2VK!I5,"")</f>
        <v>'2'</v>
      </c>
      <c r="B975" t="str">
        <f>IF(ISERROR(MATCH(0,INDEX(COUNTIF($B$1:B974,$A$2:$A$4629),0,0),0)),"",INDEX($A$2:$A$4629,MATCH(0,INDEX(COUNTIF($B$1:B974,$A$2:$A$4629),0,0),0)))</f>
        <v/>
      </c>
      <c r="C975" t="str">
        <f t="shared" si="15"/>
        <v/>
      </c>
    </row>
    <row r="976" spans="1:3" x14ac:dyDescent="0.25">
      <c r="A976" t="str">
        <f>IF(Scan2VK!I6&lt;&gt;"",Scan2VK!I6,"")</f>
        <v>'3'</v>
      </c>
      <c r="B976" t="str">
        <f>IF(ISERROR(MATCH(0,INDEX(COUNTIF($B$1:B975,$A$2:$A$4629),0,0),0)),"",INDEX($A$2:$A$4629,MATCH(0,INDEX(COUNTIF($B$1:B975,$A$2:$A$4629),0,0),0)))</f>
        <v/>
      </c>
      <c r="C976" t="str">
        <f t="shared" si="15"/>
        <v/>
      </c>
    </row>
    <row r="977" spans="1:3" x14ac:dyDescent="0.25">
      <c r="A977" t="str">
        <f>IF(Scan2VK!I7&lt;&gt;"",Scan2VK!I7,"")</f>
        <v>'4'</v>
      </c>
      <c r="B977" t="str">
        <f>IF(ISERROR(MATCH(0,INDEX(COUNTIF($B$1:B976,$A$2:$A$4629),0,0),0)),"",INDEX($A$2:$A$4629,MATCH(0,INDEX(COUNTIF($B$1:B976,$A$2:$A$4629),0,0),0)))</f>
        <v/>
      </c>
      <c r="C977" t="str">
        <f t="shared" si="15"/>
        <v/>
      </c>
    </row>
    <row r="978" spans="1:3" x14ac:dyDescent="0.25">
      <c r="A978" t="str">
        <f>IF(Scan2VK!I8&lt;&gt;"",Scan2VK!I8,"")</f>
        <v>'5'</v>
      </c>
      <c r="B978" t="str">
        <f>IF(ISERROR(MATCH(0,INDEX(COUNTIF($B$1:B977,$A$2:$A$4629),0,0),0)),"",INDEX($A$2:$A$4629,MATCH(0,INDEX(COUNTIF($B$1:B977,$A$2:$A$4629),0,0),0)))</f>
        <v/>
      </c>
      <c r="C978" t="str">
        <f t="shared" si="15"/>
        <v/>
      </c>
    </row>
    <row r="979" spans="1:3" x14ac:dyDescent="0.25">
      <c r="A979" t="str">
        <f>IF(Scan2VK!I9&lt;&gt;"",Scan2VK!I9,"")</f>
        <v>'6'</v>
      </c>
      <c r="B979" t="str">
        <f>IF(ISERROR(MATCH(0,INDEX(COUNTIF($B$1:B978,$A$2:$A$4629),0,0),0)),"",INDEX($A$2:$A$4629,MATCH(0,INDEX(COUNTIF($B$1:B978,$A$2:$A$4629),0,0),0)))</f>
        <v/>
      </c>
      <c r="C979" t="str">
        <f t="shared" si="15"/>
        <v/>
      </c>
    </row>
    <row r="980" spans="1:3" x14ac:dyDescent="0.25">
      <c r="A980" t="str">
        <f>IF(Scan2VK!I10&lt;&gt;"",Scan2VK!I10,"")</f>
        <v>'7'</v>
      </c>
      <c r="B980" t="str">
        <f>IF(ISERROR(MATCH(0,INDEX(COUNTIF($B$1:B979,$A$2:$A$4629),0,0),0)),"",INDEX($A$2:$A$4629,MATCH(0,INDEX(COUNTIF($B$1:B979,$A$2:$A$4629),0,0),0)))</f>
        <v/>
      </c>
      <c r="C980" t="str">
        <f t="shared" si="15"/>
        <v/>
      </c>
    </row>
    <row r="981" spans="1:3" x14ac:dyDescent="0.25">
      <c r="A981" t="str">
        <f>IF(Scan2VK!I11&lt;&gt;"",Scan2VK!I11,"")</f>
        <v>'8'</v>
      </c>
      <c r="B981" t="str">
        <f>IF(ISERROR(MATCH(0,INDEX(COUNTIF($B$1:B980,$A$2:$A$4629),0,0),0)),"",INDEX($A$2:$A$4629,MATCH(0,INDEX(COUNTIF($B$1:B980,$A$2:$A$4629),0,0),0)))</f>
        <v/>
      </c>
      <c r="C981" t="str">
        <f t="shared" si="15"/>
        <v/>
      </c>
    </row>
    <row r="982" spans="1:3" x14ac:dyDescent="0.25">
      <c r="A982" t="str">
        <f>IF(Scan2VK!I12&lt;&gt;"",Scan2VK!I12,"")</f>
        <v>'9'</v>
      </c>
      <c r="B982" t="str">
        <f>IF(ISERROR(MATCH(0,INDEX(COUNTIF($B$1:B981,$A$2:$A$4629),0,0),0)),"",INDEX($A$2:$A$4629,MATCH(0,INDEX(COUNTIF($B$1:B981,$A$2:$A$4629),0,0),0)))</f>
        <v/>
      </c>
      <c r="C982" t="str">
        <f t="shared" si="15"/>
        <v/>
      </c>
    </row>
    <row r="983" spans="1:3" x14ac:dyDescent="0.25">
      <c r="A983" t="str">
        <f>IF(Scan2VK!I13&lt;&gt;"",Scan2VK!I13,"")</f>
        <v>'0'</v>
      </c>
      <c r="B983" t="str">
        <f>IF(ISERROR(MATCH(0,INDEX(COUNTIF($B$1:B982,$A$2:$A$4629),0,0),0)),"",INDEX($A$2:$A$4629,MATCH(0,INDEX(COUNTIF($B$1:B982,$A$2:$A$4629),0,0),0)))</f>
        <v/>
      </c>
      <c r="C983" t="str">
        <f t="shared" si="15"/>
        <v/>
      </c>
    </row>
    <row r="984" spans="1:3" x14ac:dyDescent="0.25">
      <c r="A984" t="str">
        <f>IF(Scan2VK!I14&lt;&gt;"",Scan2VK!I14,"")</f>
        <v>OEM_MINUS</v>
      </c>
      <c r="B984" t="str">
        <f>IF(ISERROR(MATCH(0,INDEX(COUNTIF($B$1:B983,$A$2:$A$4629),0,0),0)),"",INDEX($A$2:$A$4629,MATCH(0,INDEX(COUNTIF($B$1:B983,$A$2:$A$4629),0,0),0)))</f>
        <v/>
      </c>
      <c r="C984" t="str">
        <f t="shared" si="15"/>
        <v/>
      </c>
    </row>
    <row r="985" spans="1:3" x14ac:dyDescent="0.25">
      <c r="A985" t="str">
        <f>IF(Scan2VK!I15&lt;&gt;"",Scan2VK!I15,"")</f>
        <v>OEM_PLUS</v>
      </c>
      <c r="B985" t="str">
        <f>IF(ISERROR(MATCH(0,INDEX(COUNTIF($B$1:B984,$A$2:$A$4629),0,0),0)),"",INDEX($A$2:$A$4629,MATCH(0,INDEX(COUNTIF($B$1:B984,$A$2:$A$4629),0,0),0)))</f>
        <v/>
      </c>
      <c r="C985" t="str">
        <f t="shared" si="15"/>
        <v/>
      </c>
    </row>
    <row r="986" spans="1:3" x14ac:dyDescent="0.25">
      <c r="A986" t="str">
        <f>IF(Scan2VK!I16&lt;&gt;"",Scan2VK!I16,"")</f>
        <v>BACK</v>
      </c>
      <c r="B986" t="str">
        <f>IF(ISERROR(MATCH(0,INDEX(COUNTIF($B$1:B985,$A$2:$A$4629),0,0),0)),"",INDEX($A$2:$A$4629,MATCH(0,INDEX(COUNTIF($B$1:B985,$A$2:$A$4629),0,0),0)))</f>
        <v/>
      </c>
      <c r="C986" t="str">
        <f t="shared" si="15"/>
        <v/>
      </c>
    </row>
    <row r="987" spans="1:3" x14ac:dyDescent="0.25">
      <c r="A987" t="str">
        <f>IF(Scan2VK!I17&lt;&gt;"",Scan2VK!I17,"")</f>
        <v>TAB</v>
      </c>
      <c r="B987" t="str">
        <f>IF(ISERROR(MATCH(0,INDEX(COUNTIF($B$1:B986,$A$2:$A$4629),0,0),0)),"",INDEX($A$2:$A$4629,MATCH(0,INDEX(COUNTIF($B$1:B986,$A$2:$A$4629),0,0),0)))</f>
        <v/>
      </c>
      <c r="C987" t="str">
        <f t="shared" si="15"/>
        <v/>
      </c>
    </row>
    <row r="988" spans="1:3" x14ac:dyDescent="0.25">
      <c r="A988" t="str">
        <f>IF(Scan2VK!I18&lt;&gt;"",Scan2VK!I18,"")</f>
        <v>'Q'</v>
      </c>
      <c r="B988" t="str">
        <f>IF(ISERROR(MATCH(0,INDEX(COUNTIF($B$1:B987,$A$2:$A$4629),0,0),0)),"",INDEX($A$2:$A$4629,MATCH(0,INDEX(COUNTIF($B$1:B987,$A$2:$A$4629),0,0),0)))</f>
        <v/>
      </c>
      <c r="C988" t="str">
        <f t="shared" si="15"/>
        <v/>
      </c>
    </row>
    <row r="989" spans="1:3" x14ac:dyDescent="0.25">
      <c r="A989" t="str">
        <f>IF(Scan2VK!I19&lt;&gt;"",Scan2VK!I19,"")</f>
        <v>'W'</v>
      </c>
      <c r="B989" t="str">
        <f>IF(ISERROR(MATCH(0,INDEX(COUNTIF($B$1:B988,$A$2:$A$4629),0,0),0)),"",INDEX($A$2:$A$4629,MATCH(0,INDEX(COUNTIF($B$1:B988,$A$2:$A$4629),0,0),0)))</f>
        <v/>
      </c>
      <c r="C989" t="str">
        <f t="shared" si="15"/>
        <v/>
      </c>
    </row>
    <row r="990" spans="1:3" x14ac:dyDescent="0.25">
      <c r="A990" t="str">
        <f>IF(Scan2VK!I20&lt;&gt;"",Scan2VK!I20,"")</f>
        <v>'E'</v>
      </c>
      <c r="B990" t="str">
        <f>IF(ISERROR(MATCH(0,INDEX(COUNTIF($B$1:B989,$A$2:$A$4629),0,0),0)),"",INDEX($A$2:$A$4629,MATCH(0,INDEX(COUNTIF($B$1:B989,$A$2:$A$4629),0,0),0)))</f>
        <v/>
      </c>
      <c r="C990" t="str">
        <f t="shared" si="15"/>
        <v/>
      </c>
    </row>
    <row r="991" spans="1:3" x14ac:dyDescent="0.25">
      <c r="A991" t="str">
        <f>IF(Scan2VK!I21&lt;&gt;"",Scan2VK!I21,"")</f>
        <v>'R'</v>
      </c>
      <c r="B991" t="str">
        <f>IF(ISERROR(MATCH(0,INDEX(COUNTIF($B$1:B990,$A$2:$A$4629),0,0),0)),"",INDEX($A$2:$A$4629,MATCH(0,INDEX(COUNTIF($B$1:B990,$A$2:$A$4629),0,0),0)))</f>
        <v/>
      </c>
      <c r="C991" t="str">
        <f t="shared" si="15"/>
        <v/>
      </c>
    </row>
    <row r="992" spans="1:3" x14ac:dyDescent="0.25">
      <c r="A992" t="str">
        <f>IF(Scan2VK!I22&lt;&gt;"",Scan2VK!I22,"")</f>
        <v>'T'</v>
      </c>
      <c r="B992" t="str">
        <f>IF(ISERROR(MATCH(0,INDEX(COUNTIF($B$1:B991,$A$2:$A$4629),0,0),0)),"",INDEX($A$2:$A$4629,MATCH(0,INDEX(COUNTIF($B$1:B991,$A$2:$A$4629),0,0),0)))</f>
        <v/>
      </c>
      <c r="C992" t="str">
        <f t="shared" si="15"/>
        <v/>
      </c>
    </row>
    <row r="993" spans="1:3" x14ac:dyDescent="0.25">
      <c r="A993" t="str">
        <f>IF(Scan2VK!I23&lt;&gt;"",Scan2VK!I23,"")</f>
        <v>'Y'</v>
      </c>
      <c r="B993" t="str">
        <f>IF(ISERROR(MATCH(0,INDEX(COUNTIF($B$1:B992,$A$2:$A$4629),0,0),0)),"",INDEX($A$2:$A$4629,MATCH(0,INDEX(COUNTIF($B$1:B992,$A$2:$A$4629),0,0),0)))</f>
        <v/>
      </c>
      <c r="C993" t="str">
        <f t="shared" si="15"/>
        <v/>
      </c>
    </row>
    <row r="994" spans="1:3" x14ac:dyDescent="0.25">
      <c r="A994" t="str">
        <f>IF(Scan2VK!I24&lt;&gt;"",Scan2VK!I24,"")</f>
        <v>'U'</v>
      </c>
      <c r="B994" t="str">
        <f>IF(ISERROR(MATCH(0,INDEX(COUNTIF($B$1:B993,$A$2:$A$4629),0,0),0)),"",INDEX($A$2:$A$4629,MATCH(0,INDEX(COUNTIF($B$1:B993,$A$2:$A$4629),0,0),0)))</f>
        <v/>
      </c>
      <c r="C994" t="str">
        <f t="shared" si="15"/>
        <v/>
      </c>
    </row>
    <row r="995" spans="1:3" x14ac:dyDescent="0.25">
      <c r="A995" t="str">
        <f>IF(Scan2VK!I25&lt;&gt;"",Scan2VK!I25,"")</f>
        <v>'I'</v>
      </c>
      <c r="B995" t="str">
        <f>IF(ISERROR(MATCH(0,INDEX(COUNTIF($B$1:B994,$A$2:$A$4629),0,0),0)),"",INDEX($A$2:$A$4629,MATCH(0,INDEX(COUNTIF($B$1:B994,$A$2:$A$4629),0,0),0)))</f>
        <v/>
      </c>
      <c r="C995" t="str">
        <f t="shared" si="15"/>
        <v/>
      </c>
    </row>
    <row r="996" spans="1:3" x14ac:dyDescent="0.25">
      <c r="A996" t="str">
        <f>IF(Scan2VK!I26&lt;&gt;"",Scan2VK!I26,"")</f>
        <v>'O'</v>
      </c>
      <c r="B996" t="str">
        <f>IF(ISERROR(MATCH(0,INDEX(COUNTIF($B$1:B995,$A$2:$A$4629),0,0),0)),"",INDEX($A$2:$A$4629,MATCH(0,INDEX(COUNTIF($B$1:B995,$A$2:$A$4629),0,0),0)))</f>
        <v/>
      </c>
      <c r="C996" t="str">
        <f t="shared" si="15"/>
        <v/>
      </c>
    </row>
    <row r="997" spans="1:3" x14ac:dyDescent="0.25">
      <c r="A997" t="str">
        <f>IF(Scan2VK!I27&lt;&gt;"",Scan2VK!I27,"")</f>
        <v>'P'</v>
      </c>
      <c r="B997" t="str">
        <f>IF(ISERROR(MATCH(0,INDEX(COUNTIF($B$1:B996,$A$2:$A$4629),0,0),0)),"",INDEX($A$2:$A$4629,MATCH(0,INDEX(COUNTIF($B$1:B996,$A$2:$A$4629),0,0),0)))</f>
        <v/>
      </c>
      <c r="C997" t="str">
        <f t="shared" si="15"/>
        <v/>
      </c>
    </row>
    <row r="998" spans="1:3" x14ac:dyDescent="0.25">
      <c r="A998" t="str">
        <f>IF(Scan2VK!I28&lt;&gt;"",Scan2VK!I28,"")</f>
        <v>OEM_4</v>
      </c>
      <c r="B998" t="str">
        <f>IF(ISERROR(MATCH(0,INDEX(COUNTIF($B$1:B997,$A$2:$A$4629),0,0),0)),"",INDEX($A$2:$A$4629,MATCH(0,INDEX(COUNTIF($B$1:B997,$A$2:$A$4629),0,0),0)))</f>
        <v/>
      </c>
      <c r="C998" t="str">
        <f t="shared" si="15"/>
        <v/>
      </c>
    </row>
    <row r="999" spans="1:3" x14ac:dyDescent="0.25">
      <c r="A999" t="str">
        <f>IF(Scan2VK!I29&lt;&gt;"",Scan2VK!I29,"")</f>
        <v>OEM_6</v>
      </c>
      <c r="B999" t="str">
        <f>IF(ISERROR(MATCH(0,INDEX(COUNTIF($B$1:B998,$A$2:$A$4629),0,0),0)),"",INDEX($A$2:$A$4629,MATCH(0,INDEX(COUNTIF($B$1:B998,$A$2:$A$4629),0,0),0)))</f>
        <v/>
      </c>
      <c r="C999" t="str">
        <f t="shared" si="15"/>
        <v/>
      </c>
    </row>
    <row r="1000" spans="1:3" x14ac:dyDescent="0.25">
      <c r="A1000" t="str">
        <f>IF(Scan2VK!I30&lt;&gt;"",Scan2VK!I30,"")</f>
        <v>RETURN</v>
      </c>
      <c r="B1000" t="str">
        <f>IF(ISERROR(MATCH(0,INDEX(COUNTIF($B$1:B999,$A$2:$A$4629),0,0),0)),"",INDEX($A$2:$A$4629,MATCH(0,INDEX(COUNTIF($B$1:B999,$A$2:$A$4629),0,0),0)))</f>
        <v/>
      </c>
      <c r="C1000" t="str">
        <f t="shared" si="15"/>
        <v/>
      </c>
    </row>
    <row r="1001" spans="1:3" x14ac:dyDescent="0.25">
      <c r="A1001" t="str">
        <f>IF(Scan2VK!I31&lt;&gt;"",Scan2VK!I31,"")</f>
        <v>LCONTROL</v>
      </c>
      <c r="B1001" t="str">
        <f>IF(ISERROR(MATCH(0,INDEX(COUNTIF($B$1:B1000,$A$2:$A$4629),0,0),0)),"",INDEX($A$2:$A$4629,MATCH(0,INDEX(COUNTIF($B$1:B1000,$A$2:$A$4629),0,0),0)))</f>
        <v/>
      </c>
      <c r="C1001" t="str">
        <f t="shared" si="15"/>
        <v/>
      </c>
    </row>
    <row r="1002" spans="1:3" x14ac:dyDescent="0.25">
      <c r="A1002" t="str">
        <f>IF(Scan2VK!I32&lt;&gt;"",Scan2VK!I32,"")</f>
        <v>'A'</v>
      </c>
      <c r="B1002" t="str">
        <f>IF(ISERROR(MATCH(0,INDEX(COUNTIF($B$1:B1001,$A$2:$A$4629),0,0),0)),"",INDEX($A$2:$A$4629,MATCH(0,INDEX(COUNTIF($B$1:B1001,$A$2:$A$4629),0,0),0)))</f>
        <v/>
      </c>
      <c r="C1002" t="str">
        <f t="shared" si="15"/>
        <v/>
      </c>
    </row>
    <row r="1003" spans="1:3" x14ac:dyDescent="0.25">
      <c r="A1003" t="str">
        <f>IF(Scan2VK!I33&lt;&gt;"",Scan2VK!I33,"")</f>
        <v>'S'</v>
      </c>
      <c r="B1003" t="str">
        <f>IF(ISERROR(MATCH(0,INDEX(COUNTIF($B$1:B1002,$A$2:$A$4629),0,0),0)),"",INDEX($A$2:$A$4629,MATCH(0,INDEX(COUNTIF($B$1:B1002,$A$2:$A$4629),0,0),0)))</f>
        <v/>
      </c>
      <c r="C1003" t="str">
        <f t="shared" si="15"/>
        <v/>
      </c>
    </row>
    <row r="1004" spans="1:3" x14ac:dyDescent="0.25">
      <c r="A1004" t="str">
        <f>IF(Scan2VK!I34&lt;&gt;"",Scan2VK!I34,"")</f>
        <v>'D'</v>
      </c>
      <c r="B1004" t="str">
        <f>IF(ISERROR(MATCH(0,INDEX(COUNTIF($B$1:B1003,$A$2:$A$4629),0,0),0)),"",INDEX($A$2:$A$4629,MATCH(0,INDEX(COUNTIF($B$1:B1003,$A$2:$A$4629),0,0),0)))</f>
        <v/>
      </c>
      <c r="C1004" t="str">
        <f t="shared" si="15"/>
        <v/>
      </c>
    </row>
    <row r="1005" spans="1:3" x14ac:dyDescent="0.25">
      <c r="A1005" t="str">
        <f>IF(Scan2VK!I35&lt;&gt;"",Scan2VK!I35,"")</f>
        <v>'F'</v>
      </c>
      <c r="B1005" t="str">
        <f>IF(ISERROR(MATCH(0,INDEX(COUNTIF($B$1:B1004,$A$2:$A$4629),0,0),0)),"",INDEX($A$2:$A$4629,MATCH(0,INDEX(COUNTIF($B$1:B1004,$A$2:$A$4629),0,0),0)))</f>
        <v/>
      </c>
      <c r="C1005" t="str">
        <f t="shared" si="15"/>
        <v/>
      </c>
    </row>
    <row r="1006" spans="1:3" x14ac:dyDescent="0.25">
      <c r="A1006" t="str">
        <f>IF(Scan2VK!I36&lt;&gt;"",Scan2VK!I36,"")</f>
        <v>'G'</v>
      </c>
      <c r="B1006" t="str">
        <f>IF(ISERROR(MATCH(0,INDEX(COUNTIF($B$1:B1005,$A$2:$A$4629),0,0),0)),"",INDEX($A$2:$A$4629,MATCH(0,INDEX(COUNTIF($B$1:B1005,$A$2:$A$4629),0,0),0)))</f>
        <v/>
      </c>
      <c r="C1006" t="str">
        <f t="shared" si="15"/>
        <v/>
      </c>
    </row>
    <row r="1007" spans="1:3" x14ac:dyDescent="0.25">
      <c r="A1007" t="str">
        <f>IF(Scan2VK!I37&lt;&gt;"",Scan2VK!I37,"")</f>
        <v>'H'</v>
      </c>
      <c r="B1007" t="str">
        <f>IF(ISERROR(MATCH(0,INDEX(COUNTIF($B$1:B1006,$A$2:$A$4629),0,0),0)),"",INDEX($A$2:$A$4629,MATCH(0,INDEX(COUNTIF($B$1:B1006,$A$2:$A$4629),0,0),0)))</f>
        <v/>
      </c>
      <c r="C1007" t="str">
        <f t="shared" si="15"/>
        <v/>
      </c>
    </row>
    <row r="1008" spans="1:3" x14ac:dyDescent="0.25">
      <c r="A1008" t="str">
        <f>IF(Scan2VK!I38&lt;&gt;"",Scan2VK!I38,"")</f>
        <v>'J'</v>
      </c>
      <c r="B1008" t="str">
        <f>IF(ISERROR(MATCH(0,INDEX(COUNTIF($B$1:B1007,$A$2:$A$4629),0,0),0)),"",INDEX($A$2:$A$4629,MATCH(0,INDEX(COUNTIF($B$1:B1007,$A$2:$A$4629),0,0),0)))</f>
        <v/>
      </c>
      <c r="C1008" t="str">
        <f t="shared" si="15"/>
        <v/>
      </c>
    </row>
    <row r="1009" spans="1:3" x14ac:dyDescent="0.25">
      <c r="A1009" t="str">
        <f>IF(Scan2VK!I39&lt;&gt;"",Scan2VK!I39,"")</f>
        <v>'K'</v>
      </c>
      <c r="B1009" t="str">
        <f>IF(ISERROR(MATCH(0,INDEX(COUNTIF($B$1:B1008,$A$2:$A$4629),0,0),0)),"",INDEX($A$2:$A$4629,MATCH(0,INDEX(COUNTIF($B$1:B1008,$A$2:$A$4629),0,0),0)))</f>
        <v/>
      </c>
      <c r="C1009" t="str">
        <f t="shared" si="15"/>
        <v/>
      </c>
    </row>
    <row r="1010" spans="1:3" x14ac:dyDescent="0.25">
      <c r="A1010" t="str">
        <f>IF(Scan2VK!I40&lt;&gt;"",Scan2VK!I40,"")</f>
        <v>'L'</v>
      </c>
      <c r="B1010" t="str">
        <f>IF(ISERROR(MATCH(0,INDEX(COUNTIF($B$1:B1009,$A$2:$A$4629),0,0),0)),"",INDEX($A$2:$A$4629,MATCH(0,INDEX(COUNTIF($B$1:B1009,$A$2:$A$4629),0,0),0)))</f>
        <v/>
      </c>
      <c r="C1010" t="str">
        <f t="shared" si="15"/>
        <v/>
      </c>
    </row>
    <row r="1011" spans="1:3" x14ac:dyDescent="0.25">
      <c r="A1011" t="str">
        <f>IF(Scan2VK!I41&lt;&gt;"",Scan2VK!I41,"")</f>
        <v>OEM_1</v>
      </c>
      <c r="B1011" t="str">
        <f>IF(ISERROR(MATCH(0,INDEX(COUNTIF($B$1:B1010,$A$2:$A$4629),0,0),0)),"",INDEX($A$2:$A$4629,MATCH(0,INDEX(COUNTIF($B$1:B1010,$A$2:$A$4629),0,0),0)))</f>
        <v/>
      </c>
      <c r="C1011" t="str">
        <f t="shared" si="15"/>
        <v/>
      </c>
    </row>
    <row r="1012" spans="1:3" x14ac:dyDescent="0.25">
      <c r="A1012" t="str">
        <f>IF(Scan2VK!I42&lt;&gt;"",Scan2VK!I42,"")</f>
        <v>OEM_3</v>
      </c>
      <c r="B1012" t="str">
        <f>IF(ISERROR(MATCH(0,INDEX(COUNTIF($B$1:B1011,$A$2:$A$4629),0,0),0)),"",INDEX($A$2:$A$4629,MATCH(0,INDEX(COUNTIF($B$1:B1011,$A$2:$A$4629),0,0),0)))</f>
        <v/>
      </c>
      <c r="C1012" t="str">
        <f t="shared" si="15"/>
        <v/>
      </c>
    </row>
    <row r="1013" spans="1:3" x14ac:dyDescent="0.25">
      <c r="A1013" t="str">
        <f>IF(Scan2VK!I43&lt;&gt;"",Scan2VK!I43,"")</f>
        <v>OEM_7</v>
      </c>
      <c r="B1013" t="str">
        <f>IF(ISERROR(MATCH(0,INDEX(COUNTIF($B$1:B1012,$A$2:$A$4629),0,0),0)),"",INDEX($A$2:$A$4629,MATCH(0,INDEX(COUNTIF($B$1:B1012,$A$2:$A$4629),0,0),0)))</f>
        <v/>
      </c>
      <c r="C1013" t="str">
        <f t="shared" si="15"/>
        <v/>
      </c>
    </row>
    <row r="1014" spans="1:3" x14ac:dyDescent="0.25">
      <c r="A1014" t="str">
        <f>IF(Scan2VK!I44&lt;&gt;"",Scan2VK!I44,"")</f>
        <v>LSHIFT</v>
      </c>
      <c r="B1014" t="str">
        <f>IF(ISERROR(MATCH(0,INDEX(COUNTIF($B$1:B1013,$A$2:$A$4629),0,0),0)),"",INDEX($A$2:$A$4629,MATCH(0,INDEX(COUNTIF($B$1:B1013,$A$2:$A$4629),0,0),0)))</f>
        <v/>
      </c>
      <c r="C1014" t="str">
        <f t="shared" si="15"/>
        <v/>
      </c>
    </row>
    <row r="1015" spans="1:3" x14ac:dyDescent="0.25">
      <c r="A1015" t="str">
        <f>IF(Scan2VK!I45&lt;&gt;"",Scan2VK!I45,"")</f>
        <v>OEM_5</v>
      </c>
      <c r="B1015" t="str">
        <f>IF(ISERROR(MATCH(0,INDEX(COUNTIF($B$1:B1014,$A$2:$A$4629),0,0),0)),"",INDEX($A$2:$A$4629,MATCH(0,INDEX(COUNTIF($B$1:B1014,$A$2:$A$4629),0,0),0)))</f>
        <v/>
      </c>
      <c r="C1015" t="str">
        <f t="shared" si="15"/>
        <v/>
      </c>
    </row>
    <row r="1016" spans="1:3" x14ac:dyDescent="0.25">
      <c r="A1016" t="str">
        <f>IF(Scan2VK!I46&lt;&gt;"",Scan2VK!I46,"")</f>
        <v>'Z'</v>
      </c>
      <c r="B1016" t="str">
        <f>IF(ISERROR(MATCH(0,INDEX(COUNTIF($B$1:B1015,$A$2:$A$4629),0,0),0)),"",INDEX($A$2:$A$4629,MATCH(0,INDEX(COUNTIF($B$1:B1015,$A$2:$A$4629),0,0),0)))</f>
        <v/>
      </c>
      <c r="C1016" t="str">
        <f t="shared" si="15"/>
        <v/>
      </c>
    </row>
    <row r="1017" spans="1:3" x14ac:dyDescent="0.25">
      <c r="A1017" t="str">
        <f>IF(Scan2VK!I47&lt;&gt;"",Scan2VK!I47,"")</f>
        <v>'X'</v>
      </c>
      <c r="B1017" t="str">
        <f>IF(ISERROR(MATCH(0,INDEX(COUNTIF($B$1:B1016,$A$2:$A$4629),0,0),0)),"",INDEX($A$2:$A$4629,MATCH(0,INDEX(COUNTIF($B$1:B1016,$A$2:$A$4629),0,0),0)))</f>
        <v/>
      </c>
      <c r="C1017" t="str">
        <f t="shared" si="15"/>
        <v/>
      </c>
    </row>
    <row r="1018" spans="1:3" x14ac:dyDescent="0.25">
      <c r="A1018" t="str">
        <f>IF(Scan2VK!I48&lt;&gt;"",Scan2VK!I48,"")</f>
        <v>'C'</v>
      </c>
      <c r="B1018" t="str">
        <f>IF(ISERROR(MATCH(0,INDEX(COUNTIF($B$1:B1017,$A$2:$A$4629),0,0),0)),"",INDEX($A$2:$A$4629,MATCH(0,INDEX(COUNTIF($B$1:B1017,$A$2:$A$4629),0,0),0)))</f>
        <v/>
      </c>
      <c r="C1018" t="str">
        <f t="shared" si="15"/>
        <v/>
      </c>
    </row>
    <row r="1019" spans="1:3" x14ac:dyDescent="0.25">
      <c r="A1019" t="str">
        <f>IF(Scan2VK!I49&lt;&gt;"",Scan2VK!I49,"")</f>
        <v>'V'</v>
      </c>
      <c r="B1019" t="str">
        <f>IF(ISERROR(MATCH(0,INDEX(COUNTIF($B$1:B1018,$A$2:$A$4629),0,0),0)),"",INDEX($A$2:$A$4629,MATCH(0,INDEX(COUNTIF($B$1:B1018,$A$2:$A$4629),0,0),0)))</f>
        <v/>
      </c>
      <c r="C1019" t="str">
        <f t="shared" si="15"/>
        <v/>
      </c>
    </row>
    <row r="1020" spans="1:3" x14ac:dyDescent="0.25">
      <c r="A1020" t="str">
        <f>IF(Scan2VK!I50&lt;&gt;"",Scan2VK!I50,"")</f>
        <v>'B'</v>
      </c>
      <c r="B1020" t="str">
        <f>IF(ISERROR(MATCH(0,INDEX(COUNTIF($B$1:B1019,$A$2:$A$4629),0,0),0)),"",INDEX($A$2:$A$4629,MATCH(0,INDEX(COUNTIF($B$1:B1019,$A$2:$A$4629),0,0),0)))</f>
        <v/>
      </c>
      <c r="C1020" t="str">
        <f t="shared" si="15"/>
        <v/>
      </c>
    </row>
    <row r="1021" spans="1:3" x14ac:dyDescent="0.25">
      <c r="A1021" t="str">
        <f>IF(Scan2VK!I51&lt;&gt;"",Scan2VK!I51,"")</f>
        <v>'N'</v>
      </c>
      <c r="B1021" t="str">
        <f>IF(ISERROR(MATCH(0,INDEX(COUNTIF($B$1:B1020,$A$2:$A$4629),0,0),0)),"",INDEX($A$2:$A$4629,MATCH(0,INDEX(COUNTIF($B$1:B1020,$A$2:$A$4629),0,0),0)))</f>
        <v/>
      </c>
      <c r="C1021" t="str">
        <f t="shared" si="15"/>
        <v/>
      </c>
    </row>
    <row r="1022" spans="1:3" x14ac:dyDescent="0.25">
      <c r="A1022" t="str">
        <f>IF(Scan2VK!I52&lt;&gt;"",Scan2VK!I52,"")</f>
        <v>'M'</v>
      </c>
      <c r="B1022" t="str">
        <f>IF(ISERROR(MATCH(0,INDEX(COUNTIF($B$1:B1021,$A$2:$A$4629),0,0),0)),"",INDEX($A$2:$A$4629,MATCH(0,INDEX(COUNTIF($B$1:B1021,$A$2:$A$4629),0,0),0)))</f>
        <v/>
      </c>
      <c r="C1022" t="str">
        <f t="shared" si="15"/>
        <v/>
      </c>
    </row>
    <row r="1023" spans="1:3" x14ac:dyDescent="0.25">
      <c r="A1023" t="str">
        <f>IF(Scan2VK!I53&lt;&gt;"",Scan2VK!I53,"")</f>
        <v>OEM_COMMA</v>
      </c>
      <c r="B1023" t="str">
        <f>IF(ISERROR(MATCH(0,INDEX(COUNTIF($B$1:B1022,$A$2:$A$4629),0,0),0)),"",INDEX($A$2:$A$4629,MATCH(0,INDEX(COUNTIF($B$1:B1022,$A$2:$A$4629),0,0),0)))</f>
        <v/>
      </c>
      <c r="C1023" t="str">
        <f t="shared" si="15"/>
        <v/>
      </c>
    </row>
    <row r="1024" spans="1:3" x14ac:dyDescent="0.25">
      <c r="A1024" t="str">
        <f>IF(Scan2VK!I54&lt;&gt;"",Scan2VK!I54,"")</f>
        <v>OEM_PERIOD</v>
      </c>
      <c r="B1024" t="str">
        <f>IF(ISERROR(MATCH(0,INDEX(COUNTIF($B$1:B1023,$A$2:$A$4629),0,0),0)),"",INDEX($A$2:$A$4629,MATCH(0,INDEX(COUNTIF($B$1:B1023,$A$2:$A$4629),0,0),0)))</f>
        <v/>
      </c>
      <c r="C1024" t="str">
        <f t="shared" si="15"/>
        <v/>
      </c>
    </row>
    <row r="1025" spans="1:3" x14ac:dyDescent="0.25">
      <c r="A1025" t="str">
        <f>IF(Scan2VK!I55&lt;&gt;"",Scan2VK!I55,"")</f>
        <v>OEM_2</v>
      </c>
      <c r="B1025" t="str">
        <f>IF(ISERROR(MATCH(0,INDEX(COUNTIF($B$1:B1024,$A$2:$A$4629),0,0),0)),"",INDEX($A$2:$A$4629,MATCH(0,INDEX(COUNTIF($B$1:B1024,$A$2:$A$4629),0,0),0)))</f>
        <v/>
      </c>
      <c r="C1025" t="str">
        <f t="shared" si="15"/>
        <v/>
      </c>
    </row>
    <row r="1026" spans="1:3" x14ac:dyDescent="0.25">
      <c r="A1026" t="str">
        <f>IF(Scan2VK!I56&lt;&gt;"",Scan2VK!I56,"")</f>
        <v>RSHIFT</v>
      </c>
      <c r="B1026" t="str">
        <f>IF(ISERROR(MATCH(0,INDEX(COUNTIF($B$1:B1025,$A$2:$A$4629),0,0),0)),"",INDEX($A$2:$A$4629,MATCH(0,INDEX(COUNTIF($B$1:B1025,$A$2:$A$4629),0,0),0)))</f>
        <v/>
      </c>
      <c r="C1026" t="str">
        <f t="shared" si="15"/>
        <v/>
      </c>
    </row>
    <row r="1027" spans="1:3" x14ac:dyDescent="0.25">
      <c r="A1027" t="str">
        <f>IF(Scan2VK!I57&lt;&gt;"",Scan2VK!I57,"")</f>
        <v>MULTIPLY</v>
      </c>
      <c r="B1027" t="str">
        <f>IF(ISERROR(MATCH(0,INDEX(COUNTIF($B$1:B1026,$A$2:$A$4629),0,0),0)),"",INDEX($A$2:$A$4629,MATCH(0,INDEX(COUNTIF($B$1:B1026,$A$2:$A$4629),0,0),0)))</f>
        <v/>
      </c>
      <c r="C1027" t="str">
        <f t="shared" ref="C1027:C1090" si="16">IF(B1027&lt;&gt;"","&lt;xs:enumeration value="""&amp;B1027&amp;"""/&gt;","")</f>
        <v/>
      </c>
    </row>
    <row r="1028" spans="1:3" x14ac:dyDescent="0.25">
      <c r="A1028" t="str">
        <f>IF(Scan2VK!I58&lt;&gt;"",Scan2VK!I58,"")</f>
        <v>LMENU</v>
      </c>
      <c r="B1028" t="str">
        <f>IF(ISERROR(MATCH(0,INDEX(COUNTIF($B$1:B1027,$A$2:$A$4629),0,0),0)),"",INDEX($A$2:$A$4629,MATCH(0,INDEX(COUNTIF($B$1:B1027,$A$2:$A$4629),0,0),0)))</f>
        <v/>
      </c>
      <c r="C1028" t="str">
        <f t="shared" si="16"/>
        <v/>
      </c>
    </row>
    <row r="1029" spans="1:3" x14ac:dyDescent="0.25">
      <c r="A1029" t="str">
        <f>IF(Scan2VK!I59&lt;&gt;"",Scan2VK!I59,"")</f>
        <v>''</v>
      </c>
      <c r="B1029" t="str">
        <f>IF(ISERROR(MATCH(0,INDEX(COUNTIF($B$1:B1028,$A$2:$A$4629),0,0),0)),"",INDEX($A$2:$A$4629,MATCH(0,INDEX(COUNTIF($B$1:B1028,$A$2:$A$4629),0,0),0)))</f>
        <v/>
      </c>
      <c r="C1029" t="str">
        <f t="shared" si="16"/>
        <v/>
      </c>
    </row>
    <row r="1030" spans="1:3" x14ac:dyDescent="0.25">
      <c r="A1030" t="str">
        <f>IF(Scan2VK!I60&lt;&gt;"",Scan2VK!I60,"")</f>
        <v>CAPITAL</v>
      </c>
      <c r="B1030" t="str">
        <f>IF(ISERROR(MATCH(0,INDEX(COUNTIF($B$1:B1029,$A$2:$A$4629),0,0),0)),"",INDEX($A$2:$A$4629,MATCH(0,INDEX(COUNTIF($B$1:B1029,$A$2:$A$4629),0,0),0)))</f>
        <v/>
      </c>
      <c r="C1030" t="str">
        <f t="shared" si="16"/>
        <v/>
      </c>
    </row>
    <row r="1031" spans="1:3" x14ac:dyDescent="0.25">
      <c r="A1031" t="str">
        <f>IF(Scan2VK!I61&lt;&gt;"",Scan2VK!I61,"")</f>
        <v>F1</v>
      </c>
      <c r="B1031" t="str">
        <f>IF(ISERROR(MATCH(0,INDEX(COUNTIF($B$1:B1030,$A$2:$A$4629),0,0),0)),"",INDEX($A$2:$A$4629,MATCH(0,INDEX(COUNTIF($B$1:B1030,$A$2:$A$4629),0,0),0)))</f>
        <v/>
      </c>
      <c r="C1031" t="str">
        <f t="shared" si="16"/>
        <v/>
      </c>
    </row>
    <row r="1032" spans="1:3" x14ac:dyDescent="0.25">
      <c r="A1032" t="str">
        <f>IF(Scan2VK!I62&lt;&gt;"",Scan2VK!I62,"")</f>
        <v>F2</v>
      </c>
      <c r="B1032" t="str">
        <f>IF(ISERROR(MATCH(0,INDEX(COUNTIF($B$1:B1031,$A$2:$A$4629),0,0),0)),"",INDEX($A$2:$A$4629,MATCH(0,INDEX(COUNTIF($B$1:B1031,$A$2:$A$4629),0,0),0)))</f>
        <v/>
      </c>
      <c r="C1032" t="str">
        <f t="shared" si="16"/>
        <v/>
      </c>
    </row>
    <row r="1033" spans="1:3" x14ac:dyDescent="0.25">
      <c r="A1033" t="str">
        <f>IF(Scan2VK!I63&lt;&gt;"",Scan2VK!I63,"")</f>
        <v>F3</v>
      </c>
      <c r="B1033" t="str">
        <f>IF(ISERROR(MATCH(0,INDEX(COUNTIF($B$1:B1032,$A$2:$A$4629),0,0),0)),"",INDEX($A$2:$A$4629,MATCH(0,INDEX(COUNTIF($B$1:B1032,$A$2:$A$4629),0,0),0)))</f>
        <v/>
      </c>
      <c r="C1033" t="str">
        <f t="shared" si="16"/>
        <v/>
      </c>
    </row>
    <row r="1034" spans="1:3" x14ac:dyDescent="0.25">
      <c r="A1034" t="str">
        <f>IF(Scan2VK!I64&lt;&gt;"",Scan2VK!I64,"")</f>
        <v>F4</v>
      </c>
      <c r="B1034" t="str">
        <f>IF(ISERROR(MATCH(0,INDEX(COUNTIF($B$1:B1033,$A$2:$A$4629),0,0),0)),"",INDEX($A$2:$A$4629,MATCH(0,INDEX(COUNTIF($B$1:B1033,$A$2:$A$4629),0,0),0)))</f>
        <v/>
      </c>
      <c r="C1034" t="str">
        <f t="shared" si="16"/>
        <v/>
      </c>
    </row>
    <row r="1035" spans="1:3" x14ac:dyDescent="0.25">
      <c r="A1035" t="str">
        <f>IF(Scan2VK!I65&lt;&gt;"",Scan2VK!I65,"")</f>
        <v>F5</v>
      </c>
      <c r="B1035" t="str">
        <f>IF(ISERROR(MATCH(0,INDEX(COUNTIF($B$1:B1034,$A$2:$A$4629),0,0),0)),"",INDEX($A$2:$A$4629,MATCH(0,INDEX(COUNTIF($B$1:B1034,$A$2:$A$4629),0,0),0)))</f>
        <v/>
      </c>
      <c r="C1035" t="str">
        <f t="shared" si="16"/>
        <v/>
      </c>
    </row>
    <row r="1036" spans="1:3" x14ac:dyDescent="0.25">
      <c r="A1036" t="str">
        <f>IF(Scan2VK!I66&lt;&gt;"",Scan2VK!I66,"")</f>
        <v>F6</v>
      </c>
      <c r="B1036" t="str">
        <f>IF(ISERROR(MATCH(0,INDEX(COUNTIF($B$1:B1035,$A$2:$A$4629),0,0),0)),"",INDEX($A$2:$A$4629,MATCH(0,INDEX(COUNTIF($B$1:B1035,$A$2:$A$4629),0,0),0)))</f>
        <v/>
      </c>
      <c r="C1036" t="str">
        <f t="shared" si="16"/>
        <v/>
      </c>
    </row>
    <row r="1037" spans="1:3" x14ac:dyDescent="0.25">
      <c r="A1037" t="str">
        <f>IF(Scan2VK!I67&lt;&gt;"",Scan2VK!I67,"")</f>
        <v>F7</v>
      </c>
      <c r="B1037" t="str">
        <f>IF(ISERROR(MATCH(0,INDEX(COUNTIF($B$1:B1036,$A$2:$A$4629),0,0),0)),"",INDEX($A$2:$A$4629,MATCH(0,INDEX(COUNTIF($B$1:B1036,$A$2:$A$4629),0,0),0)))</f>
        <v/>
      </c>
      <c r="C1037" t="str">
        <f t="shared" si="16"/>
        <v/>
      </c>
    </row>
    <row r="1038" spans="1:3" x14ac:dyDescent="0.25">
      <c r="A1038" t="str">
        <f>IF(Scan2VK!I68&lt;&gt;"",Scan2VK!I68,"")</f>
        <v>F8</v>
      </c>
      <c r="B1038" t="str">
        <f>IF(ISERROR(MATCH(0,INDEX(COUNTIF($B$1:B1037,$A$2:$A$4629),0,0),0)),"",INDEX($A$2:$A$4629,MATCH(0,INDEX(COUNTIF($B$1:B1037,$A$2:$A$4629),0,0),0)))</f>
        <v/>
      </c>
      <c r="C1038" t="str">
        <f t="shared" si="16"/>
        <v/>
      </c>
    </row>
    <row r="1039" spans="1:3" x14ac:dyDescent="0.25">
      <c r="A1039" t="str">
        <f>IF(Scan2VK!I69&lt;&gt;"",Scan2VK!I69,"")</f>
        <v>F9</v>
      </c>
      <c r="B1039" t="str">
        <f>IF(ISERROR(MATCH(0,INDEX(COUNTIF($B$1:B1038,$A$2:$A$4629),0,0),0)),"",INDEX($A$2:$A$4629,MATCH(0,INDEX(COUNTIF($B$1:B1038,$A$2:$A$4629),0,0),0)))</f>
        <v/>
      </c>
      <c r="C1039" t="str">
        <f t="shared" si="16"/>
        <v/>
      </c>
    </row>
    <row r="1040" spans="1:3" x14ac:dyDescent="0.25">
      <c r="A1040" t="str">
        <f>IF(Scan2VK!I70&lt;&gt;"",Scan2VK!I70,"")</f>
        <v>F10</v>
      </c>
      <c r="B1040" t="str">
        <f>IF(ISERROR(MATCH(0,INDEX(COUNTIF($B$1:B1039,$A$2:$A$4629),0,0),0)),"",INDEX($A$2:$A$4629,MATCH(0,INDEX(COUNTIF($B$1:B1039,$A$2:$A$4629),0,0),0)))</f>
        <v/>
      </c>
      <c r="C1040" t="str">
        <f t="shared" si="16"/>
        <v/>
      </c>
    </row>
    <row r="1041" spans="1:3" x14ac:dyDescent="0.25">
      <c r="A1041" t="str">
        <f>IF(Scan2VK!I71&lt;&gt;"",Scan2VK!I71,"")</f>
        <v>NUMLOCK</v>
      </c>
      <c r="B1041" t="str">
        <f>IF(ISERROR(MATCH(0,INDEX(COUNTIF($B$1:B1040,$A$2:$A$4629),0,0),0)),"",INDEX($A$2:$A$4629,MATCH(0,INDEX(COUNTIF($B$1:B1040,$A$2:$A$4629),0,0),0)))</f>
        <v/>
      </c>
      <c r="C1041" t="str">
        <f t="shared" si="16"/>
        <v/>
      </c>
    </row>
    <row r="1042" spans="1:3" x14ac:dyDescent="0.25">
      <c r="A1042" t="str">
        <f>IF(Scan2VK!I72&lt;&gt;"",Scan2VK!I72,"")</f>
        <v>SCROLL</v>
      </c>
      <c r="B1042" t="str">
        <f>IF(ISERROR(MATCH(0,INDEX(COUNTIF($B$1:B1041,$A$2:$A$4629),0,0),0)),"",INDEX($A$2:$A$4629,MATCH(0,INDEX(COUNTIF($B$1:B1041,$A$2:$A$4629),0,0),0)))</f>
        <v/>
      </c>
      <c r="C1042" t="str">
        <f t="shared" si="16"/>
        <v/>
      </c>
    </row>
    <row r="1043" spans="1:3" x14ac:dyDescent="0.25">
      <c r="A1043" t="str">
        <f>IF(Scan2VK!I73&lt;&gt;"",Scan2VK!I73,"")</f>
        <v>HOME</v>
      </c>
      <c r="B1043" t="str">
        <f>IF(ISERROR(MATCH(0,INDEX(COUNTIF($B$1:B1042,$A$2:$A$4629),0,0),0)),"",INDEX($A$2:$A$4629,MATCH(0,INDEX(COUNTIF($B$1:B1042,$A$2:$A$4629),0,0),0)))</f>
        <v/>
      </c>
      <c r="C1043" t="str">
        <f t="shared" si="16"/>
        <v/>
      </c>
    </row>
    <row r="1044" spans="1:3" x14ac:dyDescent="0.25">
      <c r="A1044" t="str">
        <f>IF(Scan2VK!I74&lt;&gt;"",Scan2VK!I74,"")</f>
        <v>UP</v>
      </c>
      <c r="B1044" t="str">
        <f>IF(ISERROR(MATCH(0,INDEX(COUNTIF($B$1:B1043,$A$2:$A$4629),0,0),0)),"",INDEX($A$2:$A$4629,MATCH(0,INDEX(COUNTIF($B$1:B1043,$A$2:$A$4629),0,0),0)))</f>
        <v/>
      </c>
      <c r="C1044" t="str">
        <f t="shared" si="16"/>
        <v/>
      </c>
    </row>
    <row r="1045" spans="1:3" x14ac:dyDescent="0.25">
      <c r="A1045" t="str">
        <f>IF(Scan2VK!I75&lt;&gt;"",Scan2VK!I75,"")</f>
        <v>PRIOR</v>
      </c>
      <c r="B1045" t="str">
        <f>IF(ISERROR(MATCH(0,INDEX(COUNTIF($B$1:B1044,$A$2:$A$4629),0,0),0)),"",INDEX($A$2:$A$4629,MATCH(0,INDEX(COUNTIF($B$1:B1044,$A$2:$A$4629),0,0),0)))</f>
        <v/>
      </c>
      <c r="C1045" t="str">
        <f t="shared" si="16"/>
        <v/>
      </c>
    </row>
    <row r="1046" spans="1:3" x14ac:dyDescent="0.25">
      <c r="A1046" t="str">
        <f>IF(Scan2VK!I76&lt;&gt;"",Scan2VK!I76,"")</f>
        <v>SUBTRACT</v>
      </c>
      <c r="B1046" t="str">
        <f>IF(ISERROR(MATCH(0,INDEX(COUNTIF($B$1:B1045,$A$2:$A$4629),0,0),0)),"",INDEX($A$2:$A$4629,MATCH(0,INDEX(COUNTIF($B$1:B1045,$A$2:$A$4629),0,0),0)))</f>
        <v/>
      </c>
      <c r="C1046" t="str">
        <f t="shared" si="16"/>
        <v/>
      </c>
    </row>
    <row r="1047" spans="1:3" x14ac:dyDescent="0.25">
      <c r="A1047" t="str">
        <f>IF(Scan2VK!I77&lt;&gt;"",Scan2VK!I77,"")</f>
        <v>LEFT</v>
      </c>
      <c r="B1047" t="str">
        <f>IF(ISERROR(MATCH(0,INDEX(COUNTIF($B$1:B1046,$A$2:$A$4629),0,0),0)),"",INDEX($A$2:$A$4629,MATCH(0,INDEX(COUNTIF($B$1:B1046,$A$2:$A$4629),0,0),0)))</f>
        <v/>
      </c>
      <c r="C1047" t="str">
        <f t="shared" si="16"/>
        <v/>
      </c>
    </row>
    <row r="1048" spans="1:3" x14ac:dyDescent="0.25">
      <c r="A1048" t="str">
        <f>IF(Scan2VK!I78&lt;&gt;"",Scan2VK!I78,"")</f>
        <v>CLEAR</v>
      </c>
      <c r="B1048" t="str">
        <f>IF(ISERROR(MATCH(0,INDEX(COUNTIF($B$1:B1047,$A$2:$A$4629),0,0),0)),"",INDEX($A$2:$A$4629,MATCH(0,INDEX(COUNTIF($B$1:B1047,$A$2:$A$4629),0,0),0)))</f>
        <v/>
      </c>
      <c r="C1048" t="str">
        <f t="shared" si="16"/>
        <v/>
      </c>
    </row>
    <row r="1049" spans="1:3" x14ac:dyDescent="0.25">
      <c r="A1049" t="str">
        <f>IF(Scan2VK!I79&lt;&gt;"",Scan2VK!I79,"")</f>
        <v>RIGHT</v>
      </c>
      <c r="B1049" t="str">
        <f>IF(ISERROR(MATCH(0,INDEX(COUNTIF($B$1:B1048,$A$2:$A$4629),0,0),0)),"",INDEX($A$2:$A$4629,MATCH(0,INDEX(COUNTIF($B$1:B1048,$A$2:$A$4629),0,0),0)))</f>
        <v/>
      </c>
      <c r="C1049" t="str">
        <f t="shared" si="16"/>
        <v/>
      </c>
    </row>
    <row r="1050" spans="1:3" x14ac:dyDescent="0.25">
      <c r="A1050" t="str">
        <f>IF(Scan2VK!I80&lt;&gt;"",Scan2VK!I80,"")</f>
        <v>ADD</v>
      </c>
      <c r="B1050" t="str">
        <f>IF(ISERROR(MATCH(0,INDEX(COUNTIF($B$1:B1049,$A$2:$A$4629),0,0),0)),"",INDEX($A$2:$A$4629,MATCH(0,INDEX(COUNTIF($B$1:B1049,$A$2:$A$4629),0,0),0)))</f>
        <v/>
      </c>
      <c r="C1050" t="str">
        <f t="shared" si="16"/>
        <v/>
      </c>
    </row>
    <row r="1051" spans="1:3" x14ac:dyDescent="0.25">
      <c r="A1051" t="str">
        <f>IF(Scan2VK!I81&lt;&gt;"",Scan2VK!I81,"")</f>
        <v>END</v>
      </c>
      <c r="B1051" t="str">
        <f>IF(ISERROR(MATCH(0,INDEX(COUNTIF($B$1:B1050,$A$2:$A$4629),0,0),0)),"",INDEX($A$2:$A$4629,MATCH(0,INDEX(COUNTIF($B$1:B1050,$A$2:$A$4629),0,0),0)))</f>
        <v/>
      </c>
      <c r="C1051" t="str">
        <f t="shared" si="16"/>
        <v/>
      </c>
    </row>
    <row r="1052" spans="1:3" x14ac:dyDescent="0.25">
      <c r="A1052" t="str">
        <f>IF(Scan2VK!I82&lt;&gt;"",Scan2VK!I82,"")</f>
        <v>DOWN</v>
      </c>
      <c r="B1052" t="str">
        <f>IF(ISERROR(MATCH(0,INDEX(COUNTIF($B$1:B1051,$A$2:$A$4629),0,0),0)),"",INDEX($A$2:$A$4629,MATCH(0,INDEX(COUNTIF($B$1:B1051,$A$2:$A$4629),0,0),0)))</f>
        <v/>
      </c>
      <c r="C1052" t="str">
        <f t="shared" si="16"/>
        <v/>
      </c>
    </row>
    <row r="1053" spans="1:3" x14ac:dyDescent="0.25">
      <c r="A1053" t="str">
        <f>IF(Scan2VK!I83&lt;&gt;"",Scan2VK!I83,"")</f>
        <v>NEXT</v>
      </c>
      <c r="B1053" t="str">
        <f>IF(ISERROR(MATCH(0,INDEX(COUNTIF($B$1:B1052,$A$2:$A$4629),0,0),0)),"",INDEX($A$2:$A$4629,MATCH(0,INDEX(COUNTIF($B$1:B1052,$A$2:$A$4629),0,0),0)))</f>
        <v/>
      </c>
      <c r="C1053" t="str">
        <f t="shared" si="16"/>
        <v/>
      </c>
    </row>
    <row r="1054" spans="1:3" x14ac:dyDescent="0.25">
      <c r="A1054" t="str">
        <f>IF(Scan2VK!I84&lt;&gt;"",Scan2VK!I84,"")</f>
        <v>INSERT</v>
      </c>
      <c r="B1054" t="str">
        <f>IF(ISERROR(MATCH(0,INDEX(COUNTIF($B$1:B1053,$A$2:$A$4629),0,0),0)),"",INDEX($A$2:$A$4629,MATCH(0,INDEX(COUNTIF($B$1:B1053,$A$2:$A$4629),0,0),0)))</f>
        <v/>
      </c>
      <c r="C1054" t="str">
        <f t="shared" si="16"/>
        <v/>
      </c>
    </row>
    <row r="1055" spans="1:3" x14ac:dyDescent="0.25">
      <c r="A1055" t="str">
        <f>IF(Scan2VK!I85&lt;&gt;"",Scan2VK!I85,"")</f>
        <v>DELETE</v>
      </c>
      <c r="B1055" t="str">
        <f>IF(ISERROR(MATCH(0,INDEX(COUNTIF($B$1:B1054,$A$2:$A$4629),0,0),0)),"",INDEX($A$2:$A$4629,MATCH(0,INDEX(COUNTIF($B$1:B1054,$A$2:$A$4629),0,0),0)))</f>
        <v/>
      </c>
      <c r="C1055" t="str">
        <f t="shared" si="16"/>
        <v/>
      </c>
    </row>
    <row r="1056" spans="1:3" x14ac:dyDescent="0.25">
      <c r="A1056" t="str">
        <f>IF(Scan2VK!I86&lt;&gt;"",Scan2VK!I86,"")</f>
        <v>SNAPSHOT</v>
      </c>
      <c r="B1056" t="str">
        <f>IF(ISERROR(MATCH(0,INDEX(COUNTIF($B$1:B1055,$A$2:$A$4629),0,0),0)),"",INDEX($A$2:$A$4629,MATCH(0,INDEX(COUNTIF($B$1:B1055,$A$2:$A$4629),0,0),0)))</f>
        <v/>
      </c>
      <c r="C1056" t="str">
        <f t="shared" si="16"/>
        <v/>
      </c>
    </row>
    <row r="1057" spans="1:3" x14ac:dyDescent="0.25">
      <c r="A1057" t="str">
        <f>IF(Scan2VK!I87&lt;&gt;"",Scan2VK!I87,"")</f>
        <v>_none_</v>
      </c>
      <c r="B1057" t="str">
        <f>IF(ISERROR(MATCH(0,INDEX(COUNTIF($B$1:B1056,$A$2:$A$4629),0,0),0)),"",INDEX($A$2:$A$4629,MATCH(0,INDEX(COUNTIF($B$1:B1056,$A$2:$A$4629),0,0),0)))</f>
        <v/>
      </c>
      <c r="C1057" t="str">
        <f t="shared" si="16"/>
        <v/>
      </c>
    </row>
    <row r="1058" spans="1:3" x14ac:dyDescent="0.25">
      <c r="A1058" t="str">
        <f>IF(Scan2VK!I88&lt;&gt;"",Scan2VK!I88,"")</f>
        <v>OEM_PA2</v>
      </c>
      <c r="B1058" t="str">
        <f>IF(ISERROR(MATCH(0,INDEX(COUNTIF($B$1:B1057,$A$2:$A$4629),0,0),0)),"",INDEX($A$2:$A$4629,MATCH(0,INDEX(COUNTIF($B$1:B1057,$A$2:$A$4629),0,0),0)))</f>
        <v/>
      </c>
      <c r="C1058" t="str">
        <f t="shared" si="16"/>
        <v/>
      </c>
    </row>
    <row r="1059" spans="1:3" x14ac:dyDescent="0.25">
      <c r="A1059" t="str">
        <f>IF(Scan2VK!I89&lt;&gt;"",Scan2VK!I89,"")</f>
        <v>HELP</v>
      </c>
      <c r="B1059" t="str">
        <f>IF(ISERROR(MATCH(0,INDEX(COUNTIF($B$1:B1058,$A$2:$A$4629),0,0),0)),"",INDEX($A$2:$A$4629,MATCH(0,INDEX(COUNTIF($B$1:B1058,$A$2:$A$4629),0,0),0)))</f>
        <v/>
      </c>
      <c r="C1059" t="str">
        <f t="shared" si="16"/>
        <v/>
      </c>
    </row>
    <row r="1060" spans="1:3" x14ac:dyDescent="0.25">
      <c r="A1060" t="str">
        <f>IF(Scan2VK!I90&lt;&gt;"",Scan2VK!I90,"")</f>
        <v>OEM_102</v>
      </c>
      <c r="B1060" t="str">
        <f>IF(ISERROR(MATCH(0,INDEX(COUNTIF($B$1:B1059,$A$2:$A$4629),0,0),0)),"",INDEX($A$2:$A$4629,MATCH(0,INDEX(COUNTIF($B$1:B1059,$A$2:$A$4629),0,0),0)))</f>
        <v/>
      </c>
      <c r="C1060" t="str">
        <f t="shared" si="16"/>
        <v/>
      </c>
    </row>
    <row r="1061" spans="1:3" x14ac:dyDescent="0.25">
      <c r="A1061" t="str">
        <f>IF(Scan2VK!I91&lt;&gt;"",Scan2VK!I91,"")</f>
        <v>CLEAR</v>
      </c>
      <c r="B1061" t="str">
        <f>IF(ISERROR(MATCH(0,INDEX(COUNTIF($B$1:B1060,$A$2:$A$4629),0,0),0)),"",INDEX($A$2:$A$4629,MATCH(0,INDEX(COUNTIF($B$1:B1060,$A$2:$A$4629),0,0),0)))</f>
        <v/>
      </c>
      <c r="C1061" t="str">
        <f t="shared" si="16"/>
        <v/>
      </c>
    </row>
    <row r="1062" spans="1:3" x14ac:dyDescent="0.25">
      <c r="A1062" t="str">
        <f>IF(Scan2VK!I92&lt;&gt;"",Scan2VK!I92,"")</f>
        <v>OEM_WSCTRL</v>
      </c>
      <c r="B1062" t="str">
        <f>IF(ISERROR(MATCH(0,INDEX(COUNTIF($B$1:B1061,$A$2:$A$4629),0,0),0)),"",INDEX($A$2:$A$4629,MATCH(0,INDEX(COUNTIF($B$1:B1061,$A$2:$A$4629),0,0),0)))</f>
        <v/>
      </c>
      <c r="C1062" t="str">
        <f t="shared" si="16"/>
        <v/>
      </c>
    </row>
    <row r="1063" spans="1:3" x14ac:dyDescent="0.25">
      <c r="A1063" t="str">
        <f>IF(Scan2VK!I93&lt;&gt;"",Scan2VK!I93,"")</f>
        <v>OEM_FINISH</v>
      </c>
      <c r="B1063" t="str">
        <f>IF(ISERROR(MATCH(0,INDEX(COUNTIF($B$1:B1062,$A$2:$A$4629),0,0),0)),"",INDEX($A$2:$A$4629,MATCH(0,INDEX(COUNTIF($B$1:B1062,$A$2:$A$4629),0,0),0)))</f>
        <v/>
      </c>
      <c r="C1063" t="str">
        <f t="shared" si="16"/>
        <v/>
      </c>
    </row>
    <row r="1064" spans="1:3" x14ac:dyDescent="0.25">
      <c r="A1064" t="str">
        <f>IF(Scan2VK!I94&lt;&gt;"",Scan2VK!I94,"")</f>
        <v>OEM_JUMP</v>
      </c>
      <c r="B1064" t="str">
        <f>IF(ISERROR(MATCH(0,INDEX(COUNTIF($B$1:B1063,$A$2:$A$4629),0,0),0)),"",INDEX($A$2:$A$4629,MATCH(0,INDEX(COUNTIF($B$1:B1063,$A$2:$A$4629),0,0),0)))</f>
        <v/>
      </c>
      <c r="C1064" t="str">
        <f t="shared" si="16"/>
        <v/>
      </c>
    </row>
    <row r="1065" spans="1:3" x14ac:dyDescent="0.25">
      <c r="A1065" t="str">
        <f>IF(Scan2VK!I95&lt;&gt;"",Scan2VK!I95,"")</f>
        <v>EREOF</v>
      </c>
      <c r="B1065" t="str">
        <f>IF(ISERROR(MATCH(0,INDEX(COUNTIF($B$1:B1064,$A$2:$A$4629),0,0),0)),"",INDEX($A$2:$A$4629,MATCH(0,INDEX(COUNTIF($B$1:B1064,$A$2:$A$4629),0,0),0)))</f>
        <v/>
      </c>
      <c r="C1065" t="str">
        <f t="shared" si="16"/>
        <v/>
      </c>
    </row>
    <row r="1066" spans="1:3" x14ac:dyDescent="0.25">
      <c r="A1066" t="str">
        <f>IF(Scan2VK!I96&lt;&gt;"",Scan2VK!I96,"")</f>
        <v>OEM_BACKTAB</v>
      </c>
      <c r="B1066" t="str">
        <f>IF(ISERROR(MATCH(0,INDEX(COUNTIF($B$1:B1065,$A$2:$A$4629),0,0),0)),"",INDEX($A$2:$A$4629,MATCH(0,INDEX(COUNTIF($B$1:B1065,$A$2:$A$4629),0,0),0)))</f>
        <v/>
      </c>
      <c r="C1066" t="str">
        <f t="shared" si="16"/>
        <v/>
      </c>
    </row>
    <row r="1067" spans="1:3" x14ac:dyDescent="0.25">
      <c r="A1067" t="str">
        <f>IF(Scan2VK!I97&lt;&gt;"",Scan2VK!I97,"")</f>
        <v>OEM_AUTO</v>
      </c>
      <c r="B1067" t="str">
        <f>IF(ISERROR(MATCH(0,INDEX(COUNTIF($B$1:B1066,$A$2:$A$4629),0,0),0)),"",INDEX($A$2:$A$4629,MATCH(0,INDEX(COUNTIF($B$1:B1066,$A$2:$A$4629),0,0),0)))</f>
        <v/>
      </c>
      <c r="C1067" t="str">
        <f t="shared" si="16"/>
        <v/>
      </c>
    </row>
    <row r="1068" spans="1:3" x14ac:dyDescent="0.25">
      <c r="A1068" t="str">
        <f>IF(Scan2VK!I98&lt;&gt;"",Scan2VK!I98,"")</f>
        <v>_none_</v>
      </c>
      <c r="B1068" t="str">
        <f>IF(ISERROR(MATCH(0,INDEX(COUNTIF($B$1:B1067,$A$2:$A$4629),0,0),0)),"",INDEX($A$2:$A$4629,MATCH(0,INDEX(COUNTIF($B$1:B1067,$A$2:$A$4629),0,0),0)))</f>
        <v/>
      </c>
      <c r="C1068" t="str">
        <f t="shared" si="16"/>
        <v/>
      </c>
    </row>
    <row r="1069" spans="1:3" x14ac:dyDescent="0.25">
      <c r="A1069" t="str">
        <f>IF(Scan2VK!I99&lt;&gt;"",Scan2VK!I99,"")</f>
        <v>_none_</v>
      </c>
      <c r="B1069" t="str">
        <f>IF(ISERROR(MATCH(0,INDEX(COUNTIF($B$1:B1068,$A$2:$A$4629),0,0),0)),"",INDEX($A$2:$A$4629,MATCH(0,INDEX(COUNTIF($B$1:B1068,$A$2:$A$4629),0,0),0)))</f>
        <v/>
      </c>
      <c r="C1069" t="str">
        <f t="shared" si="16"/>
        <v/>
      </c>
    </row>
    <row r="1070" spans="1:3" x14ac:dyDescent="0.25">
      <c r="A1070" t="str">
        <f>IF(Scan2VK!I100&lt;&gt;"",Scan2VK!I100,"")</f>
        <v>ZOOM</v>
      </c>
      <c r="B1070" t="str">
        <f>IF(ISERROR(MATCH(0,INDEX(COUNTIF($B$1:B1069,$A$2:$A$4629),0,0),0)),"",INDEX($A$2:$A$4629,MATCH(0,INDEX(COUNTIF($B$1:B1069,$A$2:$A$4629),0,0),0)))</f>
        <v/>
      </c>
      <c r="C1070" t="str">
        <f t="shared" si="16"/>
        <v/>
      </c>
    </row>
    <row r="1071" spans="1:3" x14ac:dyDescent="0.25">
      <c r="A1071" t="str">
        <f>IF(Scan2VK!I101&lt;&gt;"",Scan2VK!I101,"")</f>
        <v>HELP</v>
      </c>
      <c r="B1071" t="str">
        <f>IF(ISERROR(MATCH(0,INDEX(COUNTIF($B$1:B1070,$A$2:$A$4629),0,0),0)),"",INDEX($A$2:$A$4629,MATCH(0,INDEX(COUNTIF($B$1:B1070,$A$2:$A$4629),0,0),0)))</f>
        <v/>
      </c>
      <c r="C1071" t="str">
        <f t="shared" si="16"/>
        <v/>
      </c>
    </row>
    <row r="1072" spans="1:3" x14ac:dyDescent="0.25">
      <c r="A1072" t="str">
        <f>IF(Scan2VK!I102&lt;&gt;"",Scan2VK!I102,"")</f>
        <v>F13</v>
      </c>
      <c r="B1072" t="str">
        <f>IF(ISERROR(MATCH(0,INDEX(COUNTIF($B$1:B1071,$A$2:$A$4629),0,0),0)),"",INDEX($A$2:$A$4629,MATCH(0,INDEX(COUNTIF($B$1:B1071,$A$2:$A$4629),0,0),0)))</f>
        <v/>
      </c>
      <c r="C1072" t="str">
        <f t="shared" si="16"/>
        <v/>
      </c>
    </row>
    <row r="1073" spans="1:3" x14ac:dyDescent="0.25">
      <c r="A1073" t="str">
        <f>IF(Scan2VK!I103&lt;&gt;"",Scan2VK!I103,"")</f>
        <v>F14</v>
      </c>
      <c r="B1073" t="str">
        <f>IF(ISERROR(MATCH(0,INDEX(COUNTIF($B$1:B1072,$A$2:$A$4629),0,0),0)),"",INDEX($A$2:$A$4629,MATCH(0,INDEX(COUNTIF($B$1:B1072,$A$2:$A$4629),0,0),0)))</f>
        <v/>
      </c>
      <c r="C1073" t="str">
        <f t="shared" si="16"/>
        <v/>
      </c>
    </row>
    <row r="1074" spans="1:3" x14ac:dyDescent="0.25">
      <c r="A1074" t="str">
        <f>IF(Scan2VK!I104&lt;&gt;"",Scan2VK!I104,"")</f>
        <v>F15</v>
      </c>
      <c r="B1074" t="str">
        <f>IF(ISERROR(MATCH(0,INDEX(COUNTIF($B$1:B1073,$A$2:$A$4629),0,0),0)),"",INDEX($A$2:$A$4629,MATCH(0,INDEX(COUNTIF($B$1:B1073,$A$2:$A$4629),0,0),0)))</f>
        <v/>
      </c>
      <c r="C1074" t="str">
        <f t="shared" si="16"/>
        <v/>
      </c>
    </row>
    <row r="1075" spans="1:3" x14ac:dyDescent="0.25">
      <c r="A1075" t="str">
        <f>IF(Scan2VK!I105&lt;&gt;"",Scan2VK!I105,"")</f>
        <v>F16</v>
      </c>
      <c r="B1075" t="str">
        <f>IF(ISERROR(MATCH(0,INDEX(COUNTIF($B$1:B1074,$A$2:$A$4629),0,0),0)),"",INDEX($A$2:$A$4629,MATCH(0,INDEX(COUNTIF($B$1:B1074,$A$2:$A$4629),0,0),0)))</f>
        <v/>
      </c>
      <c r="C1075" t="str">
        <f t="shared" si="16"/>
        <v/>
      </c>
    </row>
    <row r="1076" spans="1:3" x14ac:dyDescent="0.25">
      <c r="A1076" t="str">
        <f>IF(Scan2VK!I106&lt;&gt;"",Scan2VK!I106,"")</f>
        <v>F17</v>
      </c>
      <c r="B1076" t="str">
        <f>IF(ISERROR(MATCH(0,INDEX(COUNTIF($B$1:B1075,$A$2:$A$4629),0,0),0)),"",INDEX($A$2:$A$4629,MATCH(0,INDEX(COUNTIF($B$1:B1075,$A$2:$A$4629),0,0),0)))</f>
        <v/>
      </c>
      <c r="C1076" t="str">
        <f t="shared" si="16"/>
        <v/>
      </c>
    </row>
    <row r="1077" spans="1:3" x14ac:dyDescent="0.25">
      <c r="A1077" t="str">
        <f>IF(Scan2VK!I107&lt;&gt;"",Scan2VK!I107,"")</f>
        <v>F18</v>
      </c>
      <c r="B1077" t="str">
        <f>IF(ISERROR(MATCH(0,INDEX(COUNTIF($B$1:B1076,$A$2:$A$4629),0,0),0)),"",INDEX($A$2:$A$4629,MATCH(0,INDEX(COUNTIF($B$1:B1076,$A$2:$A$4629),0,0),0)))</f>
        <v/>
      </c>
      <c r="C1077" t="str">
        <f t="shared" si="16"/>
        <v/>
      </c>
    </row>
    <row r="1078" spans="1:3" x14ac:dyDescent="0.25">
      <c r="A1078" t="str">
        <f>IF(Scan2VK!I108&lt;&gt;"",Scan2VK!I108,"")</f>
        <v>F19</v>
      </c>
      <c r="B1078" t="str">
        <f>IF(ISERROR(MATCH(0,INDEX(COUNTIF($B$1:B1077,$A$2:$A$4629),0,0),0)),"",INDEX($A$2:$A$4629,MATCH(0,INDEX(COUNTIF($B$1:B1077,$A$2:$A$4629),0,0),0)))</f>
        <v/>
      </c>
      <c r="C1078" t="str">
        <f t="shared" si="16"/>
        <v/>
      </c>
    </row>
    <row r="1079" spans="1:3" x14ac:dyDescent="0.25">
      <c r="A1079" t="str">
        <f>IF(Scan2VK!I109&lt;&gt;"",Scan2VK!I109,"")</f>
        <v>F20</v>
      </c>
      <c r="B1079" t="str">
        <f>IF(ISERROR(MATCH(0,INDEX(COUNTIF($B$1:B1078,$A$2:$A$4629),0,0),0)),"",INDEX($A$2:$A$4629,MATCH(0,INDEX(COUNTIF($B$1:B1078,$A$2:$A$4629),0,0),0)))</f>
        <v/>
      </c>
      <c r="C1079" t="str">
        <f t="shared" si="16"/>
        <v/>
      </c>
    </row>
    <row r="1080" spans="1:3" x14ac:dyDescent="0.25">
      <c r="A1080" t="str">
        <f>IF(Scan2VK!I110&lt;&gt;"",Scan2VK!I110,"")</f>
        <v>F21</v>
      </c>
      <c r="B1080" t="str">
        <f>IF(ISERROR(MATCH(0,INDEX(COUNTIF($B$1:B1079,$A$2:$A$4629),0,0),0)),"",INDEX($A$2:$A$4629,MATCH(0,INDEX(COUNTIF($B$1:B1079,$A$2:$A$4629),0,0),0)))</f>
        <v/>
      </c>
      <c r="C1080" t="str">
        <f t="shared" si="16"/>
        <v/>
      </c>
    </row>
    <row r="1081" spans="1:3" x14ac:dyDescent="0.25">
      <c r="A1081" t="str">
        <f>IF(Scan2VK!I111&lt;&gt;"",Scan2VK!I111,"")</f>
        <v>F22</v>
      </c>
      <c r="B1081" t="str">
        <f>IF(ISERROR(MATCH(0,INDEX(COUNTIF($B$1:B1080,$A$2:$A$4629),0,0),0)),"",INDEX($A$2:$A$4629,MATCH(0,INDEX(COUNTIF($B$1:B1080,$A$2:$A$4629),0,0),0)))</f>
        <v/>
      </c>
      <c r="C1081" t="str">
        <f t="shared" si="16"/>
        <v/>
      </c>
    </row>
    <row r="1082" spans="1:3" x14ac:dyDescent="0.25">
      <c r="A1082" t="str">
        <f>IF(Scan2VK!I112&lt;&gt;"",Scan2VK!I112,"")</f>
        <v>F23</v>
      </c>
      <c r="B1082" t="str">
        <f>IF(ISERROR(MATCH(0,INDEX(COUNTIF($B$1:B1081,$A$2:$A$4629),0,0),0)),"",INDEX($A$2:$A$4629,MATCH(0,INDEX(COUNTIF($B$1:B1081,$A$2:$A$4629),0,0),0)))</f>
        <v/>
      </c>
      <c r="C1082" t="str">
        <f t="shared" si="16"/>
        <v/>
      </c>
    </row>
    <row r="1083" spans="1:3" x14ac:dyDescent="0.25">
      <c r="A1083" t="str">
        <f>IF(Scan2VK!I113&lt;&gt;"",Scan2VK!I113,"")</f>
        <v>OEM_PA3</v>
      </c>
      <c r="B1083" t="str">
        <f>IF(ISERROR(MATCH(0,INDEX(COUNTIF($B$1:B1082,$A$2:$A$4629),0,0),0)),"",INDEX($A$2:$A$4629,MATCH(0,INDEX(COUNTIF($B$1:B1082,$A$2:$A$4629),0,0),0)))</f>
        <v/>
      </c>
      <c r="C1083" t="str">
        <f t="shared" si="16"/>
        <v/>
      </c>
    </row>
    <row r="1084" spans="1:3" x14ac:dyDescent="0.25">
      <c r="A1084" t="str">
        <f>IF(Scan2VK!I114&lt;&gt;"",Scan2VK!I114,"")</f>
        <v>_none_</v>
      </c>
      <c r="B1084" t="str">
        <f>IF(ISERROR(MATCH(0,INDEX(COUNTIF($B$1:B1083,$A$2:$A$4629),0,0),0)),"",INDEX($A$2:$A$4629,MATCH(0,INDEX(COUNTIF($B$1:B1083,$A$2:$A$4629),0,0),0)))</f>
        <v/>
      </c>
      <c r="C1084" t="str">
        <f t="shared" si="16"/>
        <v/>
      </c>
    </row>
    <row r="1085" spans="1:3" x14ac:dyDescent="0.25">
      <c r="A1085" t="str">
        <f>IF(Scan2VK!I115&lt;&gt;"",Scan2VK!I115,"")</f>
        <v>OEM_RESET</v>
      </c>
      <c r="B1085" t="str">
        <f>IF(ISERROR(MATCH(0,INDEX(COUNTIF($B$1:B1084,$A$2:$A$4629),0,0),0)),"",INDEX($A$2:$A$4629,MATCH(0,INDEX(COUNTIF($B$1:B1084,$A$2:$A$4629),0,0),0)))</f>
        <v/>
      </c>
      <c r="C1085" t="str">
        <f t="shared" si="16"/>
        <v/>
      </c>
    </row>
    <row r="1086" spans="1:3" x14ac:dyDescent="0.25">
      <c r="A1086" t="str">
        <f>IF(Scan2VK!I116&lt;&gt;"",Scan2VK!I116,"")</f>
        <v>_none_</v>
      </c>
      <c r="B1086" t="str">
        <f>IF(ISERROR(MATCH(0,INDEX(COUNTIF($B$1:B1085,$A$2:$A$4629),0,0),0)),"",INDEX($A$2:$A$4629,MATCH(0,INDEX(COUNTIF($B$1:B1085,$A$2:$A$4629),0,0),0)))</f>
        <v/>
      </c>
      <c r="C1086" t="str">
        <f t="shared" si="16"/>
        <v/>
      </c>
    </row>
    <row r="1087" spans="1:3" x14ac:dyDescent="0.25">
      <c r="A1087" t="str">
        <f>IF(Scan2VK!I117&lt;&gt;"",Scan2VK!I117,"")</f>
        <v>ABNT_C1</v>
      </c>
      <c r="B1087" t="str">
        <f>IF(ISERROR(MATCH(0,INDEX(COUNTIF($B$1:B1086,$A$2:$A$4629),0,0),0)),"",INDEX($A$2:$A$4629,MATCH(0,INDEX(COUNTIF($B$1:B1086,$A$2:$A$4629),0,0),0)))</f>
        <v/>
      </c>
      <c r="C1087" t="str">
        <f t="shared" si="16"/>
        <v/>
      </c>
    </row>
    <row r="1088" spans="1:3" x14ac:dyDescent="0.25">
      <c r="A1088" t="str">
        <f>IF(Scan2VK!I118&lt;&gt;"",Scan2VK!I118,"")</f>
        <v>_none_</v>
      </c>
      <c r="B1088" t="str">
        <f>IF(ISERROR(MATCH(0,INDEX(COUNTIF($B$1:B1087,$A$2:$A$4629),0,0),0)),"",INDEX($A$2:$A$4629,MATCH(0,INDEX(COUNTIF($B$1:B1087,$A$2:$A$4629),0,0),0)))</f>
        <v/>
      </c>
      <c r="C1088" t="str">
        <f t="shared" si="16"/>
        <v/>
      </c>
    </row>
    <row r="1089" spans="1:3" x14ac:dyDescent="0.25">
      <c r="A1089" t="str">
        <f>IF(Scan2VK!I119&lt;&gt;"",Scan2VK!I119,"")</f>
        <v>_none_</v>
      </c>
      <c r="B1089" t="str">
        <f>IF(ISERROR(MATCH(0,INDEX(COUNTIF($B$1:B1088,$A$2:$A$4629),0,0),0)),"",INDEX($A$2:$A$4629,MATCH(0,INDEX(COUNTIF($B$1:B1088,$A$2:$A$4629),0,0),0)))</f>
        <v/>
      </c>
      <c r="C1089" t="str">
        <f t="shared" si="16"/>
        <v/>
      </c>
    </row>
    <row r="1090" spans="1:3" x14ac:dyDescent="0.25">
      <c r="A1090" t="str">
        <f>IF(Scan2VK!I120&lt;&gt;"",Scan2VK!I120,"")</f>
        <v>F24</v>
      </c>
      <c r="B1090" t="str">
        <f>IF(ISERROR(MATCH(0,INDEX(COUNTIF($B$1:B1089,$A$2:$A$4629),0,0),0)),"",INDEX($A$2:$A$4629,MATCH(0,INDEX(COUNTIF($B$1:B1089,$A$2:$A$4629),0,0),0)))</f>
        <v/>
      </c>
      <c r="C1090" t="str">
        <f t="shared" si="16"/>
        <v/>
      </c>
    </row>
    <row r="1091" spans="1:3" x14ac:dyDescent="0.25">
      <c r="A1091" t="str">
        <f>IF(Scan2VK!I121&lt;&gt;"",Scan2VK!I121,"")</f>
        <v>_none_</v>
      </c>
      <c r="B1091" t="str">
        <f>IF(ISERROR(MATCH(0,INDEX(COUNTIF($B$1:B1090,$A$2:$A$4629),0,0),0)),"",INDEX($A$2:$A$4629,MATCH(0,INDEX(COUNTIF($B$1:B1090,$A$2:$A$4629),0,0),0)))</f>
        <v/>
      </c>
      <c r="C1091" t="str">
        <f t="shared" ref="C1091:C1154" si="17">IF(B1091&lt;&gt;"","&lt;xs:enumeration value="""&amp;B1091&amp;"""/&gt;","")</f>
        <v/>
      </c>
    </row>
    <row r="1092" spans="1:3" x14ac:dyDescent="0.25">
      <c r="A1092" t="str">
        <f>IF(Scan2VK!I122&lt;&gt;"",Scan2VK!I122,"")</f>
        <v>_none_</v>
      </c>
      <c r="B1092" t="str">
        <f>IF(ISERROR(MATCH(0,INDEX(COUNTIF($B$1:B1091,$A$2:$A$4629),0,0),0)),"",INDEX($A$2:$A$4629,MATCH(0,INDEX(COUNTIF($B$1:B1091,$A$2:$A$4629),0,0),0)))</f>
        <v/>
      </c>
      <c r="C1092" t="str">
        <f t="shared" si="17"/>
        <v/>
      </c>
    </row>
    <row r="1093" spans="1:3" x14ac:dyDescent="0.25">
      <c r="A1093" t="str">
        <f>IF(Scan2VK!I123&lt;&gt;"",Scan2VK!I123,"")</f>
        <v>_none_</v>
      </c>
      <c r="B1093" t="str">
        <f>IF(ISERROR(MATCH(0,INDEX(COUNTIF($B$1:B1092,$A$2:$A$4629),0,0),0)),"",INDEX($A$2:$A$4629,MATCH(0,INDEX(COUNTIF($B$1:B1092,$A$2:$A$4629),0,0),0)))</f>
        <v/>
      </c>
      <c r="C1093" t="str">
        <f t="shared" si="17"/>
        <v/>
      </c>
    </row>
    <row r="1094" spans="1:3" x14ac:dyDescent="0.25">
      <c r="A1094" t="str">
        <f>IF(Scan2VK!I124&lt;&gt;"",Scan2VK!I124,"")</f>
        <v>_none_</v>
      </c>
      <c r="B1094" t="str">
        <f>IF(ISERROR(MATCH(0,INDEX(COUNTIF($B$1:B1093,$A$2:$A$4629),0,0),0)),"",INDEX($A$2:$A$4629,MATCH(0,INDEX(COUNTIF($B$1:B1093,$A$2:$A$4629),0,0),0)))</f>
        <v/>
      </c>
      <c r="C1094" t="str">
        <f t="shared" si="17"/>
        <v/>
      </c>
    </row>
    <row r="1095" spans="1:3" x14ac:dyDescent="0.25">
      <c r="A1095" t="str">
        <f>IF(Scan2VK!I125&lt;&gt;"",Scan2VK!I125,"")</f>
        <v>OEM_PA1</v>
      </c>
      <c r="B1095" t="str">
        <f>IF(ISERROR(MATCH(0,INDEX(COUNTIF($B$1:B1094,$A$2:$A$4629),0,0),0)),"",INDEX($A$2:$A$4629,MATCH(0,INDEX(COUNTIF($B$1:B1094,$A$2:$A$4629),0,0),0)))</f>
        <v/>
      </c>
      <c r="C1095" t="str">
        <f t="shared" si="17"/>
        <v/>
      </c>
    </row>
    <row r="1096" spans="1:3" x14ac:dyDescent="0.25">
      <c r="A1096" t="str">
        <f>IF(Scan2VK!I126&lt;&gt;"",Scan2VK!I126,"")</f>
        <v>TAB</v>
      </c>
      <c r="B1096" t="str">
        <f>IF(ISERROR(MATCH(0,INDEX(COUNTIF($B$1:B1095,$A$2:$A$4629),0,0),0)),"",INDEX($A$2:$A$4629,MATCH(0,INDEX(COUNTIF($B$1:B1095,$A$2:$A$4629),0,0),0)))</f>
        <v/>
      </c>
      <c r="C1096" t="str">
        <f t="shared" si="17"/>
        <v/>
      </c>
    </row>
    <row r="1097" spans="1:3" x14ac:dyDescent="0.25">
      <c r="A1097" t="str">
        <f>IF(Scan2VK!I127&lt;&gt;"",Scan2VK!I127,"")</f>
        <v>_none_</v>
      </c>
      <c r="B1097" t="str">
        <f>IF(ISERROR(MATCH(0,INDEX(COUNTIF($B$1:B1096,$A$2:$A$4629),0,0),0)),"",INDEX($A$2:$A$4629,MATCH(0,INDEX(COUNTIF($B$1:B1096,$A$2:$A$4629),0,0),0)))</f>
        <v/>
      </c>
      <c r="C1097" t="str">
        <f t="shared" si="17"/>
        <v/>
      </c>
    </row>
    <row r="1098" spans="1:3" x14ac:dyDescent="0.25">
      <c r="A1098" t="str">
        <f>IF(Scan2VK!I128&lt;&gt;"",Scan2VK!I128,"")</f>
        <v>ABNT_C2</v>
      </c>
      <c r="B1098" t="str">
        <f>IF(ISERROR(MATCH(0,INDEX(COUNTIF($B$1:B1097,$A$2:$A$4629),0,0),0)),"",INDEX($A$2:$A$4629,MATCH(0,INDEX(COUNTIF($B$1:B1097,$A$2:$A$4629),0,0),0)))</f>
        <v/>
      </c>
      <c r="C1098" t="str">
        <f t="shared" si="17"/>
        <v/>
      </c>
    </row>
    <row r="1099" spans="1:3" x14ac:dyDescent="0.25">
      <c r="A1099" t="str">
        <f>IF(Scan2VK!I129&lt;&gt;"",Scan2VK!I129,"")</f>
        <v>OEM_PA2</v>
      </c>
      <c r="B1099" t="str">
        <f>IF(ISERROR(MATCH(0,INDEX(COUNTIF($B$1:B1098,$A$2:$A$4629),0,0),0)),"",INDEX($A$2:$A$4629,MATCH(0,INDEX(COUNTIF($B$1:B1098,$A$2:$A$4629),0,0),0)))</f>
        <v/>
      </c>
      <c r="C1099" t="str">
        <f t="shared" si="17"/>
        <v/>
      </c>
    </row>
    <row r="1100" spans="1:3" x14ac:dyDescent="0.25">
      <c r="A1100" t="str">
        <f>IF(Scan2VK!I130&lt;&gt;"",Scan2VK!I130,"")</f>
        <v/>
      </c>
      <c r="B1100" t="str">
        <f>IF(ISERROR(MATCH(0,INDEX(COUNTIF($B$1:B1099,$A$2:$A$4629),0,0),0)),"",INDEX($A$2:$A$4629,MATCH(0,INDEX(COUNTIF($B$1:B1099,$A$2:$A$4629),0,0),0)))</f>
        <v/>
      </c>
      <c r="C1100" t="str">
        <f t="shared" si="17"/>
        <v/>
      </c>
    </row>
    <row r="1101" spans="1:3" x14ac:dyDescent="0.25">
      <c r="A1101" t="str">
        <f>IF(Scan2VK!I131&lt;&gt;"",Scan2VK!I131,"")</f>
        <v>MEDIA_PREV_TRACK</v>
      </c>
      <c r="B1101" t="str">
        <f>IF(ISERROR(MATCH(0,INDEX(COUNTIF($B$1:B1100,$A$2:$A$4629),0,0),0)),"",INDEX($A$2:$A$4629,MATCH(0,INDEX(COUNTIF($B$1:B1100,$A$2:$A$4629),0,0),0)))</f>
        <v/>
      </c>
      <c r="C1101" t="str">
        <f t="shared" si="17"/>
        <v/>
      </c>
    </row>
    <row r="1102" spans="1:3" x14ac:dyDescent="0.25">
      <c r="A1102" t="str">
        <f>IF(Scan2VK!I132&lt;&gt;"",Scan2VK!I132,"")</f>
        <v>MEDIA_NEXT_TRACK</v>
      </c>
      <c r="B1102" t="str">
        <f>IF(ISERROR(MATCH(0,INDEX(COUNTIF($B$1:B1101,$A$2:$A$4629),0,0),0)),"",INDEX($A$2:$A$4629,MATCH(0,INDEX(COUNTIF($B$1:B1101,$A$2:$A$4629),0,0),0)))</f>
        <v/>
      </c>
      <c r="C1102" t="str">
        <f t="shared" si="17"/>
        <v/>
      </c>
    </row>
    <row r="1103" spans="1:3" x14ac:dyDescent="0.25">
      <c r="A1103" t="str">
        <f>IF(Scan2VK!I133&lt;&gt;"",Scan2VK!I133,"")</f>
        <v>RETURN</v>
      </c>
      <c r="B1103" t="str">
        <f>IF(ISERROR(MATCH(0,INDEX(COUNTIF($B$1:B1102,$A$2:$A$4629),0,0),0)),"",INDEX($A$2:$A$4629,MATCH(0,INDEX(COUNTIF($B$1:B1102,$A$2:$A$4629),0,0),0)))</f>
        <v/>
      </c>
      <c r="C1103" t="str">
        <f t="shared" si="17"/>
        <v/>
      </c>
    </row>
    <row r="1104" spans="1:3" x14ac:dyDescent="0.25">
      <c r="A1104" t="str">
        <f>IF(Scan2VK!I134&lt;&gt;"",Scan2VK!I134,"")</f>
        <v>RCONTROL</v>
      </c>
      <c r="B1104" t="str">
        <f>IF(ISERROR(MATCH(0,INDEX(COUNTIF($B$1:B1103,$A$2:$A$4629),0,0),0)),"",INDEX($A$2:$A$4629,MATCH(0,INDEX(COUNTIF($B$1:B1103,$A$2:$A$4629),0,0),0)))</f>
        <v/>
      </c>
      <c r="C1104" t="str">
        <f t="shared" si="17"/>
        <v/>
      </c>
    </row>
    <row r="1105" spans="1:3" x14ac:dyDescent="0.25">
      <c r="A1105" t="str">
        <f>IF(Scan2VK!I135&lt;&gt;"",Scan2VK!I135,"")</f>
        <v>VOLUME_MUTE</v>
      </c>
      <c r="B1105" t="str">
        <f>IF(ISERROR(MATCH(0,INDEX(COUNTIF($B$1:B1104,$A$2:$A$4629),0,0),0)),"",INDEX($A$2:$A$4629,MATCH(0,INDEX(COUNTIF($B$1:B1104,$A$2:$A$4629),0,0),0)))</f>
        <v/>
      </c>
      <c r="C1105" t="str">
        <f t="shared" si="17"/>
        <v/>
      </c>
    </row>
    <row r="1106" spans="1:3" x14ac:dyDescent="0.25">
      <c r="A1106" t="str">
        <f>IF(Scan2VK!I136&lt;&gt;"",Scan2VK!I136,"")</f>
        <v>LAUNCH_APP2</v>
      </c>
      <c r="B1106" t="str">
        <f>IF(ISERROR(MATCH(0,INDEX(COUNTIF($B$1:B1105,$A$2:$A$4629),0,0),0)),"",INDEX($A$2:$A$4629,MATCH(0,INDEX(COUNTIF($B$1:B1105,$A$2:$A$4629),0,0),0)))</f>
        <v/>
      </c>
      <c r="C1106" t="str">
        <f t="shared" si="17"/>
        <v/>
      </c>
    </row>
    <row r="1107" spans="1:3" x14ac:dyDescent="0.25">
      <c r="A1107" t="str">
        <f>IF(Scan2VK!I137&lt;&gt;"",Scan2VK!I137,"")</f>
        <v>MEDIA_PLAY_PAUSE</v>
      </c>
      <c r="B1107" t="str">
        <f>IF(ISERROR(MATCH(0,INDEX(COUNTIF($B$1:B1106,$A$2:$A$4629),0,0),0)),"",INDEX($A$2:$A$4629,MATCH(0,INDEX(COUNTIF($B$1:B1106,$A$2:$A$4629),0,0),0)))</f>
        <v/>
      </c>
      <c r="C1107" t="str">
        <f t="shared" si="17"/>
        <v/>
      </c>
    </row>
    <row r="1108" spans="1:3" x14ac:dyDescent="0.25">
      <c r="A1108" t="str">
        <f>IF(Scan2VK!I138&lt;&gt;"",Scan2VK!I138,"")</f>
        <v>MEDIA_STOP</v>
      </c>
      <c r="B1108" t="str">
        <f>IF(ISERROR(MATCH(0,INDEX(COUNTIF($B$1:B1107,$A$2:$A$4629),0,0),0)),"",INDEX($A$2:$A$4629,MATCH(0,INDEX(COUNTIF($B$1:B1107,$A$2:$A$4629),0,0),0)))</f>
        <v/>
      </c>
      <c r="C1108" t="str">
        <f t="shared" si="17"/>
        <v/>
      </c>
    </row>
    <row r="1109" spans="1:3" x14ac:dyDescent="0.25">
      <c r="A1109" t="str">
        <f>IF(Scan2VK!I139&lt;&gt;"",Scan2VK!I139,"")</f>
        <v>VOLUME_DOWN</v>
      </c>
      <c r="B1109" t="str">
        <f>IF(ISERROR(MATCH(0,INDEX(COUNTIF($B$1:B1108,$A$2:$A$4629),0,0),0)),"",INDEX($A$2:$A$4629,MATCH(0,INDEX(COUNTIF($B$1:B1108,$A$2:$A$4629),0,0),0)))</f>
        <v/>
      </c>
      <c r="C1109" t="str">
        <f t="shared" si="17"/>
        <v/>
      </c>
    </row>
    <row r="1110" spans="1:3" x14ac:dyDescent="0.25">
      <c r="A1110" t="str">
        <f>IF(Scan2VK!I140&lt;&gt;"",Scan2VK!I140,"")</f>
        <v>VOLUME_UP</v>
      </c>
      <c r="B1110" t="str">
        <f>IF(ISERROR(MATCH(0,INDEX(COUNTIF($B$1:B1109,$A$2:$A$4629),0,0),0)),"",INDEX($A$2:$A$4629,MATCH(0,INDEX(COUNTIF($B$1:B1109,$A$2:$A$4629),0,0),0)))</f>
        <v/>
      </c>
      <c r="C1110" t="str">
        <f t="shared" si="17"/>
        <v/>
      </c>
    </row>
    <row r="1111" spans="1:3" x14ac:dyDescent="0.25">
      <c r="A1111" t="str">
        <f>IF(Scan2VK!I141&lt;&gt;"",Scan2VK!I141,"")</f>
        <v>BROWSER_HOME</v>
      </c>
      <c r="B1111" t="str">
        <f>IF(ISERROR(MATCH(0,INDEX(COUNTIF($B$1:B1110,$A$2:$A$4629),0,0),0)),"",INDEX($A$2:$A$4629,MATCH(0,INDEX(COUNTIF($B$1:B1110,$A$2:$A$4629),0,0),0)))</f>
        <v/>
      </c>
      <c r="C1111" t="str">
        <f t="shared" si="17"/>
        <v/>
      </c>
    </row>
    <row r="1112" spans="1:3" x14ac:dyDescent="0.25">
      <c r="A1112" t="str">
        <f>IF(Scan2VK!I142&lt;&gt;"",Scan2VK!I142,"")</f>
        <v/>
      </c>
      <c r="B1112" t="str">
        <f>IF(ISERROR(MATCH(0,INDEX(COUNTIF($B$1:B1111,$A$2:$A$4629),0,0),0)),"",INDEX($A$2:$A$4629,MATCH(0,INDEX(COUNTIF($B$1:B1111,$A$2:$A$4629),0,0),0)))</f>
        <v/>
      </c>
      <c r="C1112" t="str">
        <f t="shared" si="17"/>
        <v/>
      </c>
    </row>
    <row r="1113" spans="1:3" x14ac:dyDescent="0.25">
      <c r="A1113" t="str">
        <f>IF(Scan2VK!I143&lt;&gt;"",Scan2VK!I143,"")</f>
        <v>DIVIDE</v>
      </c>
      <c r="B1113" t="str">
        <f>IF(ISERROR(MATCH(0,INDEX(COUNTIF($B$1:B1112,$A$2:$A$4629),0,0),0)),"",INDEX($A$2:$A$4629,MATCH(0,INDEX(COUNTIF($B$1:B1112,$A$2:$A$4629),0,0),0)))</f>
        <v/>
      </c>
      <c r="C1113" t="str">
        <f t="shared" si="17"/>
        <v/>
      </c>
    </row>
    <row r="1114" spans="1:3" x14ac:dyDescent="0.25">
      <c r="A1114" t="str">
        <f>IF(Scan2VK!I144&lt;&gt;"",Scan2VK!I144,"")</f>
        <v>SNAPSHOT</v>
      </c>
      <c r="B1114" t="str">
        <f>IF(ISERROR(MATCH(0,INDEX(COUNTIF($B$1:B1113,$A$2:$A$4629),0,0),0)),"",INDEX($A$2:$A$4629,MATCH(0,INDEX(COUNTIF($B$1:B1113,$A$2:$A$4629),0,0),0)))</f>
        <v/>
      </c>
      <c r="C1114" t="str">
        <f t="shared" si="17"/>
        <v/>
      </c>
    </row>
    <row r="1115" spans="1:3" x14ac:dyDescent="0.25">
      <c r="A1115" t="str">
        <f>IF(Scan2VK!I145&lt;&gt;"",Scan2VK!I145,"")</f>
        <v>RMENU</v>
      </c>
      <c r="B1115" t="str">
        <f>IF(ISERROR(MATCH(0,INDEX(COUNTIF($B$1:B1114,$A$2:$A$4629),0,0),0)),"",INDEX($A$2:$A$4629,MATCH(0,INDEX(COUNTIF($B$1:B1114,$A$2:$A$4629),0,0),0)))</f>
        <v/>
      </c>
      <c r="C1115" t="str">
        <f t="shared" si="17"/>
        <v/>
      </c>
    </row>
    <row r="1116" spans="1:3" x14ac:dyDescent="0.25">
      <c r="A1116" t="str">
        <f>IF(Scan2VK!I146&lt;&gt;"",Scan2VK!I146,"")</f>
        <v/>
      </c>
      <c r="B1116" t="str">
        <f>IF(ISERROR(MATCH(0,INDEX(COUNTIF($B$1:B1115,$A$2:$A$4629),0,0),0)),"",INDEX($A$2:$A$4629,MATCH(0,INDEX(COUNTIF($B$1:B1115,$A$2:$A$4629),0,0),0)))</f>
        <v/>
      </c>
      <c r="C1116" t="str">
        <f t="shared" si="17"/>
        <v/>
      </c>
    </row>
    <row r="1117" spans="1:3" x14ac:dyDescent="0.25">
      <c r="A1117" t="str">
        <f>IF(Scan2VK!I147&lt;&gt;"",Scan2VK!I147,"")</f>
        <v/>
      </c>
      <c r="B1117" t="str">
        <f>IF(ISERROR(MATCH(0,INDEX(COUNTIF($B$1:B1116,$A$2:$A$4629),0,0),0)),"",INDEX($A$2:$A$4629,MATCH(0,INDEX(COUNTIF($B$1:B1116,$A$2:$A$4629),0,0),0)))</f>
        <v/>
      </c>
      <c r="C1117" t="str">
        <f t="shared" si="17"/>
        <v/>
      </c>
    </row>
    <row r="1118" spans="1:3" x14ac:dyDescent="0.25">
      <c r="A1118" t="str">
        <f>IF(Scan2VK!I148&lt;&gt;"",Scan2VK!I148,"")</f>
        <v/>
      </c>
      <c r="B1118" t="str">
        <f>IF(ISERROR(MATCH(0,INDEX(COUNTIF($B$1:B1117,$A$2:$A$4629),0,0),0)),"",INDEX($A$2:$A$4629,MATCH(0,INDEX(COUNTIF($B$1:B1117,$A$2:$A$4629),0,0),0)))</f>
        <v/>
      </c>
      <c r="C1118" t="str">
        <f t="shared" si="17"/>
        <v/>
      </c>
    </row>
    <row r="1119" spans="1:3" x14ac:dyDescent="0.25">
      <c r="A1119" t="str">
        <f>IF(Scan2VK!I149&lt;&gt;"",Scan2VK!I149,"")</f>
        <v/>
      </c>
      <c r="B1119" t="str">
        <f>IF(ISERROR(MATCH(0,INDEX(COUNTIF($B$1:B1118,$A$2:$A$4629),0,0),0)),"",INDEX($A$2:$A$4629,MATCH(0,INDEX(COUNTIF($B$1:B1118,$A$2:$A$4629),0,0),0)))</f>
        <v/>
      </c>
      <c r="C1119" t="str">
        <f t="shared" si="17"/>
        <v/>
      </c>
    </row>
    <row r="1120" spans="1:3" x14ac:dyDescent="0.25">
      <c r="A1120" t="str">
        <f>IF(Scan2VK!I150&lt;&gt;"",Scan2VK!I150,"")</f>
        <v/>
      </c>
      <c r="B1120" t="str">
        <f>IF(ISERROR(MATCH(0,INDEX(COUNTIF($B$1:B1119,$A$2:$A$4629),0,0),0)),"",INDEX($A$2:$A$4629,MATCH(0,INDEX(COUNTIF($B$1:B1119,$A$2:$A$4629),0,0),0)))</f>
        <v/>
      </c>
      <c r="C1120" t="str">
        <f t="shared" si="17"/>
        <v/>
      </c>
    </row>
    <row r="1121" spans="1:3" x14ac:dyDescent="0.25">
      <c r="A1121" t="str">
        <f>IF(Scan2VK!I151&lt;&gt;"",Scan2VK!I151,"")</f>
        <v/>
      </c>
      <c r="B1121" t="str">
        <f>IF(ISERROR(MATCH(0,INDEX(COUNTIF($B$1:B1120,$A$2:$A$4629),0,0),0)),"",INDEX($A$2:$A$4629,MATCH(0,INDEX(COUNTIF($B$1:B1120,$A$2:$A$4629),0,0),0)))</f>
        <v/>
      </c>
      <c r="C1121" t="str">
        <f t="shared" si="17"/>
        <v/>
      </c>
    </row>
    <row r="1122" spans="1:3" x14ac:dyDescent="0.25">
      <c r="A1122" t="str">
        <f>IF(Scan2VK!I152&lt;&gt;"",Scan2VK!I152,"")</f>
        <v/>
      </c>
      <c r="B1122" t="str">
        <f>IF(ISERROR(MATCH(0,INDEX(COUNTIF($B$1:B1121,$A$2:$A$4629),0,0),0)),"",INDEX($A$2:$A$4629,MATCH(0,INDEX(COUNTIF($B$1:B1121,$A$2:$A$4629),0,0),0)))</f>
        <v/>
      </c>
      <c r="C1122" t="str">
        <f t="shared" si="17"/>
        <v/>
      </c>
    </row>
    <row r="1123" spans="1:3" x14ac:dyDescent="0.25">
      <c r="A1123" t="str">
        <f>IF(Scan2VK!I153&lt;&gt;"",Scan2VK!I153,"")</f>
        <v/>
      </c>
      <c r="B1123" t="str">
        <f>IF(ISERROR(MATCH(0,INDEX(COUNTIF($B$1:B1122,$A$2:$A$4629),0,0),0)),"",INDEX($A$2:$A$4629,MATCH(0,INDEX(COUNTIF($B$1:B1122,$A$2:$A$4629),0,0),0)))</f>
        <v/>
      </c>
      <c r="C1123" t="str">
        <f t="shared" si="17"/>
        <v/>
      </c>
    </row>
    <row r="1124" spans="1:3" x14ac:dyDescent="0.25">
      <c r="A1124" t="str">
        <f>IF(Scan2VK!I154&lt;&gt;"",Scan2VK!I154,"")</f>
        <v>CANCEL</v>
      </c>
      <c r="B1124" t="str">
        <f>IF(ISERROR(MATCH(0,INDEX(COUNTIF($B$1:B1123,$A$2:$A$4629),0,0),0)),"",INDEX($A$2:$A$4629,MATCH(0,INDEX(COUNTIF($B$1:B1123,$A$2:$A$4629),0,0),0)))</f>
        <v/>
      </c>
      <c r="C1124" t="str">
        <f t="shared" si="17"/>
        <v/>
      </c>
    </row>
    <row r="1125" spans="1:3" x14ac:dyDescent="0.25">
      <c r="A1125" t="str">
        <f>IF(Scan2VK!I155&lt;&gt;"",Scan2VK!I155,"")</f>
        <v>HOME</v>
      </c>
      <c r="B1125" t="str">
        <f>IF(ISERROR(MATCH(0,INDEX(COUNTIF($B$1:B1124,$A$2:$A$4629),0,0),0)),"",INDEX($A$2:$A$4629,MATCH(0,INDEX(COUNTIF($B$1:B1124,$A$2:$A$4629),0,0),0)))</f>
        <v/>
      </c>
      <c r="C1125" t="str">
        <f t="shared" si="17"/>
        <v/>
      </c>
    </row>
    <row r="1126" spans="1:3" x14ac:dyDescent="0.25">
      <c r="A1126" t="str">
        <f>IF(Scan2VK!I156&lt;&gt;"",Scan2VK!I156,"")</f>
        <v>UP</v>
      </c>
      <c r="B1126" t="str">
        <f>IF(ISERROR(MATCH(0,INDEX(COUNTIF($B$1:B1125,$A$2:$A$4629),0,0),0)),"",INDEX($A$2:$A$4629,MATCH(0,INDEX(COUNTIF($B$1:B1125,$A$2:$A$4629),0,0),0)))</f>
        <v/>
      </c>
      <c r="C1126" t="str">
        <f t="shared" si="17"/>
        <v/>
      </c>
    </row>
    <row r="1127" spans="1:3" x14ac:dyDescent="0.25">
      <c r="A1127" t="str">
        <f>IF(Scan2VK!I157&lt;&gt;"",Scan2VK!I157,"")</f>
        <v>PRIOR</v>
      </c>
      <c r="B1127" t="str">
        <f>IF(ISERROR(MATCH(0,INDEX(COUNTIF($B$1:B1126,$A$2:$A$4629),0,0),0)),"",INDEX($A$2:$A$4629,MATCH(0,INDEX(COUNTIF($B$1:B1126,$A$2:$A$4629),0,0),0)))</f>
        <v/>
      </c>
      <c r="C1127" t="str">
        <f t="shared" si="17"/>
        <v/>
      </c>
    </row>
    <row r="1128" spans="1:3" x14ac:dyDescent="0.25">
      <c r="A1128" t="str">
        <f>IF(Scan2VK!I158&lt;&gt;"",Scan2VK!I158,"")</f>
        <v>LEFT</v>
      </c>
      <c r="B1128" t="str">
        <f>IF(ISERROR(MATCH(0,INDEX(COUNTIF($B$1:B1127,$A$2:$A$4629),0,0),0)),"",INDEX($A$2:$A$4629,MATCH(0,INDEX(COUNTIF($B$1:B1127,$A$2:$A$4629),0,0),0)))</f>
        <v/>
      </c>
      <c r="C1128" t="str">
        <f t="shared" si="17"/>
        <v/>
      </c>
    </row>
    <row r="1129" spans="1:3" x14ac:dyDescent="0.25">
      <c r="A1129" t="str">
        <f>IF(Scan2VK!I159&lt;&gt;"",Scan2VK!I159,"")</f>
        <v>RIGHT</v>
      </c>
      <c r="B1129" t="str">
        <f>IF(ISERROR(MATCH(0,INDEX(COUNTIF($B$1:B1128,$A$2:$A$4629),0,0),0)),"",INDEX($A$2:$A$4629,MATCH(0,INDEX(COUNTIF($B$1:B1128,$A$2:$A$4629),0,0),0)))</f>
        <v/>
      </c>
      <c r="C1129" t="str">
        <f t="shared" si="17"/>
        <v/>
      </c>
    </row>
    <row r="1130" spans="1:3" x14ac:dyDescent="0.25">
      <c r="A1130" t="str">
        <f>IF(Scan2VK!I160&lt;&gt;"",Scan2VK!I160,"")</f>
        <v>END</v>
      </c>
      <c r="B1130" t="str">
        <f>IF(ISERROR(MATCH(0,INDEX(COUNTIF($B$1:B1129,$A$2:$A$4629),0,0),0)),"",INDEX($A$2:$A$4629,MATCH(0,INDEX(COUNTIF($B$1:B1129,$A$2:$A$4629),0,0),0)))</f>
        <v/>
      </c>
      <c r="C1130" t="str">
        <f t="shared" si="17"/>
        <v/>
      </c>
    </row>
    <row r="1131" spans="1:3" x14ac:dyDescent="0.25">
      <c r="A1131" t="str">
        <f>IF(Scan2VK!I161&lt;&gt;"",Scan2VK!I161,"")</f>
        <v>DOWN</v>
      </c>
      <c r="B1131" t="str">
        <f>IF(ISERROR(MATCH(0,INDEX(COUNTIF($B$1:B1130,$A$2:$A$4629),0,0),0)),"",INDEX($A$2:$A$4629,MATCH(0,INDEX(COUNTIF($B$1:B1130,$A$2:$A$4629),0,0),0)))</f>
        <v/>
      </c>
      <c r="C1131" t="str">
        <f t="shared" si="17"/>
        <v/>
      </c>
    </row>
    <row r="1132" spans="1:3" x14ac:dyDescent="0.25">
      <c r="A1132" t="str">
        <f>IF(Scan2VK!I162&lt;&gt;"",Scan2VK!I162,"")</f>
        <v>OEM_PA2</v>
      </c>
      <c r="B1132" t="str">
        <f>IF(ISERROR(MATCH(0,INDEX(COUNTIF($B$1:B1131,$A$2:$A$4629),0,0),0)),"",INDEX($A$2:$A$4629,MATCH(0,INDEX(COUNTIF($B$1:B1131,$A$2:$A$4629),0,0),0)))</f>
        <v/>
      </c>
      <c r="C1132" t="str">
        <f t="shared" si="17"/>
        <v/>
      </c>
    </row>
    <row r="1133" spans="1:3" x14ac:dyDescent="0.25">
      <c r="A1133" t="str">
        <f>IF(Scan2VK!I163&lt;&gt;"",Scan2VK!I163,"")</f>
        <v>INSERT</v>
      </c>
      <c r="B1133" t="str">
        <f>IF(ISERROR(MATCH(0,INDEX(COUNTIF($B$1:B1132,$A$2:$A$4629),0,0),0)),"",INDEX($A$2:$A$4629,MATCH(0,INDEX(COUNTIF($B$1:B1132,$A$2:$A$4629),0,0),0)))</f>
        <v/>
      </c>
      <c r="C1133" t="str">
        <f t="shared" si="17"/>
        <v/>
      </c>
    </row>
    <row r="1134" spans="1:3" x14ac:dyDescent="0.25">
      <c r="A1134" t="str">
        <f>IF(Scan2VK!I164&lt;&gt;"",Scan2VK!I164,"")</f>
        <v>DELETE</v>
      </c>
      <c r="B1134" t="str">
        <f>IF(ISERROR(MATCH(0,INDEX(COUNTIF($B$1:B1133,$A$2:$A$4629),0,0),0)),"",INDEX($A$2:$A$4629,MATCH(0,INDEX(COUNTIF($B$1:B1133,$A$2:$A$4629),0,0),0)))</f>
        <v/>
      </c>
      <c r="C1134" t="str">
        <f t="shared" si="17"/>
        <v/>
      </c>
    </row>
    <row r="1135" spans="1:3" x14ac:dyDescent="0.25">
      <c r="A1135" t="str">
        <f>IF(Scan2VK!I165&lt;&gt;"",Scan2VK!I165,"")</f>
        <v>LWIN</v>
      </c>
      <c r="B1135" t="str">
        <f>IF(ISERROR(MATCH(0,INDEX(COUNTIF($B$1:B1134,$A$2:$A$4629),0,0),0)),"",INDEX($A$2:$A$4629,MATCH(0,INDEX(COUNTIF($B$1:B1134,$A$2:$A$4629),0,0),0)))</f>
        <v/>
      </c>
      <c r="C1135" t="str">
        <f t="shared" si="17"/>
        <v/>
      </c>
    </row>
    <row r="1136" spans="1:3" x14ac:dyDescent="0.25">
      <c r="A1136" t="str">
        <f>IF(Scan2VK!I166&lt;&gt;"",Scan2VK!I166,"")</f>
        <v>RWIN</v>
      </c>
      <c r="B1136" t="str">
        <f>IF(ISERROR(MATCH(0,INDEX(COUNTIF($B$1:B1135,$A$2:$A$4629),0,0),0)),"",INDEX($A$2:$A$4629,MATCH(0,INDEX(COUNTIF($B$1:B1135,$A$2:$A$4629),0,0),0)))</f>
        <v/>
      </c>
      <c r="C1136" t="str">
        <f t="shared" si="17"/>
        <v/>
      </c>
    </row>
    <row r="1137" spans="1:3" x14ac:dyDescent="0.25">
      <c r="A1137" t="str">
        <f>IF(Scan2VK!I167&lt;&gt;"",Scan2VK!I167,"")</f>
        <v>APPS</v>
      </c>
      <c r="B1137" t="str">
        <f>IF(ISERROR(MATCH(0,INDEX(COUNTIF($B$1:B1136,$A$2:$A$4629),0,0),0)),"",INDEX($A$2:$A$4629,MATCH(0,INDEX(COUNTIF($B$1:B1136,$A$2:$A$4629),0,0),0)))</f>
        <v/>
      </c>
      <c r="C1137" t="str">
        <f t="shared" si="17"/>
        <v/>
      </c>
    </row>
    <row r="1138" spans="1:3" x14ac:dyDescent="0.25">
      <c r="A1138" t="str">
        <f>IF(Scan2VK!I168&lt;&gt;"",Scan2VK!I168,"")</f>
        <v>POWER</v>
      </c>
      <c r="B1138" t="str">
        <f>IF(ISERROR(MATCH(0,INDEX(COUNTIF($B$1:B1137,$A$2:$A$4629),0,0),0)),"",INDEX($A$2:$A$4629,MATCH(0,INDEX(COUNTIF($B$1:B1137,$A$2:$A$4629),0,0),0)))</f>
        <v/>
      </c>
      <c r="C1138" t="str">
        <f t="shared" si="17"/>
        <v/>
      </c>
    </row>
    <row r="1139" spans="1:3" x14ac:dyDescent="0.25">
      <c r="A1139" t="str">
        <f>IF(Scan2VK!I169&lt;&gt;"",Scan2VK!I169,"")</f>
        <v>SLEEP</v>
      </c>
      <c r="B1139" t="str">
        <f>IF(ISERROR(MATCH(0,INDEX(COUNTIF($B$1:B1138,$A$2:$A$4629),0,0),0)),"",INDEX($A$2:$A$4629,MATCH(0,INDEX(COUNTIF($B$1:B1138,$A$2:$A$4629),0,0),0)))</f>
        <v/>
      </c>
      <c r="C1139" t="str">
        <f t="shared" si="17"/>
        <v/>
      </c>
    </row>
    <row r="1140" spans="1:3" x14ac:dyDescent="0.25">
      <c r="A1140" t="str">
        <f>IF(Scan2VK!I170&lt;&gt;"",Scan2VK!I170,"")</f>
        <v/>
      </c>
      <c r="B1140" t="str">
        <f>IF(ISERROR(MATCH(0,INDEX(COUNTIF($B$1:B1139,$A$2:$A$4629),0,0),0)),"",INDEX($A$2:$A$4629,MATCH(0,INDEX(COUNTIF($B$1:B1139,$A$2:$A$4629),0,0),0)))</f>
        <v/>
      </c>
      <c r="C1140" t="str">
        <f t="shared" si="17"/>
        <v/>
      </c>
    </row>
    <row r="1141" spans="1:3" x14ac:dyDescent="0.25">
      <c r="A1141" t="str">
        <f>IF(Scan2VK!I171&lt;&gt;"",Scan2VK!I171,"")</f>
        <v/>
      </c>
      <c r="B1141" t="str">
        <f>IF(ISERROR(MATCH(0,INDEX(COUNTIF($B$1:B1140,$A$2:$A$4629),0,0),0)),"",INDEX($A$2:$A$4629,MATCH(0,INDEX(COUNTIF($B$1:B1140,$A$2:$A$4629),0,0),0)))</f>
        <v/>
      </c>
      <c r="C1141" t="str">
        <f t="shared" si="17"/>
        <v/>
      </c>
    </row>
    <row r="1142" spans="1:3" x14ac:dyDescent="0.25">
      <c r="A1142" t="str">
        <f>IF(Scan2VK!I172&lt;&gt;"",Scan2VK!I172,"")</f>
        <v/>
      </c>
      <c r="B1142" t="str">
        <f>IF(ISERROR(MATCH(0,INDEX(COUNTIF($B$1:B1141,$A$2:$A$4629),0,0),0)),"",INDEX($A$2:$A$4629,MATCH(0,INDEX(COUNTIF($B$1:B1141,$A$2:$A$4629),0,0),0)))</f>
        <v/>
      </c>
      <c r="C1142" t="str">
        <f t="shared" si="17"/>
        <v/>
      </c>
    </row>
    <row r="1143" spans="1:3" x14ac:dyDescent="0.25">
      <c r="A1143" t="str">
        <f>IF(Scan2VK!I173&lt;&gt;"",Scan2VK!I173,"")</f>
        <v/>
      </c>
      <c r="B1143" t="str">
        <f>IF(ISERROR(MATCH(0,INDEX(COUNTIF($B$1:B1142,$A$2:$A$4629),0,0),0)),"",INDEX($A$2:$A$4629,MATCH(0,INDEX(COUNTIF($B$1:B1142,$A$2:$A$4629),0,0),0)))</f>
        <v/>
      </c>
      <c r="C1143" t="str">
        <f t="shared" si="17"/>
        <v/>
      </c>
    </row>
    <row r="1144" spans="1:3" x14ac:dyDescent="0.25">
      <c r="A1144" t="str">
        <f>IF(Scan2VK!I174&lt;&gt;"",Scan2VK!I174,"")</f>
        <v/>
      </c>
      <c r="B1144" t="str">
        <f>IF(ISERROR(MATCH(0,INDEX(COUNTIF($B$1:B1143,$A$2:$A$4629),0,0),0)),"",INDEX($A$2:$A$4629,MATCH(0,INDEX(COUNTIF($B$1:B1143,$A$2:$A$4629),0,0),0)))</f>
        <v/>
      </c>
      <c r="C1144" t="str">
        <f t="shared" si="17"/>
        <v/>
      </c>
    </row>
    <row r="1145" spans="1:3" x14ac:dyDescent="0.25">
      <c r="A1145" t="str">
        <f>IF(Scan2VK!I175&lt;&gt;"",Scan2VK!I175,"")</f>
        <v>BROWSER_SEARCH</v>
      </c>
      <c r="B1145" t="str">
        <f>IF(ISERROR(MATCH(0,INDEX(COUNTIF($B$1:B1144,$A$2:$A$4629),0,0),0)),"",INDEX($A$2:$A$4629,MATCH(0,INDEX(COUNTIF($B$1:B1144,$A$2:$A$4629),0,0),0)))</f>
        <v/>
      </c>
      <c r="C1145" t="str">
        <f t="shared" si="17"/>
        <v/>
      </c>
    </row>
    <row r="1146" spans="1:3" x14ac:dyDescent="0.25">
      <c r="A1146" t="str">
        <f>IF(Scan2VK!I176&lt;&gt;"",Scan2VK!I176,"")</f>
        <v>BROWSER_FAVORITES</v>
      </c>
      <c r="B1146" t="str">
        <f>IF(ISERROR(MATCH(0,INDEX(COUNTIF($B$1:B1145,$A$2:$A$4629),0,0),0)),"",INDEX($A$2:$A$4629,MATCH(0,INDEX(COUNTIF($B$1:B1145,$A$2:$A$4629),0,0),0)))</f>
        <v/>
      </c>
      <c r="C1146" t="str">
        <f t="shared" si="17"/>
        <v/>
      </c>
    </row>
    <row r="1147" spans="1:3" x14ac:dyDescent="0.25">
      <c r="A1147" t="str">
        <f>IF(Scan2VK!I177&lt;&gt;"",Scan2VK!I177,"")</f>
        <v>BROWSER_REFRESH</v>
      </c>
      <c r="B1147" t="str">
        <f>IF(ISERROR(MATCH(0,INDEX(COUNTIF($B$1:B1146,$A$2:$A$4629),0,0),0)),"",INDEX($A$2:$A$4629,MATCH(0,INDEX(COUNTIF($B$1:B1146,$A$2:$A$4629),0,0),0)))</f>
        <v/>
      </c>
      <c r="C1147" t="str">
        <f t="shared" si="17"/>
        <v/>
      </c>
    </row>
    <row r="1148" spans="1:3" x14ac:dyDescent="0.25">
      <c r="A1148" t="str">
        <f>IF(Scan2VK!I178&lt;&gt;"",Scan2VK!I178,"")</f>
        <v>BROWSER_STOP</v>
      </c>
      <c r="B1148" t="str">
        <f>IF(ISERROR(MATCH(0,INDEX(COUNTIF($B$1:B1147,$A$2:$A$4629),0,0),0)),"",INDEX($A$2:$A$4629,MATCH(0,INDEX(COUNTIF($B$1:B1147,$A$2:$A$4629),0,0),0)))</f>
        <v/>
      </c>
      <c r="C1148" t="str">
        <f t="shared" si="17"/>
        <v/>
      </c>
    </row>
    <row r="1149" spans="1:3" x14ac:dyDescent="0.25">
      <c r="A1149" t="str">
        <f>IF(Scan2VK!I179&lt;&gt;"",Scan2VK!I179,"")</f>
        <v>BROWSER_FORWARD</v>
      </c>
      <c r="B1149" t="str">
        <f>IF(ISERROR(MATCH(0,INDEX(COUNTIF($B$1:B1148,$A$2:$A$4629),0,0),0)),"",INDEX($A$2:$A$4629,MATCH(0,INDEX(COUNTIF($B$1:B1148,$A$2:$A$4629),0,0),0)))</f>
        <v/>
      </c>
      <c r="C1149" t="str">
        <f t="shared" si="17"/>
        <v/>
      </c>
    </row>
    <row r="1150" spans="1:3" x14ac:dyDescent="0.25">
      <c r="A1150" t="str">
        <f>IF(Scan2VK!I180&lt;&gt;"",Scan2VK!I180,"")</f>
        <v>BROWSER_BACK</v>
      </c>
      <c r="B1150" t="str">
        <f>IF(ISERROR(MATCH(0,INDEX(COUNTIF($B$1:B1149,$A$2:$A$4629),0,0),0)),"",INDEX($A$2:$A$4629,MATCH(0,INDEX(COUNTIF($B$1:B1149,$A$2:$A$4629),0,0),0)))</f>
        <v/>
      </c>
      <c r="C1150" t="str">
        <f t="shared" si="17"/>
        <v/>
      </c>
    </row>
    <row r="1151" spans="1:3" x14ac:dyDescent="0.25">
      <c r="A1151" t="str">
        <f>IF(Scan2VK!I181&lt;&gt;"",Scan2VK!I181,"")</f>
        <v>LAUNCH_APP1</v>
      </c>
      <c r="B1151" t="str">
        <f>IF(ISERROR(MATCH(0,INDEX(COUNTIF($B$1:B1150,$A$2:$A$4629),0,0),0)),"",INDEX($A$2:$A$4629,MATCH(0,INDEX(COUNTIF($B$1:B1150,$A$2:$A$4629),0,0),0)))</f>
        <v/>
      </c>
      <c r="C1151" t="str">
        <f t="shared" si="17"/>
        <v/>
      </c>
    </row>
    <row r="1152" spans="1:3" x14ac:dyDescent="0.25">
      <c r="A1152" t="str">
        <f>IF(Scan2VK!I182&lt;&gt;"",Scan2VK!I182,"")</f>
        <v>LAUNCH_MAIL</v>
      </c>
      <c r="B1152" t="str">
        <f>IF(ISERROR(MATCH(0,INDEX(COUNTIF($B$1:B1151,$A$2:$A$4629),0,0),0)),"",INDEX($A$2:$A$4629,MATCH(0,INDEX(COUNTIF($B$1:B1151,$A$2:$A$4629),0,0),0)))</f>
        <v/>
      </c>
      <c r="C1152" t="str">
        <f t="shared" si="17"/>
        <v/>
      </c>
    </row>
    <row r="1153" spans="1:3" x14ac:dyDescent="0.25">
      <c r="A1153" t="str">
        <f>IF(Scan2VK!I183&lt;&gt;"",Scan2VK!I183,"")</f>
        <v>LAUNCH_MEDIA_SELECT</v>
      </c>
      <c r="B1153" t="str">
        <f>IF(ISERROR(MATCH(0,INDEX(COUNTIF($B$1:B1152,$A$2:$A$4629),0,0),0)),"",INDEX($A$2:$A$4629,MATCH(0,INDEX(COUNTIF($B$1:B1152,$A$2:$A$4629),0,0),0)))</f>
        <v/>
      </c>
      <c r="C1153" t="str">
        <f t="shared" si="17"/>
        <v/>
      </c>
    </row>
    <row r="1154" spans="1:3" x14ac:dyDescent="0.25">
      <c r="A1154" t="str">
        <f>IF(Scan2VK!I184&lt;&gt;"",Scan2VK!I184,"")</f>
        <v/>
      </c>
      <c r="B1154" t="str">
        <f>IF(ISERROR(MATCH(0,INDEX(COUNTIF($B$1:B1153,$A$2:$A$4629),0,0),0)),"",INDEX($A$2:$A$4629,MATCH(0,INDEX(COUNTIF($B$1:B1153,$A$2:$A$4629),0,0),0)))</f>
        <v/>
      </c>
      <c r="C1154" t="str">
        <f t="shared" si="17"/>
        <v/>
      </c>
    </row>
    <row r="1155" spans="1:3" x14ac:dyDescent="0.25">
      <c r="A1155" t="str">
        <f>IF(Scan2VK!I185&lt;&gt;"",Scan2VK!I185,"")</f>
        <v/>
      </c>
      <c r="B1155" t="str">
        <f>IF(ISERROR(MATCH(0,INDEX(COUNTIF($B$1:B1154,$A$2:$A$4629),0,0),0)),"",INDEX($A$2:$A$4629,MATCH(0,INDEX(COUNTIF($B$1:B1154,$A$2:$A$4629),0,0),0)))</f>
        <v/>
      </c>
      <c r="C1155" t="str">
        <f t="shared" ref="C1155:C1218" si="18">IF(B1155&lt;&gt;"","&lt;xs:enumeration value="""&amp;B1155&amp;"""/&gt;","")</f>
        <v/>
      </c>
    </row>
    <row r="1156" spans="1:3" x14ac:dyDescent="0.25">
      <c r="A1156" t="str">
        <f>IF(Scan2VK!I186&lt;&gt;"",Scan2VK!I186,"")</f>
        <v/>
      </c>
      <c r="B1156" t="str">
        <f>IF(ISERROR(MATCH(0,INDEX(COUNTIF($B$1:B1155,$A$2:$A$4629),0,0),0)),"",INDEX($A$2:$A$4629,MATCH(0,INDEX(COUNTIF($B$1:B1155,$A$2:$A$4629),0,0),0)))</f>
        <v/>
      </c>
      <c r="C1156" t="str">
        <f t="shared" si="18"/>
        <v/>
      </c>
    </row>
    <row r="1157" spans="1:3" x14ac:dyDescent="0.25">
      <c r="A1157" t="str">
        <f>IF(Scan2VK!I187&lt;&gt;"",Scan2VK!I187,"")</f>
        <v/>
      </c>
      <c r="B1157" t="str">
        <f>IF(ISERROR(MATCH(0,INDEX(COUNTIF($B$1:B1156,$A$2:$A$4629),0,0),0)),"",INDEX($A$2:$A$4629,MATCH(0,INDEX(COUNTIF($B$1:B1156,$A$2:$A$4629),0,0),0)))</f>
        <v/>
      </c>
      <c r="C1157" t="str">
        <f t="shared" si="18"/>
        <v/>
      </c>
    </row>
    <row r="1158" spans="1:3" x14ac:dyDescent="0.25">
      <c r="A1158" t="str">
        <f>IF(Scan2VK!I188&lt;&gt;"",Scan2VK!I188,"")</f>
        <v/>
      </c>
      <c r="B1158" t="str">
        <f>IF(ISERROR(MATCH(0,INDEX(COUNTIF($B$1:B1157,$A$2:$A$4629),0,0),0)),"",INDEX($A$2:$A$4629,MATCH(0,INDEX(COUNTIF($B$1:B1157,$A$2:$A$4629),0,0),0)))</f>
        <v/>
      </c>
      <c r="C1158" t="str">
        <f t="shared" si="18"/>
        <v/>
      </c>
    </row>
    <row r="1159" spans="1:3" x14ac:dyDescent="0.25">
      <c r="A1159" t="str">
        <f>IF(Scan2VK!I189&lt;&gt;"",Scan2VK!I189,"")</f>
        <v/>
      </c>
      <c r="B1159" t="str">
        <f>IF(ISERROR(MATCH(0,INDEX(COUNTIF($B$1:B1158,$A$2:$A$4629),0,0),0)),"",INDEX($A$2:$A$4629,MATCH(0,INDEX(COUNTIF($B$1:B1158,$A$2:$A$4629),0,0),0)))</f>
        <v/>
      </c>
      <c r="C1159" t="str">
        <f t="shared" si="18"/>
        <v/>
      </c>
    </row>
    <row r="1160" spans="1:3" x14ac:dyDescent="0.25">
      <c r="A1160" t="str">
        <f>IF(Scan2VK!I190&lt;&gt;"",Scan2VK!I190,"")</f>
        <v/>
      </c>
      <c r="B1160" t="str">
        <f>IF(ISERROR(MATCH(0,INDEX(COUNTIF($B$1:B1159,$A$2:$A$4629),0,0),0)),"",INDEX($A$2:$A$4629,MATCH(0,INDEX(COUNTIF($B$1:B1159,$A$2:$A$4629),0,0),0)))</f>
        <v/>
      </c>
      <c r="C1160" t="str">
        <f t="shared" si="18"/>
        <v/>
      </c>
    </row>
    <row r="1161" spans="1:3" x14ac:dyDescent="0.25">
      <c r="A1161" t="str">
        <f>IF(Scan2VK!I191&lt;&gt;"",Scan2VK!I191,"")</f>
        <v/>
      </c>
      <c r="B1161" t="str">
        <f>IF(ISERROR(MATCH(0,INDEX(COUNTIF($B$1:B1160,$A$2:$A$4629),0,0),0)),"",INDEX($A$2:$A$4629,MATCH(0,INDEX(COUNTIF($B$1:B1160,$A$2:$A$4629),0,0),0)))</f>
        <v/>
      </c>
      <c r="C1161" t="str">
        <f t="shared" si="18"/>
        <v/>
      </c>
    </row>
    <row r="1162" spans="1:3" x14ac:dyDescent="0.25">
      <c r="A1162" t="str">
        <f>IF(Scan2VK!I192&lt;&gt;"",Scan2VK!I192,"")</f>
        <v/>
      </c>
      <c r="B1162" t="str">
        <f>IF(ISERROR(MATCH(0,INDEX(COUNTIF($B$1:B1161,$A$2:$A$4629),0,0),0)),"",INDEX($A$2:$A$4629,MATCH(0,INDEX(COUNTIF($B$1:B1161,$A$2:$A$4629),0,0),0)))</f>
        <v/>
      </c>
      <c r="C1162" t="str">
        <f t="shared" si="18"/>
        <v/>
      </c>
    </row>
    <row r="1163" spans="1:3" x14ac:dyDescent="0.25">
      <c r="A1163" t="str">
        <f>IF(Scan2VK!I193&lt;&gt;"",Scan2VK!I193,"")</f>
        <v/>
      </c>
      <c r="B1163" t="str">
        <f>IF(ISERROR(MATCH(0,INDEX(COUNTIF($B$1:B1162,$A$2:$A$4629),0,0),0)),"",INDEX($A$2:$A$4629,MATCH(0,INDEX(COUNTIF($B$1:B1162,$A$2:$A$4629),0,0),0)))</f>
        <v/>
      </c>
      <c r="C1163" t="str">
        <f t="shared" si="18"/>
        <v/>
      </c>
    </row>
    <row r="1164" spans="1:3" x14ac:dyDescent="0.25">
      <c r="A1164" t="str">
        <f>IF(Scan2VK!I194&lt;&gt;"",Scan2VK!I194,"")</f>
        <v/>
      </c>
      <c r="B1164" t="str">
        <f>IF(ISERROR(MATCH(0,INDEX(COUNTIF($B$1:B1163,$A$2:$A$4629),0,0),0)),"",INDEX($A$2:$A$4629,MATCH(0,INDEX(COUNTIF($B$1:B1163,$A$2:$A$4629),0,0),0)))</f>
        <v/>
      </c>
      <c r="C1164" t="str">
        <f t="shared" si="18"/>
        <v/>
      </c>
    </row>
    <row r="1165" spans="1:3" x14ac:dyDescent="0.25">
      <c r="A1165" t="str">
        <f>IF(Scan2VK!I195&lt;&gt;"",Scan2VK!I195,"")</f>
        <v>PAUSE</v>
      </c>
      <c r="B1165" t="str">
        <f>IF(ISERROR(MATCH(0,INDEX(COUNTIF($B$1:B1164,$A$2:$A$4629),0,0),0)),"",INDEX($A$2:$A$4629,MATCH(0,INDEX(COUNTIF($B$1:B1164,$A$2:$A$4629),0,0),0)))</f>
        <v/>
      </c>
      <c r="C1165" t="str">
        <f t="shared" si="18"/>
        <v/>
      </c>
    </row>
    <row r="1166" spans="1:3" x14ac:dyDescent="0.25">
      <c r="A1166" t="str">
        <f>IF(Scan2VK!K2&lt;&gt;"",Scan2VK!K2,"")</f>
        <v>_none_</v>
      </c>
      <c r="B1166" t="str">
        <f>IF(ISERROR(MATCH(0,INDEX(COUNTIF($B$1:B1165,$A$2:$A$4629),0,0),0)),"",INDEX($A$2:$A$4629,MATCH(0,INDEX(COUNTIF($B$1:B1165,$A$2:$A$4629),0,0),0)))</f>
        <v/>
      </c>
      <c r="C1166" t="str">
        <f t="shared" si="18"/>
        <v/>
      </c>
    </row>
    <row r="1167" spans="1:3" x14ac:dyDescent="0.25">
      <c r="A1167" t="str">
        <f>IF(Scan2VK!K3&lt;&gt;"",Scan2VK!K3,"")</f>
        <v>ESCAPE</v>
      </c>
      <c r="B1167" t="str">
        <f>IF(ISERROR(MATCH(0,INDEX(COUNTIF($B$1:B1166,$A$2:$A$4629),0,0),0)),"",INDEX($A$2:$A$4629,MATCH(0,INDEX(COUNTIF($B$1:B1166,$A$2:$A$4629),0,0),0)))</f>
        <v/>
      </c>
      <c r="C1167" t="str">
        <f t="shared" si="18"/>
        <v/>
      </c>
    </row>
    <row r="1168" spans="1:3" x14ac:dyDescent="0.25">
      <c r="A1168" t="str">
        <f>IF(Scan2VK!K4&lt;&gt;"",Scan2VK!K4,"")</f>
        <v>'1'</v>
      </c>
      <c r="B1168" t="str">
        <f>IF(ISERROR(MATCH(0,INDEX(COUNTIF($B$1:B1167,$A$2:$A$4629),0,0),0)),"",INDEX($A$2:$A$4629,MATCH(0,INDEX(COUNTIF($B$1:B1167,$A$2:$A$4629),0,0),0)))</f>
        <v/>
      </c>
      <c r="C1168" t="str">
        <f t="shared" si="18"/>
        <v/>
      </c>
    </row>
    <row r="1169" spans="1:3" x14ac:dyDescent="0.25">
      <c r="A1169" t="str">
        <f>IF(Scan2VK!K5&lt;&gt;"",Scan2VK!K5,"")</f>
        <v>'2'</v>
      </c>
      <c r="B1169" t="str">
        <f>IF(ISERROR(MATCH(0,INDEX(COUNTIF($B$1:B1168,$A$2:$A$4629),0,0),0)),"",INDEX($A$2:$A$4629,MATCH(0,INDEX(COUNTIF($B$1:B1168,$A$2:$A$4629),0,0),0)))</f>
        <v/>
      </c>
      <c r="C1169" t="str">
        <f t="shared" si="18"/>
        <v/>
      </c>
    </row>
    <row r="1170" spans="1:3" x14ac:dyDescent="0.25">
      <c r="A1170" t="str">
        <f>IF(Scan2VK!K6&lt;&gt;"",Scan2VK!K6,"")</f>
        <v>'3'</v>
      </c>
      <c r="B1170" t="str">
        <f>IF(ISERROR(MATCH(0,INDEX(COUNTIF($B$1:B1169,$A$2:$A$4629),0,0),0)),"",INDEX($A$2:$A$4629,MATCH(0,INDEX(COUNTIF($B$1:B1169,$A$2:$A$4629),0,0),0)))</f>
        <v/>
      </c>
      <c r="C1170" t="str">
        <f t="shared" si="18"/>
        <v/>
      </c>
    </row>
    <row r="1171" spans="1:3" x14ac:dyDescent="0.25">
      <c r="A1171" t="str">
        <f>IF(Scan2VK!K7&lt;&gt;"",Scan2VK!K7,"")</f>
        <v>'4'</v>
      </c>
      <c r="B1171" t="str">
        <f>IF(ISERROR(MATCH(0,INDEX(COUNTIF($B$1:B1170,$A$2:$A$4629),0,0),0)),"",INDEX($A$2:$A$4629,MATCH(0,INDEX(COUNTIF($B$1:B1170,$A$2:$A$4629),0,0),0)))</f>
        <v/>
      </c>
      <c r="C1171" t="str">
        <f t="shared" si="18"/>
        <v/>
      </c>
    </row>
    <row r="1172" spans="1:3" x14ac:dyDescent="0.25">
      <c r="A1172" t="str">
        <f>IF(Scan2VK!K8&lt;&gt;"",Scan2VK!K8,"")</f>
        <v>'5'</v>
      </c>
      <c r="B1172" t="str">
        <f>IF(ISERROR(MATCH(0,INDEX(COUNTIF($B$1:B1171,$A$2:$A$4629),0,0),0)),"",INDEX($A$2:$A$4629,MATCH(0,INDEX(COUNTIF($B$1:B1171,$A$2:$A$4629),0,0),0)))</f>
        <v/>
      </c>
      <c r="C1172" t="str">
        <f t="shared" si="18"/>
        <v/>
      </c>
    </row>
    <row r="1173" spans="1:3" x14ac:dyDescent="0.25">
      <c r="A1173" t="str">
        <f>IF(Scan2VK!K9&lt;&gt;"",Scan2VK!K9,"")</f>
        <v>'6'</v>
      </c>
      <c r="B1173" t="str">
        <f>IF(ISERROR(MATCH(0,INDEX(COUNTIF($B$1:B1172,$A$2:$A$4629),0,0),0)),"",INDEX($A$2:$A$4629,MATCH(0,INDEX(COUNTIF($B$1:B1172,$A$2:$A$4629),0,0),0)))</f>
        <v/>
      </c>
      <c r="C1173" t="str">
        <f t="shared" si="18"/>
        <v/>
      </c>
    </row>
    <row r="1174" spans="1:3" x14ac:dyDescent="0.25">
      <c r="A1174" t="str">
        <f>IF(Scan2VK!K10&lt;&gt;"",Scan2VK!K10,"")</f>
        <v>'7'</v>
      </c>
      <c r="B1174" t="str">
        <f>IF(ISERROR(MATCH(0,INDEX(COUNTIF($B$1:B1173,$A$2:$A$4629),0,0),0)),"",INDEX($A$2:$A$4629,MATCH(0,INDEX(COUNTIF($B$1:B1173,$A$2:$A$4629),0,0),0)))</f>
        <v/>
      </c>
      <c r="C1174" t="str">
        <f t="shared" si="18"/>
        <v/>
      </c>
    </row>
    <row r="1175" spans="1:3" x14ac:dyDescent="0.25">
      <c r="A1175" t="str">
        <f>IF(Scan2VK!K11&lt;&gt;"",Scan2VK!K11,"")</f>
        <v>'8'</v>
      </c>
      <c r="B1175" t="str">
        <f>IF(ISERROR(MATCH(0,INDEX(COUNTIF($B$1:B1174,$A$2:$A$4629),0,0),0)),"",INDEX($A$2:$A$4629,MATCH(0,INDEX(COUNTIF($B$1:B1174,$A$2:$A$4629),0,0),0)))</f>
        <v/>
      </c>
      <c r="C1175" t="str">
        <f t="shared" si="18"/>
        <v/>
      </c>
    </row>
    <row r="1176" spans="1:3" x14ac:dyDescent="0.25">
      <c r="A1176" t="str">
        <f>IF(Scan2VK!K12&lt;&gt;"",Scan2VK!K12,"")</f>
        <v>'9'</v>
      </c>
      <c r="B1176" t="str">
        <f>IF(ISERROR(MATCH(0,INDEX(COUNTIF($B$1:B1175,$A$2:$A$4629),0,0),0)),"",INDEX($A$2:$A$4629,MATCH(0,INDEX(COUNTIF($B$1:B1175,$A$2:$A$4629),0,0),0)))</f>
        <v/>
      </c>
      <c r="C1176" t="str">
        <f t="shared" si="18"/>
        <v/>
      </c>
    </row>
    <row r="1177" spans="1:3" x14ac:dyDescent="0.25">
      <c r="A1177" t="str">
        <f>IF(Scan2VK!K13&lt;&gt;"",Scan2VK!K13,"")</f>
        <v>'0'</v>
      </c>
      <c r="B1177" t="str">
        <f>IF(ISERROR(MATCH(0,INDEX(COUNTIF($B$1:B1176,$A$2:$A$4629),0,0),0)),"",INDEX($A$2:$A$4629,MATCH(0,INDEX(COUNTIF($B$1:B1176,$A$2:$A$4629),0,0),0)))</f>
        <v/>
      </c>
      <c r="C1177" t="str">
        <f t="shared" si="18"/>
        <v/>
      </c>
    </row>
    <row r="1178" spans="1:3" x14ac:dyDescent="0.25">
      <c r="A1178" t="str">
        <f>IF(Scan2VK!K14&lt;&gt;"",Scan2VK!K14,"")</f>
        <v>OEM_MINUS</v>
      </c>
      <c r="B1178" t="str">
        <f>IF(ISERROR(MATCH(0,INDEX(COUNTIF($B$1:B1177,$A$2:$A$4629),0,0),0)),"",INDEX($A$2:$A$4629,MATCH(0,INDEX(COUNTIF($B$1:B1177,$A$2:$A$4629),0,0),0)))</f>
        <v/>
      </c>
      <c r="C1178" t="str">
        <f t="shared" si="18"/>
        <v/>
      </c>
    </row>
    <row r="1179" spans="1:3" x14ac:dyDescent="0.25">
      <c r="A1179" t="str">
        <f>IF(Scan2VK!K15&lt;&gt;"",Scan2VK!K15,"")</f>
        <v>OEM_7</v>
      </c>
      <c r="B1179" t="str">
        <f>IF(ISERROR(MATCH(0,INDEX(COUNTIF($B$1:B1178,$A$2:$A$4629),0,0),0)),"",INDEX($A$2:$A$4629,MATCH(0,INDEX(COUNTIF($B$1:B1178,$A$2:$A$4629),0,0),0)))</f>
        <v/>
      </c>
      <c r="C1179" t="str">
        <f t="shared" si="18"/>
        <v/>
      </c>
    </row>
    <row r="1180" spans="1:3" x14ac:dyDescent="0.25">
      <c r="A1180" t="str">
        <f>IF(Scan2VK!K16&lt;&gt;"",Scan2VK!K16,"")</f>
        <v>BACK</v>
      </c>
      <c r="B1180" t="str">
        <f>IF(ISERROR(MATCH(0,INDEX(COUNTIF($B$1:B1179,$A$2:$A$4629),0,0),0)),"",INDEX($A$2:$A$4629,MATCH(0,INDEX(COUNTIF($B$1:B1179,$A$2:$A$4629),0,0),0)))</f>
        <v/>
      </c>
      <c r="C1180" t="str">
        <f t="shared" si="18"/>
        <v/>
      </c>
    </row>
    <row r="1181" spans="1:3" x14ac:dyDescent="0.25">
      <c r="A1181" t="str">
        <f>IF(Scan2VK!K17&lt;&gt;"",Scan2VK!K17,"")</f>
        <v>TAB</v>
      </c>
      <c r="B1181" t="str">
        <f>IF(ISERROR(MATCH(0,INDEX(COUNTIF($B$1:B1180,$A$2:$A$4629),0,0),0)),"",INDEX($A$2:$A$4629,MATCH(0,INDEX(COUNTIF($B$1:B1180,$A$2:$A$4629),0,0),0)))</f>
        <v/>
      </c>
      <c r="C1181" t="str">
        <f t="shared" si="18"/>
        <v/>
      </c>
    </row>
    <row r="1182" spans="1:3" x14ac:dyDescent="0.25">
      <c r="A1182" t="str">
        <f>IF(Scan2VK!K18&lt;&gt;"",Scan2VK!K18,"")</f>
        <v>'Q'</v>
      </c>
      <c r="B1182" t="str">
        <f>IF(ISERROR(MATCH(0,INDEX(COUNTIF($B$1:B1181,$A$2:$A$4629),0,0),0)),"",INDEX($A$2:$A$4629,MATCH(0,INDEX(COUNTIF($B$1:B1181,$A$2:$A$4629),0,0),0)))</f>
        <v/>
      </c>
      <c r="C1182" t="str">
        <f t="shared" si="18"/>
        <v/>
      </c>
    </row>
    <row r="1183" spans="1:3" x14ac:dyDescent="0.25">
      <c r="A1183" t="str">
        <f>IF(Scan2VK!K19&lt;&gt;"",Scan2VK!K19,"")</f>
        <v>'W'</v>
      </c>
      <c r="B1183" t="str">
        <f>IF(ISERROR(MATCH(0,INDEX(COUNTIF($B$1:B1182,$A$2:$A$4629),0,0),0)),"",INDEX($A$2:$A$4629,MATCH(0,INDEX(COUNTIF($B$1:B1182,$A$2:$A$4629),0,0),0)))</f>
        <v/>
      </c>
      <c r="C1183" t="str">
        <f t="shared" si="18"/>
        <v/>
      </c>
    </row>
    <row r="1184" spans="1:3" x14ac:dyDescent="0.25">
      <c r="A1184" t="str">
        <f>IF(Scan2VK!K20&lt;&gt;"",Scan2VK!K20,"")</f>
        <v>'E'</v>
      </c>
      <c r="B1184" t="str">
        <f>IF(ISERROR(MATCH(0,INDEX(COUNTIF($B$1:B1183,$A$2:$A$4629),0,0),0)),"",INDEX($A$2:$A$4629,MATCH(0,INDEX(COUNTIF($B$1:B1183,$A$2:$A$4629),0,0),0)))</f>
        <v/>
      </c>
      <c r="C1184" t="str">
        <f t="shared" si="18"/>
        <v/>
      </c>
    </row>
    <row r="1185" spans="1:3" x14ac:dyDescent="0.25">
      <c r="A1185" t="str">
        <f>IF(Scan2VK!K21&lt;&gt;"",Scan2VK!K21,"")</f>
        <v>'R'</v>
      </c>
      <c r="B1185" t="str">
        <f>IF(ISERROR(MATCH(0,INDEX(COUNTIF($B$1:B1184,$A$2:$A$4629),0,0),0)),"",INDEX($A$2:$A$4629,MATCH(0,INDEX(COUNTIF($B$1:B1184,$A$2:$A$4629),0,0),0)))</f>
        <v/>
      </c>
      <c r="C1185" t="str">
        <f t="shared" si="18"/>
        <v/>
      </c>
    </row>
    <row r="1186" spans="1:3" x14ac:dyDescent="0.25">
      <c r="A1186" t="str">
        <f>IF(Scan2VK!K22&lt;&gt;"",Scan2VK!K22,"")</f>
        <v>'T'</v>
      </c>
      <c r="B1186" t="str">
        <f>IF(ISERROR(MATCH(0,INDEX(COUNTIF($B$1:B1185,$A$2:$A$4629),0,0),0)),"",INDEX($A$2:$A$4629,MATCH(0,INDEX(COUNTIF($B$1:B1185,$A$2:$A$4629),0,0),0)))</f>
        <v/>
      </c>
      <c r="C1186" t="str">
        <f t="shared" si="18"/>
        <v/>
      </c>
    </row>
    <row r="1187" spans="1:3" x14ac:dyDescent="0.25">
      <c r="A1187" t="str">
        <f>IF(Scan2VK!K23&lt;&gt;"",Scan2VK!K23,"")</f>
        <v>'Y'</v>
      </c>
      <c r="B1187" t="str">
        <f>IF(ISERROR(MATCH(0,INDEX(COUNTIF($B$1:B1186,$A$2:$A$4629),0,0),0)),"",INDEX($A$2:$A$4629,MATCH(0,INDEX(COUNTIF($B$1:B1186,$A$2:$A$4629),0,0),0)))</f>
        <v/>
      </c>
      <c r="C1187" t="str">
        <f t="shared" si="18"/>
        <v/>
      </c>
    </row>
    <row r="1188" spans="1:3" x14ac:dyDescent="0.25">
      <c r="A1188" t="str">
        <f>IF(Scan2VK!K24&lt;&gt;"",Scan2VK!K24,"")</f>
        <v>'U'</v>
      </c>
      <c r="B1188" t="str">
        <f>IF(ISERROR(MATCH(0,INDEX(COUNTIF($B$1:B1187,$A$2:$A$4629),0,0),0)),"",INDEX($A$2:$A$4629,MATCH(0,INDEX(COUNTIF($B$1:B1187,$A$2:$A$4629),0,0),0)))</f>
        <v/>
      </c>
      <c r="C1188" t="str">
        <f t="shared" si="18"/>
        <v/>
      </c>
    </row>
    <row r="1189" spans="1:3" x14ac:dyDescent="0.25">
      <c r="A1189" t="str">
        <f>IF(Scan2VK!K25&lt;&gt;"",Scan2VK!K25,"")</f>
        <v>'I'</v>
      </c>
      <c r="B1189" t="str">
        <f>IF(ISERROR(MATCH(0,INDEX(COUNTIF($B$1:B1188,$A$2:$A$4629),0,0),0)),"",INDEX($A$2:$A$4629,MATCH(0,INDEX(COUNTIF($B$1:B1188,$A$2:$A$4629),0,0),0)))</f>
        <v/>
      </c>
      <c r="C1189" t="str">
        <f t="shared" si="18"/>
        <v/>
      </c>
    </row>
    <row r="1190" spans="1:3" x14ac:dyDescent="0.25">
      <c r="A1190" t="str">
        <f>IF(Scan2VK!K26&lt;&gt;"",Scan2VK!K26,"")</f>
        <v>'O'</v>
      </c>
      <c r="B1190" t="str">
        <f>IF(ISERROR(MATCH(0,INDEX(COUNTIF($B$1:B1189,$A$2:$A$4629),0,0),0)),"",INDEX($A$2:$A$4629,MATCH(0,INDEX(COUNTIF($B$1:B1189,$A$2:$A$4629),0,0),0)))</f>
        <v/>
      </c>
      <c r="C1190" t="str">
        <f t="shared" si="18"/>
        <v/>
      </c>
    </row>
    <row r="1191" spans="1:3" x14ac:dyDescent="0.25">
      <c r="A1191" t="str">
        <f>IF(Scan2VK!K27&lt;&gt;"",Scan2VK!K27,"")</f>
        <v>'P'</v>
      </c>
      <c r="B1191" t="str">
        <f>IF(ISERROR(MATCH(0,INDEX(COUNTIF($B$1:B1190,$A$2:$A$4629),0,0),0)),"",INDEX($A$2:$A$4629,MATCH(0,INDEX(COUNTIF($B$1:B1190,$A$2:$A$4629),0,0),0)))</f>
        <v/>
      </c>
      <c r="C1191" t="str">
        <f t="shared" si="18"/>
        <v/>
      </c>
    </row>
    <row r="1192" spans="1:3" x14ac:dyDescent="0.25">
      <c r="A1192" t="str">
        <f>IF(Scan2VK!K28&lt;&gt;"",Scan2VK!K28,"")</f>
        <v>OEM_4</v>
      </c>
      <c r="B1192" t="str">
        <f>IF(ISERROR(MATCH(0,INDEX(COUNTIF($B$1:B1191,$A$2:$A$4629),0,0),0)),"",INDEX($A$2:$A$4629,MATCH(0,INDEX(COUNTIF($B$1:B1191,$A$2:$A$4629),0,0),0)))</f>
        <v/>
      </c>
      <c r="C1192" t="str">
        <f t="shared" si="18"/>
        <v/>
      </c>
    </row>
    <row r="1193" spans="1:3" x14ac:dyDescent="0.25">
      <c r="A1193" t="str">
        <f>IF(Scan2VK!K29&lt;&gt;"",Scan2VK!K29,"")</f>
        <v>OEM_6</v>
      </c>
      <c r="B1193" t="str">
        <f>IF(ISERROR(MATCH(0,INDEX(COUNTIF($B$1:B1192,$A$2:$A$4629),0,0),0)),"",INDEX($A$2:$A$4629,MATCH(0,INDEX(COUNTIF($B$1:B1192,$A$2:$A$4629),0,0),0)))</f>
        <v/>
      </c>
      <c r="C1193" t="str">
        <f t="shared" si="18"/>
        <v/>
      </c>
    </row>
    <row r="1194" spans="1:3" x14ac:dyDescent="0.25">
      <c r="A1194" t="str">
        <f>IF(Scan2VK!K30&lt;&gt;"",Scan2VK!K30,"")</f>
        <v>RETURN</v>
      </c>
      <c r="B1194" t="str">
        <f>IF(ISERROR(MATCH(0,INDEX(COUNTIF($B$1:B1193,$A$2:$A$4629),0,0),0)),"",INDEX($A$2:$A$4629,MATCH(0,INDEX(COUNTIF($B$1:B1193,$A$2:$A$4629),0,0),0)))</f>
        <v/>
      </c>
      <c r="C1194" t="str">
        <f t="shared" si="18"/>
        <v/>
      </c>
    </row>
    <row r="1195" spans="1:3" x14ac:dyDescent="0.25">
      <c r="A1195" t="str">
        <f>IF(Scan2VK!K31&lt;&gt;"",Scan2VK!K31,"")</f>
        <v>LCONTROL</v>
      </c>
      <c r="B1195" t="str">
        <f>IF(ISERROR(MATCH(0,INDEX(COUNTIF($B$1:B1194,$A$2:$A$4629),0,0),0)),"",INDEX($A$2:$A$4629,MATCH(0,INDEX(COUNTIF($B$1:B1194,$A$2:$A$4629),0,0),0)))</f>
        <v/>
      </c>
      <c r="C1195" t="str">
        <f t="shared" si="18"/>
        <v/>
      </c>
    </row>
    <row r="1196" spans="1:3" x14ac:dyDescent="0.25">
      <c r="A1196" t="str">
        <f>IF(Scan2VK!K32&lt;&gt;"",Scan2VK!K32,"")</f>
        <v>'A'</v>
      </c>
      <c r="B1196" t="str">
        <f>IF(ISERROR(MATCH(0,INDEX(COUNTIF($B$1:B1195,$A$2:$A$4629),0,0),0)),"",INDEX($A$2:$A$4629,MATCH(0,INDEX(COUNTIF($B$1:B1195,$A$2:$A$4629),0,0),0)))</f>
        <v/>
      </c>
      <c r="C1196" t="str">
        <f t="shared" si="18"/>
        <v/>
      </c>
    </row>
    <row r="1197" spans="1:3" x14ac:dyDescent="0.25">
      <c r="A1197" t="str">
        <f>IF(Scan2VK!K33&lt;&gt;"",Scan2VK!K33,"")</f>
        <v>'S'</v>
      </c>
      <c r="B1197" t="str">
        <f>IF(ISERROR(MATCH(0,INDEX(COUNTIF($B$1:B1196,$A$2:$A$4629),0,0),0)),"",INDEX($A$2:$A$4629,MATCH(0,INDEX(COUNTIF($B$1:B1196,$A$2:$A$4629),0,0),0)))</f>
        <v/>
      </c>
      <c r="C1197" t="str">
        <f t="shared" si="18"/>
        <v/>
      </c>
    </row>
    <row r="1198" spans="1:3" x14ac:dyDescent="0.25">
      <c r="A1198" t="str">
        <f>IF(Scan2VK!K34&lt;&gt;"",Scan2VK!K34,"")</f>
        <v>'D'</v>
      </c>
      <c r="B1198" t="str">
        <f>IF(ISERROR(MATCH(0,INDEX(COUNTIF($B$1:B1197,$A$2:$A$4629),0,0),0)),"",INDEX($A$2:$A$4629,MATCH(0,INDEX(COUNTIF($B$1:B1197,$A$2:$A$4629),0,0),0)))</f>
        <v/>
      </c>
      <c r="C1198" t="str">
        <f t="shared" si="18"/>
        <v/>
      </c>
    </row>
    <row r="1199" spans="1:3" x14ac:dyDescent="0.25">
      <c r="A1199" t="str">
        <f>IF(Scan2VK!K35&lt;&gt;"",Scan2VK!K35,"")</f>
        <v>'F'</v>
      </c>
      <c r="B1199" t="str">
        <f>IF(ISERROR(MATCH(0,INDEX(COUNTIF($B$1:B1198,$A$2:$A$4629),0,0),0)),"",INDEX($A$2:$A$4629,MATCH(0,INDEX(COUNTIF($B$1:B1198,$A$2:$A$4629),0,0),0)))</f>
        <v/>
      </c>
      <c r="C1199" t="str">
        <f t="shared" si="18"/>
        <v/>
      </c>
    </row>
    <row r="1200" spans="1:3" x14ac:dyDescent="0.25">
      <c r="A1200" t="str">
        <f>IF(Scan2VK!K36&lt;&gt;"",Scan2VK!K36,"")</f>
        <v>'G'</v>
      </c>
      <c r="B1200" t="str">
        <f>IF(ISERROR(MATCH(0,INDEX(COUNTIF($B$1:B1199,$A$2:$A$4629),0,0),0)),"",INDEX($A$2:$A$4629,MATCH(0,INDEX(COUNTIF($B$1:B1199,$A$2:$A$4629),0,0),0)))</f>
        <v/>
      </c>
      <c r="C1200" t="str">
        <f t="shared" si="18"/>
        <v/>
      </c>
    </row>
    <row r="1201" spans="1:3" x14ac:dyDescent="0.25">
      <c r="A1201" t="str">
        <f>IF(Scan2VK!K37&lt;&gt;"",Scan2VK!K37,"")</f>
        <v>'H'</v>
      </c>
      <c r="B1201" t="str">
        <f>IF(ISERROR(MATCH(0,INDEX(COUNTIF($B$1:B1200,$A$2:$A$4629),0,0),0)),"",INDEX($A$2:$A$4629,MATCH(0,INDEX(COUNTIF($B$1:B1200,$A$2:$A$4629),0,0),0)))</f>
        <v/>
      </c>
      <c r="C1201" t="str">
        <f t="shared" si="18"/>
        <v/>
      </c>
    </row>
    <row r="1202" spans="1:3" x14ac:dyDescent="0.25">
      <c r="A1202" t="str">
        <f>IF(Scan2VK!K38&lt;&gt;"",Scan2VK!K38,"")</f>
        <v>'J'</v>
      </c>
      <c r="B1202" t="str">
        <f>IF(ISERROR(MATCH(0,INDEX(COUNTIF($B$1:B1201,$A$2:$A$4629),0,0),0)),"",INDEX($A$2:$A$4629,MATCH(0,INDEX(COUNTIF($B$1:B1201,$A$2:$A$4629),0,0),0)))</f>
        <v/>
      </c>
      <c r="C1202" t="str">
        <f t="shared" si="18"/>
        <v/>
      </c>
    </row>
    <row r="1203" spans="1:3" x14ac:dyDescent="0.25">
      <c r="A1203" t="str">
        <f>IF(Scan2VK!K39&lt;&gt;"",Scan2VK!K39,"")</f>
        <v>'K'</v>
      </c>
      <c r="B1203" t="str">
        <f>IF(ISERROR(MATCH(0,INDEX(COUNTIF($B$1:B1202,$A$2:$A$4629),0,0),0)),"",INDEX($A$2:$A$4629,MATCH(0,INDEX(COUNTIF($B$1:B1202,$A$2:$A$4629),0,0),0)))</f>
        <v/>
      </c>
      <c r="C1203" t="str">
        <f t="shared" si="18"/>
        <v/>
      </c>
    </row>
    <row r="1204" spans="1:3" x14ac:dyDescent="0.25">
      <c r="A1204" t="str">
        <f>IF(Scan2VK!K40&lt;&gt;"",Scan2VK!K40,"")</f>
        <v>'L'</v>
      </c>
      <c r="B1204" t="str">
        <f>IF(ISERROR(MATCH(0,INDEX(COUNTIF($B$1:B1203,$A$2:$A$4629),0,0),0)),"",INDEX($A$2:$A$4629,MATCH(0,INDEX(COUNTIF($B$1:B1203,$A$2:$A$4629),0,0),0)))</f>
        <v/>
      </c>
      <c r="C1204" t="str">
        <f t="shared" si="18"/>
        <v/>
      </c>
    </row>
    <row r="1205" spans="1:3" x14ac:dyDescent="0.25">
      <c r="A1205" t="str">
        <f>IF(Scan2VK!K41&lt;&gt;"",Scan2VK!K41,"")</f>
        <v>OEM_PLUS</v>
      </c>
      <c r="B1205" t="str">
        <f>IF(ISERROR(MATCH(0,INDEX(COUNTIF($B$1:B1204,$A$2:$A$4629),0,0),0)),"",INDEX($A$2:$A$4629,MATCH(0,INDEX(COUNTIF($B$1:B1204,$A$2:$A$4629),0,0),0)))</f>
        <v/>
      </c>
      <c r="C1205" t="str">
        <f t="shared" si="18"/>
        <v/>
      </c>
    </row>
    <row r="1206" spans="1:3" x14ac:dyDescent="0.25">
      <c r="A1206" t="str">
        <f>IF(Scan2VK!K42&lt;&gt;"",Scan2VK!K42,"")</f>
        <v>OEM_1</v>
      </c>
      <c r="B1206" t="str">
        <f>IF(ISERROR(MATCH(0,INDEX(COUNTIF($B$1:B1205,$A$2:$A$4629),0,0),0)),"",INDEX($A$2:$A$4629,MATCH(0,INDEX(COUNTIF($B$1:B1205,$A$2:$A$4629),0,0),0)))</f>
        <v/>
      </c>
      <c r="C1206" t="str">
        <f t="shared" si="18"/>
        <v/>
      </c>
    </row>
    <row r="1207" spans="1:3" x14ac:dyDescent="0.25">
      <c r="A1207" t="str">
        <f>IF(Scan2VK!K43&lt;&gt;"",Scan2VK!K43,"")</f>
        <v>OEM_3</v>
      </c>
      <c r="B1207" t="str">
        <f>IF(ISERROR(MATCH(0,INDEX(COUNTIF($B$1:B1206,$A$2:$A$4629),0,0),0)),"",INDEX($A$2:$A$4629,MATCH(0,INDEX(COUNTIF($B$1:B1206,$A$2:$A$4629),0,0),0)))</f>
        <v/>
      </c>
      <c r="C1207" t="str">
        <f t="shared" si="18"/>
        <v/>
      </c>
    </row>
    <row r="1208" spans="1:3" x14ac:dyDescent="0.25">
      <c r="A1208" t="str">
        <f>IF(Scan2VK!K44&lt;&gt;"",Scan2VK!K44,"")</f>
        <v>LSHIFT</v>
      </c>
      <c r="B1208" t="str">
        <f>IF(ISERROR(MATCH(0,INDEX(COUNTIF($B$1:B1207,$A$2:$A$4629),0,0),0)),"",INDEX($A$2:$A$4629,MATCH(0,INDEX(COUNTIF($B$1:B1207,$A$2:$A$4629),0,0),0)))</f>
        <v/>
      </c>
      <c r="C1208" t="str">
        <f t="shared" si="18"/>
        <v/>
      </c>
    </row>
    <row r="1209" spans="1:3" x14ac:dyDescent="0.25">
      <c r="A1209" t="str">
        <f>IF(Scan2VK!K45&lt;&gt;"",Scan2VK!K45,"")</f>
        <v>OEM_5</v>
      </c>
      <c r="B1209" t="str">
        <f>IF(ISERROR(MATCH(0,INDEX(COUNTIF($B$1:B1208,$A$2:$A$4629),0,0),0)),"",INDEX($A$2:$A$4629,MATCH(0,INDEX(COUNTIF($B$1:B1208,$A$2:$A$4629),0,0),0)))</f>
        <v/>
      </c>
      <c r="C1209" t="str">
        <f t="shared" si="18"/>
        <v/>
      </c>
    </row>
    <row r="1210" spans="1:3" x14ac:dyDescent="0.25">
      <c r="A1210" t="str">
        <f>IF(Scan2VK!K46&lt;&gt;"",Scan2VK!K46,"")</f>
        <v>'Z'</v>
      </c>
      <c r="B1210" t="str">
        <f>IF(ISERROR(MATCH(0,INDEX(COUNTIF($B$1:B1209,$A$2:$A$4629),0,0),0)),"",INDEX($A$2:$A$4629,MATCH(0,INDEX(COUNTIF($B$1:B1209,$A$2:$A$4629),0,0),0)))</f>
        <v/>
      </c>
      <c r="C1210" t="str">
        <f t="shared" si="18"/>
        <v/>
      </c>
    </row>
    <row r="1211" spans="1:3" x14ac:dyDescent="0.25">
      <c r="A1211" t="str">
        <f>IF(Scan2VK!K47&lt;&gt;"",Scan2VK!K47,"")</f>
        <v>'X'</v>
      </c>
      <c r="B1211" t="str">
        <f>IF(ISERROR(MATCH(0,INDEX(COUNTIF($B$1:B1210,$A$2:$A$4629),0,0),0)),"",INDEX($A$2:$A$4629,MATCH(0,INDEX(COUNTIF($B$1:B1210,$A$2:$A$4629),0,0),0)))</f>
        <v/>
      </c>
      <c r="C1211" t="str">
        <f t="shared" si="18"/>
        <v/>
      </c>
    </row>
    <row r="1212" spans="1:3" x14ac:dyDescent="0.25">
      <c r="A1212" t="str">
        <f>IF(Scan2VK!K48&lt;&gt;"",Scan2VK!K48,"")</f>
        <v>'C'</v>
      </c>
      <c r="B1212" t="str">
        <f>IF(ISERROR(MATCH(0,INDEX(COUNTIF($B$1:B1211,$A$2:$A$4629),0,0),0)),"",INDEX($A$2:$A$4629,MATCH(0,INDEX(COUNTIF($B$1:B1211,$A$2:$A$4629),0,0),0)))</f>
        <v/>
      </c>
      <c r="C1212" t="str">
        <f t="shared" si="18"/>
        <v/>
      </c>
    </row>
    <row r="1213" spans="1:3" x14ac:dyDescent="0.25">
      <c r="A1213" t="str">
        <f>IF(Scan2VK!K49&lt;&gt;"",Scan2VK!K49,"")</f>
        <v>'V'</v>
      </c>
      <c r="B1213" t="str">
        <f>IF(ISERROR(MATCH(0,INDEX(COUNTIF($B$1:B1212,$A$2:$A$4629),0,0),0)),"",INDEX($A$2:$A$4629,MATCH(0,INDEX(COUNTIF($B$1:B1212,$A$2:$A$4629),0,0),0)))</f>
        <v/>
      </c>
      <c r="C1213" t="str">
        <f t="shared" si="18"/>
        <v/>
      </c>
    </row>
    <row r="1214" spans="1:3" x14ac:dyDescent="0.25">
      <c r="A1214" t="str">
        <f>IF(Scan2VK!K50&lt;&gt;"",Scan2VK!K50,"")</f>
        <v>'B'</v>
      </c>
      <c r="B1214" t="str">
        <f>IF(ISERROR(MATCH(0,INDEX(COUNTIF($B$1:B1213,$A$2:$A$4629),0,0),0)),"",INDEX($A$2:$A$4629,MATCH(0,INDEX(COUNTIF($B$1:B1213,$A$2:$A$4629),0,0),0)))</f>
        <v/>
      </c>
      <c r="C1214" t="str">
        <f t="shared" si="18"/>
        <v/>
      </c>
    </row>
    <row r="1215" spans="1:3" x14ac:dyDescent="0.25">
      <c r="A1215" t="str">
        <f>IF(Scan2VK!K51&lt;&gt;"",Scan2VK!K51,"")</f>
        <v>'N'</v>
      </c>
      <c r="B1215" t="str">
        <f>IF(ISERROR(MATCH(0,INDEX(COUNTIF($B$1:B1214,$A$2:$A$4629),0,0),0)),"",INDEX($A$2:$A$4629,MATCH(0,INDEX(COUNTIF($B$1:B1214,$A$2:$A$4629),0,0),0)))</f>
        <v/>
      </c>
      <c r="C1215" t="str">
        <f t="shared" si="18"/>
        <v/>
      </c>
    </row>
    <row r="1216" spans="1:3" x14ac:dyDescent="0.25">
      <c r="A1216" t="str">
        <f>IF(Scan2VK!K52&lt;&gt;"",Scan2VK!K52,"")</f>
        <v>'M'</v>
      </c>
      <c r="B1216" t="str">
        <f>IF(ISERROR(MATCH(0,INDEX(COUNTIF($B$1:B1215,$A$2:$A$4629),0,0),0)),"",INDEX($A$2:$A$4629,MATCH(0,INDEX(COUNTIF($B$1:B1215,$A$2:$A$4629),0,0),0)))</f>
        <v/>
      </c>
      <c r="C1216" t="str">
        <f t="shared" si="18"/>
        <v/>
      </c>
    </row>
    <row r="1217" spans="1:3" x14ac:dyDescent="0.25">
      <c r="A1217" t="str">
        <f>IF(Scan2VK!K53&lt;&gt;"",Scan2VK!K53,"")</f>
        <v>OEM_COMMA</v>
      </c>
      <c r="B1217" t="str">
        <f>IF(ISERROR(MATCH(0,INDEX(COUNTIF($B$1:B1216,$A$2:$A$4629),0,0),0)),"",INDEX($A$2:$A$4629,MATCH(0,INDEX(COUNTIF($B$1:B1216,$A$2:$A$4629),0,0),0)))</f>
        <v/>
      </c>
      <c r="C1217" t="str">
        <f t="shared" si="18"/>
        <v/>
      </c>
    </row>
    <row r="1218" spans="1:3" x14ac:dyDescent="0.25">
      <c r="A1218" t="str">
        <f>IF(Scan2VK!K54&lt;&gt;"",Scan2VK!K54,"")</f>
        <v>OEM_PERIOD</v>
      </c>
      <c r="B1218" t="str">
        <f>IF(ISERROR(MATCH(0,INDEX(COUNTIF($B$1:B1217,$A$2:$A$4629),0,0),0)),"",INDEX($A$2:$A$4629,MATCH(0,INDEX(COUNTIF($B$1:B1217,$A$2:$A$4629),0,0),0)))</f>
        <v/>
      </c>
      <c r="C1218" t="str">
        <f t="shared" si="18"/>
        <v/>
      </c>
    </row>
    <row r="1219" spans="1:3" x14ac:dyDescent="0.25">
      <c r="A1219" t="str">
        <f>IF(Scan2VK!K55&lt;&gt;"",Scan2VK!K55,"")</f>
        <v>OEM_2</v>
      </c>
      <c r="B1219" t="str">
        <f>IF(ISERROR(MATCH(0,INDEX(COUNTIF($B$1:B1218,$A$2:$A$4629),0,0),0)),"",INDEX($A$2:$A$4629,MATCH(0,INDEX(COUNTIF($B$1:B1218,$A$2:$A$4629),0,0),0)))</f>
        <v/>
      </c>
      <c r="C1219" t="str">
        <f t="shared" ref="C1219:C1282" si="19">IF(B1219&lt;&gt;"","&lt;xs:enumeration value="""&amp;B1219&amp;"""/&gt;","")</f>
        <v/>
      </c>
    </row>
    <row r="1220" spans="1:3" x14ac:dyDescent="0.25">
      <c r="A1220" t="str">
        <f>IF(Scan2VK!K56&lt;&gt;"",Scan2VK!K56,"")</f>
        <v>RSHIFT</v>
      </c>
      <c r="B1220" t="str">
        <f>IF(ISERROR(MATCH(0,INDEX(COUNTIF($B$1:B1219,$A$2:$A$4629),0,0),0)),"",INDEX($A$2:$A$4629,MATCH(0,INDEX(COUNTIF($B$1:B1219,$A$2:$A$4629),0,0),0)))</f>
        <v/>
      </c>
      <c r="C1220" t="str">
        <f t="shared" si="19"/>
        <v/>
      </c>
    </row>
    <row r="1221" spans="1:3" x14ac:dyDescent="0.25">
      <c r="A1221" t="str">
        <f>IF(Scan2VK!K57&lt;&gt;"",Scan2VK!K57,"")</f>
        <v>MULTIPLY</v>
      </c>
      <c r="B1221" t="str">
        <f>IF(ISERROR(MATCH(0,INDEX(COUNTIF($B$1:B1220,$A$2:$A$4629),0,0),0)),"",INDEX($A$2:$A$4629,MATCH(0,INDEX(COUNTIF($B$1:B1220,$A$2:$A$4629),0,0),0)))</f>
        <v/>
      </c>
      <c r="C1221" t="str">
        <f t="shared" si="19"/>
        <v/>
      </c>
    </row>
    <row r="1222" spans="1:3" x14ac:dyDescent="0.25">
      <c r="A1222" t="str">
        <f>IF(Scan2VK!K58&lt;&gt;"",Scan2VK!K58,"")</f>
        <v>LMENU</v>
      </c>
      <c r="B1222" t="str">
        <f>IF(ISERROR(MATCH(0,INDEX(COUNTIF($B$1:B1221,$A$2:$A$4629),0,0),0)),"",INDEX($A$2:$A$4629,MATCH(0,INDEX(COUNTIF($B$1:B1221,$A$2:$A$4629),0,0),0)))</f>
        <v/>
      </c>
      <c r="C1222" t="str">
        <f t="shared" si="19"/>
        <v/>
      </c>
    </row>
    <row r="1223" spans="1:3" x14ac:dyDescent="0.25">
      <c r="A1223" t="str">
        <f>IF(Scan2VK!K59&lt;&gt;"",Scan2VK!K59,"")</f>
        <v>''</v>
      </c>
      <c r="B1223" t="str">
        <f>IF(ISERROR(MATCH(0,INDEX(COUNTIF($B$1:B1222,$A$2:$A$4629),0,0),0)),"",INDEX($A$2:$A$4629,MATCH(0,INDEX(COUNTIF($B$1:B1222,$A$2:$A$4629),0,0),0)))</f>
        <v/>
      </c>
      <c r="C1223" t="str">
        <f t="shared" si="19"/>
        <v/>
      </c>
    </row>
    <row r="1224" spans="1:3" x14ac:dyDescent="0.25">
      <c r="A1224" t="str">
        <f>IF(Scan2VK!K60&lt;&gt;"",Scan2VK!K60,"")</f>
        <v>DBE_ALPHANUMERIC</v>
      </c>
      <c r="B1224" t="str">
        <f>IF(ISERROR(MATCH(0,INDEX(COUNTIF($B$1:B1223,$A$2:$A$4629),0,0),0)),"",INDEX($A$2:$A$4629,MATCH(0,INDEX(COUNTIF($B$1:B1223,$A$2:$A$4629),0,0),0)))</f>
        <v/>
      </c>
      <c r="C1224" t="str">
        <f t="shared" si="19"/>
        <v/>
      </c>
    </row>
    <row r="1225" spans="1:3" x14ac:dyDescent="0.25">
      <c r="A1225" t="str">
        <f>IF(Scan2VK!K61&lt;&gt;"",Scan2VK!K61,"")</f>
        <v>F1</v>
      </c>
      <c r="B1225" t="str">
        <f>IF(ISERROR(MATCH(0,INDEX(COUNTIF($B$1:B1224,$A$2:$A$4629),0,0),0)),"",INDEX($A$2:$A$4629,MATCH(0,INDEX(COUNTIF($B$1:B1224,$A$2:$A$4629),0,0),0)))</f>
        <v/>
      </c>
      <c r="C1225" t="str">
        <f t="shared" si="19"/>
        <v/>
      </c>
    </row>
    <row r="1226" spans="1:3" x14ac:dyDescent="0.25">
      <c r="A1226" t="str">
        <f>IF(Scan2VK!K62&lt;&gt;"",Scan2VK!K62,"")</f>
        <v>F2</v>
      </c>
      <c r="B1226" t="str">
        <f>IF(ISERROR(MATCH(0,INDEX(COUNTIF($B$1:B1225,$A$2:$A$4629),0,0),0)),"",INDEX($A$2:$A$4629,MATCH(0,INDEX(COUNTIF($B$1:B1225,$A$2:$A$4629),0,0),0)))</f>
        <v/>
      </c>
      <c r="C1226" t="str">
        <f t="shared" si="19"/>
        <v/>
      </c>
    </row>
    <row r="1227" spans="1:3" x14ac:dyDescent="0.25">
      <c r="A1227" t="str">
        <f>IF(Scan2VK!K63&lt;&gt;"",Scan2VK!K63,"")</f>
        <v>F3</v>
      </c>
      <c r="B1227" t="str">
        <f>IF(ISERROR(MATCH(0,INDEX(COUNTIF($B$1:B1226,$A$2:$A$4629),0,0),0)),"",INDEX($A$2:$A$4629,MATCH(0,INDEX(COUNTIF($B$1:B1226,$A$2:$A$4629),0,0),0)))</f>
        <v/>
      </c>
      <c r="C1227" t="str">
        <f t="shared" si="19"/>
        <v/>
      </c>
    </row>
    <row r="1228" spans="1:3" x14ac:dyDescent="0.25">
      <c r="A1228" t="str">
        <f>IF(Scan2VK!K64&lt;&gt;"",Scan2VK!K64,"")</f>
        <v>F4</v>
      </c>
      <c r="B1228" t="str">
        <f>IF(ISERROR(MATCH(0,INDEX(COUNTIF($B$1:B1227,$A$2:$A$4629),0,0),0)),"",INDEX($A$2:$A$4629,MATCH(0,INDEX(COUNTIF($B$1:B1227,$A$2:$A$4629),0,0),0)))</f>
        <v/>
      </c>
      <c r="C1228" t="str">
        <f t="shared" si="19"/>
        <v/>
      </c>
    </row>
    <row r="1229" spans="1:3" x14ac:dyDescent="0.25">
      <c r="A1229" t="str">
        <f>IF(Scan2VK!K65&lt;&gt;"",Scan2VK!K65,"")</f>
        <v>F5</v>
      </c>
      <c r="B1229" t="str">
        <f>IF(ISERROR(MATCH(0,INDEX(COUNTIF($B$1:B1228,$A$2:$A$4629),0,0),0)),"",INDEX($A$2:$A$4629,MATCH(0,INDEX(COUNTIF($B$1:B1228,$A$2:$A$4629),0,0),0)))</f>
        <v/>
      </c>
      <c r="C1229" t="str">
        <f t="shared" si="19"/>
        <v/>
      </c>
    </row>
    <row r="1230" spans="1:3" x14ac:dyDescent="0.25">
      <c r="A1230" t="str">
        <f>IF(Scan2VK!K66&lt;&gt;"",Scan2VK!K66,"")</f>
        <v>F6</v>
      </c>
      <c r="B1230" t="str">
        <f>IF(ISERROR(MATCH(0,INDEX(COUNTIF($B$1:B1229,$A$2:$A$4629),0,0),0)),"",INDEX($A$2:$A$4629,MATCH(0,INDEX(COUNTIF($B$1:B1229,$A$2:$A$4629),0,0),0)))</f>
        <v/>
      </c>
      <c r="C1230" t="str">
        <f t="shared" si="19"/>
        <v/>
      </c>
    </row>
    <row r="1231" spans="1:3" x14ac:dyDescent="0.25">
      <c r="A1231" t="str">
        <f>IF(Scan2VK!K67&lt;&gt;"",Scan2VK!K67,"")</f>
        <v>F7</v>
      </c>
      <c r="B1231" t="str">
        <f>IF(ISERROR(MATCH(0,INDEX(COUNTIF($B$1:B1230,$A$2:$A$4629),0,0),0)),"",INDEX($A$2:$A$4629,MATCH(0,INDEX(COUNTIF($B$1:B1230,$A$2:$A$4629),0,0),0)))</f>
        <v/>
      </c>
      <c r="C1231" t="str">
        <f t="shared" si="19"/>
        <v/>
      </c>
    </row>
    <row r="1232" spans="1:3" x14ac:dyDescent="0.25">
      <c r="A1232" t="str">
        <f>IF(Scan2VK!K68&lt;&gt;"",Scan2VK!K68,"")</f>
        <v>F8</v>
      </c>
      <c r="B1232" t="str">
        <f>IF(ISERROR(MATCH(0,INDEX(COUNTIF($B$1:B1231,$A$2:$A$4629),0,0),0)),"",INDEX($A$2:$A$4629,MATCH(0,INDEX(COUNTIF($B$1:B1231,$A$2:$A$4629),0,0),0)))</f>
        <v/>
      </c>
      <c r="C1232" t="str">
        <f t="shared" si="19"/>
        <v/>
      </c>
    </row>
    <row r="1233" spans="1:3" x14ac:dyDescent="0.25">
      <c r="A1233" t="str">
        <f>IF(Scan2VK!K69&lt;&gt;"",Scan2VK!K69,"")</f>
        <v>F9</v>
      </c>
      <c r="B1233" t="str">
        <f>IF(ISERROR(MATCH(0,INDEX(COUNTIF($B$1:B1232,$A$2:$A$4629),0,0),0)),"",INDEX($A$2:$A$4629,MATCH(0,INDEX(COUNTIF($B$1:B1232,$A$2:$A$4629),0,0),0)))</f>
        <v/>
      </c>
      <c r="C1233" t="str">
        <f t="shared" si="19"/>
        <v/>
      </c>
    </row>
    <row r="1234" spans="1:3" x14ac:dyDescent="0.25">
      <c r="A1234" t="str">
        <f>IF(Scan2VK!K70&lt;&gt;"",Scan2VK!K70,"")</f>
        <v>F10</v>
      </c>
      <c r="B1234" t="str">
        <f>IF(ISERROR(MATCH(0,INDEX(COUNTIF($B$1:B1233,$A$2:$A$4629),0,0),0)),"",INDEX($A$2:$A$4629,MATCH(0,INDEX(COUNTIF($B$1:B1233,$A$2:$A$4629),0,0),0)))</f>
        <v/>
      </c>
      <c r="C1234" t="str">
        <f t="shared" si="19"/>
        <v/>
      </c>
    </row>
    <row r="1235" spans="1:3" x14ac:dyDescent="0.25">
      <c r="A1235" t="str">
        <f>IF(Scan2VK!K71&lt;&gt;"",Scan2VK!K71,"")</f>
        <v>NUMLOCK</v>
      </c>
      <c r="B1235" t="str">
        <f>IF(ISERROR(MATCH(0,INDEX(COUNTIF($B$1:B1234,$A$2:$A$4629),0,0),0)),"",INDEX($A$2:$A$4629,MATCH(0,INDEX(COUNTIF($B$1:B1234,$A$2:$A$4629),0,0),0)))</f>
        <v/>
      </c>
      <c r="C1235" t="str">
        <f t="shared" si="19"/>
        <v/>
      </c>
    </row>
    <row r="1236" spans="1:3" x14ac:dyDescent="0.25">
      <c r="A1236" t="str">
        <f>IF(Scan2VK!K72&lt;&gt;"",Scan2VK!K72,"")</f>
        <v>SCROLL</v>
      </c>
      <c r="B1236" t="str">
        <f>IF(ISERROR(MATCH(0,INDEX(COUNTIF($B$1:B1235,$A$2:$A$4629),0,0),0)),"",INDEX($A$2:$A$4629,MATCH(0,INDEX(COUNTIF($B$1:B1235,$A$2:$A$4629),0,0),0)))</f>
        <v/>
      </c>
      <c r="C1236" t="str">
        <f t="shared" si="19"/>
        <v/>
      </c>
    </row>
    <row r="1237" spans="1:3" x14ac:dyDescent="0.25">
      <c r="A1237" t="str">
        <f>IF(Scan2VK!K73&lt;&gt;"",Scan2VK!K73,"")</f>
        <v>HOME</v>
      </c>
      <c r="B1237" t="str">
        <f>IF(ISERROR(MATCH(0,INDEX(COUNTIF($B$1:B1236,$A$2:$A$4629),0,0),0)),"",INDEX($A$2:$A$4629,MATCH(0,INDEX(COUNTIF($B$1:B1236,$A$2:$A$4629),0,0),0)))</f>
        <v/>
      </c>
      <c r="C1237" t="str">
        <f t="shared" si="19"/>
        <v/>
      </c>
    </row>
    <row r="1238" spans="1:3" x14ac:dyDescent="0.25">
      <c r="A1238" t="str">
        <f>IF(Scan2VK!K74&lt;&gt;"",Scan2VK!K74,"")</f>
        <v>UP</v>
      </c>
      <c r="B1238" t="str">
        <f>IF(ISERROR(MATCH(0,INDEX(COUNTIF($B$1:B1237,$A$2:$A$4629),0,0),0)),"",INDEX($A$2:$A$4629,MATCH(0,INDEX(COUNTIF($B$1:B1237,$A$2:$A$4629),0,0),0)))</f>
        <v/>
      </c>
      <c r="C1238" t="str">
        <f t="shared" si="19"/>
        <v/>
      </c>
    </row>
    <row r="1239" spans="1:3" x14ac:dyDescent="0.25">
      <c r="A1239" t="str">
        <f>IF(Scan2VK!K75&lt;&gt;"",Scan2VK!K75,"")</f>
        <v>PRIOR</v>
      </c>
      <c r="B1239" t="str">
        <f>IF(ISERROR(MATCH(0,INDEX(COUNTIF($B$1:B1238,$A$2:$A$4629),0,0),0)),"",INDEX($A$2:$A$4629,MATCH(0,INDEX(COUNTIF($B$1:B1238,$A$2:$A$4629),0,0),0)))</f>
        <v/>
      </c>
      <c r="C1239" t="str">
        <f t="shared" si="19"/>
        <v/>
      </c>
    </row>
    <row r="1240" spans="1:3" x14ac:dyDescent="0.25">
      <c r="A1240" t="str">
        <f>IF(Scan2VK!K76&lt;&gt;"",Scan2VK!K76,"")</f>
        <v>SUBTRACT</v>
      </c>
      <c r="B1240" t="str">
        <f>IF(ISERROR(MATCH(0,INDEX(COUNTIF($B$1:B1239,$A$2:$A$4629),0,0),0)),"",INDEX($A$2:$A$4629,MATCH(0,INDEX(COUNTIF($B$1:B1239,$A$2:$A$4629),0,0),0)))</f>
        <v/>
      </c>
      <c r="C1240" t="str">
        <f t="shared" si="19"/>
        <v/>
      </c>
    </row>
    <row r="1241" spans="1:3" x14ac:dyDescent="0.25">
      <c r="A1241" t="str">
        <f>IF(Scan2VK!K77&lt;&gt;"",Scan2VK!K77,"")</f>
        <v>LEFT</v>
      </c>
      <c r="B1241" t="str">
        <f>IF(ISERROR(MATCH(0,INDEX(COUNTIF($B$1:B1240,$A$2:$A$4629),0,0),0)),"",INDEX($A$2:$A$4629,MATCH(0,INDEX(COUNTIF($B$1:B1240,$A$2:$A$4629),0,0),0)))</f>
        <v/>
      </c>
      <c r="C1241" t="str">
        <f t="shared" si="19"/>
        <v/>
      </c>
    </row>
    <row r="1242" spans="1:3" x14ac:dyDescent="0.25">
      <c r="A1242" t="str">
        <f>IF(Scan2VK!K78&lt;&gt;"",Scan2VK!K78,"")</f>
        <v>CLEAR</v>
      </c>
      <c r="B1242" t="str">
        <f>IF(ISERROR(MATCH(0,INDEX(COUNTIF($B$1:B1241,$A$2:$A$4629),0,0),0)),"",INDEX($A$2:$A$4629,MATCH(0,INDEX(COUNTIF($B$1:B1241,$A$2:$A$4629),0,0),0)))</f>
        <v/>
      </c>
      <c r="C1242" t="str">
        <f t="shared" si="19"/>
        <v/>
      </c>
    </row>
    <row r="1243" spans="1:3" x14ac:dyDescent="0.25">
      <c r="A1243" t="str">
        <f>IF(Scan2VK!K79&lt;&gt;"",Scan2VK!K79,"")</f>
        <v>RIGHT</v>
      </c>
      <c r="B1243" t="str">
        <f>IF(ISERROR(MATCH(0,INDEX(COUNTIF($B$1:B1242,$A$2:$A$4629),0,0),0)),"",INDEX($A$2:$A$4629,MATCH(0,INDEX(COUNTIF($B$1:B1242,$A$2:$A$4629),0,0),0)))</f>
        <v/>
      </c>
      <c r="C1243" t="str">
        <f t="shared" si="19"/>
        <v/>
      </c>
    </row>
    <row r="1244" spans="1:3" x14ac:dyDescent="0.25">
      <c r="A1244" t="str">
        <f>IF(Scan2VK!K80&lt;&gt;"",Scan2VK!K80,"")</f>
        <v>ADD</v>
      </c>
      <c r="B1244" t="str">
        <f>IF(ISERROR(MATCH(0,INDEX(COUNTIF($B$1:B1243,$A$2:$A$4629),0,0),0)),"",INDEX($A$2:$A$4629,MATCH(0,INDEX(COUNTIF($B$1:B1243,$A$2:$A$4629),0,0),0)))</f>
        <v/>
      </c>
      <c r="C1244" t="str">
        <f t="shared" si="19"/>
        <v/>
      </c>
    </row>
    <row r="1245" spans="1:3" x14ac:dyDescent="0.25">
      <c r="A1245" t="str">
        <f>IF(Scan2VK!K81&lt;&gt;"",Scan2VK!K81,"")</f>
        <v>END</v>
      </c>
      <c r="B1245" t="str">
        <f>IF(ISERROR(MATCH(0,INDEX(COUNTIF($B$1:B1244,$A$2:$A$4629),0,0),0)),"",INDEX($A$2:$A$4629,MATCH(0,INDEX(COUNTIF($B$1:B1244,$A$2:$A$4629),0,0),0)))</f>
        <v/>
      </c>
      <c r="C1245" t="str">
        <f t="shared" si="19"/>
        <v/>
      </c>
    </row>
    <row r="1246" spans="1:3" x14ac:dyDescent="0.25">
      <c r="A1246" t="str">
        <f>IF(Scan2VK!K82&lt;&gt;"",Scan2VK!K82,"")</f>
        <v>DOWN</v>
      </c>
      <c r="B1246" t="str">
        <f>IF(ISERROR(MATCH(0,INDEX(COUNTIF($B$1:B1245,$A$2:$A$4629),0,0),0)),"",INDEX($A$2:$A$4629,MATCH(0,INDEX(COUNTIF($B$1:B1245,$A$2:$A$4629),0,0),0)))</f>
        <v/>
      </c>
      <c r="C1246" t="str">
        <f t="shared" si="19"/>
        <v/>
      </c>
    </row>
    <row r="1247" spans="1:3" x14ac:dyDescent="0.25">
      <c r="A1247" t="str">
        <f>IF(Scan2VK!K83&lt;&gt;"",Scan2VK!K83,"")</f>
        <v>NEXT</v>
      </c>
      <c r="B1247" t="str">
        <f>IF(ISERROR(MATCH(0,INDEX(COUNTIF($B$1:B1246,$A$2:$A$4629),0,0),0)),"",INDEX($A$2:$A$4629,MATCH(0,INDEX(COUNTIF($B$1:B1246,$A$2:$A$4629),0,0),0)))</f>
        <v/>
      </c>
      <c r="C1247" t="str">
        <f t="shared" si="19"/>
        <v/>
      </c>
    </row>
    <row r="1248" spans="1:3" x14ac:dyDescent="0.25">
      <c r="A1248" t="str">
        <f>IF(Scan2VK!K84&lt;&gt;"",Scan2VK!K84,"")</f>
        <v>INSERT</v>
      </c>
      <c r="B1248" t="str">
        <f>IF(ISERROR(MATCH(0,INDEX(COUNTIF($B$1:B1247,$A$2:$A$4629),0,0),0)),"",INDEX($A$2:$A$4629,MATCH(0,INDEX(COUNTIF($B$1:B1247,$A$2:$A$4629),0,0),0)))</f>
        <v/>
      </c>
      <c r="C1248" t="str">
        <f t="shared" si="19"/>
        <v/>
      </c>
    </row>
    <row r="1249" spans="1:3" x14ac:dyDescent="0.25">
      <c r="A1249" t="str">
        <f>IF(Scan2VK!K85&lt;&gt;"",Scan2VK!K85,"")</f>
        <v>DELETE</v>
      </c>
      <c r="B1249" t="str">
        <f>IF(ISERROR(MATCH(0,INDEX(COUNTIF($B$1:B1248,$A$2:$A$4629),0,0),0)),"",INDEX($A$2:$A$4629,MATCH(0,INDEX(COUNTIF($B$1:B1248,$A$2:$A$4629),0,0),0)))</f>
        <v/>
      </c>
      <c r="C1249" t="str">
        <f t="shared" si="19"/>
        <v/>
      </c>
    </row>
    <row r="1250" spans="1:3" x14ac:dyDescent="0.25">
      <c r="A1250" t="str">
        <f>IF(Scan2VK!K86&lt;&gt;"",Scan2VK!K86,"")</f>
        <v>SNAPSHOT</v>
      </c>
      <c r="B1250" t="str">
        <f>IF(ISERROR(MATCH(0,INDEX(COUNTIF($B$1:B1249,$A$2:$A$4629),0,0),0)),"",INDEX($A$2:$A$4629,MATCH(0,INDEX(COUNTIF($B$1:B1249,$A$2:$A$4629),0,0),0)))</f>
        <v/>
      </c>
      <c r="C1250" t="str">
        <f t="shared" si="19"/>
        <v/>
      </c>
    </row>
    <row r="1251" spans="1:3" x14ac:dyDescent="0.25">
      <c r="A1251" t="str">
        <f>IF(Scan2VK!K87&lt;&gt;"",Scan2VK!K87,"")</f>
        <v>_none_</v>
      </c>
      <c r="B1251" t="str">
        <f>IF(ISERROR(MATCH(0,INDEX(COUNTIF($B$1:B1250,$A$2:$A$4629),0,0),0)),"",INDEX($A$2:$A$4629,MATCH(0,INDEX(COUNTIF($B$1:B1250,$A$2:$A$4629),0,0),0)))</f>
        <v/>
      </c>
      <c r="C1251" t="str">
        <f t="shared" si="19"/>
        <v/>
      </c>
    </row>
    <row r="1252" spans="1:3" x14ac:dyDescent="0.25">
      <c r="A1252" t="str">
        <f>IF(Scan2VK!K88&lt;&gt;"",Scan2VK!K88,"")</f>
        <v>_none_</v>
      </c>
      <c r="B1252" t="str">
        <f>IF(ISERROR(MATCH(0,INDEX(COUNTIF($B$1:B1251,$A$2:$A$4629),0,0),0)),"",INDEX($A$2:$A$4629,MATCH(0,INDEX(COUNTIF($B$1:B1251,$A$2:$A$4629),0,0),0)))</f>
        <v/>
      </c>
      <c r="C1252" t="str">
        <f t="shared" si="19"/>
        <v/>
      </c>
    </row>
    <row r="1253" spans="1:3" x14ac:dyDescent="0.25">
      <c r="A1253" t="str">
        <f>IF(Scan2VK!K89&lt;&gt;"",Scan2VK!K89,"")</f>
        <v>F11</v>
      </c>
      <c r="B1253" t="str">
        <f>IF(ISERROR(MATCH(0,INDEX(COUNTIF($B$1:B1252,$A$2:$A$4629),0,0),0)),"",INDEX($A$2:$A$4629,MATCH(0,INDEX(COUNTIF($B$1:B1252,$A$2:$A$4629),0,0),0)))</f>
        <v/>
      </c>
      <c r="C1253" t="str">
        <f t="shared" si="19"/>
        <v/>
      </c>
    </row>
    <row r="1254" spans="1:3" x14ac:dyDescent="0.25">
      <c r="A1254" t="str">
        <f>IF(Scan2VK!K90&lt;&gt;"",Scan2VK!K90,"")</f>
        <v>F12</v>
      </c>
      <c r="B1254" t="str">
        <f>IF(ISERROR(MATCH(0,INDEX(COUNTIF($B$1:B1253,$A$2:$A$4629),0,0),0)),"",INDEX($A$2:$A$4629,MATCH(0,INDEX(COUNTIF($B$1:B1253,$A$2:$A$4629),0,0),0)))</f>
        <v/>
      </c>
      <c r="C1254" t="str">
        <f t="shared" si="19"/>
        <v/>
      </c>
    </row>
    <row r="1255" spans="1:3" x14ac:dyDescent="0.25">
      <c r="A1255" t="str">
        <f>IF(Scan2VK!K91&lt;&gt;"",Scan2VK!K91,"")</f>
        <v>CLEAR</v>
      </c>
      <c r="B1255" t="str">
        <f>IF(ISERROR(MATCH(0,INDEX(COUNTIF($B$1:B1254,$A$2:$A$4629),0,0),0)),"",INDEX($A$2:$A$4629,MATCH(0,INDEX(COUNTIF($B$1:B1254,$A$2:$A$4629),0,0),0)))</f>
        <v/>
      </c>
      <c r="C1255" t="str">
        <f t="shared" si="19"/>
        <v/>
      </c>
    </row>
    <row r="1256" spans="1:3" x14ac:dyDescent="0.25">
      <c r="A1256" t="str">
        <f>IF(Scan2VK!K92&lt;&gt;"",Scan2VK!K92,"")</f>
        <v>NONAME</v>
      </c>
      <c r="B1256" t="str">
        <f>IF(ISERROR(MATCH(0,INDEX(COUNTIF($B$1:B1255,$A$2:$A$4629),0,0),0)),"",INDEX($A$2:$A$4629,MATCH(0,INDEX(COUNTIF($B$1:B1255,$A$2:$A$4629),0,0),0)))</f>
        <v/>
      </c>
      <c r="C1256" t="str">
        <f t="shared" si="19"/>
        <v/>
      </c>
    </row>
    <row r="1257" spans="1:3" x14ac:dyDescent="0.25">
      <c r="A1257" t="str">
        <f>IF(Scan2VK!K93&lt;&gt;"",Scan2VK!K93,"")</f>
        <v>NONAME</v>
      </c>
      <c r="B1257" t="str">
        <f>IF(ISERROR(MATCH(0,INDEX(COUNTIF($B$1:B1256,$A$2:$A$4629),0,0),0)),"",INDEX($A$2:$A$4629,MATCH(0,INDEX(COUNTIF($B$1:B1256,$A$2:$A$4629),0,0),0)))</f>
        <v/>
      </c>
      <c r="C1257" t="str">
        <f t="shared" si="19"/>
        <v/>
      </c>
    </row>
    <row r="1258" spans="1:3" x14ac:dyDescent="0.25">
      <c r="A1258" t="str">
        <f>IF(Scan2VK!K94&lt;&gt;"",Scan2VK!K94,"")</f>
        <v>NONAME</v>
      </c>
      <c r="B1258" t="str">
        <f>IF(ISERROR(MATCH(0,INDEX(COUNTIF($B$1:B1257,$A$2:$A$4629),0,0),0)),"",INDEX($A$2:$A$4629,MATCH(0,INDEX(COUNTIF($B$1:B1257,$A$2:$A$4629),0,0),0)))</f>
        <v/>
      </c>
      <c r="C1258" t="str">
        <f t="shared" si="19"/>
        <v/>
      </c>
    </row>
    <row r="1259" spans="1:3" x14ac:dyDescent="0.25">
      <c r="A1259" t="str">
        <f>IF(Scan2VK!K95&lt;&gt;"",Scan2VK!K95,"")</f>
        <v>EREOF</v>
      </c>
      <c r="B1259" t="str">
        <f>IF(ISERROR(MATCH(0,INDEX(COUNTIF($B$1:B1258,$A$2:$A$4629),0,0),0)),"",INDEX($A$2:$A$4629,MATCH(0,INDEX(COUNTIF($B$1:B1258,$A$2:$A$4629),0,0),0)))</f>
        <v/>
      </c>
      <c r="C1259" t="str">
        <f t="shared" si="19"/>
        <v/>
      </c>
    </row>
    <row r="1260" spans="1:3" x14ac:dyDescent="0.25">
      <c r="A1260" t="str">
        <f>IF(Scan2VK!K96&lt;&gt;"",Scan2VK!K96,"")</f>
        <v>_none_</v>
      </c>
      <c r="B1260" t="str">
        <f>IF(ISERROR(MATCH(0,INDEX(COUNTIF($B$1:B1259,$A$2:$A$4629),0,0),0)),"",INDEX($A$2:$A$4629,MATCH(0,INDEX(COUNTIF($B$1:B1259,$A$2:$A$4629),0,0),0)))</f>
        <v/>
      </c>
      <c r="C1260" t="str">
        <f t="shared" si="19"/>
        <v/>
      </c>
    </row>
    <row r="1261" spans="1:3" x14ac:dyDescent="0.25">
      <c r="A1261" t="str">
        <f>IF(Scan2VK!K97&lt;&gt;"",Scan2VK!K97,"")</f>
        <v>NONAME</v>
      </c>
      <c r="B1261" t="str">
        <f>IF(ISERROR(MATCH(0,INDEX(COUNTIF($B$1:B1260,$A$2:$A$4629),0,0),0)),"",INDEX($A$2:$A$4629,MATCH(0,INDEX(COUNTIF($B$1:B1260,$A$2:$A$4629),0,0),0)))</f>
        <v/>
      </c>
      <c r="C1261" t="str">
        <f t="shared" si="19"/>
        <v/>
      </c>
    </row>
    <row r="1262" spans="1:3" x14ac:dyDescent="0.25">
      <c r="A1262" t="str">
        <f>IF(Scan2VK!K98&lt;&gt;"",Scan2VK!K98,"")</f>
        <v>_none_</v>
      </c>
      <c r="B1262" t="str">
        <f>IF(ISERROR(MATCH(0,INDEX(COUNTIF($B$1:B1261,$A$2:$A$4629),0,0),0)),"",INDEX($A$2:$A$4629,MATCH(0,INDEX(COUNTIF($B$1:B1261,$A$2:$A$4629),0,0),0)))</f>
        <v/>
      </c>
      <c r="C1262" t="str">
        <f t="shared" si="19"/>
        <v/>
      </c>
    </row>
    <row r="1263" spans="1:3" x14ac:dyDescent="0.25">
      <c r="A1263" t="str">
        <f>IF(Scan2VK!K99&lt;&gt;"",Scan2VK!K99,"")</f>
        <v>_none_</v>
      </c>
      <c r="B1263" t="str">
        <f>IF(ISERROR(MATCH(0,INDEX(COUNTIF($B$1:B1262,$A$2:$A$4629),0,0),0)),"",INDEX($A$2:$A$4629,MATCH(0,INDEX(COUNTIF($B$1:B1262,$A$2:$A$4629),0,0),0)))</f>
        <v/>
      </c>
      <c r="C1263" t="str">
        <f t="shared" si="19"/>
        <v/>
      </c>
    </row>
    <row r="1264" spans="1:3" x14ac:dyDescent="0.25">
      <c r="A1264" t="str">
        <f>IF(Scan2VK!K100&lt;&gt;"",Scan2VK!K100,"")</f>
        <v>_none_</v>
      </c>
      <c r="B1264" t="str">
        <f>IF(ISERROR(MATCH(0,INDEX(COUNTIF($B$1:B1263,$A$2:$A$4629),0,0),0)),"",INDEX($A$2:$A$4629,MATCH(0,INDEX(COUNTIF($B$1:B1263,$A$2:$A$4629),0,0),0)))</f>
        <v/>
      </c>
      <c r="C1264" t="str">
        <f t="shared" si="19"/>
        <v/>
      </c>
    </row>
    <row r="1265" spans="1:3" x14ac:dyDescent="0.25">
      <c r="A1265" t="str">
        <f>IF(Scan2VK!K101&lt;&gt;"",Scan2VK!K101,"")</f>
        <v>_none_</v>
      </c>
      <c r="B1265" t="str">
        <f>IF(ISERROR(MATCH(0,INDEX(COUNTIF($B$1:B1264,$A$2:$A$4629),0,0),0)),"",INDEX($A$2:$A$4629,MATCH(0,INDEX(COUNTIF($B$1:B1264,$A$2:$A$4629),0,0),0)))</f>
        <v/>
      </c>
      <c r="C1265" t="str">
        <f t="shared" si="19"/>
        <v/>
      </c>
    </row>
    <row r="1266" spans="1:3" x14ac:dyDescent="0.25">
      <c r="A1266" t="str">
        <f>IF(Scan2VK!K102&lt;&gt;"",Scan2VK!K102,"")</f>
        <v>F13</v>
      </c>
      <c r="B1266" t="str">
        <f>IF(ISERROR(MATCH(0,INDEX(COUNTIF($B$1:B1265,$A$2:$A$4629),0,0),0)),"",INDEX($A$2:$A$4629,MATCH(0,INDEX(COUNTIF($B$1:B1265,$A$2:$A$4629),0,0),0)))</f>
        <v/>
      </c>
      <c r="C1266" t="str">
        <f t="shared" si="19"/>
        <v/>
      </c>
    </row>
    <row r="1267" spans="1:3" x14ac:dyDescent="0.25">
      <c r="A1267" t="str">
        <f>IF(Scan2VK!K103&lt;&gt;"",Scan2VK!K103,"")</f>
        <v>F14</v>
      </c>
      <c r="B1267" t="str">
        <f>IF(ISERROR(MATCH(0,INDEX(COUNTIF($B$1:B1266,$A$2:$A$4629),0,0),0)),"",INDEX($A$2:$A$4629,MATCH(0,INDEX(COUNTIF($B$1:B1266,$A$2:$A$4629),0,0),0)))</f>
        <v/>
      </c>
      <c r="C1267" t="str">
        <f t="shared" si="19"/>
        <v/>
      </c>
    </row>
    <row r="1268" spans="1:3" x14ac:dyDescent="0.25">
      <c r="A1268" t="str">
        <f>IF(Scan2VK!K104&lt;&gt;"",Scan2VK!K104,"")</f>
        <v>F15</v>
      </c>
      <c r="B1268" t="str">
        <f>IF(ISERROR(MATCH(0,INDEX(COUNTIF($B$1:B1267,$A$2:$A$4629),0,0),0)),"",INDEX($A$2:$A$4629,MATCH(0,INDEX(COUNTIF($B$1:B1267,$A$2:$A$4629),0,0),0)))</f>
        <v/>
      </c>
      <c r="C1268" t="str">
        <f t="shared" si="19"/>
        <v/>
      </c>
    </row>
    <row r="1269" spans="1:3" x14ac:dyDescent="0.25">
      <c r="A1269" t="str">
        <f>IF(Scan2VK!K105&lt;&gt;"",Scan2VK!K105,"")</f>
        <v>F16</v>
      </c>
      <c r="B1269" t="str">
        <f>IF(ISERROR(MATCH(0,INDEX(COUNTIF($B$1:B1268,$A$2:$A$4629),0,0),0)),"",INDEX($A$2:$A$4629,MATCH(0,INDEX(COUNTIF($B$1:B1268,$A$2:$A$4629),0,0),0)))</f>
        <v/>
      </c>
      <c r="C1269" t="str">
        <f t="shared" si="19"/>
        <v/>
      </c>
    </row>
    <row r="1270" spans="1:3" x14ac:dyDescent="0.25">
      <c r="A1270" t="str">
        <f>IF(Scan2VK!K106&lt;&gt;"",Scan2VK!K106,"")</f>
        <v>F17</v>
      </c>
      <c r="B1270" t="str">
        <f>IF(ISERROR(MATCH(0,INDEX(COUNTIF($B$1:B1269,$A$2:$A$4629),0,0),0)),"",INDEX($A$2:$A$4629,MATCH(0,INDEX(COUNTIF($B$1:B1269,$A$2:$A$4629),0,0),0)))</f>
        <v/>
      </c>
      <c r="C1270" t="str">
        <f t="shared" si="19"/>
        <v/>
      </c>
    </row>
    <row r="1271" spans="1:3" x14ac:dyDescent="0.25">
      <c r="A1271" t="str">
        <f>IF(Scan2VK!K107&lt;&gt;"",Scan2VK!K107,"")</f>
        <v>F18</v>
      </c>
      <c r="B1271" t="str">
        <f>IF(ISERROR(MATCH(0,INDEX(COUNTIF($B$1:B1270,$A$2:$A$4629),0,0),0)),"",INDEX($A$2:$A$4629,MATCH(0,INDEX(COUNTIF($B$1:B1270,$A$2:$A$4629),0,0),0)))</f>
        <v/>
      </c>
      <c r="C1271" t="str">
        <f t="shared" si="19"/>
        <v/>
      </c>
    </row>
    <row r="1272" spans="1:3" x14ac:dyDescent="0.25">
      <c r="A1272" t="str">
        <f>IF(Scan2VK!K108&lt;&gt;"",Scan2VK!K108,"")</f>
        <v>F19</v>
      </c>
      <c r="B1272" t="str">
        <f>IF(ISERROR(MATCH(0,INDEX(COUNTIF($B$1:B1271,$A$2:$A$4629),0,0),0)),"",INDEX($A$2:$A$4629,MATCH(0,INDEX(COUNTIF($B$1:B1271,$A$2:$A$4629),0,0),0)))</f>
        <v/>
      </c>
      <c r="C1272" t="str">
        <f t="shared" si="19"/>
        <v/>
      </c>
    </row>
    <row r="1273" spans="1:3" x14ac:dyDescent="0.25">
      <c r="A1273" t="str">
        <f>IF(Scan2VK!K109&lt;&gt;"",Scan2VK!K109,"")</f>
        <v>F20</v>
      </c>
      <c r="B1273" t="str">
        <f>IF(ISERROR(MATCH(0,INDEX(COUNTIF($B$1:B1272,$A$2:$A$4629),0,0),0)),"",INDEX($A$2:$A$4629,MATCH(0,INDEX(COUNTIF($B$1:B1272,$A$2:$A$4629),0,0),0)))</f>
        <v/>
      </c>
      <c r="C1273" t="str">
        <f t="shared" si="19"/>
        <v/>
      </c>
    </row>
    <row r="1274" spans="1:3" x14ac:dyDescent="0.25">
      <c r="A1274" t="str">
        <f>IF(Scan2VK!K110&lt;&gt;"",Scan2VK!K110,"")</f>
        <v>F21</v>
      </c>
      <c r="B1274" t="str">
        <f>IF(ISERROR(MATCH(0,INDEX(COUNTIF($B$1:B1273,$A$2:$A$4629),0,0),0)),"",INDEX($A$2:$A$4629,MATCH(0,INDEX(COUNTIF($B$1:B1273,$A$2:$A$4629),0,0),0)))</f>
        <v/>
      </c>
      <c r="C1274" t="str">
        <f t="shared" si="19"/>
        <v/>
      </c>
    </row>
    <row r="1275" spans="1:3" x14ac:dyDescent="0.25">
      <c r="A1275" t="str">
        <f>IF(Scan2VK!K111&lt;&gt;"",Scan2VK!K111,"")</f>
        <v>F22</v>
      </c>
      <c r="B1275" t="str">
        <f>IF(ISERROR(MATCH(0,INDEX(COUNTIF($B$1:B1274,$A$2:$A$4629),0,0),0)),"",INDEX($A$2:$A$4629,MATCH(0,INDEX(COUNTIF($B$1:B1274,$A$2:$A$4629),0,0),0)))</f>
        <v/>
      </c>
      <c r="C1275" t="str">
        <f t="shared" si="19"/>
        <v/>
      </c>
    </row>
    <row r="1276" spans="1:3" x14ac:dyDescent="0.25">
      <c r="A1276" t="str">
        <f>IF(Scan2VK!K112&lt;&gt;"",Scan2VK!K112,"")</f>
        <v>F23</v>
      </c>
      <c r="B1276" t="str">
        <f>IF(ISERROR(MATCH(0,INDEX(COUNTIF($B$1:B1275,$A$2:$A$4629),0,0),0)),"",INDEX($A$2:$A$4629,MATCH(0,INDEX(COUNTIF($B$1:B1275,$A$2:$A$4629),0,0),0)))</f>
        <v/>
      </c>
      <c r="C1276" t="str">
        <f t="shared" si="19"/>
        <v/>
      </c>
    </row>
    <row r="1277" spans="1:3" x14ac:dyDescent="0.25">
      <c r="A1277" t="str">
        <f>IF(Scan2VK!K113&lt;&gt;"",Scan2VK!K113,"")</f>
        <v>_none_</v>
      </c>
      <c r="B1277" t="str">
        <f>IF(ISERROR(MATCH(0,INDEX(COUNTIF($B$1:B1276,$A$2:$A$4629),0,0),0)),"",INDEX($A$2:$A$4629,MATCH(0,INDEX(COUNTIF($B$1:B1276,$A$2:$A$4629),0,0),0)))</f>
        <v/>
      </c>
      <c r="C1277" t="str">
        <f t="shared" si="19"/>
        <v/>
      </c>
    </row>
    <row r="1278" spans="1:3" x14ac:dyDescent="0.25">
      <c r="A1278" t="str">
        <f>IF(Scan2VK!K114&lt;&gt;"",Scan2VK!K114,"")</f>
        <v>DBE_KATAKANA</v>
      </c>
      <c r="B1278" t="str">
        <f>IF(ISERROR(MATCH(0,INDEX(COUNTIF($B$1:B1277,$A$2:$A$4629),0,0),0)),"",INDEX($A$2:$A$4629,MATCH(0,INDEX(COUNTIF($B$1:B1277,$A$2:$A$4629),0,0),0)))</f>
        <v/>
      </c>
      <c r="C1278" t="str">
        <f t="shared" si="19"/>
        <v/>
      </c>
    </row>
    <row r="1279" spans="1:3" x14ac:dyDescent="0.25">
      <c r="A1279" t="str">
        <f>IF(Scan2VK!K115&lt;&gt;"",Scan2VK!K115,"")</f>
        <v>_none_</v>
      </c>
      <c r="B1279" t="str">
        <f>IF(ISERROR(MATCH(0,INDEX(COUNTIF($B$1:B1278,$A$2:$A$4629),0,0),0)),"",INDEX($A$2:$A$4629,MATCH(0,INDEX(COUNTIF($B$1:B1278,$A$2:$A$4629),0,0),0)))</f>
        <v/>
      </c>
      <c r="C1279" t="str">
        <f t="shared" si="19"/>
        <v/>
      </c>
    </row>
    <row r="1280" spans="1:3" x14ac:dyDescent="0.25">
      <c r="A1280" t="str">
        <f>IF(Scan2VK!K116&lt;&gt;"",Scan2VK!K116,"")</f>
        <v>_none_</v>
      </c>
      <c r="B1280" t="str">
        <f>IF(ISERROR(MATCH(0,INDEX(COUNTIF($B$1:B1279,$A$2:$A$4629),0,0),0)),"",INDEX($A$2:$A$4629,MATCH(0,INDEX(COUNTIF($B$1:B1279,$A$2:$A$4629),0,0),0)))</f>
        <v/>
      </c>
      <c r="C1280" t="str">
        <f t="shared" si="19"/>
        <v/>
      </c>
    </row>
    <row r="1281" spans="1:3" x14ac:dyDescent="0.25">
      <c r="A1281" t="str">
        <f>IF(Scan2VK!K117&lt;&gt;"",Scan2VK!K117,"")</f>
        <v>OEM_102</v>
      </c>
      <c r="B1281" t="str">
        <f>IF(ISERROR(MATCH(0,INDEX(COUNTIF($B$1:B1280,$A$2:$A$4629),0,0),0)),"",INDEX($A$2:$A$4629,MATCH(0,INDEX(COUNTIF($B$1:B1280,$A$2:$A$4629),0,0),0)))</f>
        <v/>
      </c>
      <c r="C1281" t="str">
        <f t="shared" si="19"/>
        <v/>
      </c>
    </row>
    <row r="1282" spans="1:3" x14ac:dyDescent="0.25">
      <c r="A1282" t="str">
        <f>IF(Scan2VK!K118&lt;&gt;"",Scan2VK!K118,"")</f>
        <v>_none_</v>
      </c>
      <c r="B1282" t="str">
        <f>IF(ISERROR(MATCH(0,INDEX(COUNTIF($B$1:B1281,$A$2:$A$4629),0,0),0)),"",INDEX($A$2:$A$4629,MATCH(0,INDEX(COUNTIF($B$1:B1281,$A$2:$A$4629),0,0),0)))</f>
        <v/>
      </c>
      <c r="C1282" t="str">
        <f t="shared" si="19"/>
        <v/>
      </c>
    </row>
    <row r="1283" spans="1:3" x14ac:dyDescent="0.25">
      <c r="A1283" t="str">
        <f>IF(Scan2VK!K119&lt;&gt;"",Scan2VK!K119,"")</f>
        <v>_none_</v>
      </c>
      <c r="B1283" t="str">
        <f>IF(ISERROR(MATCH(0,INDEX(COUNTIF($B$1:B1282,$A$2:$A$4629),0,0),0)),"",INDEX($A$2:$A$4629,MATCH(0,INDEX(COUNTIF($B$1:B1282,$A$2:$A$4629),0,0),0)))</f>
        <v/>
      </c>
      <c r="C1283" t="str">
        <f t="shared" ref="C1283:C1346" si="20">IF(B1283&lt;&gt;"","&lt;xs:enumeration value="""&amp;B1283&amp;"""/&gt;","")</f>
        <v/>
      </c>
    </row>
    <row r="1284" spans="1:3" x14ac:dyDescent="0.25">
      <c r="A1284" t="str">
        <f>IF(Scan2VK!K120&lt;&gt;"",Scan2VK!K120,"")</f>
        <v>F24</v>
      </c>
      <c r="B1284" t="str">
        <f>IF(ISERROR(MATCH(0,INDEX(COUNTIF($B$1:B1283,$A$2:$A$4629),0,0),0)),"",INDEX($A$2:$A$4629,MATCH(0,INDEX(COUNTIF($B$1:B1283,$A$2:$A$4629),0,0),0)))</f>
        <v/>
      </c>
      <c r="C1284" t="str">
        <f t="shared" si="20"/>
        <v/>
      </c>
    </row>
    <row r="1285" spans="1:3" x14ac:dyDescent="0.25">
      <c r="A1285" t="str">
        <f>IF(Scan2VK!K121&lt;&gt;"",Scan2VK!K121,"")</f>
        <v>DBE_SBCSCHAR</v>
      </c>
      <c r="B1285" t="str">
        <f>IF(ISERROR(MATCH(0,INDEX(COUNTIF($B$1:B1284,$A$2:$A$4629),0,0),0)),"",INDEX($A$2:$A$4629,MATCH(0,INDEX(COUNTIF($B$1:B1284,$A$2:$A$4629),0,0),0)))</f>
        <v/>
      </c>
      <c r="C1285" t="str">
        <f t="shared" si="20"/>
        <v/>
      </c>
    </row>
    <row r="1286" spans="1:3" x14ac:dyDescent="0.25">
      <c r="A1286" t="str">
        <f>IF(Scan2VK!K122&lt;&gt;"",Scan2VK!K122,"")</f>
        <v>_none_</v>
      </c>
      <c r="B1286" t="str">
        <f>IF(ISERROR(MATCH(0,INDEX(COUNTIF($B$1:B1285,$A$2:$A$4629),0,0),0)),"",INDEX($A$2:$A$4629,MATCH(0,INDEX(COUNTIF($B$1:B1285,$A$2:$A$4629),0,0),0)))</f>
        <v/>
      </c>
      <c r="C1286" t="str">
        <f t="shared" si="20"/>
        <v/>
      </c>
    </row>
    <row r="1287" spans="1:3" x14ac:dyDescent="0.25">
      <c r="A1287" t="str">
        <f>IF(Scan2VK!K123&lt;&gt;"",Scan2VK!K123,"")</f>
        <v>CONVERT</v>
      </c>
      <c r="B1287" t="str">
        <f>IF(ISERROR(MATCH(0,INDEX(COUNTIF($B$1:B1286,$A$2:$A$4629),0,0),0)),"",INDEX($A$2:$A$4629,MATCH(0,INDEX(COUNTIF($B$1:B1286,$A$2:$A$4629),0,0),0)))</f>
        <v/>
      </c>
      <c r="C1287" t="str">
        <f t="shared" si="20"/>
        <v/>
      </c>
    </row>
    <row r="1288" spans="1:3" x14ac:dyDescent="0.25">
      <c r="A1288" t="str">
        <f>IF(Scan2VK!K124&lt;&gt;"",Scan2VK!K124,"")</f>
        <v>_none_</v>
      </c>
      <c r="B1288" t="str">
        <f>IF(ISERROR(MATCH(0,INDEX(COUNTIF($B$1:B1287,$A$2:$A$4629),0,0),0)),"",INDEX($A$2:$A$4629,MATCH(0,INDEX(COUNTIF($B$1:B1287,$A$2:$A$4629),0,0),0)))</f>
        <v/>
      </c>
      <c r="C1288" t="str">
        <f t="shared" si="20"/>
        <v/>
      </c>
    </row>
    <row r="1289" spans="1:3" x14ac:dyDescent="0.25">
      <c r="A1289" t="str">
        <f>IF(Scan2VK!K125&lt;&gt;"",Scan2VK!K125,"")</f>
        <v>NONCONVERT</v>
      </c>
      <c r="B1289" t="str">
        <f>IF(ISERROR(MATCH(0,INDEX(COUNTIF($B$1:B1288,$A$2:$A$4629),0,0),0)),"",INDEX($A$2:$A$4629,MATCH(0,INDEX(COUNTIF($B$1:B1288,$A$2:$A$4629),0,0),0)))</f>
        <v/>
      </c>
      <c r="C1289" t="str">
        <f t="shared" si="20"/>
        <v/>
      </c>
    </row>
    <row r="1290" spans="1:3" x14ac:dyDescent="0.25">
      <c r="A1290" t="str">
        <f>IF(Scan2VK!K126&lt;&gt;"",Scan2VK!K126,"")</f>
        <v>TAB</v>
      </c>
      <c r="B1290" t="str">
        <f>IF(ISERROR(MATCH(0,INDEX(COUNTIF($B$1:B1289,$A$2:$A$4629),0,0),0)),"",INDEX($A$2:$A$4629,MATCH(0,INDEX(COUNTIF($B$1:B1289,$A$2:$A$4629),0,0),0)))</f>
        <v/>
      </c>
      <c r="C1290" t="str">
        <f t="shared" si="20"/>
        <v/>
      </c>
    </row>
    <row r="1291" spans="1:3" x14ac:dyDescent="0.25">
      <c r="A1291" t="str">
        <f>IF(Scan2VK!K127&lt;&gt;"",Scan2VK!K127,"")</f>
        <v>_none_</v>
      </c>
      <c r="B1291" t="str">
        <f>IF(ISERROR(MATCH(0,INDEX(COUNTIF($B$1:B1290,$A$2:$A$4629),0,0),0)),"",INDEX($A$2:$A$4629,MATCH(0,INDEX(COUNTIF($B$1:B1290,$A$2:$A$4629),0,0),0)))</f>
        <v/>
      </c>
      <c r="C1291" t="str">
        <f t="shared" si="20"/>
        <v/>
      </c>
    </row>
    <row r="1292" spans="1:3" x14ac:dyDescent="0.25">
      <c r="A1292" t="str">
        <f>IF(Scan2VK!K128&lt;&gt;"",Scan2VK!K128,"")</f>
        <v>ABNT_C2</v>
      </c>
      <c r="B1292" t="str">
        <f>IF(ISERROR(MATCH(0,INDEX(COUNTIF($B$1:B1291,$A$2:$A$4629),0,0),0)),"",INDEX($A$2:$A$4629,MATCH(0,INDEX(COUNTIF($B$1:B1291,$A$2:$A$4629),0,0),0)))</f>
        <v/>
      </c>
      <c r="C1292" t="str">
        <f t="shared" si="20"/>
        <v/>
      </c>
    </row>
    <row r="1293" spans="1:3" x14ac:dyDescent="0.25">
      <c r="A1293" t="str">
        <f>IF(Scan2VK!K129&lt;&gt;"",Scan2VK!K129,"")</f>
        <v>OEM_PA2</v>
      </c>
      <c r="B1293" t="str">
        <f>IF(ISERROR(MATCH(0,INDEX(COUNTIF($B$1:B1292,$A$2:$A$4629),0,0),0)),"",INDEX($A$2:$A$4629,MATCH(0,INDEX(COUNTIF($B$1:B1292,$A$2:$A$4629),0,0),0)))</f>
        <v/>
      </c>
      <c r="C1293" t="str">
        <f t="shared" si="20"/>
        <v/>
      </c>
    </row>
    <row r="1294" spans="1:3" x14ac:dyDescent="0.25">
      <c r="A1294" t="str">
        <f>IF(Scan2VK!K130&lt;&gt;"",Scan2VK!K130,"")</f>
        <v/>
      </c>
      <c r="B1294" t="str">
        <f>IF(ISERROR(MATCH(0,INDEX(COUNTIF($B$1:B1293,$A$2:$A$4629),0,0),0)),"",INDEX($A$2:$A$4629,MATCH(0,INDEX(COUNTIF($B$1:B1293,$A$2:$A$4629),0,0),0)))</f>
        <v/>
      </c>
      <c r="C1294" t="str">
        <f t="shared" si="20"/>
        <v/>
      </c>
    </row>
    <row r="1295" spans="1:3" x14ac:dyDescent="0.25">
      <c r="A1295" t="str">
        <f>IF(Scan2VK!K131&lt;&gt;"",Scan2VK!K131,"")</f>
        <v>MEDIA_PREV_TRACK</v>
      </c>
      <c r="B1295" t="str">
        <f>IF(ISERROR(MATCH(0,INDEX(COUNTIF($B$1:B1294,$A$2:$A$4629),0,0),0)),"",INDEX($A$2:$A$4629,MATCH(0,INDEX(COUNTIF($B$1:B1294,$A$2:$A$4629),0,0),0)))</f>
        <v/>
      </c>
      <c r="C1295" t="str">
        <f t="shared" si="20"/>
        <v/>
      </c>
    </row>
    <row r="1296" spans="1:3" x14ac:dyDescent="0.25">
      <c r="A1296" t="str">
        <f>IF(Scan2VK!K132&lt;&gt;"",Scan2VK!K132,"")</f>
        <v>MEDIA_NEXT_TRACK</v>
      </c>
      <c r="B1296" t="str">
        <f>IF(ISERROR(MATCH(0,INDEX(COUNTIF($B$1:B1295,$A$2:$A$4629),0,0),0)),"",INDEX($A$2:$A$4629,MATCH(0,INDEX(COUNTIF($B$1:B1295,$A$2:$A$4629),0,0),0)))</f>
        <v/>
      </c>
      <c r="C1296" t="str">
        <f t="shared" si="20"/>
        <v/>
      </c>
    </row>
    <row r="1297" spans="1:3" x14ac:dyDescent="0.25">
      <c r="A1297" t="str">
        <f>IF(Scan2VK!K133&lt;&gt;"",Scan2VK!K133,"")</f>
        <v>RETURN</v>
      </c>
      <c r="B1297" t="str">
        <f>IF(ISERROR(MATCH(0,INDEX(COUNTIF($B$1:B1296,$A$2:$A$4629),0,0),0)),"",INDEX($A$2:$A$4629,MATCH(0,INDEX(COUNTIF($B$1:B1296,$A$2:$A$4629),0,0),0)))</f>
        <v/>
      </c>
      <c r="C1297" t="str">
        <f t="shared" si="20"/>
        <v/>
      </c>
    </row>
    <row r="1298" spans="1:3" x14ac:dyDescent="0.25">
      <c r="A1298" t="str">
        <f>IF(Scan2VK!K134&lt;&gt;"",Scan2VK!K134,"")</f>
        <v>RCONTROL</v>
      </c>
      <c r="B1298" t="str">
        <f>IF(ISERROR(MATCH(0,INDEX(COUNTIF($B$1:B1297,$A$2:$A$4629),0,0),0)),"",INDEX($A$2:$A$4629,MATCH(0,INDEX(COUNTIF($B$1:B1297,$A$2:$A$4629),0,0),0)))</f>
        <v/>
      </c>
      <c r="C1298" t="str">
        <f t="shared" si="20"/>
        <v/>
      </c>
    </row>
    <row r="1299" spans="1:3" x14ac:dyDescent="0.25">
      <c r="A1299" t="str">
        <f>IF(Scan2VK!K135&lt;&gt;"",Scan2VK!K135,"")</f>
        <v>VOLUME_MUTE</v>
      </c>
      <c r="B1299" t="str">
        <f>IF(ISERROR(MATCH(0,INDEX(COUNTIF($B$1:B1298,$A$2:$A$4629),0,0),0)),"",INDEX($A$2:$A$4629,MATCH(0,INDEX(COUNTIF($B$1:B1298,$A$2:$A$4629),0,0),0)))</f>
        <v/>
      </c>
      <c r="C1299" t="str">
        <f t="shared" si="20"/>
        <v/>
      </c>
    </row>
    <row r="1300" spans="1:3" x14ac:dyDescent="0.25">
      <c r="A1300" t="str">
        <f>IF(Scan2VK!K136&lt;&gt;"",Scan2VK!K136,"")</f>
        <v>LAUNCH_APP2</v>
      </c>
      <c r="B1300" t="str">
        <f>IF(ISERROR(MATCH(0,INDEX(COUNTIF($B$1:B1299,$A$2:$A$4629),0,0),0)),"",INDEX($A$2:$A$4629,MATCH(0,INDEX(COUNTIF($B$1:B1299,$A$2:$A$4629),0,0),0)))</f>
        <v/>
      </c>
      <c r="C1300" t="str">
        <f t="shared" si="20"/>
        <v/>
      </c>
    </row>
    <row r="1301" spans="1:3" x14ac:dyDescent="0.25">
      <c r="A1301" t="str">
        <f>IF(Scan2VK!K137&lt;&gt;"",Scan2VK!K137,"")</f>
        <v>MEDIA_PLAY_PAUSE</v>
      </c>
      <c r="B1301" t="str">
        <f>IF(ISERROR(MATCH(0,INDEX(COUNTIF($B$1:B1300,$A$2:$A$4629),0,0),0)),"",INDEX($A$2:$A$4629,MATCH(0,INDEX(COUNTIF($B$1:B1300,$A$2:$A$4629),0,0),0)))</f>
        <v/>
      </c>
      <c r="C1301" t="str">
        <f t="shared" si="20"/>
        <v/>
      </c>
    </row>
    <row r="1302" spans="1:3" x14ac:dyDescent="0.25">
      <c r="A1302" t="str">
        <f>IF(Scan2VK!K138&lt;&gt;"",Scan2VK!K138,"")</f>
        <v>MEDIA_STOP</v>
      </c>
      <c r="B1302" t="str">
        <f>IF(ISERROR(MATCH(0,INDEX(COUNTIF($B$1:B1301,$A$2:$A$4629),0,0),0)),"",INDEX($A$2:$A$4629,MATCH(0,INDEX(COUNTIF($B$1:B1301,$A$2:$A$4629),0,0),0)))</f>
        <v/>
      </c>
      <c r="C1302" t="str">
        <f t="shared" si="20"/>
        <v/>
      </c>
    </row>
    <row r="1303" spans="1:3" x14ac:dyDescent="0.25">
      <c r="A1303" t="str">
        <f>IF(Scan2VK!K139&lt;&gt;"",Scan2VK!K139,"")</f>
        <v>VOLUME_DOWN</v>
      </c>
      <c r="B1303" t="str">
        <f>IF(ISERROR(MATCH(0,INDEX(COUNTIF($B$1:B1302,$A$2:$A$4629),0,0),0)),"",INDEX($A$2:$A$4629,MATCH(0,INDEX(COUNTIF($B$1:B1302,$A$2:$A$4629),0,0),0)))</f>
        <v/>
      </c>
      <c r="C1303" t="str">
        <f t="shared" si="20"/>
        <v/>
      </c>
    </row>
    <row r="1304" spans="1:3" x14ac:dyDescent="0.25">
      <c r="A1304" t="str">
        <f>IF(Scan2VK!K140&lt;&gt;"",Scan2VK!K140,"")</f>
        <v>VOLUME_UP</v>
      </c>
      <c r="B1304" t="str">
        <f>IF(ISERROR(MATCH(0,INDEX(COUNTIF($B$1:B1303,$A$2:$A$4629),0,0),0)),"",INDEX($A$2:$A$4629,MATCH(0,INDEX(COUNTIF($B$1:B1303,$A$2:$A$4629),0,0),0)))</f>
        <v/>
      </c>
      <c r="C1304" t="str">
        <f t="shared" si="20"/>
        <v/>
      </c>
    </row>
    <row r="1305" spans="1:3" x14ac:dyDescent="0.25">
      <c r="A1305" t="str">
        <f>IF(Scan2VK!K141&lt;&gt;"",Scan2VK!K141,"")</f>
        <v>BROWSER_HOME</v>
      </c>
      <c r="B1305" t="str">
        <f>IF(ISERROR(MATCH(0,INDEX(COUNTIF($B$1:B1304,$A$2:$A$4629),0,0),0)),"",INDEX($A$2:$A$4629,MATCH(0,INDEX(COUNTIF($B$1:B1304,$A$2:$A$4629),0,0),0)))</f>
        <v/>
      </c>
      <c r="C1305" t="str">
        <f t="shared" si="20"/>
        <v/>
      </c>
    </row>
    <row r="1306" spans="1:3" x14ac:dyDescent="0.25">
      <c r="A1306" t="str">
        <f>IF(Scan2VK!K142&lt;&gt;"",Scan2VK!K142,"")</f>
        <v>OEM_8</v>
      </c>
      <c r="B1306" t="str">
        <f>IF(ISERROR(MATCH(0,INDEX(COUNTIF($B$1:B1305,$A$2:$A$4629),0,0),0)),"",INDEX($A$2:$A$4629,MATCH(0,INDEX(COUNTIF($B$1:B1305,$A$2:$A$4629),0,0),0)))</f>
        <v/>
      </c>
      <c r="C1306" t="str">
        <f t="shared" si="20"/>
        <v/>
      </c>
    </row>
    <row r="1307" spans="1:3" x14ac:dyDescent="0.25">
      <c r="A1307" t="str">
        <f>IF(Scan2VK!K143&lt;&gt;"",Scan2VK!K143,"")</f>
        <v>DIVIDE</v>
      </c>
      <c r="B1307" t="str">
        <f>IF(ISERROR(MATCH(0,INDEX(COUNTIF($B$1:B1306,$A$2:$A$4629),0,0),0)),"",INDEX($A$2:$A$4629,MATCH(0,INDEX(COUNTIF($B$1:B1306,$A$2:$A$4629),0,0),0)))</f>
        <v/>
      </c>
      <c r="C1307" t="str">
        <f t="shared" si="20"/>
        <v/>
      </c>
    </row>
    <row r="1308" spans="1:3" x14ac:dyDescent="0.25">
      <c r="A1308" t="str">
        <f>IF(Scan2VK!K144&lt;&gt;"",Scan2VK!K144,"")</f>
        <v>SNAPSHOT</v>
      </c>
      <c r="B1308" t="str">
        <f>IF(ISERROR(MATCH(0,INDEX(COUNTIF($B$1:B1307,$A$2:$A$4629),0,0),0)),"",INDEX($A$2:$A$4629,MATCH(0,INDEX(COUNTIF($B$1:B1307,$A$2:$A$4629),0,0),0)))</f>
        <v/>
      </c>
      <c r="C1308" t="str">
        <f t="shared" si="20"/>
        <v/>
      </c>
    </row>
    <row r="1309" spans="1:3" x14ac:dyDescent="0.25">
      <c r="A1309" t="str">
        <f>IF(Scan2VK!K145&lt;&gt;"",Scan2VK!K145,"")</f>
        <v>DBE_HIRAGANA</v>
      </c>
      <c r="B1309" t="str">
        <f>IF(ISERROR(MATCH(0,INDEX(COUNTIF($B$1:B1308,$A$2:$A$4629),0,0),0)),"",INDEX($A$2:$A$4629,MATCH(0,INDEX(COUNTIF($B$1:B1308,$A$2:$A$4629),0,0),0)))</f>
        <v/>
      </c>
      <c r="C1309" t="str">
        <f t="shared" si="20"/>
        <v/>
      </c>
    </row>
    <row r="1310" spans="1:3" x14ac:dyDescent="0.25">
      <c r="A1310" t="str">
        <f>IF(Scan2VK!K146&lt;&gt;"",Scan2VK!K146,"")</f>
        <v/>
      </c>
      <c r="B1310" t="str">
        <f>IF(ISERROR(MATCH(0,INDEX(COUNTIF($B$1:B1309,$A$2:$A$4629),0,0),0)),"",INDEX($A$2:$A$4629,MATCH(0,INDEX(COUNTIF($B$1:B1309,$A$2:$A$4629),0,0),0)))</f>
        <v/>
      </c>
      <c r="C1310" t="str">
        <f t="shared" si="20"/>
        <v/>
      </c>
    </row>
    <row r="1311" spans="1:3" x14ac:dyDescent="0.25">
      <c r="A1311" t="str">
        <f>IF(Scan2VK!K147&lt;&gt;"",Scan2VK!K147,"")</f>
        <v/>
      </c>
      <c r="B1311" t="str">
        <f>IF(ISERROR(MATCH(0,INDEX(COUNTIF($B$1:B1310,$A$2:$A$4629),0,0),0)),"",INDEX($A$2:$A$4629,MATCH(0,INDEX(COUNTIF($B$1:B1310,$A$2:$A$4629),0,0),0)))</f>
        <v/>
      </c>
      <c r="C1311" t="str">
        <f t="shared" si="20"/>
        <v/>
      </c>
    </row>
    <row r="1312" spans="1:3" x14ac:dyDescent="0.25">
      <c r="A1312" t="str">
        <f>IF(Scan2VK!K148&lt;&gt;"",Scan2VK!K148,"")</f>
        <v/>
      </c>
      <c r="B1312" t="str">
        <f>IF(ISERROR(MATCH(0,INDEX(COUNTIF($B$1:B1311,$A$2:$A$4629),0,0),0)),"",INDEX($A$2:$A$4629,MATCH(0,INDEX(COUNTIF($B$1:B1311,$A$2:$A$4629),0,0),0)))</f>
        <v/>
      </c>
      <c r="C1312" t="str">
        <f t="shared" si="20"/>
        <v/>
      </c>
    </row>
    <row r="1313" spans="1:3" x14ac:dyDescent="0.25">
      <c r="A1313" t="str">
        <f>IF(Scan2VK!K149&lt;&gt;"",Scan2VK!K149,"")</f>
        <v/>
      </c>
      <c r="B1313" t="str">
        <f>IF(ISERROR(MATCH(0,INDEX(COUNTIF($B$1:B1312,$A$2:$A$4629),0,0),0)),"",INDEX($A$2:$A$4629,MATCH(0,INDEX(COUNTIF($B$1:B1312,$A$2:$A$4629),0,0),0)))</f>
        <v/>
      </c>
      <c r="C1313" t="str">
        <f t="shared" si="20"/>
        <v/>
      </c>
    </row>
    <row r="1314" spans="1:3" x14ac:dyDescent="0.25">
      <c r="A1314" t="str">
        <f>IF(Scan2VK!K150&lt;&gt;"",Scan2VK!K150,"")</f>
        <v/>
      </c>
      <c r="B1314" t="str">
        <f>IF(ISERROR(MATCH(0,INDEX(COUNTIF($B$1:B1313,$A$2:$A$4629),0,0),0)),"",INDEX($A$2:$A$4629,MATCH(0,INDEX(COUNTIF($B$1:B1313,$A$2:$A$4629),0,0),0)))</f>
        <v/>
      </c>
      <c r="C1314" t="str">
        <f t="shared" si="20"/>
        <v/>
      </c>
    </row>
    <row r="1315" spans="1:3" x14ac:dyDescent="0.25">
      <c r="A1315" t="str">
        <f>IF(Scan2VK!K151&lt;&gt;"",Scan2VK!K151,"")</f>
        <v>_none_</v>
      </c>
      <c r="B1315" t="str">
        <f>IF(ISERROR(MATCH(0,INDEX(COUNTIF($B$1:B1314,$A$2:$A$4629),0,0),0)),"",INDEX($A$2:$A$4629,MATCH(0,INDEX(COUNTIF($B$1:B1314,$A$2:$A$4629),0,0),0)))</f>
        <v/>
      </c>
      <c r="C1315" t="str">
        <f t="shared" si="20"/>
        <v/>
      </c>
    </row>
    <row r="1316" spans="1:3" x14ac:dyDescent="0.25">
      <c r="A1316" t="str">
        <f>IF(Scan2VK!K152&lt;&gt;"",Scan2VK!K152,"")</f>
        <v>_none_</v>
      </c>
      <c r="B1316" t="str">
        <f>IF(ISERROR(MATCH(0,INDEX(COUNTIF($B$1:B1315,$A$2:$A$4629),0,0),0)),"",INDEX($A$2:$A$4629,MATCH(0,INDEX(COUNTIF($B$1:B1315,$A$2:$A$4629),0,0),0)))</f>
        <v/>
      </c>
      <c r="C1316" t="str">
        <f t="shared" si="20"/>
        <v/>
      </c>
    </row>
    <row r="1317" spans="1:3" x14ac:dyDescent="0.25">
      <c r="A1317" t="str">
        <f>IF(Scan2VK!K153&lt;&gt;"",Scan2VK!K153,"")</f>
        <v>_none_</v>
      </c>
      <c r="B1317" t="str">
        <f>IF(ISERROR(MATCH(0,INDEX(COUNTIF($B$1:B1316,$A$2:$A$4629),0,0),0)),"",INDEX($A$2:$A$4629,MATCH(0,INDEX(COUNTIF($B$1:B1316,$A$2:$A$4629),0,0),0)))</f>
        <v/>
      </c>
      <c r="C1317" t="str">
        <f t="shared" si="20"/>
        <v/>
      </c>
    </row>
    <row r="1318" spans="1:3" x14ac:dyDescent="0.25">
      <c r="A1318" t="str">
        <f>IF(Scan2VK!K154&lt;&gt;"",Scan2VK!K154,"")</f>
        <v>CANCEL</v>
      </c>
      <c r="B1318" t="str">
        <f>IF(ISERROR(MATCH(0,INDEX(COUNTIF($B$1:B1317,$A$2:$A$4629),0,0),0)),"",INDEX($A$2:$A$4629,MATCH(0,INDEX(COUNTIF($B$1:B1317,$A$2:$A$4629),0,0),0)))</f>
        <v/>
      </c>
      <c r="C1318" t="str">
        <f t="shared" si="20"/>
        <v/>
      </c>
    </row>
    <row r="1319" spans="1:3" x14ac:dyDescent="0.25">
      <c r="A1319" t="str">
        <f>IF(Scan2VK!K155&lt;&gt;"",Scan2VK!K155,"")</f>
        <v>HOME</v>
      </c>
      <c r="B1319" t="str">
        <f>IF(ISERROR(MATCH(0,INDEX(COUNTIF($B$1:B1318,$A$2:$A$4629),0,0),0)),"",INDEX($A$2:$A$4629,MATCH(0,INDEX(COUNTIF($B$1:B1318,$A$2:$A$4629),0,0),0)))</f>
        <v/>
      </c>
      <c r="C1319" t="str">
        <f t="shared" si="20"/>
        <v/>
      </c>
    </row>
    <row r="1320" spans="1:3" x14ac:dyDescent="0.25">
      <c r="A1320" t="str">
        <f>IF(Scan2VK!K156&lt;&gt;"",Scan2VK!K156,"")</f>
        <v>UP</v>
      </c>
      <c r="B1320" t="str">
        <f>IF(ISERROR(MATCH(0,INDEX(COUNTIF($B$1:B1319,$A$2:$A$4629),0,0),0)),"",INDEX($A$2:$A$4629,MATCH(0,INDEX(COUNTIF($B$1:B1319,$A$2:$A$4629),0,0),0)))</f>
        <v/>
      </c>
      <c r="C1320" t="str">
        <f t="shared" si="20"/>
        <v/>
      </c>
    </row>
    <row r="1321" spans="1:3" x14ac:dyDescent="0.25">
      <c r="A1321" t="str">
        <f>IF(Scan2VK!K157&lt;&gt;"",Scan2VK!K157,"")</f>
        <v>PRIOR</v>
      </c>
      <c r="B1321" t="str">
        <f>IF(ISERROR(MATCH(0,INDEX(COUNTIF($B$1:B1320,$A$2:$A$4629),0,0),0)),"",INDEX($A$2:$A$4629,MATCH(0,INDEX(COUNTIF($B$1:B1320,$A$2:$A$4629),0,0),0)))</f>
        <v/>
      </c>
      <c r="C1321" t="str">
        <f t="shared" si="20"/>
        <v/>
      </c>
    </row>
    <row r="1322" spans="1:3" x14ac:dyDescent="0.25">
      <c r="A1322" t="str">
        <f>IF(Scan2VK!K158&lt;&gt;"",Scan2VK!K158,"")</f>
        <v>LEFT</v>
      </c>
      <c r="B1322" t="str">
        <f>IF(ISERROR(MATCH(0,INDEX(COUNTIF($B$1:B1321,$A$2:$A$4629),0,0),0)),"",INDEX($A$2:$A$4629,MATCH(0,INDEX(COUNTIF($B$1:B1321,$A$2:$A$4629),0,0),0)))</f>
        <v/>
      </c>
      <c r="C1322" t="str">
        <f t="shared" si="20"/>
        <v/>
      </c>
    </row>
    <row r="1323" spans="1:3" x14ac:dyDescent="0.25">
      <c r="A1323" t="str">
        <f>IF(Scan2VK!K159&lt;&gt;"",Scan2VK!K159,"")</f>
        <v>RIGHT</v>
      </c>
      <c r="B1323" t="str">
        <f>IF(ISERROR(MATCH(0,INDEX(COUNTIF($B$1:B1322,$A$2:$A$4629),0,0),0)),"",INDEX($A$2:$A$4629,MATCH(0,INDEX(COUNTIF($B$1:B1322,$A$2:$A$4629),0,0),0)))</f>
        <v/>
      </c>
      <c r="C1323" t="str">
        <f t="shared" si="20"/>
        <v/>
      </c>
    </row>
    <row r="1324" spans="1:3" x14ac:dyDescent="0.25">
      <c r="A1324" t="str">
        <f>IF(Scan2VK!K160&lt;&gt;"",Scan2VK!K160,"")</f>
        <v>END</v>
      </c>
      <c r="B1324" t="str">
        <f>IF(ISERROR(MATCH(0,INDEX(COUNTIF($B$1:B1323,$A$2:$A$4629),0,0),0)),"",INDEX($A$2:$A$4629,MATCH(0,INDEX(COUNTIF($B$1:B1323,$A$2:$A$4629),0,0),0)))</f>
        <v/>
      </c>
      <c r="C1324" t="str">
        <f t="shared" si="20"/>
        <v/>
      </c>
    </row>
    <row r="1325" spans="1:3" x14ac:dyDescent="0.25">
      <c r="A1325" t="str">
        <f>IF(Scan2VK!K161&lt;&gt;"",Scan2VK!K161,"")</f>
        <v>DOWN</v>
      </c>
      <c r="B1325" t="str">
        <f>IF(ISERROR(MATCH(0,INDEX(COUNTIF($B$1:B1324,$A$2:$A$4629),0,0),0)),"",INDEX($A$2:$A$4629,MATCH(0,INDEX(COUNTIF($B$1:B1324,$A$2:$A$4629),0,0),0)))</f>
        <v/>
      </c>
      <c r="C1325" t="str">
        <f t="shared" si="20"/>
        <v/>
      </c>
    </row>
    <row r="1326" spans="1:3" x14ac:dyDescent="0.25">
      <c r="A1326" t="str">
        <f>IF(Scan2VK!K162&lt;&gt;"",Scan2VK!K162,"")</f>
        <v>NEXT</v>
      </c>
      <c r="B1326" t="str">
        <f>IF(ISERROR(MATCH(0,INDEX(COUNTIF($B$1:B1325,$A$2:$A$4629),0,0),0)),"",INDEX($A$2:$A$4629,MATCH(0,INDEX(COUNTIF($B$1:B1325,$A$2:$A$4629),0,0),0)))</f>
        <v/>
      </c>
      <c r="C1326" t="str">
        <f t="shared" si="20"/>
        <v/>
      </c>
    </row>
    <row r="1327" spans="1:3" x14ac:dyDescent="0.25">
      <c r="A1327" t="str">
        <f>IF(Scan2VK!K163&lt;&gt;"",Scan2VK!K163,"")</f>
        <v>INSERT</v>
      </c>
      <c r="B1327" t="str">
        <f>IF(ISERROR(MATCH(0,INDEX(COUNTIF($B$1:B1326,$A$2:$A$4629),0,0),0)),"",INDEX($A$2:$A$4629,MATCH(0,INDEX(COUNTIF($B$1:B1326,$A$2:$A$4629),0,0),0)))</f>
        <v/>
      </c>
      <c r="C1327" t="str">
        <f t="shared" si="20"/>
        <v/>
      </c>
    </row>
    <row r="1328" spans="1:3" x14ac:dyDescent="0.25">
      <c r="A1328" t="str">
        <f>IF(Scan2VK!K164&lt;&gt;"",Scan2VK!K164,"")</f>
        <v>DELETE</v>
      </c>
      <c r="B1328" t="str">
        <f>IF(ISERROR(MATCH(0,INDEX(COUNTIF($B$1:B1327,$A$2:$A$4629),0,0),0)),"",INDEX($A$2:$A$4629,MATCH(0,INDEX(COUNTIF($B$1:B1327,$A$2:$A$4629),0,0),0)))</f>
        <v/>
      </c>
      <c r="C1328" t="str">
        <f t="shared" si="20"/>
        <v/>
      </c>
    </row>
    <row r="1329" spans="1:3" x14ac:dyDescent="0.25">
      <c r="A1329" t="str">
        <f>IF(Scan2VK!K165&lt;&gt;"",Scan2VK!K165,"")</f>
        <v>LWIN</v>
      </c>
      <c r="B1329" t="str">
        <f>IF(ISERROR(MATCH(0,INDEX(COUNTIF($B$1:B1328,$A$2:$A$4629),0,0),0)),"",INDEX($A$2:$A$4629,MATCH(0,INDEX(COUNTIF($B$1:B1328,$A$2:$A$4629),0,0),0)))</f>
        <v/>
      </c>
      <c r="C1329" t="str">
        <f t="shared" si="20"/>
        <v/>
      </c>
    </row>
    <row r="1330" spans="1:3" x14ac:dyDescent="0.25">
      <c r="A1330" t="str">
        <f>IF(Scan2VK!K166&lt;&gt;"",Scan2VK!K166,"")</f>
        <v>RWIN</v>
      </c>
      <c r="B1330" t="str">
        <f>IF(ISERROR(MATCH(0,INDEX(COUNTIF($B$1:B1329,$A$2:$A$4629),0,0),0)),"",INDEX($A$2:$A$4629,MATCH(0,INDEX(COUNTIF($B$1:B1329,$A$2:$A$4629),0,0),0)))</f>
        <v/>
      </c>
      <c r="C1330" t="str">
        <f t="shared" si="20"/>
        <v/>
      </c>
    </row>
    <row r="1331" spans="1:3" x14ac:dyDescent="0.25">
      <c r="A1331" t="str">
        <f>IF(Scan2VK!K167&lt;&gt;"",Scan2VK!K167,"")</f>
        <v>APPS</v>
      </c>
      <c r="B1331" t="str">
        <f>IF(ISERROR(MATCH(0,INDEX(COUNTIF($B$1:B1330,$A$2:$A$4629),0,0),0)),"",INDEX($A$2:$A$4629,MATCH(0,INDEX(COUNTIF($B$1:B1330,$A$2:$A$4629),0,0),0)))</f>
        <v/>
      </c>
      <c r="C1331" t="str">
        <f t="shared" si="20"/>
        <v/>
      </c>
    </row>
    <row r="1332" spans="1:3" x14ac:dyDescent="0.25">
      <c r="A1332" t="str">
        <f>IF(Scan2VK!K168&lt;&gt;"",Scan2VK!K168,"")</f>
        <v>POWER</v>
      </c>
      <c r="B1332" t="str">
        <f>IF(ISERROR(MATCH(0,INDEX(COUNTIF($B$1:B1331,$A$2:$A$4629),0,0),0)),"",INDEX($A$2:$A$4629,MATCH(0,INDEX(COUNTIF($B$1:B1331,$A$2:$A$4629),0,0),0)))</f>
        <v/>
      </c>
      <c r="C1332" t="str">
        <f t="shared" si="20"/>
        <v/>
      </c>
    </row>
    <row r="1333" spans="1:3" x14ac:dyDescent="0.25">
      <c r="A1333" t="str">
        <f>IF(Scan2VK!K169&lt;&gt;"",Scan2VK!K169,"")</f>
        <v>SLEEP</v>
      </c>
      <c r="B1333" t="str">
        <f>IF(ISERROR(MATCH(0,INDEX(COUNTIF($B$1:B1332,$A$2:$A$4629),0,0),0)),"",INDEX($A$2:$A$4629,MATCH(0,INDEX(COUNTIF($B$1:B1332,$A$2:$A$4629),0,0),0)))</f>
        <v/>
      </c>
      <c r="C1333" t="str">
        <f t="shared" si="20"/>
        <v/>
      </c>
    </row>
    <row r="1334" spans="1:3" x14ac:dyDescent="0.25">
      <c r="A1334" t="str">
        <f>IF(Scan2VK!K170&lt;&gt;"",Scan2VK!K170,"")</f>
        <v/>
      </c>
      <c r="B1334" t="str">
        <f>IF(ISERROR(MATCH(0,INDEX(COUNTIF($B$1:B1333,$A$2:$A$4629),0,0),0)),"",INDEX($A$2:$A$4629,MATCH(0,INDEX(COUNTIF($B$1:B1333,$A$2:$A$4629),0,0),0)))</f>
        <v/>
      </c>
      <c r="C1334" t="str">
        <f t="shared" si="20"/>
        <v/>
      </c>
    </row>
    <row r="1335" spans="1:3" x14ac:dyDescent="0.25">
      <c r="A1335" t="str">
        <f>IF(Scan2VK!K171&lt;&gt;"",Scan2VK!K171,"")</f>
        <v/>
      </c>
      <c r="B1335" t="str">
        <f>IF(ISERROR(MATCH(0,INDEX(COUNTIF($B$1:B1334,$A$2:$A$4629),0,0),0)),"",INDEX($A$2:$A$4629,MATCH(0,INDEX(COUNTIF($B$1:B1334,$A$2:$A$4629),0,0),0)))</f>
        <v/>
      </c>
      <c r="C1335" t="str">
        <f t="shared" si="20"/>
        <v/>
      </c>
    </row>
    <row r="1336" spans="1:3" x14ac:dyDescent="0.25">
      <c r="A1336" t="str">
        <f>IF(Scan2VK!K172&lt;&gt;"",Scan2VK!K172,"")</f>
        <v/>
      </c>
      <c r="B1336" t="str">
        <f>IF(ISERROR(MATCH(0,INDEX(COUNTIF($B$1:B1335,$A$2:$A$4629),0,0),0)),"",INDEX($A$2:$A$4629,MATCH(0,INDEX(COUNTIF($B$1:B1335,$A$2:$A$4629),0,0),0)))</f>
        <v/>
      </c>
      <c r="C1336" t="str">
        <f t="shared" si="20"/>
        <v/>
      </c>
    </row>
    <row r="1337" spans="1:3" x14ac:dyDescent="0.25">
      <c r="A1337" t="str">
        <f>IF(Scan2VK!K173&lt;&gt;"",Scan2VK!K173,"")</f>
        <v/>
      </c>
      <c r="B1337" t="str">
        <f>IF(ISERROR(MATCH(0,INDEX(COUNTIF($B$1:B1336,$A$2:$A$4629),0,0),0)),"",INDEX($A$2:$A$4629,MATCH(0,INDEX(COUNTIF($B$1:B1336,$A$2:$A$4629),0,0),0)))</f>
        <v/>
      </c>
      <c r="C1337" t="str">
        <f t="shared" si="20"/>
        <v/>
      </c>
    </row>
    <row r="1338" spans="1:3" x14ac:dyDescent="0.25">
      <c r="A1338" t="str">
        <f>IF(Scan2VK!K174&lt;&gt;"",Scan2VK!K174,"")</f>
        <v/>
      </c>
      <c r="B1338" t="str">
        <f>IF(ISERROR(MATCH(0,INDEX(COUNTIF($B$1:B1337,$A$2:$A$4629),0,0),0)),"",INDEX($A$2:$A$4629,MATCH(0,INDEX(COUNTIF($B$1:B1337,$A$2:$A$4629),0,0),0)))</f>
        <v/>
      </c>
      <c r="C1338" t="str">
        <f t="shared" si="20"/>
        <v/>
      </c>
    </row>
    <row r="1339" spans="1:3" x14ac:dyDescent="0.25">
      <c r="A1339" t="str">
        <f>IF(Scan2VK!K175&lt;&gt;"",Scan2VK!K175,"")</f>
        <v>BROWSER_SEARCH</v>
      </c>
      <c r="B1339" t="str">
        <f>IF(ISERROR(MATCH(0,INDEX(COUNTIF($B$1:B1338,$A$2:$A$4629),0,0),0)),"",INDEX($A$2:$A$4629,MATCH(0,INDEX(COUNTIF($B$1:B1338,$A$2:$A$4629),0,0),0)))</f>
        <v/>
      </c>
      <c r="C1339" t="str">
        <f t="shared" si="20"/>
        <v/>
      </c>
    </row>
    <row r="1340" spans="1:3" x14ac:dyDescent="0.25">
      <c r="A1340" t="str">
        <f>IF(Scan2VK!K176&lt;&gt;"",Scan2VK!K176,"")</f>
        <v>BROWSER_FAVORITES</v>
      </c>
      <c r="B1340" t="str">
        <f>IF(ISERROR(MATCH(0,INDEX(COUNTIF($B$1:B1339,$A$2:$A$4629),0,0),0)),"",INDEX($A$2:$A$4629,MATCH(0,INDEX(COUNTIF($B$1:B1339,$A$2:$A$4629),0,0),0)))</f>
        <v/>
      </c>
      <c r="C1340" t="str">
        <f t="shared" si="20"/>
        <v/>
      </c>
    </row>
    <row r="1341" spans="1:3" x14ac:dyDescent="0.25">
      <c r="A1341" t="str">
        <f>IF(Scan2VK!K177&lt;&gt;"",Scan2VK!K177,"")</f>
        <v>BROWSER_REFRESH</v>
      </c>
      <c r="B1341" t="str">
        <f>IF(ISERROR(MATCH(0,INDEX(COUNTIF($B$1:B1340,$A$2:$A$4629),0,0),0)),"",INDEX($A$2:$A$4629,MATCH(0,INDEX(COUNTIF($B$1:B1340,$A$2:$A$4629),0,0),0)))</f>
        <v/>
      </c>
      <c r="C1341" t="str">
        <f t="shared" si="20"/>
        <v/>
      </c>
    </row>
    <row r="1342" spans="1:3" x14ac:dyDescent="0.25">
      <c r="A1342" t="str">
        <f>IF(Scan2VK!K178&lt;&gt;"",Scan2VK!K178,"")</f>
        <v>BROWSER_STOP</v>
      </c>
      <c r="B1342" t="str">
        <f>IF(ISERROR(MATCH(0,INDEX(COUNTIF($B$1:B1341,$A$2:$A$4629),0,0),0)),"",INDEX($A$2:$A$4629,MATCH(0,INDEX(COUNTIF($B$1:B1341,$A$2:$A$4629),0,0),0)))</f>
        <v/>
      </c>
      <c r="C1342" t="str">
        <f t="shared" si="20"/>
        <v/>
      </c>
    </row>
    <row r="1343" spans="1:3" x14ac:dyDescent="0.25">
      <c r="A1343" t="str">
        <f>IF(Scan2VK!K179&lt;&gt;"",Scan2VK!K179,"")</f>
        <v>BROWSER_FORWARD</v>
      </c>
      <c r="B1343" t="str">
        <f>IF(ISERROR(MATCH(0,INDEX(COUNTIF($B$1:B1342,$A$2:$A$4629),0,0),0)),"",INDEX($A$2:$A$4629,MATCH(0,INDEX(COUNTIF($B$1:B1342,$A$2:$A$4629),0,0),0)))</f>
        <v/>
      </c>
      <c r="C1343" t="str">
        <f t="shared" si="20"/>
        <v/>
      </c>
    </row>
    <row r="1344" spans="1:3" x14ac:dyDescent="0.25">
      <c r="A1344" t="str">
        <f>IF(Scan2VK!K180&lt;&gt;"",Scan2VK!K180,"")</f>
        <v>BROWSER_BACK</v>
      </c>
      <c r="B1344" t="str">
        <f>IF(ISERROR(MATCH(0,INDEX(COUNTIF($B$1:B1343,$A$2:$A$4629),0,0),0)),"",INDEX($A$2:$A$4629,MATCH(0,INDEX(COUNTIF($B$1:B1343,$A$2:$A$4629),0,0),0)))</f>
        <v/>
      </c>
      <c r="C1344" t="str">
        <f t="shared" si="20"/>
        <v/>
      </c>
    </row>
    <row r="1345" spans="1:3" x14ac:dyDescent="0.25">
      <c r="A1345" t="str">
        <f>IF(Scan2VK!K181&lt;&gt;"",Scan2VK!K181,"")</f>
        <v>LAUNCH_APP1</v>
      </c>
      <c r="B1345" t="str">
        <f>IF(ISERROR(MATCH(0,INDEX(COUNTIF($B$1:B1344,$A$2:$A$4629),0,0),0)),"",INDEX($A$2:$A$4629,MATCH(0,INDEX(COUNTIF($B$1:B1344,$A$2:$A$4629),0,0),0)))</f>
        <v/>
      </c>
      <c r="C1345" t="str">
        <f t="shared" si="20"/>
        <v/>
      </c>
    </row>
    <row r="1346" spans="1:3" x14ac:dyDescent="0.25">
      <c r="A1346" t="str">
        <f>IF(Scan2VK!K182&lt;&gt;"",Scan2VK!K182,"")</f>
        <v>LAUNCH_MAIL</v>
      </c>
      <c r="B1346" t="str">
        <f>IF(ISERROR(MATCH(0,INDEX(COUNTIF($B$1:B1345,$A$2:$A$4629),0,0),0)),"",INDEX($A$2:$A$4629,MATCH(0,INDEX(COUNTIF($B$1:B1345,$A$2:$A$4629),0,0),0)))</f>
        <v/>
      </c>
      <c r="C1346" t="str">
        <f t="shared" si="20"/>
        <v/>
      </c>
    </row>
    <row r="1347" spans="1:3" x14ac:dyDescent="0.25">
      <c r="A1347" t="str">
        <f>IF(Scan2VK!K183&lt;&gt;"",Scan2VK!K183,"")</f>
        <v>LAUNCH_MEDIA_SELECT</v>
      </c>
      <c r="B1347" t="str">
        <f>IF(ISERROR(MATCH(0,INDEX(COUNTIF($B$1:B1346,$A$2:$A$4629),0,0),0)),"",INDEX($A$2:$A$4629,MATCH(0,INDEX(COUNTIF($B$1:B1346,$A$2:$A$4629),0,0),0)))</f>
        <v/>
      </c>
      <c r="C1347" t="str">
        <f t="shared" ref="C1347:C1410" si="21">IF(B1347&lt;&gt;"","&lt;xs:enumeration value="""&amp;B1347&amp;"""/&gt;","")</f>
        <v/>
      </c>
    </row>
    <row r="1348" spans="1:3" x14ac:dyDescent="0.25">
      <c r="A1348" t="str">
        <f>IF(Scan2VK!K184&lt;&gt;"",Scan2VK!K184,"")</f>
        <v/>
      </c>
      <c r="B1348" t="str">
        <f>IF(ISERROR(MATCH(0,INDEX(COUNTIF($B$1:B1347,$A$2:$A$4629),0,0),0)),"",INDEX($A$2:$A$4629,MATCH(0,INDEX(COUNTIF($B$1:B1347,$A$2:$A$4629),0,0),0)))</f>
        <v/>
      </c>
      <c r="C1348" t="str">
        <f t="shared" si="21"/>
        <v/>
      </c>
    </row>
    <row r="1349" spans="1:3" x14ac:dyDescent="0.25">
      <c r="A1349" t="str">
        <f>IF(Scan2VK!K185&lt;&gt;"",Scan2VK!K185,"")</f>
        <v/>
      </c>
      <c r="B1349" t="str">
        <f>IF(ISERROR(MATCH(0,INDEX(COUNTIF($B$1:B1348,$A$2:$A$4629),0,0),0)),"",INDEX($A$2:$A$4629,MATCH(0,INDEX(COUNTIF($B$1:B1348,$A$2:$A$4629),0,0),0)))</f>
        <v/>
      </c>
      <c r="C1349" t="str">
        <f t="shared" si="21"/>
        <v/>
      </c>
    </row>
    <row r="1350" spans="1:3" x14ac:dyDescent="0.25">
      <c r="A1350" t="str">
        <f>IF(Scan2VK!K186&lt;&gt;"",Scan2VK!K186,"")</f>
        <v/>
      </c>
      <c r="B1350" t="str">
        <f>IF(ISERROR(MATCH(0,INDEX(COUNTIF($B$1:B1349,$A$2:$A$4629),0,0),0)),"",INDEX($A$2:$A$4629,MATCH(0,INDEX(COUNTIF($B$1:B1349,$A$2:$A$4629),0,0),0)))</f>
        <v/>
      </c>
      <c r="C1350" t="str">
        <f t="shared" si="21"/>
        <v/>
      </c>
    </row>
    <row r="1351" spans="1:3" x14ac:dyDescent="0.25">
      <c r="A1351" t="str">
        <f>IF(Scan2VK!K187&lt;&gt;"",Scan2VK!K187,"")</f>
        <v/>
      </c>
      <c r="B1351" t="str">
        <f>IF(ISERROR(MATCH(0,INDEX(COUNTIF($B$1:B1350,$A$2:$A$4629),0,0),0)),"",INDEX($A$2:$A$4629,MATCH(0,INDEX(COUNTIF($B$1:B1350,$A$2:$A$4629),0,0),0)))</f>
        <v/>
      </c>
      <c r="C1351" t="str">
        <f t="shared" si="21"/>
        <v/>
      </c>
    </row>
    <row r="1352" spans="1:3" x14ac:dyDescent="0.25">
      <c r="A1352" t="str">
        <f>IF(Scan2VK!K188&lt;&gt;"",Scan2VK!K188,"")</f>
        <v/>
      </c>
      <c r="B1352" t="str">
        <f>IF(ISERROR(MATCH(0,INDEX(COUNTIF($B$1:B1351,$A$2:$A$4629),0,0),0)),"",INDEX($A$2:$A$4629,MATCH(0,INDEX(COUNTIF($B$1:B1351,$A$2:$A$4629),0,0),0)))</f>
        <v/>
      </c>
      <c r="C1352" t="str">
        <f t="shared" si="21"/>
        <v/>
      </c>
    </row>
    <row r="1353" spans="1:3" x14ac:dyDescent="0.25">
      <c r="A1353" t="str">
        <f>IF(Scan2VK!K189&lt;&gt;"",Scan2VK!K189,"")</f>
        <v/>
      </c>
      <c r="B1353" t="str">
        <f>IF(ISERROR(MATCH(0,INDEX(COUNTIF($B$1:B1352,$A$2:$A$4629),0,0),0)),"",INDEX($A$2:$A$4629,MATCH(0,INDEX(COUNTIF($B$1:B1352,$A$2:$A$4629),0,0),0)))</f>
        <v/>
      </c>
      <c r="C1353" t="str">
        <f t="shared" si="21"/>
        <v/>
      </c>
    </row>
    <row r="1354" spans="1:3" x14ac:dyDescent="0.25">
      <c r="A1354" t="str">
        <f>IF(Scan2VK!K190&lt;&gt;"",Scan2VK!K190,"")</f>
        <v/>
      </c>
      <c r="B1354" t="str">
        <f>IF(ISERROR(MATCH(0,INDEX(COUNTIF($B$1:B1353,$A$2:$A$4629),0,0),0)),"",INDEX($A$2:$A$4629,MATCH(0,INDEX(COUNTIF($B$1:B1353,$A$2:$A$4629),0,0),0)))</f>
        <v/>
      </c>
      <c r="C1354" t="str">
        <f t="shared" si="21"/>
        <v/>
      </c>
    </row>
    <row r="1355" spans="1:3" x14ac:dyDescent="0.25">
      <c r="A1355" t="str">
        <f>IF(Scan2VK!K191&lt;&gt;"",Scan2VK!K191,"")</f>
        <v/>
      </c>
      <c r="B1355" t="str">
        <f>IF(ISERROR(MATCH(0,INDEX(COUNTIF($B$1:B1354,$A$2:$A$4629),0,0),0)),"",INDEX($A$2:$A$4629,MATCH(0,INDEX(COUNTIF($B$1:B1354,$A$2:$A$4629),0,0),0)))</f>
        <v/>
      </c>
      <c r="C1355" t="str">
        <f t="shared" si="21"/>
        <v/>
      </c>
    </row>
    <row r="1356" spans="1:3" x14ac:dyDescent="0.25">
      <c r="A1356" t="str">
        <f>IF(Scan2VK!K192&lt;&gt;"",Scan2VK!K192,"")</f>
        <v/>
      </c>
      <c r="B1356" t="str">
        <f>IF(ISERROR(MATCH(0,INDEX(COUNTIF($B$1:B1355,$A$2:$A$4629),0,0),0)),"",INDEX($A$2:$A$4629,MATCH(0,INDEX(COUNTIF($B$1:B1355,$A$2:$A$4629),0,0),0)))</f>
        <v/>
      </c>
      <c r="C1356" t="str">
        <f t="shared" si="21"/>
        <v/>
      </c>
    </row>
    <row r="1357" spans="1:3" x14ac:dyDescent="0.25">
      <c r="A1357" t="str">
        <f>IF(Scan2VK!K193&lt;&gt;"",Scan2VK!K193,"")</f>
        <v>_none_</v>
      </c>
      <c r="B1357" t="str">
        <f>IF(ISERROR(MATCH(0,INDEX(COUNTIF($B$1:B1356,$A$2:$A$4629),0,0),0)),"",INDEX($A$2:$A$4629,MATCH(0,INDEX(COUNTIF($B$1:B1356,$A$2:$A$4629),0,0),0)))</f>
        <v/>
      </c>
      <c r="C1357" t="str">
        <f t="shared" si="21"/>
        <v/>
      </c>
    </row>
    <row r="1358" spans="1:3" x14ac:dyDescent="0.25">
      <c r="A1358" t="str">
        <f>IF(Scan2VK!K194&lt;&gt;"",Scan2VK!K194,"")</f>
        <v>_none_</v>
      </c>
      <c r="B1358" t="str">
        <f>IF(ISERROR(MATCH(0,INDEX(COUNTIF($B$1:B1357,$A$2:$A$4629),0,0),0)),"",INDEX($A$2:$A$4629,MATCH(0,INDEX(COUNTIF($B$1:B1357,$A$2:$A$4629),0,0),0)))</f>
        <v/>
      </c>
      <c r="C1358" t="str">
        <f t="shared" si="21"/>
        <v/>
      </c>
    </row>
    <row r="1359" spans="1:3" x14ac:dyDescent="0.25">
      <c r="A1359" t="str">
        <f>IF(Scan2VK!K195&lt;&gt;"",Scan2VK!K195,"")</f>
        <v>PAUSE</v>
      </c>
      <c r="B1359" t="str">
        <f>IF(ISERROR(MATCH(0,INDEX(COUNTIF($B$1:B1358,$A$2:$A$4629),0,0),0)),"",INDEX($A$2:$A$4629,MATCH(0,INDEX(COUNTIF($B$1:B1358,$A$2:$A$4629),0,0),0)))</f>
        <v/>
      </c>
      <c r="C1359" t="str">
        <f t="shared" si="21"/>
        <v/>
      </c>
    </row>
    <row r="1360" spans="1:3" x14ac:dyDescent="0.25">
      <c r="A1360" t="str">
        <f>IF(Scan2VK!L2&lt;&gt;"",Scan2VK!L2,"")</f>
        <v>_none_</v>
      </c>
      <c r="B1360" t="str">
        <f>IF(ISERROR(MATCH(0,INDEX(COUNTIF($B$1:B1359,$A$2:$A$4629),0,0),0)),"",INDEX($A$2:$A$4629,MATCH(0,INDEX(COUNTIF($B$1:B1359,$A$2:$A$4629),0,0),0)))</f>
        <v/>
      </c>
      <c r="C1360" t="str">
        <f t="shared" si="21"/>
        <v/>
      </c>
    </row>
    <row r="1361" spans="1:3" x14ac:dyDescent="0.25">
      <c r="A1361" t="str">
        <f>IF(Scan2VK!L3&lt;&gt;"",Scan2VK!L3,"")</f>
        <v>ESCAPE</v>
      </c>
      <c r="B1361" t="str">
        <f>IF(ISERROR(MATCH(0,INDEX(COUNTIF($B$1:B1360,$A$2:$A$4629),0,0),0)),"",INDEX($A$2:$A$4629,MATCH(0,INDEX(COUNTIF($B$1:B1360,$A$2:$A$4629),0,0),0)))</f>
        <v/>
      </c>
      <c r="C1361" t="str">
        <f t="shared" si="21"/>
        <v/>
      </c>
    </row>
    <row r="1362" spans="1:3" x14ac:dyDescent="0.25">
      <c r="A1362" t="str">
        <f>IF(Scan2VK!L4&lt;&gt;"",Scan2VK!L4,"")</f>
        <v>'1'</v>
      </c>
      <c r="B1362" t="str">
        <f>IF(ISERROR(MATCH(0,INDEX(COUNTIF($B$1:B1361,$A$2:$A$4629),0,0),0)),"",INDEX($A$2:$A$4629,MATCH(0,INDEX(COUNTIF($B$1:B1361,$A$2:$A$4629),0,0),0)))</f>
        <v/>
      </c>
      <c r="C1362" t="str">
        <f t="shared" si="21"/>
        <v/>
      </c>
    </row>
    <row r="1363" spans="1:3" x14ac:dyDescent="0.25">
      <c r="A1363" t="str">
        <f>IF(Scan2VK!L5&lt;&gt;"",Scan2VK!L5,"")</f>
        <v>'2'</v>
      </c>
      <c r="B1363" t="str">
        <f>IF(ISERROR(MATCH(0,INDEX(COUNTIF($B$1:B1362,$A$2:$A$4629),0,0),0)),"",INDEX($A$2:$A$4629,MATCH(0,INDEX(COUNTIF($B$1:B1362,$A$2:$A$4629),0,0),0)))</f>
        <v/>
      </c>
      <c r="C1363" t="str">
        <f t="shared" si="21"/>
        <v/>
      </c>
    </row>
    <row r="1364" spans="1:3" x14ac:dyDescent="0.25">
      <c r="A1364" t="str">
        <f>IF(Scan2VK!L6&lt;&gt;"",Scan2VK!L6,"")</f>
        <v>'3'</v>
      </c>
      <c r="B1364" t="str">
        <f>IF(ISERROR(MATCH(0,INDEX(COUNTIF($B$1:B1363,$A$2:$A$4629),0,0),0)),"",INDEX($A$2:$A$4629,MATCH(0,INDEX(COUNTIF($B$1:B1363,$A$2:$A$4629),0,0),0)))</f>
        <v/>
      </c>
      <c r="C1364" t="str">
        <f t="shared" si="21"/>
        <v/>
      </c>
    </row>
    <row r="1365" spans="1:3" x14ac:dyDescent="0.25">
      <c r="A1365" t="str">
        <f>IF(Scan2VK!L7&lt;&gt;"",Scan2VK!L7,"")</f>
        <v>'4'</v>
      </c>
      <c r="B1365" t="str">
        <f>IF(ISERROR(MATCH(0,INDEX(COUNTIF($B$1:B1364,$A$2:$A$4629),0,0),0)),"",INDEX($A$2:$A$4629,MATCH(0,INDEX(COUNTIF($B$1:B1364,$A$2:$A$4629),0,0),0)))</f>
        <v/>
      </c>
      <c r="C1365" t="str">
        <f t="shared" si="21"/>
        <v/>
      </c>
    </row>
    <row r="1366" spans="1:3" x14ac:dyDescent="0.25">
      <c r="A1366" t="str">
        <f>IF(Scan2VK!L8&lt;&gt;"",Scan2VK!L8,"")</f>
        <v>'5'</v>
      </c>
      <c r="B1366" t="str">
        <f>IF(ISERROR(MATCH(0,INDEX(COUNTIF($B$1:B1365,$A$2:$A$4629),0,0),0)),"",INDEX($A$2:$A$4629,MATCH(0,INDEX(COUNTIF($B$1:B1365,$A$2:$A$4629),0,0),0)))</f>
        <v/>
      </c>
      <c r="C1366" t="str">
        <f t="shared" si="21"/>
        <v/>
      </c>
    </row>
    <row r="1367" spans="1:3" x14ac:dyDescent="0.25">
      <c r="A1367" t="str">
        <f>IF(Scan2VK!L9&lt;&gt;"",Scan2VK!L9,"")</f>
        <v>'6'</v>
      </c>
      <c r="B1367" t="str">
        <f>IF(ISERROR(MATCH(0,INDEX(COUNTIF($B$1:B1366,$A$2:$A$4629),0,0),0)),"",INDEX($A$2:$A$4629,MATCH(0,INDEX(COUNTIF($B$1:B1366,$A$2:$A$4629),0,0),0)))</f>
        <v/>
      </c>
      <c r="C1367" t="str">
        <f t="shared" si="21"/>
        <v/>
      </c>
    </row>
    <row r="1368" spans="1:3" x14ac:dyDescent="0.25">
      <c r="A1368" t="str">
        <f>IF(Scan2VK!L10&lt;&gt;"",Scan2VK!L10,"")</f>
        <v>'7'</v>
      </c>
      <c r="B1368" t="str">
        <f>IF(ISERROR(MATCH(0,INDEX(COUNTIF($B$1:B1367,$A$2:$A$4629),0,0),0)),"",INDEX($A$2:$A$4629,MATCH(0,INDEX(COUNTIF($B$1:B1367,$A$2:$A$4629),0,0),0)))</f>
        <v/>
      </c>
      <c r="C1368" t="str">
        <f t="shared" si="21"/>
        <v/>
      </c>
    </row>
    <row r="1369" spans="1:3" x14ac:dyDescent="0.25">
      <c r="A1369" t="str">
        <f>IF(Scan2VK!L11&lt;&gt;"",Scan2VK!L11,"")</f>
        <v>'8'</v>
      </c>
      <c r="B1369" t="str">
        <f>IF(ISERROR(MATCH(0,INDEX(COUNTIF($B$1:B1368,$A$2:$A$4629),0,0),0)),"",INDEX($A$2:$A$4629,MATCH(0,INDEX(COUNTIF($B$1:B1368,$A$2:$A$4629),0,0),0)))</f>
        <v/>
      </c>
      <c r="C1369" t="str">
        <f t="shared" si="21"/>
        <v/>
      </c>
    </row>
    <row r="1370" spans="1:3" x14ac:dyDescent="0.25">
      <c r="A1370" t="str">
        <f>IF(Scan2VK!L12&lt;&gt;"",Scan2VK!L12,"")</f>
        <v>'9'</v>
      </c>
      <c r="B1370" t="str">
        <f>IF(ISERROR(MATCH(0,INDEX(COUNTIF($B$1:B1369,$A$2:$A$4629),0,0),0)),"",INDEX($A$2:$A$4629,MATCH(0,INDEX(COUNTIF($B$1:B1369,$A$2:$A$4629),0,0),0)))</f>
        <v/>
      </c>
      <c r="C1370" t="str">
        <f t="shared" si="21"/>
        <v/>
      </c>
    </row>
    <row r="1371" spans="1:3" x14ac:dyDescent="0.25">
      <c r="A1371" t="str">
        <f>IF(Scan2VK!L13&lt;&gt;"",Scan2VK!L13,"")</f>
        <v>'0'</v>
      </c>
      <c r="B1371" t="str">
        <f>IF(ISERROR(MATCH(0,INDEX(COUNTIF($B$1:B1370,$A$2:$A$4629),0,0),0)),"",INDEX($A$2:$A$4629,MATCH(0,INDEX(COUNTIF($B$1:B1370,$A$2:$A$4629),0,0),0)))</f>
        <v/>
      </c>
      <c r="C1371" t="str">
        <f t="shared" si="21"/>
        <v/>
      </c>
    </row>
    <row r="1372" spans="1:3" x14ac:dyDescent="0.25">
      <c r="A1372" t="str">
        <f>IF(Scan2VK!L14&lt;&gt;"",Scan2VK!L14,"")</f>
        <v>OEM_MINUS</v>
      </c>
      <c r="B1372" t="str">
        <f>IF(ISERROR(MATCH(0,INDEX(COUNTIF($B$1:B1371,$A$2:$A$4629),0,0),0)),"",INDEX($A$2:$A$4629,MATCH(0,INDEX(COUNTIF($B$1:B1371,$A$2:$A$4629),0,0),0)))</f>
        <v/>
      </c>
      <c r="C1372" t="str">
        <f t="shared" si="21"/>
        <v/>
      </c>
    </row>
    <row r="1373" spans="1:3" x14ac:dyDescent="0.25">
      <c r="A1373" t="str">
        <f>IF(Scan2VK!L15&lt;&gt;"",Scan2VK!L15,"")</f>
        <v>OEM_7</v>
      </c>
      <c r="B1373" t="str">
        <f>IF(ISERROR(MATCH(0,INDEX(COUNTIF($B$1:B1372,$A$2:$A$4629),0,0),0)),"",INDEX($A$2:$A$4629,MATCH(0,INDEX(COUNTIF($B$1:B1372,$A$2:$A$4629),0,0),0)))</f>
        <v/>
      </c>
      <c r="C1373" t="str">
        <f t="shared" si="21"/>
        <v/>
      </c>
    </row>
    <row r="1374" spans="1:3" x14ac:dyDescent="0.25">
      <c r="A1374" t="str">
        <f>IF(Scan2VK!L16&lt;&gt;"",Scan2VK!L16,"")</f>
        <v>BACK</v>
      </c>
      <c r="B1374" t="str">
        <f>IF(ISERROR(MATCH(0,INDEX(COUNTIF($B$1:B1373,$A$2:$A$4629),0,0),0)),"",INDEX($A$2:$A$4629,MATCH(0,INDEX(COUNTIF($B$1:B1373,$A$2:$A$4629),0,0),0)))</f>
        <v/>
      </c>
      <c r="C1374" t="str">
        <f t="shared" si="21"/>
        <v/>
      </c>
    </row>
    <row r="1375" spans="1:3" x14ac:dyDescent="0.25">
      <c r="A1375" t="str">
        <f>IF(Scan2VK!L17&lt;&gt;"",Scan2VK!L17,"")</f>
        <v>TAB</v>
      </c>
      <c r="B1375" t="str">
        <f>IF(ISERROR(MATCH(0,INDEX(COUNTIF($B$1:B1374,$A$2:$A$4629),0,0),0)),"",INDEX($A$2:$A$4629,MATCH(0,INDEX(COUNTIF($B$1:B1374,$A$2:$A$4629),0,0),0)))</f>
        <v/>
      </c>
      <c r="C1375" t="str">
        <f t="shared" si="21"/>
        <v/>
      </c>
    </row>
    <row r="1376" spans="1:3" x14ac:dyDescent="0.25">
      <c r="A1376" t="str">
        <f>IF(Scan2VK!L18&lt;&gt;"",Scan2VK!L18,"")</f>
        <v>'Q'</v>
      </c>
      <c r="B1376" t="str">
        <f>IF(ISERROR(MATCH(0,INDEX(COUNTIF($B$1:B1375,$A$2:$A$4629),0,0),0)),"",INDEX($A$2:$A$4629,MATCH(0,INDEX(COUNTIF($B$1:B1375,$A$2:$A$4629),0,0),0)))</f>
        <v/>
      </c>
      <c r="C1376" t="str">
        <f t="shared" si="21"/>
        <v/>
      </c>
    </row>
    <row r="1377" spans="1:3" x14ac:dyDescent="0.25">
      <c r="A1377" t="str">
        <f>IF(Scan2VK!L19&lt;&gt;"",Scan2VK!L19,"")</f>
        <v>'W'</v>
      </c>
      <c r="B1377" t="str">
        <f>IF(ISERROR(MATCH(0,INDEX(COUNTIF($B$1:B1376,$A$2:$A$4629),0,0),0)),"",INDEX($A$2:$A$4629,MATCH(0,INDEX(COUNTIF($B$1:B1376,$A$2:$A$4629),0,0),0)))</f>
        <v/>
      </c>
      <c r="C1377" t="str">
        <f t="shared" si="21"/>
        <v/>
      </c>
    </row>
    <row r="1378" spans="1:3" x14ac:dyDescent="0.25">
      <c r="A1378" t="str">
        <f>IF(Scan2VK!L20&lt;&gt;"",Scan2VK!L20,"")</f>
        <v>'E'</v>
      </c>
      <c r="B1378" t="str">
        <f>IF(ISERROR(MATCH(0,INDEX(COUNTIF($B$1:B1377,$A$2:$A$4629),0,0),0)),"",INDEX($A$2:$A$4629,MATCH(0,INDEX(COUNTIF($B$1:B1377,$A$2:$A$4629),0,0),0)))</f>
        <v/>
      </c>
      <c r="C1378" t="str">
        <f t="shared" si="21"/>
        <v/>
      </c>
    </row>
    <row r="1379" spans="1:3" x14ac:dyDescent="0.25">
      <c r="A1379" t="str">
        <f>IF(Scan2VK!L21&lt;&gt;"",Scan2VK!L21,"")</f>
        <v>'R'</v>
      </c>
      <c r="B1379" t="str">
        <f>IF(ISERROR(MATCH(0,INDEX(COUNTIF($B$1:B1378,$A$2:$A$4629),0,0),0)),"",INDEX($A$2:$A$4629,MATCH(0,INDEX(COUNTIF($B$1:B1378,$A$2:$A$4629),0,0),0)))</f>
        <v/>
      </c>
      <c r="C1379" t="str">
        <f t="shared" si="21"/>
        <v/>
      </c>
    </row>
    <row r="1380" spans="1:3" x14ac:dyDescent="0.25">
      <c r="A1380" t="str">
        <f>IF(Scan2VK!L22&lt;&gt;"",Scan2VK!L22,"")</f>
        <v>'T'</v>
      </c>
      <c r="B1380" t="str">
        <f>IF(ISERROR(MATCH(0,INDEX(COUNTIF($B$1:B1379,$A$2:$A$4629),0,0),0)),"",INDEX($A$2:$A$4629,MATCH(0,INDEX(COUNTIF($B$1:B1379,$A$2:$A$4629),0,0),0)))</f>
        <v/>
      </c>
      <c r="C1380" t="str">
        <f t="shared" si="21"/>
        <v/>
      </c>
    </row>
    <row r="1381" spans="1:3" x14ac:dyDescent="0.25">
      <c r="A1381" t="str">
        <f>IF(Scan2VK!L23&lt;&gt;"",Scan2VK!L23,"")</f>
        <v>'Y'</v>
      </c>
      <c r="B1381" t="str">
        <f>IF(ISERROR(MATCH(0,INDEX(COUNTIF($B$1:B1380,$A$2:$A$4629),0,0),0)),"",INDEX($A$2:$A$4629,MATCH(0,INDEX(COUNTIF($B$1:B1380,$A$2:$A$4629),0,0),0)))</f>
        <v/>
      </c>
      <c r="C1381" t="str">
        <f t="shared" si="21"/>
        <v/>
      </c>
    </row>
    <row r="1382" spans="1:3" x14ac:dyDescent="0.25">
      <c r="A1382" t="str">
        <f>IF(Scan2VK!L24&lt;&gt;"",Scan2VK!L24,"")</f>
        <v>'U'</v>
      </c>
      <c r="B1382" t="str">
        <f>IF(ISERROR(MATCH(0,INDEX(COUNTIF($B$1:B1381,$A$2:$A$4629),0,0),0)),"",INDEX($A$2:$A$4629,MATCH(0,INDEX(COUNTIF($B$1:B1381,$A$2:$A$4629),0,0),0)))</f>
        <v/>
      </c>
      <c r="C1382" t="str">
        <f t="shared" si="21"/>
        <v/>
      </c>
    </row>
    <row r="1383" spans="1:3" x14ac:dyDescent="0.25">
      <c r="A1383" t="str">
        <f>IF(Scan2VK!L25&lt;&gt;"",Scan2VK!L25,"")</f>
        <v>'I'</v>
      </c>
      <c r="B1383" t="str">
        <f>IF(ISERROR(MATCH(0,INDEX(COUNTIF($B$1:B1382,$A$2:$A$4629),0,0),0)),"",INDEX($A$2:$A$4629,MATCH(0,INDEX(COUNTIF($B$1:B1382,$A$2:$A$4629),0,0),0)))</f>
        <v/>
      </c>
      <c r="C1383" t="str">
        <f t="shared" si="21"/>
        <v/>
      </c>
    </row>
    <row r="1384" spans="1:3" x14ac:dyDescent="0.25">
      <c r="A1384" t="str">
        <f>IF(Scan2VK!L26&lt;&gt;"",Scan2VK!L26,"")</f>
        <v>'O'</v>
      </c>
      <c r="B1384" t="str">
        <f>IF(ISERROR(MATCH(0,INDEX(COUNTIF($B$1:B1383,$A$2:$A$4629),0,0),0)),"",INDEX($A$2:$A$4629,MATCH(0,INDEX(COUNTIF($B$1:B1383,$A$2:$A$4629),0,0),0)))</f>
        <v/>
      </c>
      <c r="C1384" t="str">
        <f t="shared" si="21"/>
        <v/>
      </c>
    </row>
    <row r="1385" spans="1:3" x14ac:dyDescent="0.25">
      <c r="A1385" t="str">
        <f>IF(Scan2VK!L27&lt;&gt;"",Scan2VK!L27,"")</f>
        <v>'P'</v>
      </c>
      <c r="B1385" t="str">
        <f>IF(ISERROR(MATCH(0,INDEX(COUNTIF($B$1:B1384,$A$2:$A$4629),0,0),0)),"",INDEX($A$2:$A$4629,MATCH(0,INDEX(COUNTIF($B$1:B1384,$A$2:$A$4629),0,0),0)))</f>
        <v/>
      </c>
      <c r="C1385" t="str">
        <f t="shared" si="21"/>
        <v/>
      </c>
    </row>
    <row r="1386" spans="1:3" x14ac:dyDescent="0.25">
      <c r="A1386" t="str">
        <f>IF(Scan2VK!L28&lt;&gt;"",Scan2VK!L28,"")</f>
        <v>OEM_3</v>
      </c>
      <c r="B1386" t="str">
        <f>IF(ISERROR(MATCH(0,INDEX(COUNTIF($B$1:B1385,$A$2:$A$4629),0,0),0)),"",INDEX($A$2:$A$4629,MATCH(0,INDEX(COUNTIF($B$1:B1385,$A$2:$A$4629),0,0),0)))</f>
        <v/>
      </c>
      <c r="C1386" t="str">
        <f t="shared" si="21"/>
        <v/>
      </c>
    </row>
    <row r="1387" spans="1:3" x14ac:dyDescent="0.25">
      <c r="A1387" t="str">
        <f>IF(Scan2VK!L29&lt;&gt;"",Scan2VK!L29,"")</f>
        <v>OEM_4</v>
      </c>
      <c r="B1387" t="str">
        <f>IF(ISERROR(MATCH(0,INDEX(COUNTIF($B$1:B1386,$A$2:$A$4629),0,0),0)),"",INDEX($A$2:$A$4629,MATCH(0,INDEX(COUNTIF($B$1:B1386,$A$2:$A$4629),0,0),0)))</f>
        <v/>
      </c>
      <c r="C1387" t="str">
        <f t="shared" si="21"/>
        <v/>
      </c>
    </row>
    <row r="1388" spans="1:3" x14ac:dyDescent="0.25">
      <c r="A1388" t="str">
        <f>IF(Scan2VK!L30&lt;&gt;"",Scan2VK!L30,"")</f>
        <v>RETURN</v>
      </c>
      <c r="B1388" t="str">
        <f>IF(ISERROR(MATCH(0,INDEX(COUNTIF($B$1:B1387,$A$2:$A$4629),0,0),0)),"",INDEX($A$2:$A$4629,MATCH(0,INDEX(COUNTIF($B$1:B1387,$A$2:$A$4629),0,0),0)))</f>
        <v/>
      </c>
      <c r="C1388" t="str">
        <f t="shared" si="21"/>
        <v/>
      </c>
    </row>
    <row r="1389" spans="1:3" x14ac:dyDescent="0.25">
      <c r="A1389" t="str">
        <f>IF(Scan2VK!L31&lt;&gt;"",Scan2VK!L31,"")</f>
        <v>LCONTROL</v>
      </c>
      <c r="B1389" t="str">
        <f>IF(ISERROR(MATCH(0,INDEX(COUNTIF($B$1:B1388,$A$2:$A$4629),0,0),0)),"",INDEX($A$2:$A$4629,MATCH(0,INDEX(COUNTIF($B$1:B1388,$A$2:$A$4629),0,0),0)))</f>
        <v/>
      </c>
      <c r="C1389" t="str">
        <f t="shared" si="21"/>
        <v/>
      </c>
    </row>
    <row r="1390" spans="1:3" x14ac:dyDescent="0.25">
      <c r="A1390" t="str">
        <f>IF(Scan2VK!L32&lt;&gt;"",Scan2VK!L32,"")</f>
        <v>'A'</v>
      </c>
      <c r="B1390" t="str">
        <f>IF(ISERROR(MATCH(0,INDEX(COUNTIF($B$1:B1389,$A$2:$A$4629),0,0),0)),"",INDEX($A$2:$A$4629,MATCH(0,INDEX(COUNTIF($B$1:B1389,$A$2:$A$4629),0,0),0)))</f>
        <v/>
      </c>
      <c r="C1390" t="str">
        <f t="shared" si="21"/>
        <v/>
      </c>
    </row>
    <row r="1391" spans="1:3" x14ac:dyDescent="0.25">
      <c r="A1391" t="str">
        <f>IF(Scan2VK!L33&lt;&gt;"",Scan2VK!L33,"")</f>
        <v>'S'</v>
      </c>
      <c r="B1391" t="str">
        <f>IF(ISERROR(MATCH(0,INDEX(COUNTIF($B$1:B1390,$A$2:$A$4629),0,0),0)),"",INDEX($A$2:$A$4629,MATCH(0,INDEX(COUNTIF($B$1:B1390,$A$2:$A$4629),0,0),0)))</f>
        <v/>
      </c>
      <c r="C1391" t="str">
        <f t="shared" si="21"/>
        <v/>
      </c>
    </row>
    <row r="1392" spans="1:3" x14ac:dyDescent="0.25">
      <c r="A1392" t="str">
        <f>IF(Scan2VK!L34&lt;&gt;"",Scan2VK!L34,"")</f>
        <v>'D'</v>
      </c>
      <c r="B1392" t="str">
        <f>IF(ISERROR(MATCH(0,INDEX(COUNTIF($B$1:B1391,$A$2:$A$4629),0,0),0)),"",INDEX($A$2:$A$4629,MATCH(0,INDEX(COUNTIF($B$1:B1391,$A$2:$A$4629),0,0),0)))</f>
        <v/>
      </c>
      <c r="C1392" t="str">
        <f t="shared" si="21"/>
        <v/>
      </c>
    </row>
    <row r="1393" spans="1:3" x14ac:dyDescent="0.25">
      <c r="A1393" t="str">
        <f>IF(Scan2VK!L35&lt;&gt;"",Scan2VK!L35,"")</f>
        <v>'F'</v>
      </c>
      <c r="B1393" t="str">
        <f>IF(ISERROR(MATCH(0,INDEX(COUNTIF($B$1:B1392,$A$2:$A$4629),0,0),0)),"",INDEX($A$2:$A$4629,MATCH(0,INDEX(COUNTIF($B$1:B1392,$A$2:$A$4629),0,0),0)))</f>
        <v/>
      </c>
      <c r="C1393" t="str">
        <f t="shared" si="21"/>
        <v/>
      </c>
    </row>
    <row r="1394" spans="1:3" x14ac:dyDescent="0.25">
      <c r="A1394" t="str">
        <f>IF(Scan2VK!L36&lt;&gt;"",Scan2VK!L36,"")</f>
        <v>'G'</v>
      </c>
      <c r="B1394" t="str">
        <f>IF(ISERROR(MATCH(0,INDEX(COUNTIF($B$1:B1393,$A$2:$A$4629),0,0),0)),"",INDEX($A$2:$A$4629,MATCH(0,INDEX(COUNTIF($B$1:B1393,$A$2:$A$4629),0,0),0)))</f>
        <v/>
      </c>
      <c r="C1394" t="str">
        <f t="shared" si="21"/>
        <v/>
      </c>
    </row>
    <row r="1395" spans="1:3" x14ac:dyDescent="0.25">
      <c r="A1395" t="str">
        <f>IF(Scan2VK!L37&lt;&gt;"",Scan2VK!L37,"")</f>
        <v>'H'</v>
      </c>
      <c r="B1395" t="str">
        <f>IF(ISERROR(MATCH(0,INDEX(COUNTIF($B$1:B1394,$A$2:$A$4629),0,0),0)),"",INDEX($A$2:$A$4629,MATCH(0,INDEX(COUNTIF($B$1:B1394,$A$2:$A$4629),0,0),0)))</f>
        <v/>
      </c>
      <c r="C1395" t="str">
        <f t="shared" si="21"/>
        <v/>
      </c>
    </row>
    <row r="1396" spans="1:3" x14ac:dyDescent="0.25">
      <c r="A1396" t="str">
        <f>IF(Scan2VK!L38&lt;&gt;"",Scan2VK!L38,"")</f>
        <v>'J'</v>
      </c>
      <c r="B1396" t="str">
        <f>IF(ISERROR(MATCH(0,INDEX(COUNTIF($B$1:B1395,$A$2:$A$4629),0,0),0)),"",INDEX($A$2:$A$4629,MATCH(0,INDEX(COUNTIF($B$1:B1395,$A$2:$A$4629),0,0),0)))</f>
        <v/>
      </c>
      <c r="C1396" t="str">
        <f t="shared" si="21"/>
        <v/>
      </c>
    </row>
    <row r="1397" spans="1:3" x14ac:dyDescent="0.25">
      <c r="A1397" t="str">
        <f>IF(Scan2VK!L39&lt;&gt;"",Scan2VK!L39,"")</f>
        <v>'K'</v>
      </c>
      <c r="B1397" t="str">
        <f>IF(ISERROR(MATCH(0,INDEX(COUNTIF($B$1:B1396,$A$2:$A$4629),0,0),0)),"",INDEX($A$2:$A$4629,MATCH(0,INDEX(COUNTIF($B$1:B1396,$A$2:$A$4629),0,0),0)))</f>
        <v/>
      </c>
      <c r="C1397" t="str">
        <f t="shared" si="21"/>
        <v/>
      </c>
    </row>
    <row r="1398" spans="1:3" x14ac:dyDescent="0.25">
      <c r="A1398" t="str">
        <f>IF(Scan2VK!L40&lt;&gt;"",Scan2VK!L40,"")</f>
        <v>'L'</v>
      </c>
      <c r="B1398" t="str">
        <f>IF(ISERROR(MATCH(0,INDEX(COUNTIF($B$1:B1397,$A$2:$A$4629),0,0),0)),"",INDEX($A$2:$A$4629,MATCH(0,INDEX(COUNTIF($B$1:B1397,$A$2:$A$4629),0,0),0)))</f>
        <v/>
      </c>
      <c r="C1398" t="str">
        <f t="shared" si="21"/>
        <v/>
      </c>
    </row>
    <row r="1399" spans="1:3" x14ac:dyDescent="0.25">
      <c r="A1399" t="str">
        <f>IF(Scan2VK!L41&lt;&gt;"",Scan2VK!L41,"")</f>
        <v>OEM_PLUS</v>
      </c>
      <c r="B1399" t="str">
        <f>IF(ISERROR(MATCH(0,INDEX(COUNTIF($B$1:B1398,$A$2:$A$4629),0,0),0)),"",INDEX($A$2:$A$4629,MATCH(0,INDEX(COUNTIF($B$1:B1398,$A$2:$A$4629),0,0),0)))</f>
        <v/>
      </c>
      <c r="C1399" t="str">
        <f t="shared" si="21"/>
        <v/>
      </c>
    </row>
    <row r="1400" spans="1:3" x14ac:dyDescent="0.25">
      <c r="A1400" t="str">
        <f>IF(Scan2VK!L42&lt;&gt;"",Scan2VK!L42,"")</f>
        <v>OEM_1</v>
      </c>
      <c r="B1400" t="str">
        <f>IF(ISERROR(MATCH(0,INDEX(COUNTIF($B$1:B1399,$A$2:$A$4629),0,0),0)),"",INDEX($A$2:$A$4629,MATCH(0,INDEX(COUNTIF($B$1:B1399,$A$2:$A$4629),0,0),0)))</f>
        <v/>
      </c>
      <c r="C1400" t="str">
        <f t="shared" si="21"/>
        <v/>
      </c>
    </row>
    <row r="1401" spans="1:3" x14ac:dyDescent="0.25">
      <c r="A1401" t="str">
        <f>IF(Scan2VK!L43&lt;&gt;"",Scan2VK!L43,"")</f>
        <v>DBE_SBCSCHAR</v>
      </c>
      <c r="B1401" t="str">
        <f>IF(ISERROR(MATCH(0,INDEX(COUNTIF($B$1:B1400,$A$2:$A$4629),0,0),0)),"",INDEX($A$2:$A$4629,MATCH(0,INDEX(COUNTIF($B$1:B1400,$A$2:$A$4629),0,0),0)))</f>
        <v/>
      </c>
      <c r="C1401" t="str">
        <f t="shared" si="21"/>
        <v/>
      </c>
    </row>
    <row r="1402" spans="1:3" x14ac:dyDescent="0.25">
      <c r="A1402" t="str">
        <f>IF(Scan2VK!L44&lt;&gt;"",Scan2VK!L44,"")</f>
        <v>LSHIFT</v>
      </c>
      <c r="B1402" t="str">
        <f>IF(ISERROR(MATCH(0,INDEX(COUNTIF($B$1:B1401,$A$2:$A$4629),0,0),0)),"",INDEX($A$2:$A$4629,MATCH(0,INDEX(COUNTIF($B$1:B1401,$A$2:$A$4629),0,0),0)))</f>
        <v/>
      </c>
      <c r="C1402" t="str">
        <f t="shared" si="21"/>
        <v/>
      </c>
    </row>
    <row r="1403" spans="1:3" x14ac:dyDescent="0.25">
      <c r="A1403" t="str">
        <f>IF(Scan2VK!L45&lt;&gt;"",Scan2VK!L45,"")</f>
        <v>OEM_6</v>
      </c>
      <c r="B1403" t="str">
        <f>IF(ISERROR(MATCH(0,INDEX(COUNTIF($B$1:B1402,$A$2:$A$4629),0,0),0)),"",INDEX($A$2:$A$4629,MATCH(0,INDEX(COUNTIF($B$1:B1402,$A$2:$A$4629),0,0),0)))</f>
        <v/>
      </c>
      <c r="C1403" t="str">
        <f t="shared" si="21"/>
        <v/>
      </c>
    </row>
    <row r="1404" spans="1:3" x14ac:dyDescent="0.25">
      <c r="A1404" t="str">
        <f>IF(Scan2VK!L46&lt;&gt;"",Scan2VK!L46,"")</f>
        <v>'Z'</v>
      </c>
      <c r="B1404" t="str">
        <f>IF(ISERROR(MATCH(0,INDEX(COUNTIF($B$1:B1403,$A$2:$A$4629),0,0),0)),"",INDEX($A$2:$A$4629,MATCH(0,INDEX(COUNTIF($B$1:B1403,$A$2:$A$4629),0,0),0)))</f>
        <v/>
      </c>
      <c r="C1404" t="str">
        <f t="shared" si="21"/>
        <v/>
      </c>
    </row>
    <row r="1405" spans="1:3" x14ac:dyDescent="0.25">
      <c r="A1405" t="str">
        <f>IF(Scan2VK!L47&lt;&gt;"",Scan2VK!L47,"")</f>
        <v>'X'</v>
      </c>
      <c r="B1405" t="str">
        <f>IF(ISERROR(MATCH(0,INDEX(COUNTIF($B$1:B1404,$A$2:$A$4629),0,0),0)),"",INDEX($A$2:$A$4629,MATCH(0,INDEX(COUNTIF($B$1:B1404,$A$2:$A$4629),0,0),0)))</f>
        <v/>
      </c>
      <c r="C1405" t="str">
        <f t="shared" si="21"/>
        <v/>
      </c>
    </row>
    <row r="1406" spans="1:3" x14ac:dyDescent="0.25">
      <c r="A1406" t="str">
        <f>IF(Scan2VK!L48&lt;&gt;"",Scan2VK!L48,"")</f>
        <v>'C'</v>
      </c>
      <c r="B1406" t="str">
        <f>IF(ISERROR(MATCH(0,INDEX(COUNTIF($B$1:B1405,$A$2:$A$4629),0,0),0)),"",INDEX($A$2:$A$4629,MATCH(0,INDEX(COUNTIF($B$1:B1405,$A$2:$A$4629),0,0),0)))</f>
        <v/>
      </c>
      <c r="C1406" t="str">
        <f t="shared" si="21"/>
        <v/>
      </c>
    </row>
    <row r="1407" spans="1:3" x14ac:dyDescent="0.25">
      <c r="A1407" t="str">
        <f>IF(Scan2VK!L49&lt;&gt;"",Scan2VK!L49,"")</f>
        <v>'V'</v>
      </c>
      <c r="B1407" t="str">
        <f>IF(ISERROR(MATCH(0,INDEX(COUNTIF($B$1:B1406,$A$2:$A$4629),0,0),0)),"",INDEX($A$2:$A$4629,MATCH(0,INDEX(COUNTIF($B$1:B1406,$A$2:$A$4629),0,0),0)))</f>
        <v/>
      </c>
      <c r="C1407" t="str">
        <f t="shared" si="21"/>
        <v/>
      </c>
    </row>
    <row r="1408" spans="1:3" x14ac:dyDescent="0.25">
      <c r="A1408" t="str">
        <f>IF(Scan2VK!L50&lt;&gt;"",Scan2VK!L50,"")</f>
        <v>'B'</v>
      </c>
      <c r="B1408" t="str">
        <f>IF(ISERROR(MATCH(0,INDEX(COUNTIF($B$1:B1407,$A$2:$A$4629),0,0),0)),"",INDEX($A$2:$A$4629,MATCH(0,INDEX(COUNTIF($B$1:B1407,$A$2:$A$4629),0,0),0)))</f>
        <v/>
      </c>
      <c r="C1408" t="str">
        <f t="shared" si="21"/>
        <v/>
      </c>
    </row>
    <row r="1409" spans="1:3" x14ac:dyDescent="0.25">
      <c r="A1409" t="str">
        <f>IF(Scan2VK!L51&lt;&gt;"",Scan2VK!L51,"")</f>
        <v>'N'</v>
      </c>
      <c r="B1409" t="str">
        <f>IF(ISERROR(MATCH(0,INDEX(COUNTIF($B$1:B1408,$A$2:$A$4629),0,0),0)),"",INDEX($A$2:$A$4629,MATCH(0,INDEX(COUNTIF($B$1:B1408,$A$2:$A$4629),0,0),0)))</f>
        <v/>
      </c>
      <c r="C1409" t="str">
        <f t="shared" si="21"/>
        <v/>
      </c>
    </row>
    <row r="1410" spans="1:3" x14ac:dyDescent="0.25">
      <c r="A1410" t="str">
        <f>IF(Scan2VK!L52&lt;&gt;"",Scan2VK!L52,"")</f>
        <v>'M'</v>
      </c>
      <c r="B1410" t="str">
        <f>IF(ISERROR(MATCH(0,INDEX(COUNTIF($B$1:B1409,$A$2:$A$4629),0,0),0)),"",INDEX($A$2:$A$4629,MATCH(0,INDEX(COUNTIF($B$1:B1409,$A$2:$A$4629),0,0),0)))</f>
        <v/>
      </c>
      <c r="C1410" t="str">
        <f t="shared" si="21"/>
        <v/>
      </c>
    </row>
    <row r="1411" spans="1:3" x14ac:dyDescent="0.25">
      <c r="A1411" t="str">
        <f>IF(Scan2VK!L53&lt;&gt;"",Scan2VK!L53,"")</f>
        <v>OEM_COMMA</v>
      </c>
      <c r="B1411" t="str">
        <f>IF(ISERROR(MATCH(0,INDEX(COUNTIF($B$1:B1410,$A$2:$A$4629),0,0),0)),"",INDEX($A$2:$A$4629,MATCH(0,INDEX(COUNTIF($B$1:B1410,$A$2:$A$4629),0,0),0)))</f>
        <v/>
      </c>
      <c r="C1411" t="str">
        <f t="shared" ref="C1411:C1474" si="22">IF(B1411&lt;&gt;"","&lt;xs:enumeration value="""&amp;B1411&amp;"""/&gt;","")</f>
        <v/>
      </c>
    </row>
    <row r="1412" spans="1:3" x14ac:dyDescent="0.25">
      <c r="A1412" t="str">
        <f>IF(Scan2VK!L54&lt;&gt;"",Scan2VK!L54,"")</f>
        <v>OEM_PERIOD</v>
      </c>
      <c r="B1412" t="str">
        <f>IF(ISERROR(MATCH(0,INDEX(COUNTIF($B$1:B1411,$A$2:$A$4629),0,0),0)),"",INDEX($A$2:$A$4629,MATCH(0,INDEX(COUNTIF($B$1:B1411,$A$2:$A$4629),0,0),0)))</f>
        <v/>
      </c>
      <c r="C1412" t="str">
        <f t="shared" si="22"/>
        <v/>
      </c>
    </row>
    <row r="1413" spans="1:3" x14ac:dyDescent="0.25">
      <c r="A1413" t="str">
        <f>IF(Scan2VK!L55&lt;&gt;"",Scan2VK!L55,"")</f>
        <v>OEM_2</v>
      </c>
      <c r="B1413" t="str">
        <f>IF(ISERROR(MATCH(0,INDEX(COUNTIF($B$1:B1412,$A$2:$A$4629),0,0),0)),"",INDEX($A$2:$A$4629,MATCH(0,INDEX(COUNTIF($B$1:B1412,$A$2:$A$4629),0,0),0)))</f>
        <v/>
      </c>
      <c r="C1413" t="str">
        <f t="shared" si="22"/>
        <v/>
      </c>
    </row>
    <row r="1414" spans="1:3" x14ac:dyDescent="0.25">
      <c r="A1414" t="str">
        <f>IF(Scan2VK!L56&lt;&gt;"",Scan2VK!L56,"")</f>
        <v>RSHIFT</v>
      </c>
      <c r="B1414" t="str">
        <f>IF(ISERROR(MATCH(0,INDEX(COUNTIF($B$1:B1413,$A$2:$A$4629),0,0),0)),"",INDEX($A$2:$A$4629,MATCH(0,INDEX(COUNTIF($B$1:B1413,$A$2:$A$4629),0,0),0)))</f>
        <v/>
      </c>
      <c r="C1414" t="str">
        <f t="shared" si="22"/>
        <v/>
      </c>
    </row>
    <row r="1415" spans="1:3" x14ac:dyDescent="0.25">
      <c r="A1415" t="str">
        <f>IF(Scan2VK!L57&lt;&gt;"",Scan2VK!L57,"")</f>
        <v>MULTIPLY</v>
      </c>
      <c r="B1415" t="str">
        <f>IF(ISERROR(MATCH(0,INDEX(COUNTIF($B$1:B1414,$A$2:$A$4629),0,0),0)),"",INDEX($A$2:$A$4629,MATCH(0,INDEX(COUNTIF($B$1:B1414,$A$2:$A$4629),0,0),0)))</f>
        <v/>
      </c>
      <c r="C1415" t="str">
        <f t="shared" si="22"/>
        <v/>
      </c>
    </row>
    <row r="1416" spans="1:3" x14ac:dyDescent="0.25">
      <c r="A1416" t="str">
        <f>IF(Scan2VK!L58&lt;&gt;"",Scan2VK!L58,"")</f>
        <v>LMENU</v>
      </c>
      <c r="B1416" t="str">
        <f>IF(ISERROR(MATCH(0,INDEX(COUNTIF($B$1:B1415,$A$2:$A$4629),0,0),0)),"",INDEX($A$2:$A$4629,MATCH(0,INDEX(COUNTIF($B$1:B1415,$A$2:$A$4629),0,0),0)))</f>
        <v/>
      </c>
      <c r="C1416" t="str">
        <f t="shared" si="22"/>
        <v/>
      </c>
    </row>
    <row r="1417" spans="1:3" x14ac:dyDescent="0.25">
      <c r="A1417" t="str">
        <f>IF(Scan2VK!L59&lt;&gt;"",Scan2VK!L59,"")</f>
        <v>''</v>
      </c>
      <c r="B1417" t="str">
        <f>IF(ISERROR(MATCH(0,INDEX(COUNTIF($B$1:B1416,$A$2:$A$4629),0,0),0)),"",INDEX($A$2:$A$4629,MATCH(0,INDEX(COUNTIF($B$1:B1416,$A$2:$A$4629),0,0),0)))</f>
        <v/>
      </c>
      <c r="C1417" t="str">
        <f t="shared" si="22"/>
        <v/>
      </c>
    </row>
    <row r="1418" spans="1:3" x14ac:dyDescent="0.25">
      <c r="A1418" t="str">
        <f>IF(Scan2VK!L60&lt;&gt;"",Scan2VK!L60,"")</f>
        <v>DBE_ALPHANUMERIC</v>
      </c>
      <c r="B1418" t="str">
        <f>IF(ISERROR(MATCH(0,INDEX(COUNTIF($B$1:B1417,$A$2:$A$4629),0,0),0)),"",INDEX($A$2:$A$4629,MATCH(0,INDEX(COUNTIF($B$1:B1417,$A$2:$A$4629),0,0),0)))</f>
        <v/>
      </c>
      <c r="C1418" t="str">
        <f t="shared" si="22"/>
        <v/>
      </c>
    </row>
    <row r="1419" spans="1:3" x14ac:dyDescent="0.25">
      <c r="A1419" t="str">
        <f>IF(Scan2VK!L61&lt;&gt;"",Scan2VK!L61,"")</f>
        <v>F1</v>
      </c>
      <c r="B1419" t="str">
        <f>IF(ISERROR(MATCH(0,INDEX(COUNTIF($B$1:B1418,$A$2:$A$4629),0,0),0)),"",INDEX($A$2:$A$4629,MATCH(0,INDEX(COUNTIF($B$1:B1418,$A$2:$A$4629),0,0),0)))</f>
        <v/>
      </c>
      <c r="C1419" t="str">
        <f t="shared" si="22"/>
        <v/>
      </c>
    </row>
    <row r="1420" spans="1:3" x14ac:dyDescent="0.25">
      <c r="A1420" t="str">
        <f>IF(Scan2VK!L62&lt;&gt;"",Scan2VK!L62,"")</f>
        <v>F2</v>
      </c>
      <c r="B1420" t="str">
        <f>IF(ISERROR(MATCH(0,INDEX(COUNTIF($B$1:B1419,$A$2:$A$4629),0,0),0)),"",INDEX($A$2:$A$4629,MATCH(0,INDEX(COUNTIF($B$1:B1419,$A$2:$A$4629),0,0),0)))</f>
        <v/>
      </c>
      <c r="C1420" t="str">
        <f t="shared" si="22"/>
        <v/>
      </c>
    </row>
    <row r="1421" spans="1:3" x14ac:dyDescent="0.25">
      <c r="A1421" t="str">
        <f>IF(Scan2VK!L63&lt;&gt;"",Scan2VK!L63,"")</f>
        <v>F3</v>
      </c>
      <c r="B1421" t="str">
        <f>IF(ISERROR(MATCH(0,INDEX(COUNTIF($B$1:B1420,$A$2:$A$4629),0,0),0)),"",INDEX($A$2:$A$4629,MATCH(0,INDEX(COUNTIF($B$1:B1420,$A$2:$A$4629),0,0),0)))</f>
        <v/>
      </c>
      <c r="C1421" t="str">
        <f t="shared" si="22"/>
        <v/>
      </c>
    </row>
    <row r="1422" spans="1:3" x14ac:dyDescent="0.25">
      <c r="A1422" t="str">
        <f>IF(Scan2VK!L64&lt;&gt;"",Scan2VK!L64,"")</f>
        <v>F4</v>
      </c>
      <c r="B1422" t="str">
        <f>IF(ISERROR(MATCH(0,INDEX(COUNTIF($B$1:B1421,$A$2:$A$4629),0,0),0)),"",INDEX($A$2:$A$4629,MATCH(0,INDEX(COUNTIF($B$1:B1421,$A$2:$A$4629),0,0),0)))</f>
        <v/>
      </c>
      <c r="C1422" t="str">
        <f t="shared" si="22"/>
        <v/>
      </c>
    </row>
    <row r="1423" spans="1:3" x14ac:dyDescent="0.25">
      <c r="A1423" t="str">
        <f>IF(Scan2VK!L65&lt;&gt;"",Scan2VK!L65,"")</f>
        <v>F5</v>
      </c>
      <c r="B1423" t="str">
        <f>IF(ISERROR(MATCH(0,INDEX(COUNTIF($B$1:B1422,$A$2:$A$4629),0,0),0)),"",INDEX($A$2:$A$4629,MATCH(0,INDEX(COUNTIF($B$1:B1422,$A$2:$A$4629),0,0),0)))</f>
        <v/>
      </c>
      <c r="C1423" t="str">
        <f t="shared" si="22"/>
        <v/>
      </c>
    </row>
    <row r="1424" spans="1:3" x14ac:dyDescent="0.25">
      <c r="A1424" t="str">
        <f>IF(Scan2VK!L66&lt;&gt;"",Scan2VK!L66,"")</f>
        <v>F6</v>
      </c>
      <c r="B1424" t="str">
        <f>IF(ISERROR(MATCH(0,INDEX(COUNTIF($B$1:B1423,$A$2:$A$4629),0,0),0)),"",INDEX($A$2:$A$4629,MATCH(0,INDEX(COUNTIF($B$1:B1423,$A$2:$A$4629),0,0),0)))</f>
        <v/>
      </c>
      <c r="C1424" t="str">
        <f t="shared" si="22"/>
        <v/>
      </c>
    </row>
    <row r="1425" spans="1:3" x14ac:dyDescent="0.25">
      <c r="A1425" t="str">
        <f>IF(Scan2VK!L67&lt;&gt;"",Scan2VK!L67,"")</f>
        <v>F7</v>
      </c>
      <c r="B1425" t="str">
        <f>IF(ISERROR(MATCH(0,INDEX(COUNTIF($B$1:B1424,$A$2:$A$4629),0,0),0)),"",INDEX($A$2:$A$4629,MATCH(0,INDEX(COUNTIF($B$1:B1424,$A$2:$A$4629),0,0),0)))</f>
        <v/>
      </c>
      <c r="C1425" t="str">
        <f t="shared" si="22"/>
        <v/>
      </c>
    </row>
    <row r="1426" spans="1:3" x14ac:dyDescent="0.25">
      <c r="A1426" t="str">
        <f>IF(Scan2VK!L68&lt;&gt;"",Scan2VK!L68,"")</f>
        <v>F8</v>
      </c>
      <c r="B1426" t="str">
        <f>IF(ISERROR(MATCH(0,INDEX(COUNTIF($B$1:B1425,$A$2:$A$4629),0,0),0)),"",INDEX($A$2:$A$4629,MATCH(0,INDEX(COUNTIF($B$1:B1425,$A$2:$A$4629),0,0),0)))</f>
        <v/>
      </c>
      <c r="C1426" t="str">
        <f t="shared" si="22"/>
        <v/>
      </c>
    </row>
    <row r="1427" spans="1:3" x14ac:dyDescent="0.25">
      <c r="A1427" t="str">
        <f>IF(Scan2VK!L69&lt;&gt;"",Scan2VK!L69,"")</f>
        <v>F9</v>
      </c>
      <c r="B1427" t="str">
        <f>IF(ISERROR(MATCH(0,INDEX(COUNTIF($B$1:B1426,$A$2:$A$4629),0,0),0)),"",INDEX($A$2:$A$4629,MATCH(0,INDEX(COUNTIF($B$1:B1426,$A$2:$A$4629),0,0),0)))</f>
        <v/>
      </c>
      <c r="C1427" t="str">
        <f t="shared" si="22"/>
        <v/>
      </c>
    </row>
    <row r="1428" spans="1:3" x14ac:dyDescent="0.25">
      <c r="A1428" t="str">
        <f>IF(Scan2VK!L70&lt;&gt;"",Scan2VK!L70,"")</f>
        <v>F10</v>
      </c>
      <c r="B1428" t="str">
        <f>IF(ISERROR(MATCH(0,INDEX(COUNTIF($B$1:B1427,$A$2:$A$4629),0,0),0)),"",INDEX($A$2:$A$4629,MATCH(0,INDEX(COUNTIF($B$1:B1427,$A$2:$A$4629),0,0),0)))</f>
        <v/>
      </c>
      <c r="C1428" t="str">
        <f t="shared" si="22"/>
        <v/>
      </c>
    </row>
    <row r="1429" spans="1:3" x14ac:dyDescent="0.25">
      <c r="A1429" t="str">
        <f>IF(Scan2VK!L71&lt;&gt;"",Scan2VK!L71,"")</f>
        <v>NUMLOCK</v>
      </c>
      <c r="B1429" t="str">
        <f>IF(ISERROR(MATCH(0,INDEX(COUNTIF($B$1:B1428,$A$2:$A$4629),0,0),0)),"",INDEX($A$2:$A$4629,MATCH(0,INDEX(COUNTIF($B$1:B1428,$A$2:$A$4629),0,0),0)))</f>
        <v/>
      </c>
      <c r="C1429" t="str">
        <f t="shared" si="22"/>
        <v/>
      </c>
    </row>
    <row r="1430" spans="1:3" x14ac:dyDescent="0.25">
      <c r="A1430" t="str">
        <f>IF(Scan2VK!L72&lt;&gt;"",Scan2VK!L72,"")</f>
        <v>SCROLL</v>
      </c>
      <c r="B1430" t="str">
        <f>IF(ISERROR(MATCH(0,INDEX(COUNTIF($B$1:B1429,$A$2:$A$4629),0,0),0)),"",INDEX($A$2:$A$4629,MATCH(0,INDEX(COUNTIF($B$1:B1429,$A$2:$A$4629),0,0),0)))</f>
        <v/>
      </c>
      <c r="C1430" t="str">
        <f t="shared" si="22"/>
        <v/>
      </c>
    </row>
    <row r="1431" spans="1:3" x14ac:dyDescent="0.25">
      <c r="A1431" t="str">
        <f>IF(Scan2VK!L73&lt;&gt;"",Scan2VK!L73,"")</f>
        <v>HOME</v>
      </c>
      <c r="B1431" t="str">
        <f>IF(ISERROR(MATCH(0,INDEX(COUNTIF($B$1:B1430,$A$2:$A$4629),0,0),0)),"",INDEX($A$2:$A$4629,MATCH(0,INDEX(COUNTIF($B$1:B1430,$A$2:$A$4629),0,0),0)))</f>
        <v/>
      </c>
      <c r="C1431" t="str">
        <f t="shared" si="22"/>
        <v/>
      </c>
    </row>
    <row r="1432" spans="1:3" x14ac:dyDescent="0.25">
      <c r="A1432" t="str">
        <f>IF(Scan2VK!L74&lt;&gt;"",Scan2VK!L74,"")</f>
        <v>UP</v>
      </c>
      <c r="B1432" t="str">
        <f>IF(ISERROR(MATCH(0,INDEX(COUNTIF($B$1:B1431,$A$2:$A$4629),0,0),0)),"",INDEX($A$2:$A$4629,MATCH(0,INDEX(COUNTIF($B$1:B1431,$A$2:$A$4629),0,0),0)))</f>
        <v/>
      </c>
      <c r="C1432" t="str">
        <f t="shared" si="22"/>
        <v/>
      </c>
    </row>
    <row r="1433" spans="1:3" x14ac:dyDescent="0.25">
      <c r="A1433" t="str">
        <f>IF(Scan2VK!L75&lt;&gt;"",Scan2VK!L75,"")</f>
        <v>PRIOR</v>
      </c>
      <c r="B1433" t="str">
        <f>IF(ISERROR(MATCH(0,INDEX(COUNTIF($B$1:B1432,$A$2:$A$4629),0,0),0)),"",INDEX($A$2:$A$4629,MATCH(0,INDEX(COUNTIF($B$1:B1432,$A$2:$A$4629),0,0),0)))</f>
        <v/>
      </c>
      <c r="C1433" t="str">
        <f t="shared" si="22"/>
        <v/>
      </c>
    </row>
    <row r="1434" spans="1:3" x14ac:dyDescent="0.25">
      <c r="A1434" t="str">
        <f>IF(Scan2VK!L76&lt;&gt;"",Scan2VK!L76,"")</f>
        <v>SUBTRACT</v>
      </c>
      <c r="B1434" t="str">
        <f>IF(ISERROR(MATCH(0,INDEX(COUNTIF($B$1:B1433,$A$2:$A$4629),0,0),0)),"",INDEX($A$2:$A$4629,MATCH(0,INDEX(COUNTIF($B$1:B1433,$A$2:$A$4629),0,0),0)))</f>
        <v/>
      </c>
      <c r="C1434" t="str">
        <f t="shared" si="22"/>
        <v/>
      </c>
    </row>
    <row r="1435" spans="1:3" x14ac:dyDescent="0.25">
      <c r="A1435" t="str">
        <f>IF(Scan2VK!L77&lt;&gt;"",Scan2VK!L77,"")</f>
        <v>LEFT</v>
      </c>
      <c r="B1435" t="str">
        <f>IF(ISERROR(MATCH(0,INDEX(COUNTIF($B$1:B1434,$A$2:$A$4629),0,0),0)),"",INDEX($A$2:$A$4629,MATCH(0,INDEX(COUNTIF($B$1:B1434,$A$2:$A$4629),0,0),0)))</f>
        <v/>
      </c>
      <c r="C1435" t="str">
        <f t="shared" si="22"/>
        <v/>
      </c>
    </row>
    <row r="1436" spans="1:3" x14ac:dyDescent="0.25">
      <c r="A1436" t="str">
        <f>IF(Scan2VK!L78&lt;&gt;"",Scan2VK!L78,"")</f>
        <v>CLEAR</v>
      </c>
      <c r="B1436" t="str">
        <f>IF(ISERROR(MATCH(0,INDEX(COUNTIF($B$1:B1435,$A$2:$A$4629),0,0),0)),"",INDEX($A$2:$A$4629,MATCH(0,INDEX(COUNTIF($B$1:B1435,$A$2:$A$4629),0,0),0)))</f>
        <v/>
      </c>
      <c r="C1436" t="str">
        <f t="shared" si="22"/>
        <v/>
      </c>
    </row>
    <row r="1437" spans="1:3" x14ac:dyDescent="0.25">
      <c r="A1437" t="str">
        <f>IF(Scan2VK!L79&lt;&gt;"",Scan2VK!L79,"")</f>
        <v>RIGHT</v>
      </c>
      <c r="B1437" t="str">
        <f>IF(ISERROR(MATCH(0,INDEX(COUNTIF($B$1:B1436,$A$2:$A$4629),0,0),0)),"",INDEX($A$2:$A$4629,MATCH(0,INDEX(COUNTIF($B$1:B1436,$A$2:$A$4629),0,0),0)))</f>
        <v/>
      </c>
      <c r="C1437" t="str">
        <f t="shared" si="22"/>
        <v/>
      </c>
    </row>
    <row r="1438" spans="1:3" x14ac:dyDescent="0.25">
      <c r="A1438" t="str">
        <f>IF(Scan2VK!L80&lt;&gt;"",Scan2VK!L80,"")</f>
        <v>ADD</v>
      </c>
      <c r="B1438" t="str">
        <f>IF(ISERROR(MATCH(0,INDEX(COUNTIF($B$1:B1437,$A$2:$A$4629),0,0),0)),"",INDEX($A$2:$A$4629,MATCH(0,INDEX(COUNTIF($B$1:B1437,$A$2:$A$4629),0,0),0)))</f>
        <v/>
      </c>
      <c r="C1438" t="str">
        <f t="shared" si="22"/>
        <v/>
      </c>
    </row>
    <row r="1439" spans="1:3" x14ac:dyDescent="0.25">
      <c r="A1439" t="str">
        <f>IF(Scan2VK!L81&lt;&gt;"",Scan2VK!L81,"")</f>
        <v>END</v>
      </c>
      <c r="B1439" t="str">
        <f>IF(ISERROR(MATCH(0,INDEX(COUNTIF($B$1:B1438,$A$2:$A$4629),0,0),0)),"",INDEX($A$2:$A$4629,MATCH(0,INDEX(COUNTIF($B$1:B1438,$A$2:$A$4629),0,0),0)))</f>
        <v/>
      </c>
      <c r="C1439" t="str">
        <f t="shared" si="22"/>
        <v/>
      </c>
    </row>
    <row r="1440" spans="1:3" x14ac:dyDescent="0.25">
      <c r="A1440" t="str">
        <f>IF(Scan2VK!L82&lt;&gt;"",Scan2VK!L82,"")</f>
        <v>DOWN</v>
      </c>
      <c r="B1440" t="str">
        <f>IF(ISERROR(MATCH(0,INDEX(COUNTIF($B$1:B1439,$A$2:$A$4629),0,0),0)),"",INDEX($A$2:$A$4629,MATCH(0,INDEX(COUNTIF($B$1:B1439,$A$2:$A$4629),0,0),0)))</f>
        <v/>
      </c>
      <c r="C1440" t="str">
        <f t="shared" si="22"/>
        <v/>
      </c>
    </row>
    <row r="1441" spans="1:3" x14ac:dyDescent="0.25">
      <c r="A1441" t="str">
        <f>IF(Scan2VK!L83&lt;&gt;"",Scan2VK!L83,"")</f>
        <v>NEXT</v>
      </c>
      <c r="B1441" t="str">
        <f>IF(ISERROR(MATCH(0,INDEX(COUNTIF($B$1:B1440,$A$2:$A$4629),0,0),0)),"",INDEX($A$2:$A$4629,MATCH(0,INDEX(COUNTIF($B$1:B1440,$A$2:$A$4629),0,0),0)))</f>
        <v/>
      </c>
      <c r="C1441" t="str">
        <f t="shared" si="22"/>
        <v/>
      </c>
    </row>
    <row r="1442" spans="1:3" x14ac:dyDescent="0.25">
      <c r="A1442" t="str">
        <f>IF(Scan2VK!L84&lt;&gt;"",Scan2VK!L84,"")</f>
        <v>INSERT</v>
      </c>
      <c r="B1442" t="str">
        <f>IF(ISERROR(MATCH(0,INDEX(COUNTIF($B$1:B1441,$A$2:$A$4629),0,0),0)),"",INDEX($A$2:$A$4629,MATCH(0,INDEX(COUNTIF($B$1:B1441,$A$2:$A$4629),0,0),0)))</f>
        <v/>
      </c>
      <c r="C1442" t="str">
        <f t="shared" si="22"/>
        <v/>
      </c>
    </row>
    <row r="1443" spans="1:3" x14ac:dyDescent="0.25">
      <c r="A1443" t="str">
        <f>IF(Scan2VK!L85&lt;&gt;"",Scan2VK!L85,"")</f>
        <v>DELETE</v>
      </c>
      <c r="B1443" t="str">
        <f>IF(ISERROR(MATCH(0,INDEX(COUNTIF($B$1:B1442,$A$2:$A$4629),0,0),0)),"",INDEX($A$2:$A$4629,MATCH(0,INDEX(COUNTIF($B$1:B1442,$A$2:$A$4629),0,0),0)))</f>
        <v/>
      </c>
      <c r="C1443" t="str">
        <f t="shared" si="22"/>
        <v/>
      </c>
    </row>
    <row r="1444" spans="1:3" x14ac:dyDescent="0.25">
      <c r="A1444" t="str">
        <f>IF(Scan2VK!L86&lt;&gt;"",Scan2VK!L86,"")</f>
        <v>SNAPSHOT</v>
      </c>
      <c r="B1444" t="str">
        <f>IF(ISERROR(MATCH(0,INDEX(COUNTIF($B$1:B1443,$A$2:$A$4629),0,0),0)),"",INDEX($A$2:$A$4629,MATCH(0,INDEX(COUNTIF($B$1:B1443,$A$2:$A$4629),0,0),0)))</f>
        <v/>
      </c>
      <c r="C1444" t="str">
        <f t="shared" si="22"/>
        <v/>
      </c>
    </row>
    <row r="1445" spans="1:3" x14ac:dyDescent="0.25">
      <c r="A1445" t="str">
        <f>IF(Scan2VK!L87&lt;&gt;"",Scan2VK!L87,"")</f>
        <v>_none_</v>
      </c>
      <c r="B1445" t="str">
        <f>IF(ISERROR(MATCH(0,INDEX(COUNTIF($B$1:B1444,$A$2:$A$4629),0,0),0)),"",INDEX($A$2:$A$4629,MATCH(0,INDEX(COUNTIF($B$1:B1444,$A$2:$A$4629),0,0),0)))</f>
        <v/>
      </c>
      <c r="C1445" t="str">
        <f t="shared" si="22"/>
        <v/>
      </c>
    </row>
    <row r="1446" spans="1:3" x14ac:dyDescent="0.25">
      <c r="A1446" t="str">
        <f>IF(Scan2VK!L88&lt;&gt;"",Scan2VK!L88,"")</f>
        <v>_none_</v>
      </c>
      <c r="B1446" t="str">
        <f>IF(ISERROR(MATCH(0,INDEX(COUNTIF($B$1:B1445,$A$2:$A$4629),0,0),0)),"",INDEX($A$2:$A$4629,MATCH(0,INDEX(COUNTIF($B$1:B1445,$A$2:$A$4629),0,0),0)))</f>
        <v/>
      </c>
      <c r="C1446" t="str">
        <f t="shared" si="22"/>
        <v/>
      </c>
    </row>
    <row r="1447" spans="1:3" x14ac:dyDescent="0.25">
      <c r="A1447" t="str">
        <f>IF(Scan2VK!L89&lt;&gt;"",Scan2VK!L89,"")</f>
        <v>F11</v>
      </c>
      <c r="B1447" t="str">
        <f>IF(ISERROR(MATCH(0,INDEX(COUNTIF($B$1:B1446,$A$2:$A$4629),0,0),0)),"",INDEX($A$2:$A$4629,MATCH(0,INDEX(COUNTIF($B$1:B1446,$A$2:$A$4629),0,0),0)))</f>
        <v/>
      </c>
      <c r="C1447" t="str">
        <f t="shared" si="22"/>
        <v/>
      </c>
    </row>
    <row r="1448" spans="1:3" x14ac:dyDescent="0.25">
      <c r="A1448" t="str">
        <f>IF(Scan2VK!L90&lt;&gt;"",Scan2VK!L90,"")</f>
        <v>F12</v>
      </c>
      <c r="B1448" t="str">
        <f>IF(ISERROR(MATCH(0,INDEX(COUNTIF($B$1:B1447,$A$2:$A$4629),0,0),0)),"",INDEX($A$2:$A$4629,MATCH(0,INDEX(COUNTIF($B$1:B1447,$A$2:$A$4629),0,0),0)))</f>
        <v/>
      </c>
      <c r="C1448" t="str">
        <f t="shared" si="22"/>
        <v/>
      </c>
    </row>
    <row r="1449" spans="1:3" x14ac:dyDescent="0.25">
      <c r="A1449" t="str">
        <f>IF(Scan2VK!L91&lt;&gt;"",Scan2VK!L91,"")</f>
        <v>CLEAR</v>
      </c>
      <c r="B1449" t="str">
        <f>IF(ISERROR(MATCH(0,INDEX(COUNTIF($B$1:B1448,$A$2:$A$4629),0,0),0)),"",INDEX($A$2:$A$4629,MATCH(0,INDEX(COUNTIF($B$1:B1448,$A$2:$A$4629),0,0),0)))</f>
        <v/>
      </c>
      <c r="C1449" t="str">
        <f t="shared" si="22"/>
        <v/>
      </c>
    </row>
    <row r="1450" spans="1:3" x14ac:dyDescent="0.25">
      <c r="A1450" t="str">
        <f>IF(Scan2VK!L92&lt;&gt;"",Scan2VK!L92,"")</f>
        <v>NONAME</v>
      </c>
      <c r="B1450" t="str">
        <f>IF(ISERROR(MATCH(0,INDEX(COUNTIF($B$1:B1449,$A$2:$A$4629),0,0),0)),"",INDEX($A$2:$A$4629,MATCH(0,INDEX(COUNTIF($B$1:B1449,$A$2:$A$4629),0,0),0)))</f>
        <v/>
      </c>
      <c r="C1450" t="str">
        <f t="shared" si="22"/>
        <v/>
      </c>
    </row>
    <row r="1451" spans="1:3" x14ac:dyDescent="0.25">
      <c r="A1451" t="str">
        <f>IF(Scan2VK!L93&lt;&gt;"",Scan2VK!L93,"")</f>
        <v>NONAME</v>
      </c>
      <c r="B1451" t="str">
        <f>IF(ISERROR(MATCH(0,INDEX(COUNTIF($B$1:B1450,$A$2:$A$4629),0,0),0)),"",INDEX($A$2:$A$4629,MATCH(0,INDEX(COUNTIF($B$1:B1450,$A$2:$A$4629),0,0),0)))</f>
        <v/>
      </c>
      <c r="C1451" t="str">
        <f t="shared" si="22"/>
        <v/>
      </c>
    </row>
    <row r="1452" spans="1:3" x14ac:dyDescent="0.25">
      <c r="A1452" t="str">
        <f>IF(Scan2VK!L94&lt;&gt;"",Scan2VK!L94,"")</f>
        <v>NONAME</v>
      </c>
      <c r="B1452" t="str">
        <f>IF(ISERROR(MATCH(0,INDEX(COUNTIF($B$1:B1451,$A$2:$A$4629),0,0),0)),"",INDEX($A$2:$A$4629,MATCH(0,INDEX(COUNTIF($B$1:B1451,$A$2:$A$4629),0,0),0)))</f>
        <v/>
      </c>
      <c r="C1452" t="str">
        <f t="shared" si="22"/>
        <v/>
      </c>
    </row>
    <row r="1453" spans="1:3" x14ac:dyDescent="0.25">
      <c r="A1453" t="str">
        <f>IF(Scan2VK!L95&lt;&gt;"",Scan2VK!L95,"")</f>
        <v>EREOF</v>
      </c>
      <c r="B1453" t="str">
        <f>IF(ISERROR(MATCH(0,INDEX(COUNTIF($B$1:B1452,$A$2:$A$4629),0,0),0)),"",INDEX($A$2:$A$4629,MATCH(0,INDEX(COUNTIF($B$1:B1452,$A$2:$A$4629),0,0),0)))</f>
        <v/>
      </c>
      <c r="C1453" t="str">
        <f t="shared" si="22"/>
        <v/>
      </c>
    </row>
    <row r="1454" spans="1:3" x14ac:dyDescent="0.25">
      <c r="A1454" t="str">
        <f>IF(Scan2VK!L96&lt;&gt;"",Scan2VK!L96,"")</f>
        <v>_none_</v>
      </c>
      <c r="B1454" t="str">
        <f>IF(ISERROR(MATCH(0,INDEX(COUNTIF($B$1:B1453,$A$2:$A$4629),0,0),0)),"",INDEX($A$2:$A$4629,MATCH(0,INDEX(COUNTIF($B$1:B1453,$A$2:$A$4629),0,0),0)))</f>
        <v/>
      </c>
      <c r="C1454" t="str">
        <f t="shared" si="22"/>
        <v/>
      </c>
    </row>
    <row r="1455" spans="1:3" x14ac:dyDescent="0.25">
      <c r="A1455" t="str">
        <f>IF(Scan2VK!L97&lt;&gt;"",Scan2VK!L97,"")</f>
        <v>NONAME</v>
      </c>
      <c r="B1455" t="str">
        <f>IF(ISERROR(MATCH(0,INDEX(COUNTIF($B$1:B1454,$A$2:$A$4629),0,0),0)),"",INDEX($A$2:$A$4629,MATCH(0,INDEX(COUNTIF($B$1:B1454,$A$2:$A$4629),0,0),0)))</f>
        <v/>
      </c>
      <c r="C1455" t="str">
        <f t="shared" si="22"/>
        <v/>
      </c>
    </row>
    <row r="1456" spans="1:3" x14ac:dyDescent="0.25">
      <c r="A1456" t="str">
        <f>IF(Scan2VK!L98&lt;&gt;"",Scan2VK!L98,"")</f>
        <v>_none_</v>
      </c>
      <c r="B1456" t="str">
        <f>IF(ISERROR(MATCH(0,INDEX(COUNTIF($B$1:B1455,$A$2:$A$4629),0,0),0)),"",INDEX($A$2:$A$4629,MATCH(0,INDEX(COUNTIF($B$1:B1455,$A$2:$A$4629),0,0),0)))</f>
        <v/>
      </c>
      <c r="C1456" t="str">
        <f t="shared" si="22"/>
        <v/>
      </c>
    </row>
    <row r="1457" spans="1:3" x14ac:dyDescent="0.25">
      <c r="A1457" t="str">
        <f>IF(Scan2VK!L99&lt;&gt;"",Scan2VK!L99,"")</f>
        <v>_none_</v>
      </c>
      <c r="B1457" t="str">
        <f>IF(ISERROR(MATCH(0,INDEX(COUNTIF($B$1:B1456,$A$2:$A$4629),0,0),0)),"",INDEX($A$2:$A$4629,MATCH(0,INDEX(COUNTIF($B$1:B1456,$A$2:$A$4629),0,0),0)))</f>
        <v/>
      </c>
      <c r="C1457" t="str">
        <f t="shared" si="22"/>
        <v/>
      </c>
    </row>
    <row r="1458" spans="1:3" x14ac:dyDescent="0.25">
      <c r="A1458" t="str">
        <f>IF(Scan2VK!L100&lt;&gt;"",Scan2VK!L100,"")</f>
        <v>_none_</v>
      </c>
      <c r="B1458" t="str">
        <f>IF(ISERROR(MATCH(0,INDEX(COUNTIF($B$1:B1457,$A$2:$A$4629),0,0),0)),"",INDEX($A$2:$A$4629,MATCH(0,INDEX(COUNTIF($B$1:B1457,$A$2:$A$4629),0,0),0)))</f>
        <v/>
      </c>
      <c r="C1458" t="str">
        <f t="shared" si="22"/>
        <v/>
      </c>
    </row>
    <row r="1459" spans="1:3" x14ac:dyDescent="0.25">
      <c r="A1459" t="str">
        <f>IF(Scan2VK!L101&lt;&gt;"",Scan2VK!L101,"")</f>
        <v>_none_</v>
      </c>
      <c r="B1459" t="str">
        <f>IF(ISERROR(MATCH(0,INDEX(COUNTIF($B$1:B1458,$A$2:$A$4629),0,0),0)),"",INDEX($A$2:$A$4629,MATCH(0,INDEX(COUNTIF($B$1:B1458,$A$2:$A$4629),0,0),0)))</f>
        <v/>
      </c>
      <c r="C1459" t="str">
        <f t="shared" si="22"/>
        <v/>
      </c>
    </row>
    <row r="1460" spans="1:3" x14ac:dyDescent="0.25">
      <c r="A1460" t="str">
        <f>IF(Scan2VK!L102&lt;&gt;"",Scan2VK!L102,"")</f>
        <v>F13</v>
      </c>
      <c r="B1460" t="str">
        <f>IF(ISERROR(MATCH(0,INDEX(COUNTIF($B$1:B1459,$A$2:$A$4629),0,0),0)),"",INDEX($A$2:$A$4629,MATCH(0,INDEX(COUNTIF($B$1:B1459,$A$2:$A$4629),0,0),0)))</f>
        <v/>
      </c>
      <c r="C1460" t="str">
        <f t="shared" si="22"/>
        <v/>
      </c>
    </row>
    <row r="1461" spans="1:3" x14ac:dyDescent="0.25">
      <c r="A1461" t="str">
        <f>IF(Scan2VK!L103&lt;&gt;"",Scan2VK!L103,"")</f>
        <v>F14</v>
      </c>
      <c r="B1461" t="str">
        <f>IF(ISERROR(MATCH(0,INDEX(COUNTIF($B$1:B1460,$A$2:$A$4629),0,0),0)),"",INDEX($A$2:$A$4629,MATCH(0,INDEX(COUNTIF($B$1:B1460,$A$2:$A$4629),0,0),0)))</f>
        <v/>
      </c>
      <c r="C1461" t="str">
        <f t="shared" si="22"/>
        <v/>
      </c>
    </row>
    <row r="1462" spans="1:3" x14ac:dyDescent="0.25">
      <c r="A1462" t="str">
        <f>IF(Scan2VK!L104&lt;&gt;"",Scan2VK!L104,"")</f>
        <v>F15</v>
      </c>
      <c r="B1462" t="str">
        <f>IF(ISERROR(MATCH(0,INDEX(COUNTIF($B$1:B1461,$A$2:$A$4629),0,0),0)),"",INDEX($A$2:$A$4629,MATCH(0,INDEX(COUNTIF($B$1:B1461,$A$2:$A$4629),0,0),0)))</f>
        <v/>
      </c>
      <c r="C1462" t="str">
        <f t="shared" si="22"/>
        <v/>
      </c>
    </row>
    <row r="1463" spans="1:3" x14ac:dyDescent="0.25">
      <c r="A1463" t="str">
        <f>IF(Scan2VK!L105&lt;&gt;"",Scan2VK!L105,"")</f>
        <v>F16</v>
      </c>
      <c r="B1463" t="str">
        <f>IF(ISERROR(MATCH(0,INDEX(COUNTIF($B$1:B1462,$A$2:$A$4629),0,0),0)),"",INDEX($A$2:$A$4629,MATCH(0,INDEX(COUNTIF($B$1:B1462,$A$2:$A$4629),0,0),0)))</f>
        <v/>
      </c>
      <c r="C1463" t="str">
        <f t="shared" si="22"/>
        <v/>
      </c>
    </row>
    <row r="1464" spans="1:3" x14ac:dyDescent="0.25">
      <c r="A1464" t="str">
        <f>IF(Scan2VK!L106&lt;&gt;"",Scan2VK!L106,"")</f>
        <v>F17</v>
      </c>
      <c r="B1464" t="str">
        <f>IF(ISERROR(MATCH(0,INDEX(COUNTIF($B$1:B1463,$A$2:$A$4629),0,0),0)),"",INDEX($A$2:$A$4629,MATCH(0,INDEX(COUNTIF($B$1:B1463,$A$2:$A$4629),0,0),0)))</f>
        <v/>
      </c>
      <c r="C1464" t="str">
        <f t="shared" si="22"/>
        <v/>
      </c>
    </row>
    <row r="1465" spans="1:3" x14ac:dyDescent="0.25">
      <c r="A1465" t="str">
        <f>IF(Scan2VK!L107&lt;&gt;"",Scan2VK!L107,"")</f>
        <v>F18</v>
      </c>
      <c r="B1465" t="str">
        <f>IF(ISERROR(MATCH(0,INDEX(COUNTIF($B$1:B1464,$A$2:$A$4629),0,0),0)),"",INDEX($A$2:$A$4629,MATCH(0,INDEX(COUNTIF($B$1:B1464,$A$2:$A$4629),0,0),0)))</f>
        <v/>
      </c>
      <c r="C1465" t="str">
        <f t="shared" si="22"/>
        <v/>
      </c>
    </row>
    <row r="1466" spans="1:3" x14ac:dyDescent="0.25">
      <c r="A1466" t="str">
        <f>IF(Scan2VK!L108&lt;&gt;"",Scan2VK!L108,"")</f>
        <v>F19</v>
      </c>
      <c r="B1466" t="str">
        <f>IF(ISERROR(MATCH(0,INDEX(COUNTIF($B$1:B1465,$A$2:$A$4629),0,0),0)),"",INDEX($A$2:$A$4629,MATCH(0,INDEX(COUNTIF($B$1:B1465,$A$2:$A$4629),0,0),0)))</f>
        <v/>
      </c>
      <c r="C1466" t="str">
        <f t="shared" si="22"/>
        <v/>
      </c>
    </row>
    <row r="1467" spans="1:3" x14ac:dyDescent="0.25">
      <c r="A1467" t="str">
        <f>IF(Scan2VK!L109&lt;&gt;"",Scan2VK!L109,"")</f>
        <v>F20</v>
      </c>
      <c r="B1467" t="str">
        <f>IF(ISERROR(MATCH(0,INDEX(COUNTIF($B$1:B1466,$A$2:$A$4629),0,0),0)),"",INDEX($A$2:$A$4629,MATCH(0,INDEX(COUNTIF($B$1:B1466,$A$2:$A$4629),0,0),0)))</f>
        <v/>
      </c>
      <c r="C1467" t="str">
        <f t="shared" si="22"/>
        <v/>
      </c>
    </row>
    <row r="1468" spans="1:3" x14ac:dyDescent="0.25">
      <c r="A1468" t="str">
        <f>IF(Scan2VK!L110&lt;&gt;"",Scan2VK!L110,"")</f>
        <v>F21</v>
      </c>
      <c r="B1468" t="str">
        <f>IF(ISERROR(MATCH(0,INDEX(COUNTIF($B$1:B1467,$A$2:$A$4629),0,0),0)),"",INDEX($A$2:$A$4629,MATCH(0,INDEX(COUNTIF($B$1:B1467,$A$2:$A$4629),0,0),0)))</f>
        <v/>
      </c>
      <c r="C1468" t="str">
        <f t="shared" si="22"/>
        <v/>
      </c>
    </row>
    <row r="1469" spans="1:3" x14ac:dyDescent="0.25">
      <c r="A1469" t="str">
        <f>IF(Scan2VK!L111&lt;&gt;"",Scan2VK!L111,"")</f>
        <v>F22</v>
      </c>
      <c r="B1469" t="str">
        <f>IF(ISERROR(MATCH(0,INDEX(COUNTIF($B$1:B1468,$A$2:$A$4629),0,0),0)),"",INDEX($A$2:$A$4629,MATCH(0,INDEX(COUNTIF($B$1:B1468,$A$2:$A$4629),0,0),0)))</f>
        <v/>
      </c>
      <c r="C1469" t="str">
        <f t="shared" si="22"/>
        <v/>
      </c>
    </row>
    <row r="1470" spans="1:3" x14ac:dyDescent="0.25">
      <c r="A1470" t="str">
        <f>IF(Scan2VK!L112&lt;&gt;"",Scan2VK!L112,"")</f>
        <v>F23</v>
      </c>
      <c r="B1470" t="str">
        <f>IF(ISERROR(MATCH(0,INDEX(COUNTIF($B$1:B1469,$A$2:$A$4629),0,0),0)),"",INDEX($A$2:$A$4629,MATCH(0,INDEX(COUNTIF($B$1:B1469,$A$2:$A$4629),0,0),0)))</f>
        <v/>
      </c>
      <c r="C1470" t="str">
        <f t="shared" si="22"/>
        <v/>
      </c>
    </row>
    <row r="1471" spans="1:3" x14ac:dyDescent="0.25">
      <c r="A1471" t="str">
        <f>IF(Scan2VK!L113&lt;&gt;"",Scan2VK!L113,"")</f>
        <v>_none_</v>
      </c>
      <c r="B1471" t="str">
        <f>IF(ISERROR(MATCH(0,INDEX(COUNTIF($B$1:B1470,$A$2:$A$4629),0,0),0)),"",INDEX($A$2:$A$4629,MATCH(0,INDEX(COUNTIF($B$1:B1470,$A$2:$A$4629),0,0),0)))</f>
        <v/>
      </c>
      <c r="C1471" t="str">
        <f t="shared" si="22"/>
        <v/>
      </c>
    </row>
    <row r="1472" spans="1:3" x14ac:dyDescent="0.25">
      <c r="A1472" t="str">
        <f>IF(Scan2VK!L114&lt;&gt;"",Scan2VK!L114,"")</f>
        <v>DBE_HIRAGANA</v>
      </c>
      <c r="B1472" t="str">
        <f>IF(ISERROR(MATCH(0,INDEX(COUNTIF($B$1:B1471,$A$2:$A$4629),0,0),0)),"",INDEX($A$2:$A$4629,MATCH(0,INDEX(COUNTIF($B$1:B1471,$A$2:$A$4629),0,0),0)))</f>
        <v/>
      </c>
      <c r="C1472" t="str">
        <f t="shared" si="22"/>
        <v/>
      </c>
    </row>
    <row r="1473" spans="1:3" x14ac:dyDescent="0.25">
      <c r="A1473" t="str">
        <f>IF(Scan2VK!L115&lt;&gt;"",Scan2VK!L115,"")</f>
        <v>_none_</v>
      </c>
      <c r="B1473" t="str">
        <f>IF(ISERROR(MATCH(0,INDEX(COUNTIF($B$1:B1472,$A$2:$A$4629),0,0),0)),"",INDEX($A$2:$A$4629,MATCH(0,INDEX(COUNTIF($B$1:B1472,$A$2:$A$4629),0,0),0)))</f>
        <v/>
      </c>
      <c r="C1473" t="str">
        <f t="shared" si="22"/>
        <v/>
      </c>
    </row>
    <row r="1474" spans="1:3" x14ac:dyDescent="0.25">
      <c r="A1474" t="str">
        <f>IF(Scan2VK!L116&lt;&gt;"",Scan2VK!L116,"")</f>
        <v>_none_</v>
      </c>
      <c r="B1474" t="str">
        <f>IF(ISERROR(MATCH(0,INDEX(COUNTIF($B$1:B1473,$A$2:$A$4629),0,0),0)),"",INDEX($A$2:$A$4629,MATCH(0,INDEX(COUNTIF($B$1:B1473,$A$2:$A$4629),0,0),0)))</f>
        <v/>
      </c>
      <c r="C1474" t="str">
        <f t="shared" si="22"/>
        <v/>
      </c>
    </row>
    <row r="1475" spans="1:3" x14ac:dyDescent="0.25">
      <c r="A1475" t="str">
        <f>IF(Scan2VK!L117&lt;&gt;"",Scan2VK!L117,"")</f>
        <v>OEM_102</v>
      </c>
      <c r="B1475" t="str">
        <f>IF(ISERROR(MATCH(0,INDEX(COUNTIF($B$1:B1474,$A$2:$A$4629),0,0),0)),"",INDEX($A$2:$A$4629,MATCH(0,INDEX(COUNTIF($B$1:B1474,$A$2:$A$4629),0,0),0)))</f>
        <v/>
      </c>
      <c r="C1475" t="str">
        <f t="shared" ref="C1475:C1538" si="23">IF(B1475&lt;&gt;"","&lt;xs:enumeration value="""&amp;B1475&amp;"""/&gt;","")</f>
        <v/>
      </c>
    </row>
    <row r="1476" spans="1:3" x14ac:dyDescent="0.25">
      <c r="A1476" t="str">
        <f>IF(Scan2VK!L118&lt;&gt;"",Scan2VK!L118,"")</f>
        <v>_none_</v>
      </c>
      <c r="B1476" t="str">
        <f>IF(ISERROR(MATCH(0,INDEX(COUNTIF($B$1:B1475,$A$2:$A$4629),0,0),0)),"",INDEX($A$2:$A$4629,MATCH(0,INDEX(COUNTIF($B$1:B1475,$A$2:$A$4629),0,0),0)))</f>
        <v/>
      </c>
      <c r="C1476" t="str">
        <f t="shared" si="23"/>
        <v/>
      </c>
    </row>
    <row r="1477" spans="1:3" x14ac:dyDescent="0.25">
      <c r="A1477" t="str">
        <f>IF(Scan2VK!L119&lt;&gt;"",Scan2VK!L119,"")</f>
        <v>_none_</v>
      </c>
      <c r="B1477" t="str">
        <f>IF(ISERROR(MATCH(0,INDEX(COUNTIF($B$1:B1476,$A$2:$A$4629),0,0),0)),"",INDEX($A$2:$A$4629,MATCH(0,INDEX(COUNTIF($B$1:B1476,$A$2:$A$4629),0,0),0)))</f>
        <v/>
      </c>
      <c r="C1477" t="str">
        <f t="shared" si="23"/>
        <v/>
      </c>
    </row>
    <row r="1478" spans="1:3" x14ac:dyDescent="0.25">
      <c r="A1478" t="str">
        <f>IF(Scan2VK!L120&lt;&gt;"",Scan2VK!L120,"")</f>
        <v>F24</v>
      </c>
      <c r="B1478" t="str">
        <f>IF(ISERROR(MATCH(0,INDEX(COUNTIF($B$1:B1477,$A$2:$A$4629),0,0),0)),"",INDEX($A$2:$A$4629,MATCH(0,INDEX(COUNTIF($B$1:B1477,$A$2:$A$4629),0,0),0)))</f>
        <v/>
      </c>
      <c r="C1478" t="str">
        <f t="shared" si="23"/>
        <v/>
      </c>
    </row>
    <row r="1479" spans="1:3" x14ac:dyDescent="0.25">
      <c r="A1479" t="str">
        <f>IF(Scan2VK!L121&lt;&gt;"",Scan2VK!L121,"")</f>
        <v>_none_</v>
      </c>
      <c r="B1479" t="str">
        <f>IF(ISERROR(MATCH(0,INDEX(COUNTIF($B$1:B1478,$A$2:$A$4629),0,0),0)),"",INDEX($A$2:$A$4629,MATCH(0,INDEX(COUNTIF($B$1:B1478,$A$2:$A$4629),0,0),0)))</f>
        <v/>
      </c>
      <c r="C1479" t="str">
        <f t="shared" si="23"/>
        <v/>
      </c>
    </row>
    <row r="1480" spans="1:3" x14ac:dyDescent="0.25">
      <c r="A1480" t="str">
        <f>IF(Scan2VK!L122&lt;&gt;"",Scan2VK!L122,"")</f>
        <v>_none_</v>
      </c>
      <c r="B1480" t="str">
        <f>IF(ISERROR(MATCH(0,INDEX(COUNTIF($B$1:B1479,$A$2:$A$4629),0,0),0)),"",INDEX($A$2:$A$4629,MATCH(0,INDEX(COUNTIF($B$1:B1479,$A$2:$A$4629),0,0),0)))</f>
        <v/>
      </c>
      <c r="C1480" t="str">
        <f t="shared" si="23"/>
        <v/>
      </c>
    </row>
    <row r="1481" spans="1:3" x14ac:dyDescent="0.25">
      <c r="A1481" t="str">
        <f>IF(Scan2VK!L123&lt;&gt;"",Scan2VK!L123,"")</f>
        <v>CONVERT</v>
      </c>
      <c r="B1481" t="str">
        <f>IF(ISERROR(MATCH(0,INDEX(COUNTIF($B$1:B1480,$A$2:$A$4629),0,0),0)),"",INDEX($A$2:$A$4629,MATCH(0,INDEX(COUNTIF($B$1:B1480,$A$2:$A$4629),0,0),0)))</f>
        <v/>
      </c>
      <c r="C1481" t="str">
        <f t="shared" si="23"/>
        <v/>
      </c>
    </row>
    <row r="1482" spans="1:3" x14ac:dyDescent="0.25">
      <c r="A1482" t="str">
        <f>IF(Scan2VK!L124&lt;&gt;"",Scan2VK!L124,"")</f>
        <v>_none_</v>
      </c>
      <c r="B1482" t="str">
        <f>IF(ISERROR(MATCH(0,INDEX(COUNTIF($B$1:B1481,$A$2:$A$4629),0,0),0)),"",INDEX($A$2:$A$4629,MATCH(0,INDEX(COUNTIF($B$1:B1481,$A$2:$A$4629),0,0),0)))</f>
        <v/>
      </c>
      <c r="C1482" t="str">
        <f t="shared" si="23"/>
        <v/>
      </c>
    </row>
    <row r="1483" spans="1:3" x14ac:dyDescent="0.25">
      <c r="A1483" t="str">
        <f>IF(Scan2VK!L125&lt;&gt;"",Scan2VK!L125,"")</f>
        <v>NONCONVERT</v>
      </c>
      <c r="B1483" t="str">
        <f>IF(ISERROR(MATCH(0,INDEX(COUNTIF($B$1:B1482,$A$2:$A$4629),0,0),0)),"",INDEX($A$2:$A$4629,MATCH(0,INDEX(COUNTIF($B$1:B1482,$A$2:$A$4629),0,0),0)))</f>
        <v/>
      </c>
      <c r="C1483" t="str">
        <f t="shared" si="23"/>
        <v/>
      </c>
    </row>
    <row r="1484" spans="1:3" x14ac:dyDescent="0.25">
      <c r="A1484" t="str">
        <f>IF(Scan2VK!L126&lt;&gt;"",Scan2VK!L126,"")</f>
        <v>TAB</v>
      </c>
      <c r="B1484" t="str">
        <f>IF(ISERROR(MATCH(0,INDEX(COUNTIF($B$1:B1483,$A$2:$A$4629),0,0),0)),"",INDEX($A$2:$A$4629,MATCH(0,INDEX(COUNTIF($B$1:B1483,$A$2:$A$4629),0,0),0)))</f>
        <v/>
      </c>
      <c r="C1484" t="str">
        <f t="shared" si="23"/>
        <v/>
      </c>
    </row>
    <row r="1485" spans="1:3" x14ac:dyDescent="0.25">
      <c r="A1485" t="str">
        <f>IF(Scan2VK!L127&lt;&gt;"",Scan2VK!L127,"")</f>
        <v>OEM_5</v>
      </c>
      <c r="B1485" t="str">
        <f>IF(ISERROR(MATCH(0,INDEX(COUNTIF($B$1:B1484,$A$2:$A$4629),0,0),0)),"",INDEX($A$2:$A$4629,MATCH(0,INDEX(COUNTIF($B$1:B1484,$A$2:$A$4629),0,0),0)))</f>
        <v/>
      </c>
      <c r="C1485" t="str">
        <f t="shared" si="23"/>
        <v/>
      </c>
    </row>
    <row r="1486" spans="1:3" x14ac:dyDescent="0.25">
      <c r="A1486" t="str">
        <f>IF(Scan2VK!L128&lt;&gt;"",Scan2VK!L128,"")</f>
        <v>ABNT_C2</v>
      </c>
      <c r="B1486" t="str">
        <f>IF(ISERROR(MATCH(0,INDEX(COUNTIF($B$1:B1485,$A$2:$A$4629),0,0),0)),"",INDEX($A$2:$A$4629,MATCH(0,INDEX(COUNTIF($B$1:B1485,$A$2:$A$4629),0,0),0)))</f>
        <v/>
      </c>
      <c r="C1486" t="str">
        <f t="shared" si="23"/>
        <v/>
      </c>
    </row>
    <row r="1487" spans="1:3" x14ac:dyDescent="0.25">
      <c r="A1487" t="str">
        <f>IF(Scan2VK!L129&lt;&gt;"",Scan2VK!L129,"")</f>
        <v>OEM_PA2</v>
      </c>
      <c r="B1487" t="str">
        <f>IF(ISERROR(MATCH(0,INDEX(COUNTIF($B$1:B1486,$A$2:$A$4629),0,0),0)),"",INDEX($A$2:$A$4629,MATCH(0,INDEX(COUNTIF($B$1:B1486,$A$2:$A$4629),0,0),0)))</f>
        <v/>
      </c>
      <c r="C1487" t="str">
        <f t="shared" si="23"/>
        <v/>
      </c>
    </row>
    <row r="1488" spans="1:3" x14ac:dyDescent="0.25">
      <c r="A1488" t="str">
        <f>IF(Scan2VK!L130&lt;&gt;"",Scan2VK!L130,"")</f>
        <v/>
      </c>
      <c r="B1488" t="str">
        <f>IF(ISERROR(MATCH(0,INDEX(COUNTIF($B$1:B1487,$A$2:$A$4629),0,0),0)),"",INDEX($A$2:$A$4629,MATCH(0,INDEX(COUNTIF($B$1:B1487,$A$2:$A$4629),0,0),0)))</f>
        <v/>
      </c>
      <c r="C1488" t="str">
        <f t="shared" si="23"/>
        <v/>
      </c>
    </row>
    <row r="1489" spans="1:3" x14ac:dyDescent="0.25">
      <c r="A1489" t="str">
        <f>IF(Scan2VK!L131&lt;&gt;"",Scan2VK!L131,"")</f>
        <v>MEDIA_PREV_TRACK</v>
      </c>
      <c r="B1489" t="str">
        <f>IF(ISERROR(MATCH(0,INDEX(COUNTIF($B$1:B1488,$A$2:$A$4629),0,0),0)),"",INDEX($A$2:$A$4629,MATCH(0,INDEX(COUNTIF($B$1:B1488,$A$2:$A$4629),0,0),0)))</f>
        <v/>
      </c>
      <c r="C1489" t="str">
        <f t="shared" si="23"/>
        <v/>
      </c>
    </row>
    <row r="1490" spans="1:3" x14ac:dyDescent="0.25">
      <c r="A1490" t="str">
        <f>IF(Scan2VK!L132&lt;&gt;"",Scan2VK!L132,"")</f>
        <v>MEDIA_NEXT_TRACK</v>
      </c>
      <c r="B1490" t="str">
        <f>IF(ISERROR(MATCH(0,INDEX(COUNTIF($B$1:B1489,$A$2:$A$4629),0,0),0)),"",INDEX($A$2:$A$4629,MATCH(0,INDEX(COUNTIF($B$1:B1489,$A$2:$A$4629),0,0),0)))</f>
        <v/>
      </c>
      <c r="C1490" t="str">
        <f t="shared" si="23"/>
        <v/>
      </c>
    </row>
    <row r="1491" spans="1:3" x14ac:dyDescent="0.25">
      <c r="A1491" t="str">
        <f>IF(Scan2VK!L133&lt;&gt;"",Scan2VK!L133,"")</f>
        <v>RETURN</v>
      </c>
      <c r="B1491" t="str">
        <f>IF(ISERROR(MATCH(0,INDEX(COUNTIF($B$1:B1490,$A$2:$A$4629),0,0),0)),"",INDEX($A$2:$A$4629,MATCH(0,INDEX(COUNTIF($B$1:B1490,$A$2:$A$4629),0,0),0)))</f>
        <v/>
      </c>
      <c r="C1491" t="str">
        <f t="shared" si="23"/>
        <v/>
      </c>
    </row>
    <row r="1492" spans="1:3" x14ac:dyDescent="0.25">
      <c r="A1492" t="str">
        <f>IF(Scan2VK!L134&lt;&gt;"",Scan2VK!L134,"")</f>
        <v>RCONTROL</v>
      </c>
      <c r="B1492" t="str">
        <f>IF(ISERROR(MATCH(0,INDEX(COUNTIF($B$1:B1491,$A$2:$A$4629),0,0),0)),"",INDEX($A$2:$A$4629,MATCH(0,INDEX(COUNTIF($B$1:B1491,$A$2:$A$4629),0,0),0)))</f>
        <v/>
      </c>
      <c r="C1492" t="str">
        <f t="shared" si="23"/>
        <v/>
      </c>
    </row>
    <row r="1493" spans="1:3" x14ac:dyDescent="0.25">
      <c r="A1493" t="str">
        <f>IF(Scan2VK!L135&lt;&gt;"",Scan2VK!L135,"")</f>
        <v>VOLUME_MUTE</v>
      </c>
      <c r="B1493" t="str">
        <f>IF(ISERROR(MATCH(0,INDEX(COUNTIF($B$1:B1492,$A$2:$A$4629),0,0),0)),"",INDEX($A$2:$A$4629,MATCH(0,INDEX(COUNTIF($B$1:B1492,$A$2:$A$4629),0,0),0)))</f>
        <v/>
      </c>
      <c r="C1493" t="str">
        <f t="shared" si="23"/>
        <v/>
      </c>
    </row>
    <row r="1494" spans="1:3" x14ac:dyDescent="0.25">
      <c r="A1494" t="str">
        <f>IF(Scan2VK!L136&lt;&gt;"",Scan2VK!L136,"")</f>
        <v>LAUNCH_APP2</v>
      </c>
      <c r="B1494" t="str">
        <f>IF(ISERROR(MATCH(0,INDEX(COUNTIF($B$1:B1493,$A$2:$A$4629),0,0),0)),"",INDEX($A$2:$A$4629,MATCH(0,INDEX(COUNTIF($B$1:B1493,$A$2:$A$4629),0,0),0)))</f>
        <v/>
      </c>
      <c r="C1494" t="str">
        <f t="shared" si="23"/>
        <v/>
      </c>
    </row>
    <row r="1495" spans="1:3" x14ac:dyDescent="0.25">
      <c r="A1495" t="str">
        <f>IF(Scan2VK!L137&lt;&gt;"",Scan2VK!L137,"")</f>
        <v>MEDIA_PLAY_PAUSE</v>
      </c>
      <c r="B1495" t="str">
        <f>IF(ISERROR(MATCH(0,INDEX(COUNTIF($B$1:B1494,$A$2:$A$4629),0,0),0)),"",INDEX($A$2:$A$4629,MATCH(0,INDEX(COUNTIF($B$1:B1494,$A$2:$A$4629),0,0),0)))</f>
        <v/>
      </c>
      <c r="C1495" t="str">
        <f t="shared" si="23"/>
        <v/>
      </c>
    </row>
    <row r="1496" spans="1:3" x14ac:dyDescent="0.25">
      <c r="A1496" t="str">
        <f>IF(Scan2VK!L138&lt;&gt;"",Scan2VK!L138,"")</f>
        <v>MEDIA_STOP</v>
      </c>
      <c r="B1496" t="str">
        <f>IF(ISERROR(MATCH(0,INDEX(COUNTIF($B$1:B1495,$A$2:$A$4629),0,0),0)),"",INDEX($A$2:$A$4629,MATCH(0,INDEX(COUNTIF($B$1:B1495,$A$2:$A$4629),0,0),0)))</f>
        <v/>
      </c>
      <c r="C1496" t="str">
        <f t="shared" si="23"/>
        <v/>
      </c>
    </row>
    <row r="1497" spans="1:3" x14ac:dyDescent="0.25">
      <c r="A1497" t="str">
        <f>IF(Scan2VK!L139&lt;&gt;"",Scan2VK!L139,"")</f>
        <v>VOLUME_DOWN</v>
      </c>
      <c r="B1497" t="str">
        <f>IF(ISERROR(MATCH(0,INDEX(COUNTIF($B$1:B1496,$A$2:$A$4629),0,0),0)),"",INDEX($A$2:$A$4629,MATCH(0,INDEX(COUNTIF($B$1:B1496,$A$2:$A$4629),0,0),0)))</f>
        <v/>
      </c>
      <c r="C1497" t="str">
        <f t="shared" si="23"/>
        <v/>
      </c>
    </row>
    <row r="1498" spans="1:3" x14ac:dyDescent="0.25">
      <c r="A1498" t="str">
        <f>IF(Scan2VK!L140&lt;&gt;"",Scan2VK!L140,"")</f>
        <v>VOLUME_UP</v>
      </c>
      <c r="B1498" t="str">
        <f>IF(ISERROR(MATCH(0,INDEX(COUNTIF($B$1:B1497,$A$2:$A$4629),0,0),0)),"",INDEX($A$2:$A$4629,MATCH(0,INDEX(COUNTIF($B$1:B1497,$A$2:$A$4629),0,0),0)))</f>
        <v/>
      </c>
      <c r="C1498" t="str">
        <f t="shared" si="23"/>
        <v/>
      </c>
    </row>
    <row r="1499" spans="1:3" x14ac:dyDescent="0.25">
      <c r="A1499" t="str">
        <f>IF(Scan2VK!L141&lt;&gt;"",Scan2VK!L141,"")</f>
        <v>BROWSER_HOME</v>
      </c>
      <c r="B1499" t="str">
        <f>IF(ISERROR(MATCH(0,INDEX(COUNTIF($B$1:B1498,$A$2:$A$4629),0,0),0)),"",INDEX($A$2:$A$4629,MATCH(0,INDEX(COUNTIF($B$1:B1498,$A$2:$A$4629),0,0),0)))</f>
        <v/>
      </c>
      <c r="C1499" t="str">
        <f t="shared" si="23"/>
        <v/>
      </c>
    </row>
    <row r="1500" spans="1:3" x14ac:dyDescent="0.25">
      <c r="A1500" t="str">
        <f>IF(Scan2VK!L142&lt;&gt;"",Scan2VK!L142,"")</f>
        <v>_none_</v>
      </c>
      <c r="B1500" t="str">
        <f>IF(ISERROR(MATCH(0,INDEX(COUNTIF($B$1:B1499,$A$2:$A$4629),0,0),0)),"",INDEX($A$2:$A$4629,MATCH(0,INDEX(COUNTIF($B$1:B1499,$A$2:$A$4629),0,0),0)))</f>
        <v/>
      </c>
      <c r="C1500" t="str">
        <f t="shared" si="23"/>
        <v/>
      </c>
    </row>
    <row r="1501" spans="1:3" x14ac:dyDescent="0.25">
      <c r="A1501" t="str">
        <f>IF(Scan2VK!L143&lt;&gt;"",Scan2VK!L143,"")</f>
        <v>DIVIDE</v>
      </c>
      <c r="B1501" t="str">
        <f>IF(ISERROR(MATCH(0,INDEX(COUNTIF($B$1:B1500,$A$2:$A$4629),0,0),0)),"",INDEX($A$2:$A$4629,MATCH(0,INDEX(COUNTIF($B$1:B1500,$A$2:$A$4629),0,0),0)))</f>
        <v/>
      </c>
      <c r="C1501" t="str">
        <f t="shared" si="23"/>
        <v/>
      </c>
    </row>
    <row r="1502" spans="1:3" x14ac:dyDescent="0.25">
      <c r="A1502" t="str">
        <f>IF(Scan2VK!L144&lt;&gt;"",Scan2VK!L144,"")</f>
        <v>SNAPSHOT</v>
      </c>
      <c r="B1502" t="str">
        <f>IF(ISERROR(MATCH(0,INDEX(COUNTIF($B$1:B1501,$A$2:$A$4629),0,0),0)),"",INDEX($A$2:$A$4629,MATCH(0,INDEX(COUNTIF($B$1:B1501,$A$2:$A$4629),0,0),0)))</f>
        <v/>
      </c>
      <c r="C1502" t="str">
        <f t="shared" si="23"/>
        <v/>
      </c>
    </row>
    <row r="1503" spans="1:3" x14ac:dyDescent="0.25">
      <c r="A1503" t="str">
        <f>IF(Scan2VK!L145&lt;&gt;"",Scan2VK!L145,"")</f>
        <v>RMENU</v>
      </c>
      <c r="B1503" t="str">
        <f>IF(ISERROR(MATCH(0,INDEX(COUNTIF($B$1:B1502,$A$2:$A$4629),0,0),0)),"",INDEX($A$2:$A$4629,MATCH(0,INDEX(COUNTIF($B$1:B1502,$A$2:$A$4629),0,0),0)))</f>
        <v/>
      </c>
      <c r="C1503" t="str">
        <f t="shared" si="23"/>
        <v/>
      </c>
    </row>
    <row r="1504" spans="1:3" x14ac:dyDescent="0.25">
      <c r="A1504" t="str">
        <f>IF(Scan2VK!L146&lt;&gt;"",Scan2VK!L146,"")</f>
        <v/>
      </c>
      <c r="B1504" t="str">
        <f>IF(ISERROR(MATCH(0,INDEX(COUNTIF($B$1:B1503,$A$2:$A$4629),0,0),0)),"",INDEX($A$2:$A$4629,MATCH(0,INDEX(COUNTIF($B$1:B1503,$A$2:$A$4629),0,0),0)))</f>
        <v/>
      </c>
      <c r="C1504" t="str">
        <f t="shared" si="23"/>
        <v/>
      </c>
    </row>
    <row r="1505" spans="1:3" x14ac:dyDescent="0.25">
      <c r="A1505" t="str">
        <f>IF(Scan2VK!L147&lt;&gt;"",Scan2VK!L147,"")</f>
        <v/>
      </c>
      <c r="B1505" t="str">
        <f>IF(ISERROR(MATCH(0,INDEX(COUNTIF($B$1:B1504,$A$2:$A$4629),0,0),0)),"",INDEX($A$2:$A$4629,MATCH(0,INDEX(COUNTIF($B$1:B1504,$A$2:$A$4629),0,0),0)))</f>
        <v/>
      </c>
      <c r="C1505" t="str">
        <f t="shared" si="23"/>
        <v/>
      </c>
    </row>
    <row r="1506" spans="1:3" x14ac:dyDescent="0.25">
      <c r="A1506" t="str">
        <f>IF(Scan2VK!L148&lt;&gt;"",Scan2VK!L148,"")</f>
        <v/>
      </c>
      <c r="B1506" t="str">
        <f>IF(ISERROR(MATCH(0,INDEX(COUNTIF($B$1:B1505,$A$2:$A$4629),0,0),0)),"",INDEX($A$2:$A$4629,MATCH(0,INDEX(COUNTIF($B$1:B1505,$A$2:$A$4629),0,0),0)))</f>
        <v/>
      </c>
      <c r="C1506" t="str">
        <f t="shared" si="23"/>
        <v/>
      </c>
    </row>
    <row r="1507" spans="1:3" x14ac:dyDescent="0.25">
      <c r="A1507" t="str">
        <f>IF(Scan2VK!L149&lt;&gt;"",Scan2VK!L149,"")</f>
        <v/>
      </c>
      <c r="B1507" t="str">
        <f>IF(ISERROR(MATCH(0,INDEX(COUNTIF($B$1:B1506,$A$2:$A$4629),0,0),0)),"",INDEX($A$2:$A$4629,MATCH(0,INDEX(COUNTIF($B$1:B1506,$A$2:$A$4629),0,0),0)))</f>
        <v/>
      </c>
      <c r="C1507" t="str">
        <f t="shared" si="23"/>
        <v/>
      </c>
    </row>
    <row r="1508" spans="1:3" x14ac:dyDescent="0.25">
      <c r="A1508" t="str">
        <f>IF(Scan2VK!L150&lt;&gt;"",Scan2VK!L150,"")</f>
        <v/>
      </c>
      <c r="B1508" t="str">
        <f>IF(ISERROR(MATCH(0,INDEX(COUNTIF($B$1:B1507,$A$2:$A$4629),0,0),0)),"",INDEX($A$2:$A$4629,MATCH(0,INDEX(COUNTIF($B$1:B1507,$A$2:$A$4629),0,0),0)))</f>
        <v/>
      </c>
      <c r="C1508" t="str">
        <f t="shared" si="23"/>
        <v/>
      </c>
    </row>
    <row r="1509" spans="1:3" x14ac:dyDescent="0.25">
      <c r="A1509" t="str">
        <f>IF(Scan2VK!L151&lt;&gt;"",Scan2VK!L151,"")</f>
        <v>_none_</v>
      </c>
      <c r="B1509" t="str">
        <f>IF(ISERROR(MATCH(0,INDEX(COUNTIF($B$1:B1508,$A$2:$A$4629),0,0),0)),"",INDEX($A$2:$A$4629,MATCH(0,INDEX(COUNTIF($B$1:B1508,$A$2:$A$4629),0,0),0)))</f>
        <v/>
      </c>
      <c r="C1509" t="str">
        <f t="shared" si="23"/>
        <v/>
      </c>
    </row>
    <row r="1510" spans="1:3" x14ac:dyDescent="0.25">
      <c r="A1510" t="str">
        <f>IF(Scan2VK!L152&lt;&gt;"",Scan2VK!L152,"")</f>
        <v>_none_</v>
      </c>
      <c r="B1510" t="str">
        <f>IF(ISERROR(MATCH(0,INDEX(COUNTIF($B$1:B1509,$A$2:$A$4629),0,0),0)),"",INDEX($A$2:$A$4629,MATCH(0,INDEX(COUNTIF($B$1:B1509,$A$2:$A$4629),0,0),0)))</f>
        <v/>
      </c>
      <c r="C1510" t="str">
        <f t="shared" si="23"/>
        <v/>
      </c>
    </row>
    <row r="1511" spans="1:3" x14ac:dyDescent="0.25">
      <c r="A1511" t="str">
        <f>IF(Scan2VK!L153&lt;&gt;"",Scan2VK!L153,"")</f>
        <v>_none_</v>
      </c>
      <c r="B1511" t="str">
        <f>IF(ISERROR(MATCH(0,INDEX(COUNTIF($B$1:B1510,$A$2:$A$4629),0,0),0)),"",INDEX($A$2:$A$4629,MATCH(0,INDEX(COUNTIF($B$1:B1510,$A$2:$A$4629),0,0),0)))</f>
        <v/>
      </c>
      <c r="C1511" t="str">
        <f t="shared" si="23"/>
        <v/>
      </c>
    </row>
    <row r="1512" spans="1:3" x14ac:dyDescent="0.25">
      <c r="A1512" t="str">
        <f>IF(Scan2VK!L154&lt;&gt;"",Scan2VK!L154,"")</f>
        <v>CANCEL</v>
      </c>
      <c r="B1512" t="str">
        <f>IF(ISERROR(MATCH(0,INDEX(COUNTIF($B$1:B1511,$A$2:$A$4629),0,0),0)),"",INDEX($A$2:$A$4629,MATCH(0,INDEX(COUNTIF($B$1:B1511,$A$2:$A$4629),0,0),0)))</f>
        <v/>
      </c>
      <c r="C1512" t="str">
        <f t="shared" si="23"/>
        <v/>
      </c>
    </row>
    <row r="1513" spans="1:3" x14ac:dyDescent="0.25">
      <c r="A1513" t="str">
        <f>IF(Scan2VK!L155&lt;&gt;"",Scan2VK!L155,"")</f>
        <v>HOME</v>
      </c>
      <c r="B1513" t="str">
        <f>IF(ISERROR(MATCH(0,INDEX(COUNTIF($B$1:B1512,$A$2:$A$4629),0,0),0)),"",INDEX($A$2:$A$4629,MATCH(0,INDEX(COUNTIF($B$1:B1512,$A$2:$A$4629),0,0),0)))</f>
        <v/>
      </c>
      <c r="C1513" t="str">
        <f t="shared" si="23"/>
        <v/>
      </c>
    </row>
    <row r="1514" spans="1:3" x14ac:dyDescent="0.25">
      <c r="A1514" t="str">
        <f>IF(Scan2VK!L156&lt;&gt;"",Scan2VK!L156,"")</f>
        <v>UP</v>
      </c>
      <c r="B1514" t="str">
        <f>IF(ISERROR(MATCH(0,INDEX(COUNTIF($B$1:B1513,$A$2:$A$4629),0,0),0)),"",INDEX($A$2:$A$4629,MATCH(0,INDEX(COUNTIF($B$1:B1513,$A$2:$A$4629),0,0),0)))</f>
        <v/>
      </c>
      <c r="C1514" t="str">
        <f t="shared" si="23"/>
        <v/>
      </c>
    </row>
    <row r="1515" spans="1:3" x14ac:dyDescent="0.25">
      <c r="A1515" t="str">
        <f>IF(Scan2VK!L157&lt;&gt;"",Scan2VK!L157,"")</f>
        <v>PRIOR</v>
      </c>
      <c r="B1515" t="str">
        <f>IF(ISERROR(MATCH(0,INDEX(COUNTIF($B$1:B1514,$A$2:$A$4629),0,0),0)),"",INDEX($A$2:$A$4629,MATCH(0,INDEX(COUNTIF($B$1:B1514,$A$2:$A$4629),0,0),0)))</f>
        <v/>
      </c>
      <c r="C1515" t="str">
        <f t="shared" si="23"/>
        <v/>
      </c>
    </row>
    <row r="1516" spans="1:3" x14ac:dyDescent="0.25">
      <c r="A1516" t="str">
        <f>IF(Scan2VK!L158&lt;&gt;"",Scan2VK!L158,"")</f>
        <v>LEFT</v>
      </c>
      <c r="B1516" t="str">
        <f>IF(ISERROR(MATCH(0,INDEX(COUNTIF($B$1:B1515,$A$2:$A$4629),0,0),0)),"",INDEX($A$2:$A$4629,MATCH(0,INDEX(COUNTIF($B$1:B1515,$A$2:$A$4629),0,0),0)))</f>
        <v/>
      </c>
      <c r="C1516" t="str">
        <f t="shared" si="23"/>
        <v/>
      </c>
    </row>
    <row r="1517" spans="1:3" x14ac:dyDescent="0.25">
      <c r="A1517" t="str">
        <f>IF(Scan2VK!L159&lt;&gt;"",Scan2VK!L159,"")</f>
        <v>RIGHT</v>
      </c>
      <c r="B1517" t="str">
        <f>IF(ISERROR(MATCH(0,INDEX(COUNTIF($B$1:B1516,$A$2:$A$4629),0,0),0)),"",INDEX($A$2:$A$4629,MATCH(0,INDEX(COUNTIF($B$1:B1516,$A$2:$A$4629),0,0),0)))</f>
        <v/>
      </c>
      <c r="C1517" t="str">
        <f t="shared" si="23"/>
        <v/>
      </c>
    </row>
    <row r="1518" spans="1:3" x14ac:dyDescent="0.25">
      <c r="A1518" t="str">
        <f>IF(Scan2VK!L160&lt;&gt;"",Scan2VK!L160,"")</f>
        <v>END</v>
      </c>
      <c r="B1518" t="str">
        <f>IF(ISERROR(MATCH(0,INDEX(COUNTIF($B$1:B1517,$A$2:$A$4629),0,0),0)),"",INDEX($A$2:$A$4629,MATCH(0,INDEX(COUNTIF($B$1:B1517,$A$2:$A$4629),0,0),0)))</f>
        <v/>
      </c>
      <c r="C1518" t="str">
        <f t="shared" si="23"/>
        <v/>
      </c>
    </row>
    <row r="1519" spans="1:3" x14ac:dyDescent="0.25">
      <c r="A1519" t="str">
        <f>IF(Scan2VK!L161&lt;&gt;"",Scan2VK!L161,"")</f>
        <v>DOWN</v>
      </c>
      <c r="B1519" t="str">
        <f>IF(ISERROR(MATCH(0,INDEX(COUNTIF($B$1:B1518,$A$2:$A$4629),0,0),0)),"",INDEX($A$2:$A$4629,MATCH(0,INDEX(COUNTIF($B$1:B1518,$A$2:$A$4629),0,0),0)))</f>
        <v/>
      </c>
      <c r="C1519" t="str">
        <f t="shared" si="23"/>
        <v/>
      </c>
    </row>
    <row r="1520" spans="1:3" x14ac:dyDescent="0.25">
      <c r="A1520" t="str">
        <f>IF(Scan2VK!L162&lt;&gt;"",Scan2VK!L162,"")</f>
        <v>NEXT</v>
      </c>
      <c r="B1520" t="str">
        <f>IF(ISERROR(MATCH(0,INDEX(COUNTIF($B$1:B1519,$A$2:$A$4629),0,0),0)),"",INDEX($A$2:$A$4629,MATCH(0,INDEX(COUNTIF($B$1:B1519,$A$2:$A$4629),0,0),0)))</f>
        <v/>
      </c>
      <c r="C1520" t="str">
        <f t="shared" si="23"/>
        <v/>
      </c>
    </row>
    <row r="1521" spans="1:3" x14ac:dyDescent="0.25">
      <c r="A1521" t="str">
        <f>IF(Scan2VK!L163&lt;&gt;"",Scan2VK!L163,"")</f>
        <v>INSERT</v>
      </c>
      <c r="B1521" t="str">
        <f>IF(ISERROR(MATCH(0,INDEX(COUNTIF($B$1:B1520,$A$2:$A$4629),0,0),0)),"",INDEX($A$2:$A$4629,MATCH(0,INDEX(COUNTIF($B$1:B1520,$A$2:$A$4629),0,0),0)))</f>
        <v/>
      </c>
      <c r="C1521" t="str">
        <f t="shared" si="23"/>
        <v/>
      </c>
    </row>
    <row r="1522" spans="1:3" x14ac:dyDescent="0.25">
      <c r="A1522" t="str">
        <f>IF(Scan2VK!L164&lt;&gt;"",Scan2VK!L164,"")</f>
        <v>DELETE</v>
      </c>
      <c r="B1522" t="str">
        <f>IF(ISERROR(MATCH(0,INDEX(COUNTIF($B$1:B1521,$A$2:$A$4629),0,0),0)),"",INDEX($A$2:$A$4629,MATCH(0,INDEX(COUNTIF($B$1:B1521,$A$2:$A$4629),0,0),0)))</f>
        <v/>
      </c>
      <c r="C1522" t="str">
        <f t="shared" si="23"/>
        <v/>
      </c>
    </row>
    <row r="1523" spans="1:3" x14ac:dyDescent="0.25">
      <c r="A1523" t="str">
        <f>IF(Scan2VK!L165&lt;&gt;"",Scan2VK!L165,"")</f>
        <v>LWIN</v>
      </c>
      <c r="B1523" t="str">
        <f>IF(ISERROR(MATCH(0,INDEX(COUNTIF($B$1:B1522,$A$2:$A$4629),0,0),0)),"",INDEX($A$2:$A$4629,MATCH(0,INDEX(COUNTIF($B$1:B1522,$A$2:$A$4629),0,0),0)))</f>
        <v/>
      </c>
      <c r="C1523" t="str">
        <f t="shared" si="23"/>
        <v/>
      </c>
    </row>
    <row r="1524" spans="1:3" x14ac:dyDescent="0.25">
      <c r="A1524" t="str">
        <f>IF(Scan2VK!L166&lt;&gt;"",Scan2VK!L166,"")</f>
        <v>RWIN</v>
      </c>
      <c r="B1524" t="str">
        <f>IF(ISERROR(MATCH(0,INDEX(COUNTIF($B$1:B1523,$A$2:$A$4629),0,0),0)),"",INDEX($A$2:$A$4629,MATCH(0,INDEX(COUNTIF($B$1:B1523,$A$2:$A$4629),0,0),0)))</f>
        <v/>
      </c>
      <c r="C1524" t="str">
        <f t="shared" si="23"/>
        <v/>
      </c>
    </row>
    <row r="1525" spans="1:3" x14ac:dyDescent="0.25">
      <c r="A1525" t="str">
        <f>IF(Scan2VK!L167&lt;&gt;"",Scan2VK!L167,"")</f>
        <v>APPS</v>
      </c>
      <c r="B1525" t="str">
        <f>IF(ISERROR(MATCH(0,INDEX(COUNTIF($B$1:B1524,$A$2:$A$4629),0,0),0)),"",INDEX($A$2:$A$4629,MATCH(0,INDEX(COUNTIF($B$1:B1524,$A$2:$A$4629),0,0),0)))</f>
        <v/>
      </c>
      <c r="C1525" t="str">
        <f t="shared" si="23"/>
        <v/>
      </c>
    </row>
    <row r="1526" spans="1:3" x14ac:dyDescent="0.25">
      <c r="A1526" t="str">
        <f>IF(Scan2VK!L168&lt;&gt;"",Scan2VK!L168,"")</f>
        <v>POWER</v>
      </c>
      <c r="B1526" t="str">
        <f>IF(ISERROR(MATCH(0,INDEX(COUNTIF($B$1:B1525,$A$2:$A$4629),0,0),0)),"",INDEX($A$2:$A$4629,MATCH(0,INDEX(COUNTIF($B$1:B1525,$A$2:$A$4629),0,0),0)))</f>
        <v/>
      </c>
      <c r="C1526" t="str">
        <f t="shared" si="23"/>
        <v/>
      </c>
    </row>
    <row r="1527" spans="1:3" x14ac:dyDescent="0.25">
      <c r="A1527" t="str">
        <f>IF(Scan2VK!L169&lt;&gt;"",Scan2VK!L169,"")</f>
        <v>SLEEP</v>
      </c>
      <c r="B1527" t="str">
        <f>IF(ISERROR(MATCH(0,INDEX(COUNTIF($B$1:B1526,$A$2:$A$4629),0,0),0)),"",INDEX($A$2:$A$4629,MATCH(0,INDEX(COUNTIF($B$1:B1526,$A$2:$A$4629),0,0),0)))</f>
        <v/>
      </c>
      <c r="C1527" t="str">
        <f t="shared" si="23"/>
        <v/>
      </c>
    </row>
    <row r="1528" spans="1:3" x14ac:dyDescent="0.25">
      <c r="A1528" t="str">
        <f>IF(Scan2VK!L170&lt;&gt;"",Scan2VK!L170,"")</f>
        <v/>
      </c>
      <c r="B1528" t="str">
        <f>IF(ISERROR(MATCH(0,INDEX(COUNTIF($B$1:B1527,$A$2:$A$4629),0,0),0)),"",INDEX($A$2:$A$4629,MATCH(0,INDEX(COUNTIF($B$1:B1527,$A$2:$A$4629),0,0),0)))</f>
        <v/>
      </c>
      <c r="C1528" t="str">
        <f t="shared" si="23"/>
        <v/>
      </c>
    </row>
    <row r="1529" spans="1:3" x14ac:dyDescent="0.25">
      <c r="A1529" t="str">
        <f>IF(Scan2VK!L171&lt;&gt;"",Scan2VK!L171,"")</f>
        <v/>
      </c>
      <c r="B1529" t="str">
        <f>IF(ISERROR(MATCH(0,INDEX(COUNTIF($B$1:B1528,$A$2:$A$4629),0,0),0)),"",INDEX($A$2:$A$4629,MATCH(0,INDEX(COUNTIF($B$1:B1528,$A$2:$A$4629),0,0),0)))</f>
        <v/>
      </c>
      <c r="C1529" t="str">
        <f t="shared" si="23"/>
        <v/>
      </c>
    </row>
    <row r="1530" spans="1:3" x14ac:dyDescent="0.25">
      <c r="A1530" t="str">
        <f>IF(Scan2VK!L172&lt;&gt;"",Scan2VK!L172,"")</f>
        <v/>
      </c>
      <c r="B1530" t="str">
        <f>IF(ISERROR(MATCH(0,INDEX(COUNTIF($B$1:B1529,$A$2:$A$4629),0,0),0)),"",INDEX($A$2:$A$4629,MATCH(0,INDEX(COUNTIF($B$1:B1529,$A$2:$A$4629),0,0),0)))</f>
        <v/>
      </c>
      <c r="C1530" t="str">
        <f t="shared" si="23"/>
        <v/>
      </c>
    </row>
    <row r="1531" spans="1:3" x14ac:dyDescent="0.25">
      <c r="A1531" t="str">
        <f>IF(Scan2VK!L173&lt;&gt;"",Scan2VK!L173,"")</f>
        <v/>
      </c>
      <c r="B1531" t="str">
        <f>IF(ISERROR(MATCH(0,INDEX(COUNTIF($B$1:B1530,$A$2:$A$4629),0,0),0)),"",INDEX($A$2:$A$4629,MATCH(0,INDEX(COUNTIF($B$1:B1530,$A$2:$A$4629),0,0),0)))</f>
        <v/>
      </c>
      <c r="C1531" t="str">
        <f t="shared" si="23"/>
        <v/>
      </c>
    </row>
    <row r="1532" spans="1:3" x14ac:dyDescent="0.25">
      <c r="A1532" t="str">
        <f>IF(Scan2VK!L174&lt;&gt;"",Scan2VK!L174,"")</f>
        <v/>
      </c>
      <c r="B1532" t="str">
        <f>IF(ISERROR(MATCH(0,INDEX(COUNTIF($B$1:B1531,$A$2:$A$4629),0,0),0)),"",INDEX($A$2:$A$4629,MATCH(0,INDEX(COUNTIF($B$1:B1531,$A$2:$A$4629),0,0),0)))</f>
        <v/>
      </c>
      <c r="C1532" t="str">
        <f t="shared" si="23"/>
        <v/>
      </c>
    </row>
    <row r="1533" spans="1:3" x14ac:dyDescent="0.25">
      <c r="A1533" t="str">
        <f>IF(Scan2VK!L175&lt;&gt;"",Scan2VK!L175,"")</f>
        <v>BROWSER_SEARCH</v>
      </c>
      <c r="B1533" t="str">
        <f>IF(ISERROR(MATCH(0,INDEX(COUNTIF($B$1:B1532,$A$2:$A$4629),0,0),0)),"",INDEX($A$2:$A$4629,MATCH(0,INDEX(COUNTIF($B$1:B1532,$A$2:$A$4629),0,0),0)))</f>
        <v/>
      </c>
      <c r="C1533" t="str">
        <f t="shared" si="23"/>
        <v/>
      </c>
    </row>
    <row r="1534" spans="1:3" x14ac:dyDescent="0.25">
      <c r="A1534" t="str">
        <f>IF(Scan2VK!L176&lt;&gt;"",Scan2VK!L176,"")</f>
        <v>BROWSER_FAVORITES</v>
      </c>
      <c r="B1534" t="str">
        <f>IF(ISERROR(MATCH(0,INDEX(COUNTIF($B$1:B1533,$A$2:$A$4629),0,0),0)),"",INDEX($A$2:$A$4629,MATCH(0,INDEX(COUNTIF($B$1:B1533,$A$2:$A$4629),0,0),0)))</f>
        <v/>
      </c>
      <c r="C1534" t="str">
        <f t="shared" si="23"/>
        <v/>
      </c>
    </row>
    <row r="1535" spans="1:3" x14ac:dyDescent="0.25">
      <c r="A1535" t="str">
        <f>IF(Scan2VK!L177&lt;&gt;"",Scan2VK!L177,"")</f>
        <v>BROWSER_REFRESH</v>
      </c>
      <c r="B1535" t="str">
        <f>IF(ISERROR(MATCH(0,INDEX(COUNTIF($B$1:B1534,$A$2:$A$4629),0,0),0)),"",INDEX($A$2:$A$4629,MATCH(0,INDEX(COUNTIF($B$1:B1534,$A$2:$A$4629),0,0),0)))</f>
        <v/>
      </c>
      <c r="C1535" t="str">
        <f t="shared" si="23"/>
        <v/>
      </c>
    </row>
    <row r="1536" spans="1:3" x14ac:dyDescent="0.25">
      <c r="A1536" t="str">
        <f>IF(Scan2VK!L178&lt;&gt;"",Scan2VK!L178,"")</f>
        <v>BROWSER_STOP</v>
      </c>
      <c r="B1536" t="str">
        <f>IF(ISERROR(MATCH(0,INDEX(COUNTIF($B$1:B1535,$A$2:$A$4629),0,0),0)),"",INDEX($A$2:$A$4629,MATCH(0,INDEX(COUNTIF($B$1:B1535,$A$2:$A$4629),0,0),0)))</f>
        <v/>
      </c>
      <c r="C1536" t="str">
        <f t="shared" si="23"/>
        <v/>
      </c>
    </row>
    <row r="1537" spans="1:3" x14ac:dyDescent="0.25">
      <c r="A1537" t="str">
        <f>IF(Scan2VK!L179&lt;&gt;"",Scan2VK!L179,"")</f>
        <v>BROWSER_FORWARD</v>
      </c>
      <c r="B1537" t="str">
        <f>IF(ISERROR(MATCH(0,INDEX(COUNTIF($B$1:B1536,$A$2:$A$4629),0,0),0)),"",INDEX($A$2:$A$4629,MATCH(0,INDEX(COUNTIF($B$1:B1536,$A$2:$A$4629),0,0),0)))</f>
        <v/>
      </c>
      <c r="C1537" t="str">
        <f t="shared" si="23"/>
        <v/>
      </c>
    </row>
    <row r="1538" spans="1:3" x14ac:dyDescent="0.25">
      <c r="A1538" t="str">
        <f>IF(Scan2VK!L180&lt;&gt;"",Scan2VK!L180,"")</f>
        <v>BROWSER_BACK</v>
      </c>
      <c r="B1538" t="str">
        <f>IF(ISERROR(MATCH(0,INDEX(COUNTIF($B$1:B1537,$A$2:$A$4629),0,0),0)),"",INDEX($A$2:$A$4629,MATCH(0,INDEX(COUNTIF($B$1:B1537,$A$2:$A$4629),0,0),0)))</f>
        <v/>
      </c>
      <c r="C1538" t="str">
        <f t="shared" si="23"/>
        <v/>
      </c>
    </row>
    <row r="1539" spans="1:3" x14ac:dyDescent="0.25">
      <c r="A1539" t="str">
        <f>IF(Scan2VK!L181&lt;&gt;"",Scan2VK!L181,"")</f>
        <v>LAUNCH_APP1</v>
      </c>
      <c r="B1539" t="str">
        <f>IF(ISERROR(MATCH(0,INDEX(COUNTIF($B$1:B1538,$A$2:$A$4629),0,0),0)),"",INDEX($A$2:$A$4629,MATCH(0,INDEX(COUNTIF($B$1:B1538,$A$2:$A$4629),0,0),0)))</f>
        <v/>
      </c>
      <c r="C1539" t="str">
        <f t="shared" ref="C1539:C1602" si="24">IF(B1539&lt;&gt;"","&lt;xs:enumeration value="""&amp;B1539&amp;"""/&gt;","")</f>
        <v/>
      </c>
    </row>
    <row r="1540" spans="1:3" x14ac:dyDescent="0.25">
      <c r="A1540" t="str">
        <f>IF(Scan2VK!L182&lt;&gt;"",Scan2VK!L182,"")</f>
        <v>LAUNCH_MAIL</v>
      </c>
      <c r="B1540" t="str">
        <f>IF(ISERROR(MATCH(0,INDEX(COUNTIF($B$1:B1539,$A$2:$A$4629),0,0),0)),"",INDEX($A$2:$A$4629,MATCH(0,INDEX(COUNTIF($B$1:B1539,$A$2:$A$4629),0,0),0)))</f>
        <v/>
      </c>
      <c r="C1540" t="str">
        <f t="shared" si="24"/>
        <v/>
      </c>
    </row>
    <row r="1541" spans="1:3" x14ac:dyDescent="0.25">
      <c r="A1541" t="str">
        <f>IF(Scan2VK!L183&lt;&gt;"",Scan2VK!L183,"")</f>
        <v>LAUNCH_MEDIA_SELECT</v>
      </c>
      <c r="B1541" t="str">
        <f>IF(ISERROR(MATCH(0,INDEX(COUNTIF($B$1:B1540,$A$2:$A$4629),0,0),0)),"",INDEX($A$2:$A$4629,MATCH(0,INDEX(COUNTIF($B$1:B1540,$A$2:$A$4629),0,0),0)))</f>
        <v/>
      </c>
      <c r="C1541" t="str">
        <f t="shared" si="24"/>
        <v/>
      </c>
    </row>
    <row r="1542" spans="1:3" x14ac:dyDescent="0.25">
      <c r="A1542" t="str">
        <f>IF(Scan2VK!L184&lt;&gt;"",Scan2VK!L184,"")</f>
        <v/>
      </c>
      <c r="B1542" t="str">
        <f>IF(ISERROR(MATCH(0,INDEX(COUNTIF($B$1:B1541,$A$2:$A$4629),0,0),0)),"",INDEX($A$2:$A$4629,MATCH(0,INDEX(COUNTIF($B$1:B1541,$A$2:$A$4629),0,0),0)))</f>
        <v/>
      </c>
      <c r="C1542" t="str">
        <f t="shared" si="24"/>
        <v/>
      </c>
    </row>
    <row r="1543" spans="1:3" x14ac:dyDescent="0.25">
      <c r="A1543" t="str">
        <f>IF(Scan2VK!L185&lt;&gt;"",Scan2VK!L185,"")</f>
        <v/>
      </c>
      <c r="B1543" t="str">
        <f>IF(ISERROR(MATCH(0,INDEX(COUNTIF($B$1:B1542,$A$2:$A$4629),0,0),0)),"",INDEX($A$2:$A$4629,MATCH(0,INDEX(COUNTIF($B$1:B1542,$A$2:$A$4629),0,0),0)))</f>
        <v/>
      </c>
      <c r="C1543" t="str">
        <f t="shared" si="24"/>
        <v/>
      </c>
    </row>
    <row r="1544" spans="1:3" x14ac:dyDescent="0.25">
      <c r="A1544" t="str">
        <f>IF(Scan2VK!L186&lt;&gt;"",Scan2VK!L186,"")</f>
        <v/>
      </c>
      <c r="B1544" t="str">
        <f>IF(ISERROR(MATCH(0,INDEX(COUNTIF($B$1:B1543,$A$2:$A$4629),0,0),0)),"",INDEX($A$2:$A$4629,MATCH(0,INDEX(COUNTIF($B$1:B1543,$A$2:$A$4629),0,0),0)))</f>
        <v/>
      </c>
      <c r="C1544" t="str">
        <f t="shared" si="24"/>
        <v/>
      </c>
    </row>
    <row r="1545" spans="1:3" x14ac:dyDescent="0.25">
      <c r="A1545" t="str">
        <f>IF(Scan2VK!L187&lt;&gt;"",Scan2VK!L187,"")</f>
        <v/>
      </c>
      <c r="B1545" t="str">
        <f>IF(ISERROR(MATCH(0,INDEX(COUNTIF($B$1:B1544,$A$2:$A$4629),0,0),0)),"",INDEX($A$2:$A$4629,MATCH(0,INDEX(COUNTIF($B$1:B1544,$A$2:$A$4629),0,0),0)))</f>
        <v/>
      </c>
      <c r="C1545" t="str">
        <f t="shared" si="24"/>
        <v/>
      </c>
    </row>
    <row r="1546" spans="1:3" x14ac:dyDescent="0.25">
      <c r="A1546" t="str">
        <f>IF(Scan2VK!L188&lt;&gt;"",Scan2VK!L188,"")</f>
        <v/>
      </c>
      <c r="B1546" t="str">
        <f>IF(ISERROR(MATCH(0,INDEX(COUNTIF($B$1:B1545,$A$2:$A$4629),0,0),0)),"",INDEX($A$2:$A$4629,MATCH(0,INDEX(COUNTIF($B$1:B1545,$A$2:$A$4629),0,0),0)))</f>
        <v/>
      </c>
      <c r="C1546" t="str">
        <f t="shared" si="24"/>
        <v/>
      </c>
    </row>
    <row r="1547" spans="1:3" x14ac:dyDescent="0.25">
      <c r="A1547" t="str">
        <f>IF(Scan2VK!L189&lt;&gt;"",Scan2VK!L189,"")</f>
        <v/>
      </c>
      <c r="B1547" t="str">
        <f>IF(ISERROR(MATCH(0,INDEX(COUNTIF($B$1:B1546,$A$2:$A$4629),0,0),0)),"",INDEX($A$2:$A$4629,MATCH(0,INDEX(COUNTIF($B$1:B1546,$A$2:$A$4629),0,0),0)))</f>
        <v/>
      </c>
      <c r="C1547" t="str">
        <f t="shared" si="24"/>
        <v/>
      </c>
    </row>
    <row r="1548" spans="1:3" x14ac:dyDescent="0.25">
      <c r="A1548" t="str">
        <f>IF(Scan2VK!L190&lt;&gt;"",Scan2VK!L190,"")</f>
        <v/>
      </c>
      <c r="B1548" t="str">
        <f>IF(ISERROR(MATCH(0,INDEX(COUNTIF($B$1:B1547,$A$2:$A$4629),0,0),0)),"",INDEX($A$2:$A$4629,MATCH(0,INDEX(COUNTIF($B$1:B1547,$A$2:$A$4629),0,0),0)))</f>
        <v/>
      </c>
      <c r="C1548" t="str">
        <f t="shared" si="24"/>
        <v/>
      </c>
    </row>
    <row r="1549" spans="1:3" x14ac:dyDescent="0.25">
      <c r="A1549" t="str">
        <f>IF(Scan2VK!L191&lt;&gt;"",Scan2VK!L191,"")</f>
        <v/>
      </c>
      <c r="B1549" t="str">
        <f>IF(ISERROR(MATCH(0,INDEX(COUNTIF($B$1:B1548,$A$2:$A$4629),0,0),0)),"",INDEX($A$2:$A$4629,MATCH(0,INDEX(COUNTIF($B$1:B1548,$A$2:$A$4629),0,0),0)))</f>
        <v/>
      </c>
      <c r="C1549" t="str">
        <f t="shared" si="24"/>
        <v/>
      </c>
    </row>
    <row r="1550" spans="1:3" x14ac:dyDescent="0.25">
      <c r="A1550" t="str">
        <f>IF(Scan2VK!L192&lt;&gt;"",Scan2VK!L192,"")</f>
        <v/>
      </c>
      <c r="B1550" t="str">
        <f>IF(ISERROR(MATCH(0,INDEX(COUNTIF($B$1:B1549,$A$2:$A$4629),0,0),0)),"",INDEX($A$2:$A$4629,MATCH(0,INDEX(COUNTIF($B$1:B1549,$A$2:$A$4629),0,0),0)))</f>
        <v/>
      </c>
      <c r="C1550" t="str">
        <f t="shared" si="24"/>
        <v/>
      </c>
    </row>
    <row r="1551" spans="1:3" x14ac:dyDescent="0.25">
      <c r="A1551" t="str">
        <f>IF(Scan2VK!L193&lt;&gt;"",Scan2VK!L193,"")</f>
        <v>_none_</v>
      </c>
      <c r="B1551" t="str">
        <f>IF(ISERROR(MATCH(0,INDEX(COUNTIF($B$1:B1550,$A$2:$A$4629),0,0),0)),"",INDEX($A$2:$A$4629,MATCH(0,INDEX(COUNTIF($B$1:B1550,$A$2:$A$4629),0,0),0)))</f>
        <v/>
      </c>
      <c r="C1551" t="str">
        <f t="shared" si="24"/>
        <v/>
      </c>
    </row>
    <row r="1552" spans="1:3" x14ac:dyDescent="0.25">
      <c r="A1552" t="str">
        <f>IF(Scan2VK!L194&lt;&gt;"",Scan2VK!L194,"")</f>
        <v>_none_</v>
      </c>
      <c r="B1552" t="str">
        <f>IF(ISERROR(MATCH(0,INDEX(COUNTIF($B$1:B1551,$A$2:$A$4629),0,0),0)),"",INDEX($A$2:$A$4629,MATCH(0,INDEX(COUNTIF($B$1:B1551,$A$2:$A$4629),0,0),0)))</f>
        <v/>
      </c>
      <c r="C1552" t="str">
        <f t="shared" si="24"/>
        <v/>
      </c>
    </row>
    <row r="1553" spans="1:3" x14ac:dyDescent="0.25">
      <c r="A1553" t="str">
        <f>IF(Scan2VK!L195&lt;&gt;"",Scan2VK!L195,"")</f>
        <v>PAUSE</v>
      </c>
      <c r="B1553" t="str">
        <f>IF(ISERROR(MATCH(0,INDEX(COUNTIF($B$1:B1552,$A$2:$A$4629),0,0),0)),"",INDEX($A$2:$A$4629,MATCH(0,INDEX(COUNTIF($B$1:B1552,$A$2:$A$4629),0,0),0)))</f>
        <v/>
      </c>
      <c r="C1553" t="str">
        <f t="shared" si="24"/>
        <v/>
      </c>
    </row>
    <row r="1554" spans="1:3" x14ac:dyDescent="0.25">
      <c r="A1554" t="str">
        <f>IF(Scan2VK!M2&lt;&gt;"",Scan2VK!M2,"")</f>
        <v>_none_</v>
      </c>
      <c r="B1554" t="str">
        <f>IF(ISERROR(MATCH(0,INDEX(COUNTIF($B$1:B1553,$A$2:$A$4629),0,0),0)),"",INDEX($A$2:$A$4629,MATCH(0,INDEX(COUNTIF($B$1:B1553,$A$2:$A$4629),0,0),0)))</f>
        <v/>
      </c>
      <c r="C1554" t="str">
        <f t="shared" si="24"/>
        <v/>
      </c>
    </row>
    <row r="1555" spans="1:3" x14ac:dyDescent="0.25">
      <c r="A1555" t="str">
        <f>IF(Scan2VK!M3&lt;&gt;"",Scan2VK!M3,"")</f>
        <v>ESCAPE</v>
      </c>
      <c r="B1555" t="str">
        <f>IF(ISERROR(MATCH(0,INDEX(COUNTIF($B$1:B1554,$A$2:$A$4629),0,0),0)),"",INDEX($A$2:$A$4629,MATCH(0,INDEX(COUNTIF($B$1:B1554,$A$2:$A$4629),0,0),0)))</f>
        <v/>
      </c>
      <c r="C1555" t="str">
        <f t="shared" si="24"/>
        <v/>
      </c>
    </row>
    <row r="1556" spans="1:3" x14ac:dyDescent="0.25">
      <c r="A1556" t="str">
        <f>IF(Scan2VK!M4&lt;&gt;"",Scan2VK!M4,"")</f>
        <v>'1'</v>
      </c>
      <c r="B1556" t="str">
        <f>IF(ISERROR(MATCH(0,INDEX(COUNTIF($B$1:B1555,$A$2:$A$4629),0,0),0)),"",INDEX($A$2:$A$4629,MATCH(0,INDEX(COUNTIF($B$1:B1555,$A$2:$A$4629),0,0),0)))</f>
        <v/>
      </c>
      <c r="C1556" t="str">
        <f t="shared" si="24"/>
        <v/>
      </c>
    </row>
    <row r="1557" spans="1:3" x14ac:dyDescent="0.25">
      <c r="A1557" t="str">
        <f>IF(Scan2VK!M5&lt;&gt;"",Scan2VK!M5,"")</f>
        <v>'2'</v>
      </c>
      <c r="B1557" t="str">
        <f>IF(ISERROR(MATCH(0,INDEX(COUNTIF($B$1:B1556,$A$2:$A$4629),0,0),0)),"",INDEX($A$2:$A$4629,MATCH(0,INDEX(COUNTIF($B$1:B1556,$A$2:$A$4629),0,0),0)))</f>
        <v/>
      </c>
      <c r="C1557" t="str">
        <f t="shared" si="24"/>
        <v/>
      </c>
    </row>
    <row r="1558" spans="1:3" x14ac:dyDescent="0.25">
      <c r="A1558" t="str">
        <f>IF(Scan2VK!M6&lt;&gt;"",Scan2VK!M6,"")</f>
        <v>'3'</v>
      </c>
      <c r="B1558" t="str">
        <f>IF(ISERROR(MATCH(0,INDEX(COUNTIF($B$1:B1557,$A$2:$A$4629),0,0),0)),"",INDEX($A$2:$A$4629,MATCH(0,INDEX(COUNTIF($B$1:B1557,$A$2:$A$4629),0,0),0)))</f>
        <v/>
      </c>
      <c r="C1558" t="str">
        <f t="shared" si="24"/>
        <v/>
      </c>
    </row>
    <row r="1559" spans="1:3" x14ac:dyDescent="0.25">
      <c r="A1559" t="str">
        <f>IF(Scan2VK!M7&lt;&gt;"",Scan2VK!M7,"")</f>
        <v>'4'</v>
      </c>
      <c r="B1559" t="str">
        <f>IF(ISERROR(MATCH(0,INDEX(COUNTIF($B$1:B1558,$A$2:$A$4629),0,0),0)),"",INDEX($A$2:$A$4629,MATCH(0,INDEX(COUNTIF($B$1:B1558,$A$2:$A$4629),0,0),0)))</f>
        <v/>
      </c>
      <c r="C1559" t="str">
        <f t="shared" si="24"/>
        <v/>
      </c>
    </row>
    <row r="1560" spans="1:3" x14ac:dyDescent="0.25">
      <c r="A1560" t="str">
        <f>IF(Scan2VK!M8&lt;&gt;"",Scan2VK!M8,"")</f>
        <v>'5'</v>
      </c>
      <c r="B1560" t="str">
        <f>IF(ISERROR(MATCH(0,INDEX(COUNTIF($B$1:B1559,$A$2:$A$4629),0,0),0)),"",INDEX($A$2:$A$4629,MATCH(0,INDEX(COUNTIF($B$1:B1559,$A$2:$A$4629),0,0),0)))</f>
        <v/>
      </c>
      <c r="C1560" t="str">
        <f t="shared" si="24"/>
        <v/>
      </c>
    </row>
    <row r="1561" spans="1:3" x14ac:dyDescent="0.25">
      <c r="A1561" t="str">
        <f>IF(Scan2VK!M9&lt;&gt;"",Scan2VK!M9,"")</f>
        <v>'6'</v>
      </c>
      <c r="B1561" t="str">
        <f>IF(ISERROR(MATCH(0,INDEX(COUNTIF($B$1:B1560,$A$2:$A$4629),0,0),0)),"",INDEX($A$2:$A$4629,MATCH(0,INDEX(COUNTIF($B$1:B1560,$A$2:$A$4629),0,0),0)))</f>
        <v/>
      </c>
      <c r="C1561" t="str">
        <f t="shared" si="24"/>
        <v/>
      </c>
    </row>
    <row r="1562" spans="1:3" x14ac:dyDescent="0.25">
      <c r="A1562" t="str">
        <f>IF(Scan2VK!M10&lt;&gt;"",Scan2VK!M10,"")</f>
        <v>'7'</v>
      </c>
      <c r="B1562" t="str">
        <f>IF(ISERROR(MATCH(0,INDEX(COUNTIF($B$1:B1561,$A$2:$A$4629),0,0),0)),"",INDEX($A$2:$A$4629,MATCH(0,INDEX(COUNTIF($B$1:B1561,$A$2:$A$4629),0,0),0)))</f>
        <v/>
      </c>
      <c r="C1562" t="str">
        <f t="shared" si="24"/>
        <v/>
      </c>
    </row>
    <row r="1563" spans="1:3" x14ac:dyDescent="0.25">
      <c r="A1563" t="str">
        <f>IF(Scan2VK!M11&lt;&gt;"",Scan2VK!M11,"")</f>
        <v>'8'</v>
      </c>
      <c r="B1563" t="str">
        <f>IF(ISERROR(MATCH(0,INDEX(COUNTIF($B$1:B1562,$A$2:$A$4629),0,0),0)),"",INDEX($A$2:$A$4629,MATCH(0,INDEX(COUNTIF($B$1:B1562,$A$2:$A$4629),0,0),0)))</f>
        <v/>
      </c>
      <c r="C1563" t="str">
        <f t="shared" si="24"/>
        <v/>
      </c>
    </row>
    <row r="1564" spans="1:3" x14ac:dyDescent="0.25">
      <c r="A1564" t="str">
        <f>IF(Scan2VK!M12&lt;&gt;"",Scan2VK!M12,"")</f>
        <v>'9'</v>
      </c>
      <c r="B1564" t="str">
        <f>IF(ISERROR(MATCH(0,INDEX(COUNTIF($B$1:B1563,$A$2:$A$4629),0,0),0)),"",INDEX($A$2:$A$4629,MATCH(0,INDEX(COUNTIF($B$1:B1563,$A$2:$A$4629),0,0),0)))</f>
        <v/>
      </c>
      <c r="C1564" t="str">
        <f t="shared" si="24"/>
        <v/>
      </c>
    </row>
    <row r="1565" spans="1:3" x14ac:dyDescent="0.25">
      <c r="A1565" t="str">
        <f>IF(Scan2VK!M13&lt;&gt;"",Scan2VK!M13,"")</f>
        <v>'0'</v>
      </c>
      <c r="B1565" t="str">
        <f>IF(ISERROR(MATCH(0,INDEX(COUNTIF($B$1:B1564,$A$2:$A$4629),0,0),0)),"",INDEX($A$2:$A$4629,MATCH(0,INDEX(COUNTIF($B$1:B1564,$A$2:$A$4629),0,0),0)))</f>
        <v/>
      </c>
      <c r="C1565" t="str">
        <f t="shared" si="24"/>
        <v/>
      </c>
    </row>
    <row r="1566" spans="1:3" x14ac:dyDescent="0.25">
      <c r="A1566" t="str">
        <f>IF(Scan2VK!M14&lt;&gt;"",Scan2VK!M14,"")</f>
        <v>OEM_MINUS</v>
      </c>
      <c r="B1566" t="str">
        <f>IF(ISERROR(MATCH(0,INDEX(COUNTIF($B$1:B1565,$A$2:$A$4629),0,0),0)),"",INDEX($A$2:$A$4629,MATCH(0,INDEX(COUNTIF($B$1:B1565,$A$2:$A$4629),0,0),0)))</f>
        <v/>
      </c>
      <c r="C1566" t="str">
        <f t="shared" si="24"/>
        <v/>
      </c>
    </row>
    <row r="1567" spans="1:3" x14ac:dyDescent="0.25">
      <c r="A1567" t="str">
        <f>IF(Scan2VK!M15&lt;&gt;"",Scan2VK!M15,"")</f>
        <v>OEM_PLUS</v>
      </c>
      <c r="B1567" t="str">
        <f>IF(ISERROR(MATCH(0,INDEX(COUNTIF($B$1:B1566,$A$2:$A$4629),0,0),0)),"",INDEX($A$2:$A$4629,MATCH(0,INDEX(COUNTIF($B$1:B1566,$A$2:$A$4629),0,0),0)))</f>
        <v/>
      </c>
      <c r="C1567" t="str">
        <f t="shared" si="24"/>
        <v/>
      </c>
    </row>
    <row r="1568" spans="1:3" x14ac:dyDescent="0.25">
      <c r="A1568" t="str">
        <f>IF(Scan2VK!M16&lt;&gt;"",Scan2VK!M16,"")</f>
        <v>BACK</v>
      </c>
      <c r="B1568" t="str">
        <f>IF(ISERROR(MATCH(0,INDEX(COUNTIF($B$1:B1567,$A$2:$A$4629),0,0),0)),"",INDEX($A$2:$A$4629,MATCH(0,INDEX(COUNTIF($B$1:B1567,$A$2:$A$4629),0,0),0)))</f>
        <v/>
      </c>
      <c r="C1568" t="str">
        <f t="shared" si="24"/>
        <v/>
      </c>
    </row>
    <row r="1569" spans="1:3" x14ac:dyDescent="0.25">
      <c r="A1569" t="str">
        <f>IF(Scan2VK!M17&lt;&gt;"",Scan2VK!M17,"")</f>
        <v>TAB</v>
      </c>
      <c r="B1569" t="str">
        <f>IF(ISERROR(MATCH(0,INDEX(COUNTIF($B$1:B1568,$A$2:$A$4629),0,0),0)),"",INDEX($A$2:$A$4629,MATCH(0,INDEX(COUNTIF($B$1:B1568,$A$2:$A$4629),0,0),0)))</f>
        <v/>
      </c>
      <c r="C1569" t="str">
        <f t="shared" si="24"/>
        <v/>
      </c>
    </row>
    <row r="1570" spans="1:3" x14ac:dyDescent="0.25">
      <c r="A1570" t="str">
        <f>IF(Scan2VK!M18&lt;&gt;"",Scan2VK!M18,"")</f>
        <v>'Q'</v>
      </c>
      <c r="B1570" t="str">
        <f>IF(ISERROR(MATCH(0,INDEX(COUNTIF($B$1:B1569,$A$2:$A$4629),0,0),0)),"",INDEX($A$2:$A$4629,MATCH(0,INDEX(COUNTIF($B$1:B1569,$A$2:$A$4629),0,0),0)))</f>
        <v/>
      </c>
      <c r="C1570" t="str">
        <f t="shared" si="24"/>
        <v/>
      </c>
    </row>
    <row r="1571" spans="1:3" x14ac:dyDescent="0.25">
      <c r="A1571" t="str">
        <f>IF(Scan2VK!M19&lt;&gt;"",Scan2VK!M19,"")</f>
        <v>'W'</v>
      </c>
      <c r="B1571" t="str">
        <f>IF(ISERROR(MATCH(0,INDEX(COUNTIF($B$1:B1570,$A$2:$A$4629),0,0),0)),"",INDEX($A$2:$A$4629,MATCH(0,INDEX(COUNTIF($B$1:B1570,$A$2:$A$4629),0,0),0)))</f>
        <v/>
      </c>
      <c r="C1571" t="str">
        <f t="shared" si="24"/>
        <v/>
      </c>
    </row>
    <row r="1572" spans="1:3" x14ac:dyDescent="0.25">
      <c r="A1572" t="str">
        <f>IF(Scan2VK!M20&lt;&gt;"",Scan2VK!M20,"")</f>
        <v>'E'</v>
      </c>
      <c r="B1572" t="str">
        <f>IF(ISERROR(MATCH(0,INDEX(COUNTIF($B$1:B1571,$A$2:$A$4629),0,0),0)),"",INDEX($A$2:$A$4629,MATCH(0,INDEX(COUNTIF($B$1:B1571,$A$2:$A$4629),0,0),0)))</f>
        <v/>
      </c>
      <c r="C1572" t="str">
        <f t="shared" si="24"/>
        <v/>
      </c>
    </row>
    <row r="1573" spans="1:3" x14ac:dyDescent="0.25">
      <c r="A1573" t="str">
        <f>IF(Scan2VK!M21&lt;&gt;"",Scan2VK!M21,"")</f>
        <v>'R'</v>
      </c>
      <c r="B1573" t="str">
        <f>IF(ISERROR(MATCH(0,INDEX(COUNTIF($B$1:B1572,$A$2:$A$4629),0,0),0)),"",INDEX($A$2:$A$4629,MATCH(0,INDEX(COUNTIF($B$1:B1572,$A$2:$A$4629),0,0),0)))</f>
        <v/>
      </c>
      <c r="C1573" t="str">
        <f t="shared" si="24"/>
        <v/>
      </c>
    </row>
    <row r="1574" spans="1:3" x14ac:dyDescent="0.25">
      <c r="A1574" t="str">
        <f>IF(Scan2VK!M22&lt;&gt;"",Scan2VK!M22,"")</f>
        <v>'T'</v>
      </c>
      <c r="B1574" t="str">
        <f>IF(ISERROR(MATCH(0,INDEX(COUNTIF($B$1:B1573,$A$2:$A$4629),0,0),0)),"",INDEX($A$2:$A$4629,MATCH(0,INDEX(COUNTIF($B$1:B1573,$A$2:$A$4629),0,0),0)))</f>
        <v/>
      </c>
      <c r="C1574" t="str">
        <f t="shared" si="24"/>
        <v/>
      </c>
    </row>
    <row r="1575" spans="1:3" x14ac:dyDescent="0.25">
      <c r="A1575" t="str">
        <f>IF(Scan2VK!M23&lt;&gt;"",Scan2VK!M23,"")</f>
        <v>'Y'</v>
      </c>
      <c r="B1575" t="str">
        <f>IF(ISERROR(MATCH(0,INDEX(COUNTIF($B$1:B1574,$A$2:$A$4629),0,0),0)),"",INDEX($A$2:$A$4629,MATCH(0,INDEX(COUNTIF($B$1:B1574,$A$2:$A$4629),0,0),0)))</f>
        <v/>
      </c>
      <c r="C1575" t="str">
        <f t="shared" si="24"/>
        <v/>
      </c>
    </row>
    <row r="1576" spans="1:3" x14ac:dyDescent="0.25">
      <c r="A1576" t="str">
        <f>IF(Scan2VK!M24&lt;&gt;"",Scan2VK!M24,"")</f>
        <v>'U'</v>
      </c>
      <c r="B1576" t="str">
        <f>IF(ISERROR(MATCH(0,INDEX(COUNTIF($B$1:B1575,$A$2:$A$4629),0,0),0)),"",INDEX($A$2:$A$4629,MATCH(0,INDEX(COUNTIF($B$1:B1575,$A$2:$A$4629),0,0),0)))</f>
        <v/>
      </c>
      <c r="C1576" t="str">
        <f t="shared" si="24"/>
        <v/>
      </c>
    </row>
    <row r="1577" spans="1:3" x14ac:dyDescent="0.25">
      <c r="A1577" t="str">
        <f>IF(Scan2VK!M25&lt;&gt;"",Scan2VK!M25,"")</f>
        <v>'I'</v>
      </c>
      <c r="B1577" t="str">
        <f>IF(ISERROR(MATCH(0,INDEX(COUNTIF($B$1:B1576,$A$2:$A$4629),0,0),0)),"",INDEX($A$2:$A$4629,MATCH(0,INDEX(COUNTIF($B$1:B1576,$A$2:$A$4629),0,0),0)))</f>
        <v/>
      </c>
      <c r="C1577" t="str">
        <f t="shared" si="24"/>
        <v/>
      </c>
    </row>
    <row r="1578" spans="1:3" x14ac:dyDescent="0.25">
      <c r="A1578" t="str">
        <f>IF(Scan2VK!M26&lt;&gt;"",Scan2VK!M26,"")</f>
        <v>'O'</v>
      </c>
      <c r="B1578" t="str">
        <f>IF(ISERROR(MATCH(0,INDEX(COUNTIF($B$1:B1577,$A$2:$A$4629),0,0),0)),"",INDEX($A$2:$A$4629,MATCH(0,INDEX(COUNTIF($B$1:B1577,$A$2:$A$4629),0,0),0)))</f>
        <v/>
      </c>
      <c r="C1578" t="str">
        <f t="shared" si="24"/>
        <v/>
      </c>
    </row>
    <row r="1579" spans="1:3" x14ac:dyDescent="0.25">
      <c r="A1579" t="str">
        <f>IF(Scan2VK!M27&lt;&gt;"",Scan2VK!M27,"")</f>
        <v>'P'</v>
      </c>
      <c r="B1579" t="str">
        <f>IF(ISERROR(MATCH(0,INDEX(COUNTIF($B$1:B1578,$A$2:$A$4629),0,0),0)),"",INDEX($A$2:$A$4629,MATCH(0,INDEX(COUNTIF($B$1:B1578,$A$2:$A$4629),0,0),0)))</f>
        <v/>
      </c>
      <c r="C1579" t="str">
        <f t="shared" si="24"/>
        <v/>
      </c>
    </row>
    <row r="1580" spans="1:3" x14ac:dyDescent="0.25">
      <c r="A1580" t="str">
        <f>IF(Scan2VK!M28&lt;&gt;"",Scan2VK!M28,"")</f>
        <v>OEM_4</v>
      </c>
      <c r="B1580" t="str">
        <f>IF(ISERROR(MATCH(0,INDEX(COUNTIF($B$1:B1579,$A$2:$A$4629),0,0),0)),"",INDEX($A$2:$A$4629,MATCH(0,INDEX(COUNTIF($B$1:B1579,$A$2:$A$4629),0,0),0)))</f>
        <v/>
      </c>
      <c r="C1580" t="str">
        <f t="shared" si="24"/>
        <v/>
      </c>
    </row>
    <row r="1581" spans="1:3" x14ac:dyDescent="0.25">
      <c r="A1581" t="str">
        <f>IF(Scan2VK!M29&lt;&gt;"",Scan2VK!M29,"")</f>
        <v>OEM_6</v>
      </c>
      <c r="B1581" t="str">
        <f>IF(ISERROR(MATCH(0,INDEX(COUNTIF($B$1:B1580,$A$2:$A$4629),0,0),0)),"",INDEX($A$2:$A$4629,MATCH(0,INDEX(COUNTIF($B$1:B1580,$A$2:$A$4629),0,0),0)))</f>
        <v/>
      </c>
      <c r="C1581" t="str">
        <f t="shared" si="24"/>
        <v/>
      </c>
    </row>
    <row r="1582" spans="1:3" x14ac:dyDescent="0.25">
      <c r="A1582" t="str">
        <f>IF(Scan2VK!M30&lt;&gt;"",Scan2VK!M30,"")</f>
        <v>RETURN</v>
      </c>
      <c r="B1582" t="str">
        <f>IF(ISERROR(MATCH(0,INDEX(COUNTIF($B$1:B1581,$A$2:$A$4629),0,0),0)),"",INDEX($A$2:$A$4629,MATCH(0,INDEX(COUNTIF($B$1:B1581,$A$2:$A$4629),0,0),0)))</f>
        <v/>
      </c>
      <c r="C1582" t="str">
        <f t="shared" si="24"/>
        <v/>
      </c>
    </row>
    <row r="1583" spans="1:3" x14ac:dyDescent="0.25">
      <c r="A1583" t="str">
        <f>IF(Scan2VK!M31&lt;&gt;"",Scan2VK!M31,"")</f>
        <v>LCONTROL</v>
      </c>
      <c r="B1583" t="str">
        <f>IF(ISERROR(MATCH(0,INDEX(COUNTIF($B$1:B1582,$A$2:$A$4629),0,0),0)),"",INDEX($A$2:$A$4629,MATCH(0,INDEX(COUNTIF($B$1:B1582,$A$2:$A$4629),0,0),0)))</f>
        <v/>
      </c>
      <c r="C1583" t="str">
        <f t="shared" si="24"/>
        <v/>
      </c>
    </row>
    <row r="1584" spans="1:3" x14ac:dyDescent="0.25">
      <c r="A1584" t="str">
        <f>IF(Scan2VK!M32&lt;&gt;"",Scan2VK!M32,"")</f>
        <v>'A'</v>
      </c>
      <c r="B1584" t="str">
        <f>IF(ISERROR(MATCH(0,INDEX(COUNTIF($B$1:B1583,$A$2:$A$4629),0,0),0)),"",INDEX($A$2:$A$4629,MATCH(0,INDEX(COUNTIF($B$1:B1583,$A$2:$A$4629),0,0),0)))</f>
        <v/>
      </c>
      <c r="C1584" t="str">
        <f t="shared" si="24"/>
        <v/>
      </c>
    </row>
    <row r="1585" spans="1:3" x14ac:dyDescent="0.25">
      <c r="A1585" t="str">
        <f>IF(Scan2VK!M33&lt;&gt;"",Scan2VK!M33,"")</f>
        <v>'S'</v>
      </c>
      <c r="B1585" t="str">
        <f>IF(ISERROR(MATCH(0,INDEX(COUNTIF($B$1:B1584,$A$2:$A$4629),0,0),0)),"",INDEX($A$2:$A$4629,MATCH(0,INDEX(COUNTIF($B$1:B1584,$A$2:$A$4629),0,0),0)))</f>
        <v/>
      </c>
      <c r="C1585" t="str">
        <f t="shared" si="24"/>
        <v/>
      </c>
    </row>
    <row r="1586" spans="1:3" x14ac:dyDescent="0.25">
      <c r="A1586" t="str">
        <f>IF(Scan2VK!M34&lt;&gt;"",Scan2VK!M34,"")</f>
        <v>'D'</v>
      </c>
      <c r="B1586" t="str">
        <f>IF(ISERROR(MATCH(0,INDEX(COUNTIF($B$1:B1585,$A$2:$A$4629),0,0),0)),"",INDEX($A$2:$A$4629,MATCH(0,INDEX(COUNTIF($B$1:B1585,$A$2:$A$4629),0,0),0)))</f>
        <v/>
      </c>
      <c r="C1586" t="str">
        <f t="shared" si="24"/>
        <v/>
      </c>
    </row>
    <row r="1587" spans="1:3" x14ac:dyDescent="0.25">
      <c r="A1587" t="str">
        <f>IF(Scan2VK!M35&lt;&gt;"",Scan2VK!M35,"")</f>
        <v>'F'</v>
      </c>
      <c r="B1587" t="str">
        <f>IF(ISERROR(MATCH(0,INDEX(COUNTIF($B$1:B1586,$A$2:$A$4629),0,0),0)),"",INDEX($A$2:$A$4629,MATCH(0,INDEX(COUNTIF($B$1:B1586,$A$2:$A$4629),0,0),0)))</f>
        <v/>
      </c>
      <c r="C1587" t="str">
        <f t="shared" si="24"/>
        <v/>
      </c>
    </row>
    <row r="1588" spans="1:3" x14ac:dyDescent="0.25">
      <c r="A1588" t="str">
        <f>IF(Scan2VK!M36&lt;&gt;"",Scan2VK!M36,"")</f>
        <v>'G'</v>
      </c>
      <c r="B1588" t="str">
        <f>IF(ISERROR(MATCH(0,INDEX(COUNTIF($B$1:B1587,$A$2:$A$4629),0,0),0)),"",INDEX($A$2:$A$4629,MATCH(0,INDEX(COUNTIF($B$1:B1587,$A$2:$A$4629),0,0),0)))</f>
        <v/>
      </c>
      <c r="C1588" t="str">
        <f t="shared" si="24"/>
        <v/>
      </c>
    </row>
    <row r="1589" spans="1:3" x14ac:dyDescent="0.25">
      <c r="A1589" t="str">
        <f>IF(Scan2VK!M37&lt;&gt;"",Scan2VK!M37,"")</f>
        <v>'H'</v>
      </c>
      <c r="B1589" t="str">
        <f>IF(ISERROR(MATCH(0,INDEX(COUNTIF($B$1:B1588,$A$2:$A$4629),0,0),0)),"",INDEX($A$2:$A$4629,MATCH(0,INDEX(COUNTIF($B$1:B1588,$A$2:$A$4629),0,0),0)))</f>
        <v/>
      </c>
      <c r="C1589" t="str">
        <f t="shared" si="24"/>
        <v/>
      </c>
    </row>
    <row r="1590" spans="1:3" x14ac:dyDescent="0.25">
      <c r="A1590" t="str">
        <f>IF(Scan2VK!M38&lt;&gt;"",Scan2VK!M38,"")</f>
        <v>'J'</v>
      </c>
      <c r="B1590" t="str">
        <f>IF(ISERROR(MATCH(0,INDEX(COUNTIF($B$1:B1589,$A$2:$A$4629),0,0),0)),"",INDEX($A$2:$A$4629,MATCH(0,INDEX(COUNTIF($B$1:B1589,$A$2:$A$4629),0,0),0)))</f>
        <v/>
      </c>
      <c r="C1590" t="str">
        <f t="shared" si="24"/>
        <v/>
      </c>
    </row>
    <row r="1591" spans="1:3" x14ac:dyDescent="0.25">
      <c r="A1591" t="str">
        <f>IF(Scan2VK!M39&lt;&gt;"",Scan2VK!M39,"")</f>
        <v>'K'</v>
      </c>
      <c r="B1591" t="str">
        <f>IF(ISERROR(MATCH(0,INDEX(COUNTIF($B$1:B1590,$A$2:$A$4629),0,0),0)),"",INDEX($A$2:$A$4629,MATCH(0,INDEX(COUNTIF($B$1:B1590,$A$2:$A$4629),0,0),0)))</f>
        <v/>
      </c>
      <c r="C1591" t="str">
        <f t="shared" si="24"/>
        <v/>
      </c>
    </row>
    <row r="1592" spans="1:3" x14ac:dyDescent="0.25">
      <c r="A1592" t="str">
        <f>IF(Scan2VK!M40&lt;&gt;"",Scan2VK!M40,"")</f>
        <v>'L'</v>
      </c>
      <c r="B1592" t="str">
        <f>IF(ISERROR(MATCH(0,INDEX(COUNTIF($B$1:B1591,$A$2:$A$4629),0,0),0)),"",INDEX($A$2:$A$4629,MATCH(0,INDEX(COUNTIF($B$1:B1591,$A$2:$A$4629),0,0),0)))</f>
        <v/>
      </c>
      <c r="C1592" t="str">
        <f t="shared" si="24"/>
        <v/>
      </c>
    </row>
    <row r="1593" spans="1:3" x14ac:dyDescent="0.25">
      <c r="A1593" t="str">
        <f>IF(Scan2VK!M41&lt;&gt;"",Scan2VK!M41,"")</f>
        <v>OEM_1</v>
      </c>
      <c r="B1593" t="str">
        <f>IF(ISERROR(MATCH(0,INDEX(COUNTIF($B$1:B1592,$A$2:$A$4629),0,0),0)),"",INDEX($A$2:$A$4629,MATCH(0,INDEX(COUNTIF($B$1:B1592,$A$2:$A$4629),0,0),0)))</f>
        <v/>
      </c>
      <c r="C1593" t="str">
        <f t="shared" si="24"/>
        <v/>
      </c>
    </row>
    <row r="1594" spans="1:3" x14ac:dyDescent="0.25">
      <c r="A1594" t="str">
        <f>IF(Scan2VK!M42&lt;&gt;"",Scan2VK!M42,"")</f>
        <v>OEM_7</v>
      </c>
      <c r="B1594" t="str">
        <f>IF(ISERROR(MATCH(0,INDEX(COUNTIF($B$1:B1593,$A$2:$A$4629),0,0),0)),"",INDEX($A$2:$A$4629,MATCH(0,INDEX(COUNTIF($B$1:B1593,$A$2:$A$4629),0,0),0)))</f>
        <v/>
      </c>
      <c r="C1594" t="str">
        <f t="shared" si="24"/>
        <v/>
      </c>
    </row>
    <row r="1595" spans="1:3" x14ac:dyDescent="0.25">
      <c r="A1595" t="str">
        <f>IF(Scan2VK!M43&lt;&gt;"",Scan2VK!M43,"")</f>
        <v>OEM_3</v>
      </c>
      <c r="B1595" t="str">
        <f>IF(ISERROR(MATCH(0,INDEX(COUNTIF($B$1:B1594,$A$2:$A$4629),0,0),0)),"",INDEX($A$2:$A$4629,MATCH(0,INDEX(COUNTIF($B$1:B1594,$A$2:$A$4629),0,0),0)))</f>
        <v/>
      </c>
      <c r="C1595" t="str">
        <f t="shared" si="24"/>
        <v/>
      </c>
    </row>
    <row r="1596" spans="1:3" x14ac:dyDescent="0.25">
      <c r="A1596" t="str">
        <f>IF(Scan2VK!M44&lt;&gt;"",Scan2VK!M44,"")</f>
        <v>LSHIFT</v>
      </c>
      <c r="B1596" t="str">
        <f>IF(ISERROR(MATCH(0,INDEX(COUNTIF($B$1:B1595,$A$2:$A$4629),0,0),0)),"",INDEX($A$2:$A$4629,MATCH(0,INDEX(COUNTIF($B$1:B1595,$A$2:$A$4629),0,0),0)))</f>
        <v/>
      </c>
      <c r="C1596" t="str">
        <f t="shared" si="24"/>
        <v/>
      </c>
    </row>
    <row r="1597" spans="1:3" x14ac:dyDescent="0.25">
      <c r="A1597" t="str">
        <f>IF(Scan2VK!M45&lt;&gt;"",Scan2VK!M45,"")</f>
        <v>OEM_5</v>
      </c>
      <c r="B1597" t="str">
        <f>IF(ISERROR(MATCH(0,INDEX(COUNTIF($B$1:B1596,$A$2:$A$4629),0,0),0)),"",INDEX($A$2:$A$4629,MATCH(0,INDEX(COUNTIF($B$1:B1596,$A$2:$A$4629),0,0),0)))</f>
        <v/>
      </c>
      <c r="C1597" t="str">
        <f t="shared" si="24"/>
        <v/>
      </c>
    </row>
    <row r="1598" spans="1:3" x14ac:dyDescent="0.25">
      <c r="A1598" t="str">
        <f>IF(Scan2VK!M46&lt;&gt;"",Scan2VK!M46,"")</f>
        <v>'Z'</v>
      </c>
      <c r="B1598" t="str">
        <f>IF(ISERROR(MATCH(0,INDEX(COUNTIF($B$1:B1597,$A$2:$A$4629),0,0),0)),"",INDEX($A$2:$A$4629,MATCH(0,INDEX(COUNTIF($B$1:B1597,$A$2:$A$4629),0,0),0)))</f>
        <v/>
      </c>
      <c r="C1598" t="str">
        <f t="shared" si="24"/>
        <v/>
      </c>
    </row>
    <row r="1599" spans="1:3" x14ac:dyDescent="0.25">
      <c r="A1599" t="str">
        <f>IF(Scan2VK!M47&lt;&gt;"",Scan2VK!M47,"")</f>
        <v>'X'</v>
      </c>
      <c r="B1599" t="str">
        <f>IF(ISERROR(MATCH(0,INDEX(COUNTIF($B$1:B1598,$A$2:$A$4629),0,0),0)),"",INDEX($A$2:$A$4629,MATCH(0,INDEX(COUNTIF($B$1:B1598,$A$2:$A$4629),0,0),0)))</f>
        <v/>
      </c>
      <c r="C1599" t="str">
        <f t="shared" si="24"/>
        <v/>
      </c>
    </row>
    <row r="1600" spans="1:3" x14ac:dyDescent="0.25">
      <c r="A1600" t="str">
        <f>IF(Scan2VK!M48&lt;&gt;"",Scan2VK!M48,"")</f>
        <v>'C'</v>
      </c>
      <c r="B1600" t="str">
        <f>IF(ISERROR(MATCH(0,INDEX(COUNTIF($B$1:B1599,$A$2:$A$4629),0,0),0)),"",INDEX($A$2:$A$4629,MATCH(0,INDEX(COUNTIF($B$1:B1599,$A$2:$A$4629),0,0),0)))</f>
        <v/>
      </c>
      <c r="C1600" t="str">
        <f t="shared" si="24"/>
        <v/>
      </c>
    </row>
    <row r="1601" spans="1:3" x14ac:dyDescent="0.25">
      <c r="A1601" t="str">
        <f>IF(Scan2VK!M49&lt;&gt;"",Scan2VK!M49,"")</f>
        <v>'V'</v>
      </c>
      <c r="B1601" t="str">
        <f>IF(ISERROR(MATCH(0,INDEX(COUNTIF($B$1:B1600,$A$2:$A$4629),0,0),0)),"",INDEX($A$2:$A$4629,MATCH(0,INDEX(COUNTIF($B$1:B1600,$A$2:$A$4629),0,0),0)))</f>
        <v/>
      </c>
      <c r="C1601" t="str">
        <f t="shared" si="24"/>
        <v/>
      </c>
    </row>
    <row r="1602" spans="1:3" x14ac:dyDescent="0.25">
      <c r="A1602" t="str">
        <f>IF(Scan2VK!M50&lt;&gt;"",Scan2VK!M50,"")</f>
        <v>'B'</v>
      </c>
      <c r="B1602" t="str">
        <f>IF(ISERROR(MATCH(0,INDEX(COUNTIF($B$1:B1601,$A$2:$A$4629),0,0),0)),"",INDEX($A$2:$A$4629,MATCH(0,INDEX(COUNTIF($B$1:B1601,$A$2:$A$4629),0,0),0)))</f>
        <v/>
      </c>
      <c r="C1602" t="str">
        <f t="shared" si="24"/>
        <v/>
      </c>
    </row>
    <row r="1603" spans="1:3" x14ac:dyDescent="0.25">
      <c r="A1603" t="str">
        <f>IF(Scan2VK!M51&lt;&gt;"",Scan2VK!M51,"")</f>
        <v>'N'</v>
      </c>
      <c r="B1603" t="str">
        <f>IF(ISERROR(MATCH(0,INDEX(COUNTIF($B$1:B1602,$A$2:$A$4629),0,0),0)),"",INDEX($A$2:$A$4629,MATCH(0,INDEX(COUNTIF($B$1:B1602,$A$2:$A$4629),0,0),0)))</f>
        <v/>
      </c>
      <c r="C1603" t="str">
        <f t="shared" ref="C1603:C1666" si="25">IF(B1603&lt;&gt;"","&lt;xs:enumeration value="""&amp;B1603&amp;"""/&gt;","")</f>
        <v/>
      </c>
    </row>
    <row r="1604" spans="1:3" x14ac:dyDescent="0.25">
      <c r="A1604" t="str">
        <f>IF(Scan2VK!M52&lt;&gt;"",Scan2VK!M52,"")</f>
        <v>'M'</v>
      </c>
      <c r="B1604" t="str">
        <f>IF(ISERROR(MATCH(0,INDEX(COUNTIF($B$1:B1603,$A$2:$A$4629),0,0),0)),"",INDEX($A$2:$A$4629,MATCH(0,INDEX(COUNTIF($B$1:B1603,$A$2:$A$4629),0,0),0)))</f>
        <v/>
      </c>
      <c r="C1604" t="str">
        <f t="shared" si="25"/>
        <v/>
      </c>
    </row>
    <row r="1605" spans="1:3" x14ac:dyDescent="0.25">
      <c r="A1605" t="str">
        <f>IF(Scan2VK!M53&lt;&gt;"",Scan2VK!M53,"")</f>
        <v>OEM_COMMA</v>
      </c>
      <c r="B1605" t="str">
        <f>IF(ISERROR(MATCH(0,INDEX(COUNTIF($B$1:B1604,$A$2:$A$4629),0,0),0)),"",INDEX($A$2:$A$4629,MATCH(0,INDEX(COUNTIF($B$1:B1604,$A$2:$A$4629),0,0),0)))</f>
        <v/>
      </c>
      <c r="C1605" t="str">
        <f t="shared" si="25"/>
        <v/>
      </c>
    </row>
    <row r="1606" spans="1:3" x14ac:dyDescent="0.25">
      <c r="A1606" t="str">
        <f>IF(Scan2VK!M54&lt;&gt;"",Scan2VK!M54,"")</f>
        <v>OEM_PERIOD</v>
      </c>
      <c r="B1606" t="str">
        <f>IF(ISERROR(MATCH(0,INDEX(COUNTIF($B$1:B1605,$A$2:$A$4629),0,0),0)),"",INDEX($A$2:$A$4629,MATCH(0,INDEX(COUNTIF($B$1:B1605,$A$2:$A$4629),0,0),0)))</f>
        <v/>
      </c>
      <c r="C1606" t="str">
        <f t="shared" si="25"/>
        <v/>
      </c>
    </row>
    <row r="1607" spans="1:3" x14ac:dyDescent="0.25">
      <c r="A1607" t="str">
        <f>IF(Scan2VK!M55&lt;&gt;"",Scan2VK!M55,"")</f>
        <v>OEM_2</v>
      </c>
      <c r="B1607" t="str">
        <f>IF(ISERROR(MATCH(0,INDEX(COUNTIF($B$1:B1606,$A$2:$A$4629),0,0),0)),"",INDEX($A$2:$A$4629,MATCH(0,INDEX(COUNTIF($B$1:B1606,$A$2:$A$4629),0,0),0)))</f>
        <v/>
      </c>
      <c r="C1607" t="str">
        <f t="shared" si="25"/>
        <v/>
      </c>
    </row>
    <row r="1608" spans="1:3" x14ac:dyDescent="0.25">
      <c r="A1608" t="str">
        <f>IF(Scan2VK!M56&lt;&gt;"",Scan2VK!M56,"")</f>
        <v>RSHIFT</v>
      </c>
      <c r="B1608" t="str">
        <f>IF(ISERROR(MATCH(0,INDEX(COUNTIF($B$1:B1607,$A$2:$A$4629),0,0),0)),"",INDEX($A$2:$A$4629,MATCH(0,INDEX(COUNTIF($B$1:B1607,$A$2:$A$4629),0,0),0)))</f>
        <v/>
      </c>
      <c r="C1608" t="str">
        <f t="shared" si="25"/>
        <v/>
      </c>
    </row>
    <row r="1609" spans="1:3" x14ac:dyDescent="0.25">
      <c r="A1609" t="str">
        <f>IF(Scan2VK!M57&lt;&gt;"",Scan2VK!M57,"")</f>
        <v>MULTIPLY</v>
      </c>
      <c r="B1609" t="str">
        <f>IF(ISERROR(MATCH(0,INDEX(COUNTIF($B$1:B1608,$A$2:$A$4629),0,0),0)),"",INDEX($A$2:$A$4629,MATCH(0,INDEX(COUNTIF($B$1:B1608,$A$2:$A$4629),0,0),0)))</f>
        <v/>
      </c>
      <c r="C1609" t="str">
        <f t="shared" si="25"/>
        <v/>
      </c>
    </row>
    <row r="1610" spans="1:3" x14ac:dyDescent="0.25">
      <c r="A1610" t="str">
        <f>IF(Scan2VK!M58&lt;&gt;"",Scan2VK!M58,"")</f>
        <v>LMENU</v>
      </c>
      <c r="B1610" t="str">
        <f>IF(ISERROR(MATCH(0,INDEX(COUNTIF($B$1:B1609,$A$2:$A$4629),0,0),0)),"",INDEX($A$2:$A$4629,MATCH(0,INDEX(COUNTIF($B$1:B1609,$A$2:$A$4629),0,0),0)))</f>
        <v/>
      </c>
      <c r="C1610" t="str">
        <f t="shared" si="25"/>
        <v/>
      </c>
    </row>
    <row r="1611" spans="1:3" x14ac:dyDescent="0.25">
      <c r="A1611" t="str">
        <f>IF(Scan2VK!M59&lt;&gt;"",Scan2VK!M59,"")</f>
        <v>''</v>
      </c>
      <c r="B1611" t="str">
        <f>IF(ISERROR(MATCH(0,INDEX(COUNTIF($B$1:B1610,$A$2:$A$4629),0,0),0)),"",INDEX($A$2:$A$4629,MATCH(0,INDEX(COUNTIF($B$1:B1610,$A$2:$A$4629),0,0),0)))</f>
        <v/>
      </c>
      <c r="C1611" t="str">
        <f t="shared" si="25"/>
        <v/>
      </c>
    </row>
    <row r="1612" spans="1:3" x14ac:dyDescent="0.25">
      <c r="A1612" t="str">
        <f>IF(Scan2VK!M60&lt;&gt;"",Scan2VK!M60,"")</f>
        <v>CAPITAL</v>
      </c>
      <c r="B1612" t="str">
        <f>IF(ISERROR(MATCH(0,INDEX(COUNTIF($B$1:B1611,$A$2:$A$4629),0,0),0)),"",INDEX($A$2:$A$4629,MATCH(0,INDEX(COUNTIF($B$1:B1611,$A$2:$A$4629),0,0),0)))</f>
        <v/>
      </c>
      <c r="C1612" t="str">
        <f t="shared" si="25"/>
        <v/>
      </c>
    </row>
    <row r="1613" spans="1:3" x14ac:dyDescent="0.25">
      <c r="A1613" t="str">
        <f>IF(Scan2VK!M61&lt;&gt;"",Scan2VK!M61,"")</f>
        <v>F1</v>
      </c>
      <c r="B1613" t="str">
        <f>IF(ISERROR(MATCH(0,INDEX(COUNTIF($B$1:B1612,$A$2:$A$4629),0,0),0)),"",INDEX($A$2:$A$4629,MATCH(0,INDEX(COUNTIF($B$1:B1612,$A$2:$A$4629),0,0),0)))</f>
        <v/>
      </c>
      <c r="C1613" t="str">
        <f t="shared" si="25"/>
        <v/>
      </c>
    </row>
    <row r="1614" spans="1:3" x14ac:dyDescent="0.25">
      <c r="A1614" t="str">
        <f>IF(Scan2VK!M62&lt;&gt;"",Scan2VK!M62,"")</f>
        <v>F2</v>
      </c>
      <c r="B1614" t="str">
        <f>IF(ISERROR(MATCH(0,INDEX(COUNTIF($B$1:B1613,$A$2:$A$4629),0,0),0)),"",INDEX($A$2:$A$4629,MATCH(0,INDEX(COUNTIF($B$1:B1613,$A$2:$A$4629),0,0),0)))</f>
        <v/>
      </c>
      <c r="C1614" t="str">
        <f t="shared" si="25"/>
        <v/>
      </c>
    </row>
    <row r="1615" spans="1:3" x14ac:dyDescent="0.25">
      <c r="A1615" t="str">
        <f>IF(Scan2VK!M63&lt;&gt;"",Scan2VK!M63,"")</f>
        <v>F3</v>
      </c>
      <c r="B1615" t="str">
        <f>IF(ISERROR(MATCH(0,INDEX(COUNTIF($B$1:B1614,$A$2:$A$4629),0,0),0)),"",INDEX($A$2:$A$4629,MATCH(0,INDEX(COUNTIF($B$1:B1614,$A$2:$A$4629),0,0),0)))</f>
        <v/>
      </c>
      <c r="C1615" t="str">
        <f t="shared" si="25"/>
        <v/>
      </c>
    </row>
    <row r="1616" spans="1:3" x14ac:dyDescent="0.25">
      <c r="A1616" t="str">
        <f>IF(Scan2VK!M64&lt;&gt;"",Scan2VK!M64,"")</f>
        <v>F4</v>
      </c>
      <c r="B1616" t="str">
        <f>IF(ISERROR(MATCH(0,INDEX(COUNTIF($B$1:B1615,$A$2:$A$4629),0,0),0)),"",INDEX($A$2:$A$4629,MATCH(0,INDEX(COUNTIF($B$1:B1615,$A$2:$A$4629),0,0),0)))</f>
        <v/>
      </c>
      <c r="C1616" t="str">
        <f t="shared" si="25"/>
        <v/>
      </c>
    </row>
    <row r="1617" spans="1:3" x14ac:dyDescent="0.25">
      <c r="A1617" t="str">
        <f>IF(Scan2VK!M65&lt;&gt;"",Scan2VK!M65,"")</f>
        <v>F5</v>
      </c>
      <c r="B1617" t="str">
        <f>IF(ISERROR(MATCH(0,INDEX(COUNTIF($B$1:B1616,$A$2:$A$4629),0,0),0)),"",INDEX($A$2:$A$4629,MATCH(0,INDEX(COUNTIF($B$1:B1616,$A$2:$A$4629),0,0),0)))</f>
        <v/>
      </c>
      <c r="C1617" t="str">
        <f t="shared" si="25"/>
        <v/>
      </c>
    </row>
    <row r="1618" spans="1:3" x14ac:dyDescent="0.25">
      <c r="A1618" t="str">
        <f>IF(Scan2VK!M66&lt;&gt;"",Scan2VK!M66,"")</f>
        <v>F6</v>
      </c>
      <c r="B1618" t="str">
        <f>IF(ISERROR(MATCH(0,INDEX(COUNTIF($B$1:B1617,$A$2:$A$4629),0,0),0)),"",INDEX($A$2:$A$4629,MATCH(0,INDEX(COUNTIF($B$1:B1617,$A$2:$A$4629),0,0),0)))</f>
        <v/>
      </c>
      <c r="C1618" t="str">
        <f t="shared" si="25"/>
        <v/>
      </c>
    </row>
    <row r="1619" spans="1:3" x14ac:dyDescent="0.25">
      <c r="A1619" t="str">
        <f>IF(Scan2VK!M67&lt;&gt;"",Scan2VK!M67,"")</f>
        <v>F7</v>
      </c>
      <c r="B1619" t="str">
        <f>IF(ISERROR(MATCH(0,INDEX(COUNTIF($B$1:B1618,$A$2:$A$4629),0,0),0)),"",INDEX($A$2:$A$4629,MATCH(0,INDEX(COUNTIF($B$1:B1618,$A$2:$A$4629),0,0),0)))</f>
        <v/>
      </c>
      <c r="C1619" t="str">
        <f t="shared" si="25"/>
        <v/>
      </c>
    </row>
    <row r="1620" spans="1:3" x14ac:dyDescent="0.25">
      <c r="A1620" t="str">
        <f>IF(Scan2VK!M68&lt;&gt;"",Scan2VK!M68,"")</f>
        <v>F8</v>
      </c>
      <c r="B1620" t="str">
        <f>IF(ISERROR(MATCH(0,INDEX(COUNTIF($B$1:B1619,$A$2:$A$4629),0,0),0)),"",INDEX($A$2:$A$4629,MATCH(0,INDEX(COUNTIF($B$1:B1619,$A$2:$A$4629),0,0),0)))</f>
        <v/>
      </c>
      <c r="C1620" t="str">
        <f t="shared" si="25"/>
        <v/>
      </c>
    </row>
    <row r="1621" spans="1:3" x14ac:dyDescent="0.25">
      <c r="A1621" t="str">
        <f>IF(Scan2VK!M69&lt;&gt;"",Scan2VK!M69,"")</f>
        <v>F9</v>
      </c>
      <c r="B1621" t="str">
        <f>IF(ISERROR(MATCH(0,INDEX(COUNTIF($B$1:B1620,$A$2:$A$4629),0,0),0)),"",INDEX($A$2:$A$4629,MATCH(0,INDEX(COUNTIF($B$1:B1620,$A$2:$A$4629),0,0),0)))</f>
        <v/>
      </c>
      <c r="C1621" t="str">
        <f t="shared" si="25"/>
        <v/>
      </c>
    </row>
    <row r="1622" spans="1:3" x14ac:dyDescent="0.25">
      <c r="A1622" t="str">
        <f>IF(Scan2VK!M70&lt;&gt;"",Scan2VK!M70,"")</f>
        <v>F10</v>
      </c>
      <c r="B1622" t="str">
        <f>IF(ISERROR(MATCH(0,INDEX(COUNTIF($B$1:B1621,$A$2:$A$4629),0,0),0)),"",INDEX($A$2:$A$4629,MATCH(0,INDEX(COUNTIF($B$1:B1621,$A$2:$A$4629),0,0),0)))</f>
        <v/>
      </c>
      <c r="C1622" t="str">
        <f t="shared" si="25"/>
        <v/>
      </c>
    </row>
    <row r="1623" spans="1:3" x14ac:dyDescent="0.25">
      <c r="A1623" t="str">
        <f>IF(Scan2VK!M71&lt;&gt;"",Scan2VK!M71,"")</f>
        <v>NUMLOCK</v>
      </c>
      <c r="B1623" t="str">
        <f>IF(ISERROR(MATCH(0,INDEX(COUNTIF($B$1:B1622,$A$2:$A$4629),0,0),0)),"",INDEX($A$2:$A$4629,MATCH(0,INDEX(COUNTIF($B$1:B1622,$A$2:$A$4629),0,0),0)))</f>
        <v/>
      </c>
      <c r="C1623" t="str">
        <f t="shared" si="25"/>
        <v/>
      </c>
    </row>
    <row r="1624" spans="1:3" x14ac:dyDescent="0.25">
      <c r="A1624" t="str">
        <f>IF(Scan2VK!M72&lt;&gt;"",Scan2VK!M72,"")</f>
        <v>SCROLL</v>
      </c>
      <c r="B1624" t="str">
        <f>IF(ISERROR(MATCH(0,INDEX(COUNTIF($B$1:B1623,$A$2:$A$4629),0,0),0)),"",INDEX($A$2:$A$4629,MATCH(0,INDEX(COUNTIF($B$1:B1623,$A$2:$A$4629),0,0),0)))</f>
        <v/>
      </c>
      <c r="C1624" t="str">
        <f t="shared" si="25"/>
        <v/>
      </c>
    </row>
    <row r="1625" spans="1:3" x14ac:dyDescent="0.25">
      <c r="A1625" t="str">
        <f>IF(Scan2VK!M73&lt;&gt;"",Scan2VK!M73,"")</f>
        <v>HOME</v>
      </c>
      <c r="B1625" t="str">
        <f>IF(ISERROR(MATCH(0,INDEX(COUNTIF($B$1:B1624,$A$2:$A$4629),0,0),0)),"",INDEX($A$2:$A$4629,MATCH(0,INDEX(COUNTIF($B$1:B1624,$A$2:$A$4629),0,0),0)))</f>
        <v/>
      </c>
      <c r="C1625" t="str">
        <f t="shared" si="25"/>
        <v/>
      </c>
    </row>
    <row r="1626" spans="1:3" x14ac:dyDescent="0.25">
      <c r="A1626" t="str">
        <f>IF(Scan2VK!M74&lt;&gt;"",Scan2VK!M74,"")</f>
        <v>UP</v>
      </c>
      <c r="B1626" t="str">
        <f>IF(ISERROR(MATCH(0,INDEX(COUNTIF($B$1:B1625,$A$2:$A$4629),0,0),0)),"",INDEX($A$2:$A$4629,MATCH(0,INDEX(COUNTIF($B$1:B1625,$A$2:$A$4629),0,0),0)))</f>
        <v/>
      </c>
      <c r="C1626" t="str">
        <f t="shared" si="25"/>
        <v/>
      </c>
    </row>
    <row r="1627" spans="1:3" x14ac:dyDescent="0.25">
      <c r="A1627" t="str">
        <f>IF(Scan2VK!M75&lt;&gt;"",Scan2VK!M75,"")</f>
        <v>PRIOR</v>
      </c>
      <c r="B1627" t="str">
        <f>IF(ISERROR(MATCH(0,INDEX(COUNTIF($B$1:B1626,$A$2:$A$4629),0,0),0)),"",INDEX($A$2:$A$4629,MATCH(0,INDEX(COUNTIF($B$1:B1626,$A$2:$A$4629),0,0),0)))</f>
        <v/>
      </c>
      <c r="C1627" t="str">
        <f t="shared" si="25"/>
        <v/>
      </c>
    </row>
    <row r="1628" spans="1:3" x14ac:dyDescent="0.25">
      <c r="A1628" t="str">
        <f>IF(Scan2VK!M76&lt;&gt;"",Scan2VK!M76,"")</f>
        <v>SUBTRACT</v>
      </c>
      <c r="B1628" t="str">
        <f>IF(ISERROR(MATCH(0,INDEX(COUNTIF($B$1:B1627,$A$2:$A$4629),0,0),0)),"",INDEX($A$2:$A$4629,MATCH(0,INDEX(COUNTIF($B$1:B1627,$A$2:$A$4629),0,0),0)))</f>
        <v/>
      </c>
      <c r="C1628" t="str">
        <f t="shared" si="25"/>
        <v/>
      </c>
    </row>
    <row r="1629" spans="1:3" x14ac:dyDescent="0.25">
      <c r="A1629" t="str">
        <f>IF(Scan2VK!M77&lt;&gt;"",Scan2VK!M77,"")</f>
        <v>LEFT</v>
      </c>
      <c r="B1629" t="str">
        <f>IF(ISERROR(MATCH(0,INDEX(COUNTIF($B$1:B1628,$A$2:$A$4629),0,0),0)),"",INDEX($A$2:$A$4629,MATCH(0,INDEX(COUNTIF($B$1:B1628,$A$2:$A$4629),0,0),0)))</f>
        <v/>
      </c>
      <c r="C1629" t="str">
        <f t="shared" si="25"/>
        <v/>
      </c>
    </row>
    <row r="1630" spans="1:3" x14ac:dyDescent="0.25">
      <c r="A1630" t="str">
        <f>IF(Scan2VK!M78&lt;&gt;"",Scan2VK!M78,"")</f>
        <v>CLEAR</v>
      </c>
      <c r="B1630" t="str">
        <f>IF(ISERROR(MATCH(0,INDEX(COUNTIF($B$1:B1629,$A$2:$A$4629),0,0),0)),"",INDEX($A$2:$A$4629,MATCH(0,INDEX(COUNTIF($B$1:B1629,$A$2:$A$4629),0,0),0)))</f>
        <v/>
      </c>
      <c r="C1630" t="str">
        <f t="shared" si="25"/>
        <v/>
      </c>
    </row>
    <row r="1631" spans="1:3" x14ac:dyDescent="0.25">
      <c r="A1631" t="str">
        <f>IF(Scan2VK!M79&lt;&gt;"",Scan2VK!M79,"")</f>
        <v>RIGHT</v>
      </c>
      <c r="B1631" t="str">
        <f>IF(ISERROR(MATCH(0,INDEX(COUNTIF($B$1:B1630,$A$2:$A$4629),0,0),0)),"",INDEX($A$2:$A$4629,MATCH(0,INDEX(COUNTIF($B$1:B1630,$A$2:$A$4629),0,0),0)))</f>
        <v/>
      </c>
      <c r="C1631" t="str">
        <f t="shared" si="25"/>
        <v/>
      </c>
    </row>
    <row r="1632" spans="1:3" x14ac:dyDescent="0.25">
      <c r="A1632" t="str">
        <f>IF(Scan2VK!M80&lt;&gt;"",Scan2VK!M80,"")</f>
        <v>ADD</v>
      </c>
      <c r="B1632" t="str">
        <f>IF(ISERROR(MATCH(0,INDEX(COUNTIF($B$1:B1631,$A$2:$A$4629),0,0),0)),"",INDEX($A$2:$A$4629,MATCH(0,INDEX(COUNTIF($B$1:B1631,$A$2:$A$4629),0,0),0)))</f>
        <v/>
      </c>
      <c r="C1632" t="str">
        <f t="shared" si="25"/>
        <v/>
      </c>
    </row>
    <row r="1633" spans="1:3" x14ac:dyDescent="0.25">
      <c r="A1633" t="str">
        <f>IF(Scan2VK!M81&lt;&gt;"",Scan2VK!M81,"")</f>
        <v>END</v>
      </c>
      <c r="B1633" t="str">
        <f>IF(ISERROR(MATCH(0,INDEX(COUNTIF($B$1:B1632,$A$2:$A$4629),0,0),0)),"",INDEX($A$2:$A$4629,MATCH(0,INDEX(COUNTIF($B$1:B1632,$A$2:$A$4629),0,0),0)))</f>
        <v/>
      </c>
      <c r="C1633" t="str">
        <f t="shared" si="25"/>
        <v/>
      </c>
    </row>
    <row r="1634" spans="1:3" x14ac:dyDescent="0.25">
      <c r="A1634" t="str">
        <f>IF(Scan2VK!M82&lt;&gt;"",Scan2VK!M82,"")</f>
        <v>DOWN</v>
      </c>
      <c r="B1634" t="str">
        <f>IF(ISERROR(MATCH(0,INDEX(COUNTIF($B$1:B1633,$A$2:$A$4629),0,0),0)),"",INDEX($A$2:$A$4629,MATCH(0,INDEX(COUNTIF($B$1:B1633,$A$2:$A$4629),0,0),0)))</f>
        <v/>
      </c>
      <c r="C1634" t="str">
        <f t="shared" si="25"/>
        <v/>
      </c>
    </row>
    <row r="1635" spans="1:3" x14ac:dyDescent="0.25">
      <c r="A1635" t="str">
        <f>IF(Scan2VK!M83&lt;&gt;"",Scan2VK!M83,"")</f>
        <v>NEXT</v>
      </c>
      <c r="B1635" t="str">
        <f>IF(ISERROR(MATCH(0,INDEX(COUNTIF($B$1:B1634,$A$2:$A$4629),0,0),0)),"",INDEX($A$2:$A$4629,MATCH(0,INDEX(COUNTIF($B$1:B1634,$A$2:$A$4629),0,0),0)))</f>
        <v/>
      </c>
      <c r="C1635" t="str">
        <f t="shared" si="25"/>
        <v/>
      </c>
    </row>
    <row r="1636" spans="1:3" x14ac:dyDescent="0.25">
      <c r="A1636" t="str">
        <f>IF(Scan2VK!M84&lt;&gt;"",Scan2VK!M84,"")</f>
        <v>INSERT</v>
      </c>
      <c r="B1636" t="str">
        <f>IF(ISERROR(MATCH(0,INDEX(COUNTIF($B$1:B1635,$A$2:$A$4629),0,0),0)),"",INDEX($A$2:$A$4629,MATCH(0,INDEX(COUNTIF($B$1:B1635,$A$2:$A$4629),0,0),0)))</f>
        <v/>
      </c>
      <c r="C1636" t="str">
        <f t="shared" si="25"/>
        <v/>
      </c>
    </row>
    <row r="1637" spans="1:3" x14ac:dyDescent="0.25">
      <c r="A1637" t="str">
        <f>IF(Scan2VK!M85&lt;&gt;"",Scan2VK!M85,"")</f>
        <v>DELETE</v>
      </c>
      <c r="B1637" t="str">
        <f>IF(ISERROR(MATCH(0,INDEX(COUNTIF($B$1:B1636,$A$2:$A$4629),0,0),0)),"",INDEX($A$2:$A$4629,MATCH(0,INDEX(COUNTIF($B$1:B1636,$A$2:$A$4629),0,0),0)))</f>
        <v/>
      </c>
      <c r="C1637" t="str">
        <f t="shared" si="25"/>
        <v/>
      </c>
    </row>
    <row r="1638" spans="1:3" x14ac:dyDescent="0.25">
      <c r="A1638" t="str">
        <f>IF(Scan2VK!M86&lt;&gt;"",Scan2VK!M86,"")</f>
        <v>SNAPSHOT</v>
      </c>
      <c r="B1638" t="str">
        <f>IF(ISERROR(MATCH(0,INDEX(COUNTIF($B$1:B1637,$A$2:$A$4629),0,0),0)),"",INDEX($A$2:$A$4629,MATCH(0,INDEX(COUNTIF($B$1:B1637,$A$2:$A$4629),0,0),0)))</f>
        <v/>
      </c>
      <c r="C1638" t="str">
        <f t="shared" si="25"/>
        <v/>
      </c>
    </row>
    <row r="1639" spans="1:3" x14ac:dyDescent="0.25">
      <c r="A1639" t="str">
        <f>IF(Scan2VK!M87&lt;&gt;"",Scan2VK!M87,"")</f>
        <v>_none_</v>
      </c>
      <c r="B1639" t="str">
        <f>IF(ISERROR(MATCH(0,INDEX(COUNTIF($B$1:B1638,$A$2:$A$4629),0,0),0)),"",INDEX($A$2:$A$4629,MATCH(0,INDEX(COUNTIF($B$1:B1638,$A$2:$A$4629),0,0),0)))</f>
        <v/>
      </c>
      <c r="C1639" t="str">
        <f t="shared" si="25"/>
        <v/>
      </c>
    </row>
    <row r="1640" spans="1:3" x14ac:dyDescent="0.25">
      <c r="A1640" t="str">
        <f>IF(Scan2VK!M88&lt;&gt;"",Scan2VK!M88,"")</f>
        <v>OEM_102</v>
      </c>
      <c r="B1640" t="str">
        <f>IF(ISERROR(MATCH(0,INDEX(COUNTIF($B$1:B1639,$A$2:$A$4629),0,0),0)),"",INDEX($A$2:$A$4629,MATCH(0,INDEX(COUNTIF($B$1:B1639,$A$2:$A$4629),0,0),0)))</f>
        <v/>
      </c>
      <c r="C1640" t="str">
        <f t="shared" si="25"/>
        <v/>
      </c>
    </row>
    <row r="1641" spans="1:3" x14ac:dyDescent="0.25">
      <c r="A1641" t="str">
        <f>IF(Scan2VK!M89&lt;&gt;"",Scan2VK!M89,"")</f>
        <v>F11</v>
      </c>
      <c r="B1641" t="str">
        <f>IF(ISERROR(MATCH(0,INDEX(COUNTIF($B$1:B1640,$A$2:$A$4629),0,0),0)),"",INDEX($A$2:$A$4629,MATCH(0,INDEX(COUNTIF($B$1:B1640,$A$2:$A$4629),0,0),0)))</f>
        <v/>
      </c>
      <c r="C1641" t="str">
        <f t="shared" si="25"/>
        <v/>
      </c>
    </row>
    <row r="1642" spans="1:3" x14ac:dyDescent="0.25">
      <c r="A1642" t="str">
        <f>IF(Scan2VK!M90&lt;&gt;"",Scan2VK!M90,"")</f>
        <v>F12</v>
      </c>
      <c r="B1642" t="str">
        <f>IF(ISERROR(MATCH(0,INDEX(COUNTIF($B$1:B1641,$A$2:$A$4629),0,0),0)),"",INDEX($A$2:$A$4629,MATCH(0,INDEX(COUNTIF($B$1:B1641,$A$2:$A$4629),0,0),0)))</f>
        <v/>
      </c>
      <c r="C1642" t="str">
        <f t="shared" si="25"/>
        <v/>
      </c>
    </row>
    <row r="1643" spans="1:3" x14ac:dyDescent="0.25">
      <c r="A1643" t="str">
        <f>IF(Scan2VK!M91&lt;&gt;"",Scan2VK!M91,"")</f>
        <v>CLEAR</v>
      </c>
      <c r="B1643" t="str">
        <f>IF(ISERROR(MATCH(0,INDEX(COUNTIF($B$1:B1642,$A$2:$A$4629),0,0),0)),"",INDEX($A$2:$A$4629,MATCH(0,INDEX(COUNTIF($B$1:B1642,$A$2:$A$4629),0,0),0)))</f>
        <v/>
      </c>
      <c r="C1643" t="str">
        <f t="shared" si="25"/>
        <v/>
      </c>
    </row>
    <row r="1644" spans="1:3" x14ac:dyDescent="0.25">
      <c r="A1644" t="str">
        <f>IF(Scan2VK!M92&lt;&gt;"",Scan2VK!M92,"")</f>
        <v>NONCONVERT</v>
      </c>
      <c r="B1644" t="str">
        <f>IF(ISERROR(MATCH(0,INDEX(COUNTIF($B$1:B1643,$A$2:$A$4629),0,0),0)),"",INDEX($A$2:$A$4629,MATCH(0,INDEX(COUNTIF($B$1:B1643,$A$2:$A$4629),0,0),0)))</f>
        <v/>
      </c>
      <c r="C1644" t="str">
        <f t="shared" si="25"/>
        <v/>
      </c>
    </row>
    <row r="1645" spans="1:3" x14ac:dyDescent="0.25">
      <c r="A1645" t="str">
        <f>IF(Scan2VK!M93&lt;&gt;"",Scan2VK!M93,"")</f>
        <v>CONVERT</v>
      </c>
      <c r="B1645" t="str">
        <f>IF(ISERROR(MATCH(0,INDEX(COUNTIF($B$1:B1644,$A$2:$A$4629),0,0),0)),"",INDEX($A$2:$A$4629,MATCH(0,INDEX(COUNTIF($B$1:B1644,$A$2:$A$4629),0,0),0)))</f>
        <v/>
      </c>
      <c r="C1645" t="str">
        <f t="shared" si="25"/>
        <v/>
      </c>
    </row>
    <row r="1646" spans="1:3" x14ac:dyDescent="0.25">
      <c r="A1646" t="str">
        <f>IF(Scan2VK!M94&lt;&gt;"",Scan2VK!M94,"")</f>
        <v>OEM_AX</v>
      </c>
      <c r="B1646" t="str">
        <f>IF(ISERROR(MATCH(0,INDEX(COUNTIF($B$1:B1645,$A$2:$A$4629),0,0),0)),"",INDEX($A$2:$A$4629,MATCH(0,INDEX(COUNTIF($B$1:B1645,$A$2:$A$4629),0,0),0)))</f>
        <v/>
      </c>
      <c r="C1646" t="str">
        <f t="shared" si="25"/>
        <v/>
      </c>
    </row>
    <row r="1647" spans="1:3" x14ac:dyDescent="0.25">
      <c r="A1647" t="str">
        <f>IF(Scan2VK!M95&lt;&gt;"",Scan2VK!M95,"")</f>
        <v>EREOF</v>
      </c>
      <c r="B1647" t="str">
        <f>IF(ISERROR(MATCH(0,INDEX(COUNTIF($B$1:B1646,$A$2:$A$4629),0,0),0)),"",INDEX($A$2:$A$4629,MATCH(0,INDEX(COUNTIF($B$1:B1646,$A$2:$A$4629),0,0),0)))</f>
        <v/>
      </c>
      <c r="C1647" t="str">
        <f t="shared" si="25"/>
        <v/>
      </c>
    </row>
    <row r="1648" spans="1:3" x14ac:dyDescent="0.25">
      <c r="A1648" t="str">
        <f>IF(Scan2VK!M96&lt;&gt;"",Scan2VK!M96,"")</f>
        <v>_none_</v>
      </c>
      <c r="B1648" t="str">
        <f>IF(ISERROR(MATCH(0,INDEX(COUNTIF($B$1:B1647,$A$2:$A$4629),0,0),0)),"",INDEX($A$2:$A$4629,MATCH(0,INDEX(COUNTIF($B$1:B1647,$A$2:$A$4629),0,0),0)))</f>
        <v/>
      </c>
      <c r="C1648" t="str">
        <f t="shared" si="25"/>
        <v/>
      </c>
    </row>
    <row r="1649" spans="1:3" x14ac:dyDescent="0.25">
      <c r="A1649" t="str">
        <f>IF(Scan2VK!M97&lt;&gt;"",Scan2VK!M97,"")</f>
        <v>NONAME</v>
      </c>
      <c r="B1649" t="str">
        <f>IF(ISERROR(MATCH(0,INDEX(COUNTIF($B$1:B1648,$A$2:$A$4629),0,0),0)),"",INDEX($A$2:$A$4629,MATCH(0,INDEX(COUNTIF($B$1:B1648,$A$2:$A$4629),0,0),0)))</f>
        <v/>
      </c>
      <c r="C1649" t="str">
        <f t="shared" si="25"/>
        <v/>
      </c>
    </row>
    <row r="1650" spans="1:3" x14ac:dyDescent="0.25">
      <c r="A1650" t="str">
        <f>IF(Scan2VK!M98&lt;&gt;"",Scan2VK!M98,"")</f>
        <v>_none_</v>
      </c>
      <c r="B1650" t="str">
        <f>IF(ISERROR(MATCH(0,INDEX(COUNTIF($B$1:B1649,$A$2:$A$4629),0,0),0)),"",INDEX($A$2:$A$4629,MATCH(0,INDEX(COUNTIF($B$1:B1649,$A$2:$A$4629),0,0),0)))</f>
        <v/>
      </c>
      <c r="C1650" t="str">
        <f t="shared" si="25"/>
        <v/>
      </c>
    </row>
    <row r="1651" spans="1:3" x14ac:dyDescent="0.25">
      <c r="A1651" t="str">
        <f>IF(Scan2VK!M99&lt;&gt;"",Scan2VK!M99,"")</f>
        <v>_none_</v>
      </c>
      <c r="B1651" t="str">
        <f>IF(ISERROR(MATCH(0,INDEX(COUNTIF($B$1:B1650,$A$2:$A$4629),0,0),0)),"",INDEX($A$2:$A$4629,MATCH(0,INDEX(COUNTIF($B$1:B1650,$A$2:$A$4629),0,0),0)))</f>
        <v/>
      </c>
      <c r="C1651" t="str">
        <f t="shared" si="25"/>
        <v/>
      </c>
    </row>
    <row r="1652" spans="1:3" x14ac:dyDescent="0.25">
      <c r="A1652" t="str">
        <f>IF(Scan2VK!M100&lt;&gt;"",Scan2VK!M100,"")</f>
        <v>_none_</v>
      </c>
      <c r="B1652" t="str">
        <f>IF(ISERROR(MATCH(0,INDEX(COUNTIF($B$1:B1651,$A$2:$A$4629),0,0),0)),"",INDEX($A$2:$A$4629,MATCH(0,INDEX(COUNTIF($B$1:B1651,$A$2:$A$4629),0,0),0)))</f>
        <v/>
      </c>
      <c r="C1652" t="str">
        <f t="shared" si="25"/>
        <v/>
      </c>
    </row>
    <row r="1653" spans="1:3" x14ac:dyDescent="0.25">
      <c r="A1653" t="str">
        <f>IF(Scan2VK!M101&lt;&gt;"",Scan2VK!M101,"")</f>
        <v>_none_</v>
      </c>
      <c r="B1653" t="str">
        <f>IF(ISERROR(MATCH(0,INDEX(COUNTIF($B$1:B1652,$A$2:$A$4629),0,0),0)),"",INDEX($A$2:$A$4629,MATCH(0,INDEX(COUNTIF($B$1:B1652,$A$2:$A$4629),0,0),0)))</f>
        <v/>
      </c>
      <c r="C1653" t="str">
        <f t="shared" si="25"/>
        <v/>
      </c>
    </row>
    <row r="1654" spans="1:3" x14ac:dyDescent="0.25">
      <c r="A1654" t="str">
        <f>IF(Scan2VK!M102&lt;&gt;"",Scan2VK!M102,"")</f>
        <v>F13</v>
      </c>
      <c r="B1654" t="str">
        <f>IF(ISERROR(MATCH(0,INDEX(COUNTIF($B$1:B1653,$A$2:$A$4629),0,0),0)),"",INDEX($A$2:$A$4629,MATCH(0,INDEX(COUNTIF($B$1:B1653,$A$2:$A$4629),0,0),0)))</f>
        <v/>
      </c>
      <c r="C1654" t="str">
        <f t="shared" si="25"/>
        <v/>
      </c>
    </row>
    <row r="1655" spans="1:3" x14ac:dyDescent="0.25">
      <c r="A1655" t="str">
        <f>IF(Scan2VK!M103&lt;&gt;"",Scan2VK!M103,"")</f>
        <v>F14</v>
      </c>
      <c r="B1655" t="str">
        <f>IF(ISERROR(MATCH(0,INDEX(COUNTIF($B$1:B1654,$A$2:$A$4629),0,0),0)),"",INDEX($A$2:$A$4629,MATCH(0,INDEX(COUNTIF($B$1:B1654,$A$2:$A$4629),0,0),0)))</f>
        <v/>
      </c>
      <c r="C1655" t="str">
        <f t="shared" si="25"/>
        <v/>
      </c>
    </row>
    <row r="1656" spans="1:3" x14ac:dyDescent="0.25">
      <c r="A1656" t="str">
        <f>IF(Scan2VK!M104&lt;&gt;"",Scan2VK!M104,"")</f>
        <v>F15</v>
      </c>
      <c r="B1656" t="str">
        <f>IF(ISERROR(MATCH(0,INDEX(COUNTIF($B$1:B1655,$A$2:$A$4629),0,0),0)),"",INDEX($A$2:$A$4629,MATCH(0,INDEX(COUNTIF($B$1:B1655,$A$2:$A$4629),0,0),0)))</f>
        <v/>
      </c>
      <c r="C1656" t="str">
        <f t="shared" si="25"/>
        <v/>
      </c>
    </row>
    <row r="1657" spans="1:3" x14ac:dyDescent="0.25">
      <c r="A1657" t="str">
        <f>IF(Scan2VK!M105&lt;&gt;"",Scan2VK!M105,"")</f>
        <v>F16</v>
      </c>
      <c r="B1657" t="str">
        <f>IF(ISERROR(MATCH(0,INDEX(COUNTIF($B$1:B1656,$A$2:$A$4629),0,0),0)),"",INDEX($A$2:$A$4629,MATCH(0,INDEX(COUNTIF($B$1:B1656,$A$2:$A$4629),0,0),0)))</f>
        <v/>
      </c>
      <c r="C1657" t="str">
        <f t="shared" si="25"/>
        <v/>
      </c>
    </row>
    <row r="1658" spans="1:3" x14ac:dyDescent="0.25">
      <c r="A1658" t="str">
        <f>IF(Scan2VK!M106&lt;&gt;"",Scan2VK!M106,"")</f>
        <v>F17</v>
      </c>
      <c r="B1658" t="str">
        <f>IF(ISERROR(MATCH(0,INDEX(COUNTIF($B$1:B1657,$A$2:$A$4629),0,0),0)),"",INDEX($A$2:$A$4629,MATCH(0,INDEX(COUNTIF($B$1:B1657,$A$2:$A$4629),0,0),0)))</f>
        <v/>
      </c>
      <c r="C1658" t="str">
        <f t="shared" si="25"/>
        <v/>
      </c>
    </row>
    <row r="1659" spans="1:3" x14ac:dyDescent="0.25">
      <c r="A1659" t="str">
        <f>IF(Scan2VK!M107&lt;&gt;"",Scan2VK!M107,"")</f>
        <v>F18</v>
      </c>
      <c r="B1659" t="str">
        <f>IF(ISERROR(MATCH(0,INDEX(COUNTIF($B$1:B1658,$A$2:$A$4629),0,0),0)),"",INDEX($A$2:$A$4629,MATCH(0,INDEX(COUNTIF($B$1:B1658,$A$2:$A$4629),0,0),0)))</f>
        <v/>
      </c>
      <c r="C1659" t="str">
        <f t="shared" si="25"/>
        <v/>
      </c>
    </row>
    <row r="1660" spans="1:3" x14ac:dyDescent="0.25">
      <c r="A1660" t="str">
        <f>IF(Scan2VK!M108&lt;&gt;"",Scan2VK!M108,"")</f>
        <v>F19</v>
      </c>
      <c r="B1660" t="str">
        <f>IF(ISERROR(MATCH(0,INDEX(COUNTIF($B$1:B1659,$A$2:$A$4629),0,0),0)),"",INDEX($A$2:$A$4629,MATCH(0,INDEX(COUNTIF($B$1:B1659,$A$2:$A$4629),0,0),0)))</f>
        <v/>
      </c>
      <c r="C1660" t="str">
        <f t="shared" si="25"/>
        <v/>
      </c>
    </row>
    <row r="1661" spans="1:3" x14ac:dyDescent="0.25">
      <c r="A1661" t="str">
        <f>IF(Scan2VK!M109&lt;&gt;"",Scan2VK!M109,"")</f>
        <v>F20</v>
      </c>
      <c r="B1661" t="str">
        <f>IF(ISERROR(MATCH(0,INDEX(COUNTIF($B$1:B1660,$A$2:$A$4629),0,0),0)),"",INDEX($A$2:$A$4629,MATCH(0,INDEX(COUNTIF($B$1:B1660,$A$2:$A$4629),0,0),0)))</f>
        <v/>
      </c>
      <c r="C1661" t="str">
        <f t="shared" si="25"/>
        <v/>
      </c>
    </row>
    <row r="1662" spans="1:3" x14ac:dyDescent="0.25">
      <c r="A1662" t="str">
        <f>IF(Scan2VK!M110&lt;&gt;"",Scan2VK!M110,"")</f>
        <v>F21</v>
      </c>
      <c r="B1662" t="str">
        <f>IF(ISERROR(MATCH(0,INDEX(COUNTIF($B$1:B1661,$A$2:$A$4629),0,0),0)),"",INDEX($A$2:$A$4629,MATCH(0,INDEX(COUNTIF($B$1:B1661,$A$2:$A$4629),0,0),0)))</f>
        <v/>
      </c>
      <c r="C1662" t="str">
        <f t="shared" si="25"/>
        <v/>
      </c>
    </row>
    <row r="1663" spans="1:3" x14ac:dyDescent="0.25">
      <c r="A1663" t="str">
        <f>IF(Scan2VK!M111&lt;&gt;"",Scan2VK!M111,"")</f>
        <v>F22</v>
      </c>
      <c r="B1663" t="str">
        <f>IF(ISERROR(MATCH(0,INDEX(COUNTIF($B$1:B1662,$A$2:$A$4629),0,0),0)),"",INDEX($A$2:$A$4629,MATCH(0,INDEX(COUNTIF($B$1:B1662,$A$2:$A$4629),0,0),0)))</f>
        <v/>
      </c>
      <c r="C1663" t="str">
        <f t="shared" si="25"/>
        <v/>
      </c>
    </row>
    <row r="1664" spans="1:3" x14ac:dyDescent="0.25">
      <c r="A1664" t="str">
        <f>IF(Scan2VK!M112&lt;&gt;"",Scan2VK!M112,"")</f>
        <v>F23</v>
      </c>
      <c r="B1664" t="str">
        <f>IF(ISERROR(MATCH(0,INDEX(COUNTIF($B$1:B1663,$A$2:$A$4629),0,0),0)),"",INDEX($A$2:$A$4629,MATCH(0,INDEX(COUNTIF($B$1:B1663,$A$2:$A$4629),0,0),0)))</f>
        <v/>
      </c>
      <c r="C1664" t="str">
        <f t="shared" si="25"/>
        <v/>
      </c>
    </row>
    <row r="1665" spans="1:3" x14ac:dyDescent="0.25">
      <c r="A1665" t="str">
        <f>IF(Scan2VK!M113&lt;&gt;"",Scan2VK!M113,"")</f>
        <v>_none_</v>
      </c>
      <c r="B1665" t="str">
        <f>IF(ISERROR(MATCH(0,INDEX(COUNTIF($B$1:B1664,$A$2:$A$4629),0,0),0)),"",INDEX($A$2:$A$4629,MATCH(0,INDEX(COUNTIF($B$1:B1664,$A$2:$A$4629),0,0),0)))</f>
        <v/>
      </c>
      <c r="C1665" t="str">
        <f t="shared" si="25"/>
        <v/>
      </c>
    </row>
    <row r="1666" spans="1:3" x14ac:dyDescent="0.25">
      <c r="A1666" t="str">
        <f>IF(Scan2VK!M114&lt;&gt;"",Scan2VK!M114,"")</f>
        <v>_none_</v>
      </c>
      <c r="B1666" t="str">
        <f>IF(ISERROR(MATCH(0,INDEX(COUNTIF($B$1:B1665,$A$2:$A$4629),0,0),0)),"",INDEX($A$2:$A$4629,MATCH(0,INDEX(COUNTIF($B$1:B1665,$A$2:$A$4629),0,0),0)))</f>
        <v/>
      </c>
      <c r="C1666" t="str">
        <f t="shared" si="25"/>
        <v/>
      </c>
    </row>
    <row r="1667" spans="1:3" x14ac:dyDescent="0.25">
      <c r="A1667" t="str">
        <f>IF(Scan2VK!M115&lt;&gt;"",Scan2VK!M115,"")</f>
        <v>_none_</v>
      </c>
      <c r="B1667" t="str">
        <f>IF(ISERROR(MATCH(0,INDEX(COUNTIF($B$1:B1666,$A$2:$A$4629),0,0),0)),"",INDEX($A$2:$A$4629,MATCH(0,INDEX(COUNTIF($B$1:B1666,$A$2:$A$4629),0,0),0)))</f>
        <v/>
      </c>
      <c r="C1667" t="str">
        <f t="shared" ref="C1667:C1730" si="26">IF(B1667&lt;&gt;"","&lt;xs:enumeration value="""&amp;B1667&amp;"""/&gt;","")</f>
        <v/>
      </c>
    </row>
    <row r="1668" spans="1:3" x14ac:dyDescent="0.25">
      <c r="A1668" t="str">
        <f>IF(Scan2VK!M116&lt;&gt;"",Scan2VK!M116,"")</f>
        <v>_none_</v>
      </c>
      <c r="B1668" t="str">
        <f>IF(ISERROR(MATCH(0,INDEX(COUNTIF($B$1:B1667,$A$2:$A$4629),0,0),0)),"",INDEX($A$2:$A$4629,MATCH(0,INDEX(COUNTIF($B$1:B1667,$A$2:$A$4629),0,0),0)))</f>
        <v/>
      </c>
      <c r="C1668" t="str">
        <f t="shared" si="26"/>
        <v/>
      </c>
    </row>
    <row r="1669" spans="1:3" x14ac:dyDescent="0.25">
      <c r="A1669" t="str">
        <f>IF(Scan2VK!M117&lt;&gt;"",Scan2VK!M117,"")</f>
        <v>_none_</v>
      </c>
      <c r="B1669" t="str">
        <f>IF(ISERROR(MATCH(0,INDEX(COUNTIF($B$1:B1668,$A$2:$A$4629),0,0),0)),"",INDEX($A$2:$A$4629,MATCH(0,INDEX(COUNTIF($B$1:B1668,$A$2:$A$4629),0,0),0)))</f>
        <v/>
      </c>
      <c r="C1669" t="str">
        <f t="shared" si="26"/>
        <v/>
      </c>
    </row>
    <row r="1670" spans="1:3" x14ac:dyDescent="0.25">
      <c r="A1670" t="str">
        <f>IF(Scan2VK!M118&lt;&gt;"",Scan2VK!M118,"")</f>
        <v>_none_</v>
      </c>
      <c r="B1670" t="str">
        <f>IF(ISERROR(MATCH(0,INDEX(COUNTIF($B$1:B1669,$A$2:$A$4629),0,0),0)),"",INDEX($A$2:$A$4629,MATCH(0,INDEX(COUNTIF($B$1:B1669,$A$2:$A$4629),0,0),0)))</f>
        <v/>
      </c>
      <c r="C1670" t="str">
        <f t="shared" si="26"/>
        <v/>
      </c>
    </row>
    <row r="1671" spans="1:3" x14ac:dyDescent="0.25">
      <c r="A1671" t="str">
        <f>IF(Scan2VK!M119&lt;&gt;"",Scan2VK!M119,"")</f>
        <v>_none_</v>
      </c>
      <c r="B1671" t="str">
        <f>IF(ISERROR(MATCH(0,INDEX(COUNTIF($B$1:B1670,$A$2:$A$4629),0,0),0)),"",INDEX($A$2:$A$4629,MATCH(0,INDEX(COUNTIF($B$1:B1670,$A$2:$A$4629),0,0),0)))</f>
        <v/>
      </c>
      <c r="C1671" t="str">
        <f t="shared" si="26"/>
        <v/>
      </c>
    </row>
    <row r="1672" spans="1:3" x14ac:dyDescent="0.25">
      <c r="A1672" t="str">
        <f>IF(Scan2VK!M120&lt;&gt;"",Scan2VK!M120,"")</f>
        <v>F24</v>
      </c>
      <c r="B1672" t="str">
        <f>IF(ISERROR(MATCH(0,INDEX(COUNTIF($B$1:B1671,$A$2:$A$4629),0,0),0)),"",INDEX($A$2:$A$4629,MATCH(0,INDEX(COUNTIF($B$1:B1671,$A$2:$A$4629),0,0),0)))</f>
        <v/>
      </c>
      <c r="C1672" t="str">
        <f t="shared" si="26"/>
        <v/>
      </c>
    </row>
    <row r="1673" spans="1:3" x14ac:dyDescent="0.25">
      <c r="A1673" t="str">
        <f>IF(Scan2VK!M121&lt;&gt;"",Scan2VK!M121,"")</f>
        <v>_none_</v>
      </c>
      <c r="B1673" t="str">
        <f>IF(ISERROR(MATCH(0,INDEX(COUNTIF($B$1:B1672,$A$2:$A$4629),0,0),0)),"",INDEX($A$2:$A$4629,MATCH(0,INDEX(COUNTIF($B$1:B1672,$A$2:$A$4629),0,0),0)))</f>
        <v/>
      </c>
      <c r="C1673" t="str">
        <f t="shared" si="26"/>
        <v/>
      </c>
    </row>
    <row r="1674" spans="1:3" x14ac:dyDescent="0.25">
      <c r="A1674" t="str">
        <f>IF(Scan2VK!M122&lt;&gt;"",Scan2VK!M122,"")</f>
        <v>_none_</v>
      </c>
      <c r="B1674" t="str">
        <f>IF(ISERROR(MATCH(0,INDEX(COUNTIF($B$1:B1673,$A$2:$A$4629),0,0),0)),"",INDEX($A$2:$A$4629,MATCH(0,INDEX(COUNTIF($B$1:B1673,$A$2:$A$4629),0,0),0)))</f>
        <v/>
      </c>
      <c r="C1674" t="str">
        <f t="shared" si="26"/>
        <v/>
      </c>
    </row>
    <row r="1675" spans="1:3" x14ac:dyDescent="0.25">
      <c r="A1675" t="str">
        <f>IF(Scan2VK!M123&lt;&gt;"",Scan2VK!M123,"")</f>
        <v>_none_</v>
      </c>
      <c r="B1675" t="str">
        <f>IF(ISERROR(MATCH(0,INDEX(COUNTIF($B$1:B1674,$A$2:$A$4629),0,0),0)),"",INDEX($A$2:$A$4629,MATCH(0,INDEX(COUNTIF($B$1:B1674,$A$2:$A$4629),0,0),0)))</f>
        <v/>
      </c>
      <c r="C1675" t="str">
        <f t="shared" si="26"/>
        <v/>
      </c>
    </row>
    <row r="1676" spans="1:3" x14ac:dyDescent="0.25">
      <c r="A1676" t="str">
        <f>IF(Scan2VK!M124&lt;&gt;"",Scan2VK!M124,"")</f>
        <v>_none_</v>
      </c>
      <c r="B1676" t="str">
        <f>IF(ISERROR(MATCH(0,INDEX(COUNTIF($B$1:B1675,$A$2:$A$4629),0,0),0)),"",INDEX($A$2:$A$4629,MATCH(0,INDEX(COUNTIF($B$1:B1675,$A$2:$A$4629),0,0),0)))</f>
        <v/>
      </c>
      <c r="C1676" t="str">
        <f t="shared" si="26"/>
        <v/>
      </c>
    </row>
    <row r="1677" spans="1:3" x14ac:dyDescent="0.25">
      <c r="A1677" t="str">
        <f>IF(Scan2VK!M125&lt;&gt;"",Scan2VK!M125,"")</f>
        <v>_none_</v>
      </c>
      <c r="B1677" t="str">
        <f>IF(ISERROR(MATCH(0,INDEX(COUNTIF($B$1:B1676,$A$2:$A$4629),0,0),0)),"",INDEX($A$2:$A$4629,MATCH(0,INDEX(COUNTIF($B$1:B1676,$A$2:$A$4629),0,0),0)))</f>
        <v/>
      </c>
      <c r="C1677" t="str">
        <f t="shared" si="26"/>
        <v/>
      </c>
    </row>
    <row r="1678" spans="1:3" x14ac:dyDescent="0.25">
      <c r="A1678" t="str">
        <f>IF(Scan2VK!M126&lt;&gt;"",Scan2VK!M126,"")</f>
        <v>TAB</v>
      </c>
      <c r="B1678" t="str">
        <f>IF(ISERROR(MATCH(0,INDEX(COUNTIF($B$1:B1677,$A$2:$A$4629),0,0),0)),"",INDEX($A$2:$A$4629,MATCH(0,INDEX(COUNTIF($B$1:B1677,$A$2:$A$4629),0,0),0)))</f>
        <v/>
      </c>
      <c r="C1678" t="str">
        <f t="shared" si="26"/>
        <v/>
      </c>
    </row>
    <row r="1679" spans="1:3" x14ac:dyDescent="0.25">
      <c r="A1679" t="str">
        <f>IF(Scan2VK!M127&lt;&gt;"",Scan2VK!M127,"")</f>
        <v>_none_</v>
      </c>
      <c r="B1679" t="str">
        <f>IF(ISERROR(MATCH(0,INDEX(COUNTIF($B$1:B1678,$A$2:$A$4629),0,0),0)),"",INDEX($A$2:$A$4629,MATCH(0,INDEX(COUNTIF($B$1:B1678,$A$2:$A$4629),0,0),0)))</f>
        <v/>
      </c>
      <c r="C1679" t="str">
        <f t="shared" si="26"/>
        <v/>
      </c>
    </row>
    <row r="1680" spans="1:3" x14ac:dyDescent="0.25">
      <c r="A1680" t="str">
        <f>IF(Scan2VK!M128&lt;&gt;"",Scan2VK!M128,"")</f>
        <v>ABNT_C2</v>
      </c>
      <c r="B1680" t="str">
        <f>IF(ISERROR(MATCH(0,INDEX(COUNTIF($B$1:B1679,$A$2:$A$4629),0,0),0)),"",INDEX($A$2:$A$4629,MATCH(0,INDEX(COUNTIF($B$1:B1679,$A$2:$A$4629),0,0),0)))</f>
        <v/>
      </c>
      <c r="C1680" t="str">
        <f t="shared" si="26"/>
        <v/>
      </c>
    </row>
    <row r="1681" spans="1:3" x14ac:dyDescent="0.25">
      <c r="A1681" t="str">
        <f>IF(Scan2VK!M129&lt;&gt;"",Scan2VK!M129,"")</f>
        <v>OEM_PA2</v>
      </c>
      <c r="B1681" t="str">
        <f>IF(ISERROR(MATCH(0,INDEX(COUNTIF($B$1:B1680,$A$2:$A$4629),0,0),0)),"",INDEX($A$2:$A$4629,MATCH(0,INDEX(COUNTIF($B$1:B1680,$A$2:$A$4629),0,0),0)))</f>
        <v/>
      </c>
      <c r="C1681" t="str">
        <f t="shared" si="26"/>
        <v/>
      </c>
    </row>
    <row r="1682" spans="1:3" x14ac:dyDescent="0.25">
      <c r="A1682" t="str">
        <f>IF(Scan2VK!M130&lt;&gt;"",Scan2VK!M130,"")</f>
        <v/>
      </c>
      <c r="B1682" t="str">
        <f>IF(ISERROR(MATCH(0,INDEX(COUNTIF($B$1:B1681,$A$2:$A$4629),0,0),0)),"",INDEX($A$2:$A$4629,MATCH(0,INDEX(COUNTIF($B$1:B1681,$A$2:$A$4629),0,0),0)))</f>
        <v/>
      </c>
      <c r="C1682" t="str">
        <f t="shared" si="26"/>
        <v/>
      </c>
    </row>
    <row r="1683" spans="1:3" x14ac:dyDescent="0.25">
      <c r="A1683" t="str">
        <f>IF(Scan2VK!M131&lt;&gt;"",Scan2VK!M131,"")</f>
        <v>MEDIA_PREV_TRACK</v>
      </c>
      <c r="B1683" t="str">
        <f>IF(ISERROR(MATCH(0,INDEX(COUNTIF($B$1:B1682,$A$2:$A$4629),0,0),0)),"",INDEX($A$2:$A$4629,MATCH(0,INDEX(COUNTIF($B$1:B1682,$A$2:$A$4629),0,0),0)))</f>
        <v/>
      </c>
      <c r="C1683" t="str">
        <f t="shared" si="26"/>
        <v/>
      </c>
    </row>
    <row r="1684" spans="1:3" x14ac:dyDescent="0.25">
      <c r="A1684" t="str">
        <f>IF(Scan2VK!M132&lt;&gt;"",Scan2VK!M132,"")</f>
        <v>MEDIA_NEXT_TRACK</v>
      </c>
      <c r="B1684" t="str">
        <f>IF(ISERROR(MATCH(0,INDEX(COUNTIF($B$1:B1683,$A$2:$A$4629),0,0),0)),"",INDEX($A$2:$A$4629,MATCH(0,INDEX(COUNTIF($B$1:B1683,$A$2:$A$4629),0,0),0)))</f>
        <v/>
      </c>
      <c r="C1684" t="str">
        <f t="shared" si="26"/>
        <v/>
      </c>
    </row>
    <row r="1685" spans="1:3" x14ac:dyDescent="0.25">
      <c r="A1685" t="str">
        <f>IF(Scan2VK!M133&lt;&gt;"",Scan2VK!M133,"")</f>
        <v>RETURN</v>
      </c>
      <c r="B1685" t="str">
        <f>IF(ISERROR(MATCH(0,INDEX(COUNTIF($B$1:B1684,$A$2:$A$4629),0,0),0)),"",INDEX($A$2:$A$4629,MATCH(0,INDEX(COUNTIF($B$1:B1684,$A$2:$A$4629),0,0),0)))</f>
        <v/>
      </c>
      <c r="C1685" t="str">
        <f t="shared" si="26"/>
        <v/>
      </c>
    </row>
    <row r="1686" spans="1:3" x14ac:dyDescent="0.25">
      <c r="A1686" t="str">
        <f>IF(Scan2VK!M134&lt;&gt;"",Scan2VK!M134,"")</f>
        <v>DBE_KATAKANA</v>
      </c>
      <c r="B1686" t="str">
        <f>IF(ISERROR(MATCH(0,INDEX(COUNTIF($B$1:B1685,$A$2:$A$4629),0,0),0)),"",INDEX($A$2:$A$4629,MATCH(0,INDEX(COUNTIF($B$1:B1685,$A$2:$A$4629),0,0),0)))</f>
        <v/>
      </c>
      <c r="C1686" t="str">
        <f t="shared" si="26"/>
        <v/>
      </c>
    </row>
    <row r="1687" spans="1:3" x14ac:dyDescent="0.25">
      <c r="A1687" t="str">
        <f>IF(Scan2VK!M135&lt;&gt;"",Scan2VK!M135,"")</f>
        <v>VOLUME_MUTE</v>
      </c>
      <c r="B1687" t="str">
        <f>IF(ISERROR(MATCH(0,INDEX(COUNTIF($B$1:B1686,$A$2:$A$4629),0,0),0)),"",INDEX($A$2:$A$4629,MATCH(0,INDEX(COUNTIF($B$1:B1686,$A$2:$A$4629),0,0),0)))</f>
        <v/>
      </c>
      <c r="C1687" t="str">
        <f t="shared" si="26"/>
        <v/>
      </c>
    </row>
    <row r="1688" spans="1:3" x14ac:dyDescent="0.25">
      <c r="A1688" t="str">
        <f>IF(Scan2VK!M136&lt;&gt;"",Scan2VK!M136,"")</f>
        <v>LAUNCH_APP2</v>
      </c>
      <c r="B1688" t="str">
        <f>IF(ISERROR(MATCH(0,INDEX(COUNTIF($B$1:B1687,$A$2:$A$4629),0,0),0)),"",INDEX($A$2:$A$4629,MATCH(0,INDEX(COUNTIF($B$1:B1687,$A$2:$A$4629),0,0),0)))</f>
        <v/>
      </c>
      <c r="C1688" t="str">
        <f t="shared" si="26"/>
        <v/>
      </c>
    </row>
    <row r="1689" spans="1:3" x14ac:dyDescent="0.25">
      <c r="A1689" t="str">
        <f>IF(Scan2VK!M137&lt;&gt;"",Scan2VK!M137,"")</f>
        <v>MEDIA_PLAY_PAUSE</v>
      </c>
      <c r="B1689" t="str">
        <f>IF(ISERROR(MATCH(0,INDEX(COUNTIF($B$1:B1688,$A$2:$A$4629),0,0),0)),"",INDEX($A$2:$A$4629,MATCH(0,INDEX(COUNTIF($B$1:B1688,$A$2:$A$4629),0,0),0)))</f>
        <v/>
      </c>
      <c r="C1689" t="str">
        <f t="shared" si="26"/>
        <v/>
      </c>
    </row>
    <row r="1690" spans="1:3" x14ac:dyDescent="0.25">
      <c r="A1690" t="str">
        <f>IF(Scan2VK!M138&lt;&gt;"",Scan2VK!M138,"")</f>
        <v>MEDIA_STOP</v>
      </c>
      <c r="B1690" t="str">
        <f>IF(ISERROR(MATCH(0,INDEX(COUNTIF($B$1:B1689,$A$2:$A$4629),0,0),0)),"",INDEX($A$2:$A$4629,MATCH(0,INDEX(COUNTIF($B$1:B1689,$A$2:$A$4629),0,0),0)))</f>
        <v/>
      </c>
      <c r="C1690" t="str">
        <f t="shared" si="26"/>
        <v/>
      </c>
    </row>
    <row r="1691" spans="1:3" x14ac:dyDescent="0.25">
      <c r="A1691" t="str">
        <f>IF(Scan2VK!M139&lt;&gt;"",Scan2VK!M139,"")</f>
        <v>VOLUME_DOWN</v>
      </c>
      <c r="B1691" t="str">
        <f>IF(ISERROR(MATCH(0,INDEX(COUNTIF($B$1:B1690,$A$2:$A$4629),0,0),0)),"",INDEX($A$2:$A$4629,MATCH(0,INDEX(COUNTIF($B$1:B1690,$A$2:$A$4629),0,0),0)))</f>
        <v/>
      </c>
      <c r="C1691" t="str">
        <f t="shared" si="26"/>
        <v/>
      </c>
    </row>
    <row r="1692" spans="1:3" x14ac:dyDescent="0.25">
      <c r="A1692" t="str">
        <f>IF(Scan2VK!M140&lt;&gt;"",Scan2VK!M140,"")</f>
        <v>VOLUME_UP</v>
      </c>
      <c r="B1692" t="str">
        <f>IF(ISERROR(MATCH(0,INDEX(COUNTIF($B$1:B1691,$A$2:$A$4629),0,0),0)),"",INDEX($A$2:$A$4629,MATCH(0,INDEX(COUNTIF($B$1:B1691,$A$2:$A$4629),0,0),0)))</f>
        <v/>
      </c>
      <c r="C1692" t="str">
        <f t="shared" si="26"/>
        <v/>
      </c>
    </row>
    <row r="1693" spans="1:3" x14ac:dyDescent="0.25">
      <c r="A1693" t="str">
        <f>IF(Scan2VK!M141&lt;&gt;"",Scan2VK!M141,"")</f>
        <v>BROWSER_HOME</v>
      </c>
      <c r="B1693" t="str">
        <f>IF(ISERROR(MATCH(0,INDEX(COUNTIF($B$1:B1692,$A$2:$A$4629),0,0),0)),"",INDEX($A$2:$A$4629,MATCH(0,INDEX(COUNTIF($B$1:B1692,$A$2:$A$4629),0,0),0)))</f>
        <v/>
      </c>
      <c r="C1693" t="str">
        <f t="shared" si="26"/>
        <v/>
      </c>
    </row>
    <row r="1694" spans="1:3" x14ac:dyDescent="0.25">
      <c r="A1694" t="str">
        <f>IF(Scan2VK!M142&lt;&gt;"",Scan2VK!M142,"")</f>
        <v>_none_</v>
      </c>
      <c r="B1694" t="str">
        <f>IF(ISERROR(MATCH(0,INDEX(COUNTIF($B$1:B1693,$A$2:$A$4629),0,0),0)),"",INDEX($A$2:$A$4629,MATCH(0,INDEX(COUNTIF($B$1:B1693,$A$2:$A$4629),0,0),0)))</f>
        <v/>
      </c>
      <c r="C1694" t="str">
        <f t="shared" si="26"/>
        <v/>
      </c>
    </row>
    <row r="1695" spans="1:3" x14ac:dyDescent="0.25">
      <c r="A1695" t="str">
        <f>IF(Scan2VK!M143&lt;&gt;"",Scan2VK!M143,"")</f>
        <v>DIVIDE</v>
      </c>
      <c r="B1695" t="str">
        <f>IF(ISERROR(MATCH(0,INDEX(COUNTIF($B$1:B1694,$A$2:$A$4629),0,0),0)),"",INDEX($A$2:$A$4629,MATCH(0,INDEX(COUNTIF($B$1:B1694,$A$2:$A$4629),0,0),0)))</f>
        <v/>
      </c>
      <c r="C1695" t="str">
        <f t="shared" si="26"/>
        <v/>
      </c>
    </row>
    <row r="1696" spans="1:3" x14ac:dyDescent="0.25">
      <c r="A1696" t="str">
        <f>IF(Scan2VK!M144&lt;&gt;"",Scan2VK!M144,"")</f>
        <v>SNAPSHOT</v>
      </c>
      <c r="B1696" t="str">
        <f>IF(ISERROR(MATCH(0,INDEX(COUNTIF($B$1:B1695,$A$2:$A$4629),0,0),0)),"",INDEX($A$2:$A$4629,MATCH(0,INDEX(COUNTIF($B$1:B1695,$A$2:$A$4629),0,0),0)))</f>
        <v/>
      </c>
      <c r="C1696" t="str">
        <f t="shared" si="26"/>
        <v/>
      </c>
    </row>
    <row r="1697" spans="1:3" x14ac:dyDescent="0.25">
      <c r="A1697" t="str">
        <f>IF(Scan2VK!M145&lt;&gt;"",Scan2VK!M145,"")</f>
        <v>KANJI</v>
      </c>
      <c r="B1697" t="str">
        <f>IF(ISERROR(MATCH(0,INDEX(COUNTIF($B$1:B1696,$A$2:$A$4629),0,0),0)),"",INDEX($A$2:$A$4629,MATCH(0,INDEX(COUNTIF($B$1:B1696,$A$2:$A$4629),0,0),0)))</f>
        <v/>
      </c>
      <c r="C1697" t="str">
        <f t="shared" si="26"/>
        <v/>
      </c>
    </row>
    <row r="1698" spans="1:3" x14ac:dyDescent="0.25">
      <c r="A1698" t="str">
        <f>IF(Scan2VK!M146&lt;&gt;"",Scan2VK!M146,"")</f>
        <v/>
      </c>
      <c r="B1698" t="str">
        <f>IF(ISERROR(MATCH(0,INDEX(COUNTIF($B$1:B1697,$A$2:$A$4629),0,0),0)),"",INDEX($A$2:$A$4629,MATCH(0,INDEX(COUNTIF($B$1:B1697,$A$2:$A$4629),0,0),0)))</f>
        <v/>
      </c>
      <c r="C1698" t="str">
        <f t="shared" si="26"/>
        <v/>
      </c>
    </row>
    <row r="1699" spans="1:3" x14ac:dyDescent="0.25">
      <c r="A1699" t="str">
        <f>IF(Scan2VK!M147&lt;&gt;"",Scan2VK!M147,"")</f>
        <v/>
      </c>
      <c r="B1699" t="str">
        <f>IF(ISERROR(MATCH(0,INDEX(COUNTIF($B$1:B1698,$A$2:$A$4629),0,0),0)),"",INDEX($A$2:$A$4629,MATCH(0,INDEX(COUNTIF($B$1:B1698,$A$2:$A$4629),0,0),0)))</f>
        <v/>
      </c>
      <c r="C1699" t="str">
        <f t="shared" si="26"/>
        <v/>
      </c>
    </row>
    <row r="1700" spans="1:3" x14ac:dyDescent="0.25">
      <c r="A1700" t="str">
        <f>IF(Scan2VK!M148&lt;&gt;"",Scan2VK!M148,"")</f>
        <v/>
      </c>
      <c r="B1700" t="str">
        <f>IF(ISERROR(MATCH(0,INDEX(COUNTIF($B$1:B1699,$A$2:$A$4629),0,0),0)),"",INDEX($A$2:$A$4629,MATCH(0,INDEX(COUNTIF($B$1:B1699,$A$2:$A$4629),0,0),0)))</f>
        <v/>
      </c>
      <c r="C1700" t="str">
        <f t="shared" si="26"/>
        <v/>
      </c>
    </row>
    <row r="1701" spans="1:3" x14ac:dyDescent="0.25">
      <c r="A1701" t="str">
        <f>IF(Scan2VK!M149&lt;&gt;"",Scan2VK!M149,"")</f>
        <v/>
      </c>
      <c r="B1701" t="str">
        <f>IF(ISERROR(MATCH(0,INDEX(COUNTIF($B$1:B1700,$A$2:$A$4629),0,0),0)),"",INDEX($A$2:$A$4629,MATCH(0,INDEX(COUNTIF($B$1:B1700,$A$2:$A$4629),0,0),0)))</f>
        <v/>
      </c>
      <c r="C1701" t="str">
        <f t="shared" si="26"/>
        <v/>
      </c>
    </row>
    <row r="1702" spans="1:3" x14ac:dyDescent="0.25">
      <c r="A1702" t="str">
        <f>IF(Scan2VK!M150&lt;&gt;"",Scan2VK!M150,"")</f>
        <v/>
      </c>
      <c r="B1702" t="str">
        <f>IF(ISERROR(MATCH(0,INDEX(COUNTIF($B$1:B1701,$A$2:$A$4629),0,0),0)),"",INDEX($A$2:$A$4629,MATCH(0,INDEX(COUNTIF($B$1:B1701,$A$2:$A$4629),0,0),0)))</f>
        <v/>
      </c>
      <c r="C1702" t="str">
        <f t="shared" si="26"/>
        <v/>
      </c>
    </row>
    <row r="1703" spans="1:3" x14ac:dyDescent="0.25">
      <c r="A1703" t="str">
        <f>IF(Scan2VK!M151&lt;&gt;"",Scan2VK!M151,"")</f>
        <v>_none_</v>
      </c>
      <c r="B1703" t="str">
        <f>IF(ISERROR(MATCH(0,INDEX(COUNTIF($B$1:B1702,$A$2:$A$4629),0,0),0)),"",INDEX($A$2:$A$4629,MATCH(0,INDEX(COUNTIF($B$1:B1702,$A$2:$A$4629),0,0),0)))</f>
        <v/>
      </c>
      <c r="C1703" t="str">
        <f t="shared" si="26"/>
        <v/>
      </c>
    </row>
    <row r="1704" spans="1:3" x14ac:dyDescent="0.25">
      <c r="A1704" t="str">
        <f>IF(Scan2VK!M152&lt;&gt;"",Scan2VK!M152,"")</f>
        <v>_none_</v>
      </c>
      <c r="B1704" t="str">
        <f>IF(ISERROR(MATCH(0,INDEX(COUNTIF($B$1:B1703,$A$2:$A$4629),0,0),0)),"",INDEX($A$2:$A$4629,MATCH(0,INDEX(COUNTIF($B$1:B1703,$A$2:$A$4629),0,0),0)))</f>
        <v/>
      </c>
      <c r="C1704" t="str">
        <f t="shared" si="26"/>
        <v/>
      </c>
    </row>
    <row r="1705" spans="1:3" x14ac:dyDescent="0.25">
      <c r="A1705" t="str">
        <f>IF(Scan2VK!M153&lt;&gt;"",Scan2VK!M153,"")</f>
        <v>_none_</v>
      </c>
      <c r="B1705" t="str">
        <f>IF(ISERROR(MATCH(0,INDEX(COUNTIF($B$1:B1704,$A$2:$A$4629),0,0),0)),"",INDEX($A$2:$A$4629,MATCH(0,INDEX(COUNTIF($B$1:B1704,$A$2:$A$4629),0,0),0)))</f>
        <v/>
      </c>
      <c r="C1705" t="str">
        <f t="shared" si="26"/>
        <v/>
      </c>
    </row>
    <row r="1706" spans="1:3" x14ac:dyDescent="0.25">
      <c r="A1706" t="str">
        <f>IF(Scan2VK!M154&lt;&gt;"",Scan2VK!M154,"")</f>
        <v>CANCEL</v>
      </c>
      <c r="B1706" t="str">
        <f>IF(ISERROR(MATCH(0,INDEX(COUNTIF($B$1:B1705,$A$2:$A$4629),0,0),0)),"",INDEX($A$2:$A$4629,MATCH(0,INDEX(COUNTIF($B$1:B1705,$A$2:$A$4629),0,0),0)))</f>
        <v/>
      </c>
      <c r="C1706" t="str">
        <f t="shared" si="26"/>
        <v/>
      </c>
    </row>
    <row r="1707" spans="1:3" x14ac:dyDescent="0.25">
      <c r="A1707" t="str">
        <f>IF(Scan2VK!M155&lt;&gt;"",Scan2VK!M155,"")</f>
        <v>HOME</v>
      </c>
      <c r="B1707" t="str">
        <f>IF(ISERROR(MATCH(0,INDEX(COUNTIF($B$1:B1706,$A$2:$A$4629),0,0),0)),"",INDEX($A$2:$A$4629,MATCH(0,INDEX(COUNTIF($B$1:B1706,$A$2:$A$4629),0,0),0)))</f>
        <v/>
      </c>
      <c r="C1707" t="str">
        <f t="shared" si="26"/>
        <v/>
      </c>
    </row>
    <row r="1708" spans="1:3" x14ac:dyDescent="0.25">
      <c r="A1708" t="str">
        <f>IF(Scan2VK!M156&lt;&gt;"",Scan2VK!M156,"")</f>
        <v>UP</v>
      </c>
      <c r="B1708" t="str">
        <f>IF(ISERROR(MATCH(0,INDEX(COUNTIF($B$1:B1707,$A$2:$A$4629),0,0),0)),"",INDEX($A$2:$A$4629,MATCH(0,INDEX(COUNTIF($B$1:B1707,$A$2:$A$4629),0,0),0)))</f>
        <v/>
      </c>
      <c r="C1708" t="str">
        <f t="shared" si="26"/>
        <v/>
      </c>
    </row>
    <row r="1709" spans="1:3" x14ac:dyDescent="0.25">
      <c r="A1709" t="str">
        <f>IF(Scan2VK!M157&lt;&gt;"",Scan2VK!M157,"")</f>
        <v>PRIOR</v>
      </c>
      <c r="B1709" t="str">
        <f>IF(ISERROR(MATCH(0,INDEX(COUNTIF($B$1:B1708,$A$2:$A$4629),0,0),0)),"",INDEX($A$2:$A$4629,MATCH(0,INDEX(COUNTIF($B$1:B1708,$A$2:$A$4629),0,0),0)))</f>
        <v/>
      </c>
      <c r="C1709" t="str">
        <f t="shared" si="26"/>
        <v/>
      </c>
    </row>
    <row r="1710" spans="1:3" x14ac:dyDescent="0.25">
      <c r="A1710" t="str">
        <f>IF(Scan2VK!M158&lt;&gt;"",Scan2VK!M158,"")</f>
        <v>LEFT</v>
      </c>
      <c r="B1710" t="str">
        <f>IF(ISERROR(MATCH(0,INDEX(COUNTIF($B$1:B1709,$A$2:$A$4629),0,0),0)),"",INDEX($A$2:$A$4629,MATCH(0,INDEX(COUNTIF($B$1:B1709,$A$2:$A$4629),0,0),0)))</f>
        <v/>
      </c>
      <c r="C1710" t="str">
        <f t="shared" si="26"/>
        <v/>
      </c>
    </row>
    <row r="1711" spans="1:3" x14ac:dyDescent="0.25">
      <c r="A1711" t="str">
        <f>IF(Scan2VK!M159&lt;&gt;"",Scan2VK!M159,"")</f>
        <v>RIGHT</v>
      </c>
      <c r="B1711" t="str">
        <f>IF(ISERROR(MATCH(0,INDEX(COUNTIF($B$1:B1710,$A$2:$A$4629),0,0),0)),"",INDEX($A$2:$A$4629,MATCH(0,INDEX(COUNTIF($B$1:B1710,$A$2:$A$4629),0,0),0)))</f>
        <v/>
      </c>
      <c r="C1711" t="str">
        <f t="shared" si="26"/>
        <v/>
      </c>
    </row>
    <row r="1712" spans="1:3" x14ac:dyDescent="0.25">
      <c r="A1712" t="str">
        <f>IF(Scan2VK!M160&lt;&gt;"",Scan2VK!M160,"")</f>
        <v>END</v>
      </c>
      <c r="B1712" t="str">
        <f>IF(ISERROR(MATCH(0,INDEX(COUNTIF($B$1:B1711,$A$2:$A$4629),0,0),0)),"",INDEX($A$2:$A$4629,MATCH(0,INDEX(COUNTIF($B$1:B1711,$A$2:$A$4629),0,0),0)))</f>
        <v/>
      </c>
      <c r="C1712" t="str">
        <f t="shared" si="26"/>
        <v/>
      </c>
    </row>
    <row r="1713" spans="1:3" x14ac:dyDescent="0.25">
      <c r="A1713" t="str">
        <f>IF(Scan2VK!M161&lt;&gt;"",Scan2VK!M161,"")</f>
        <v>DOWN</v>
      </c>
      <c r="B1713" t="str">
        <f>IF(ISERROR(MATCH(0,INDEX(COUNTIF($B$1:B1712,$A$2:$A$4629),0,0),0)),"",INDEX($A$2:$A$4629,MATCH(0,INDEX(COUNTIF($B$1:B1712,$A$2:$A$4629),0,0),0)))</f>
        <v/>
      </c>
      <c r="C1713" t="str">
        <f t="shared" si="26"/>
        <v/>
      </c>
    </row>
    <row r="1714" spans="1:3" x14ac:dyDescent="0.25">
      <c r="A1714" t="str">
        <f>IF(Scan2VK!M162&lt;&gt;"",Scan2VK!M162,"")</f>
        <v>NEXT</v>
      </c>
      <c r="B1714" t="str">
        <f>IF(ISERROR(MATCH(0,INDEX(COUNTIF($B$1:B1713,$A$2:$A$4629),0,0),0)),"",INDEX($A$2:$A$4629,MATCH(0,INDEX(COUNTIF($B$1:B1713,$A$2:$A$4629),0,0),0)))</f>
        <v/>
      </c>
      <c r="C1714" t="str">
        <f t="shared" si="26"/>
        <v/>
      </c>
    </row>
    <row r="1715" spans="1:3" x14ac:dyDescent="0.25">
      <c r="A1715" t="str">
        <f>IF(Scan2VK!M163&lt;&gt;"",Scan2VK!M163,"")</f>
        <v>INSERT</v>
      </c>
      <c r="B1715" t="str">
        <f>IF(ISERROR(MATCH(0,INDEX(COUNTIF($B$1:B1714,$A$2:$A$4629),0,0),0)),"",INDEX($A$2:$A$4629,MATCH(0,INDEX(COUNTIF($B$1:B1714,$A$2:$A$4629),0,0),0)))</f>
        <v/>
      </c>
      <c r="C1715" t="str">
        <f t="shared" si="26"/>
        <v/>
      </c>
    </row>
    <row r="1716" spans="1:3" x14ac:dyDescent="0.25">
      <c r="A1716" t="str">
        <f>IF(Scan2VK!M164&lt;&gt;"",Scan2VK!M164,"")</f>
        <v>DELETE</v>
      </c>
      <c r="B1716" t="str">
        <f>IF(ISERROR(MATCH(0,INDEX(COUNTIF($B$1:B1715,$A$2:$A$4629),0,0),0)),"",INDEX($A$2:$A$4629,MATCH(0,INDEX(COUNTIF($B$1:B1715,$A$2:$A$4629),0,0),0)))</f>
        <v/>
      </c>
      <c r="C1716" t="str">
        <f t="shared" si="26"/>
        <v/>
      </c>
    </row>
    <row r="1717" spans="1:3" x14ac:dyDescent="0.25">
      <c r="A1717" t="str">
        <f>IF(Scan2VK!M165&lt;&gt;"",Scan2VK!M165,"")</f>
        <v>LWIN</v>
      </c>
      <c r="B1717" t="str">
        <f>IF(ISERROR(MATCH(0,INDEX(COUNTIF($B$1:B1716,$A$2:$A$4629),0,0),0)),"",INDEX($A$2:$A$4629,MATCH(0,INDEX(COUNTIF($B$1:B1716,$A$2:$A$4629),0,0),0)))</f>
        <v/>
      </c>
      <c r="C1717" t="str">
        <f t="shared" si="26"/>
        <v/>
      </c>
    </row>
    <row r="1718" spans="1:3" x14ac:dyDescent="0.25">
      <c r="A1718" t="str">
        <f>IF(Scan2VK!M166&lt;&gt;"",Scan2VK!M166,"")</f>
        <v>RWIN</v>
      </c>
      <c r="B1718" t="str">
        <f>IF(ISERROR(MATCH(0,INDEX(COUNTIF($B$1:B1717,$A$2:$A$4629),0,0),0)),"",INDEX($A$2:$A$4629,MATCH(0,INDEX(COUNTIF($B$1:B1717,$A$2:$A$4629),0,0),0)))</f>
        <v/>
      </c>
      <c r="C1718" t="str">
        <f t="shared" si="26"/>
        <v/>
      </c>
    </row>
    <row r="1719" spans="1:3" x14ac:dyDescent="0.25">
      <c r="A1719" t="str">
        <f>IF(Scan2VK!M167&lt;&gt;"",Scan2VK!M167,"")</f>
        <v>APPS</v>
      </c>
      <c r="B1719" t="str">
        <f>IF(ISERROR(MATCH(0,INDEX(COUNTIF($B$1:B1718,$A$2:$A$4629),0,0),0)),"",INDEX($A$2:$A$4629,MATCH(0,INDEX(COUNTIF($B$1:B1718,$A$2:$A$4629),0,0),0)))</f>
        <v/>
      </c>
      <c r="C1719" t="str">
        <f t="shared" si="26"/>
        <v/>
      </c>
    </row>
    <row r="1720" spans="1:3" x14ac:dyDescent="0.25">
      <c r="A1720" t="str">
        <f>IF(Scan2VK!M168&lt;&gt;"",Scan2VK!M168,"")</f>
        <v>POWER</v>
      </c>
      <c r="B1720" t="str">
        <f>IF(ISERROR(MATCH(0,INDEX(COUNTIF($B$1:B1719,$A$2:$A$4629),0,0),0)),"",INDEX($A$2:$A$4629,MATCH(0,INDEX(COUNTIF($B$1:B1719,$A$2:$A$4629),0,0),0)))</f>
        <v/>
      </c>
      <c r="C1720" t="str">
        <f t="shared" si="26"/>
        <v/>
      </c>
    </row>
    <row r="1721" spans="1:3" x14ac:dyDescent="0.25">
      <c r="A1721" t="str">
        <f>IF(Scan2VK!M169&lt;&gt;"",Scan2VK!M169,"")</f>
        <v>SLEEP</v>
      </c>
      <c r="B1721" t="str">
        <f>IF(ISERROR(MATCH(0,INDEX(COUNTIF($B$1:B1720,$A$2:$A$4629),0,0),0)),"",INDEX($A$2:$A$4629,MATCH(0,INDEX(COUNTIF($B$1:B1720,$A$2:$A$4629),0,0),0)))</f>
        <v/>
      </c>
      <c r="C1721" t="str">
        <f t="shared" si="26"/>
        <v/>
      </c>
    </row>
    <row r="1722" spans="1:3" x14ac:dyDescent="0.25">
      <c r="A1722" t="str">
        <f>IF(Scan2VK!M170&lt;&gt;"",Scan2VK!M170,"")</f>
        <v/>
      </c>
      <c r="B1722" t="str">
        <f>IF(ISERROR(MATCH(0,INDEX(COUNTIF($B$1:B1721,$A$2:$A$4629),0,0),0)),"",INDEX($A$2:$A$4629,MATCH(0,INDEX(COUNTIF($B$1:B1721,$A$2:$A$4629),0,0),0)))</f>
        <v/>
      </c>
      <c r="C1722" t="str">
        <f t="shared" si="26"/>
        <v/>
      </c>
    </row>
    <row r="1723" spans="1:3" x14ac:dyDescent="0.25">
      <c r="A1723" t="str">
        <f>IF(Scan2VK!M171&lt;&gt;"",Scan2VK!M171,"")</f>
        <v/>
      </c>
      <c r="B1723" t="str">
        <f>IF(ISERROR(MATCH(0,INDEX(COUNTIF($B$1:B1722,$A$2:$A$4629),0,0),0)),"",INDEX($A$2:$A$4629,MATCH(0,INDEX(COUNTIF($B$1:B1722,$A$2:$A$4629),0,0),0)))</f>
        <v/>
      </c>
      <c r="C1723" t="str">
        <f t="shared" si="26"/>
        <v/>
      </c>
    </row>
    <row r="1724" spans="1:3" x14ac:dyDescent="0.25">
      <c r="A1724" t="str">
        <f>IF(Scan2VK!M172&lt;&gt;"",Scan2VK!M172,"")</f>
        <v/>
      </c>
      <c r="B1724" t="str">
        <f>IF(ISERROR(MATCH(0,INDEX(COUNTIF($B$1:B1723,$A$2:$A$4629),0,0),0)),"",INDEX($A$2:$A$4629,MATCH(0,INDEX(COUNTIF($B$1:B1723,$A$2:$A$4629),0,0),0)))</f>
        <v/>
      </c>
      <c r="C1724" t="str">
        <f t="shared" si="26"/>
        <v/>
      </c>
    </row>
    <row r="1725" spans="1:3" x14ac:dyDescent="0.25">
      <c r="A1725" t="str">
        <f>IF(Scan2VK!M173&lt;&gt;"",Scan2VK!M173,"")</f>
        <v/>
      </c>
      <c r="B1725" t="str">
        <f>IF(ISERROR(MATCH(0,INDEX(COUNTIF($B$1:B1724,$A$2:$A$4629),0,0),0)),"",INDEX($A$2:$A$4629,MATCH(0,INDEX(COUNTIF($B$1:B1724,$A$2:$A$4629),0,0),0)))</f>
        <v/>
      </c>
      <c r="C1725" t="str">
        <f t="shared" si="26"/>
        <v/>
      </c>
    </row>
    <row r="1726" spans="1:3" x14ac:dyDescent="0.25">
      <c r="A1726" t="str">
        <f>IF(Scan2VK!M174&lt;&gt;"",Scan2VK!M174,"")</f>
        <v/>
      </c>
      <c r="B1726" t="str">
        <f>IF(ISERROR(MATCH(0,INDEX(COUNTIF($B$1:B1725,$A$2:$A$4629),0,0),0)),"",INDEX($A$2:$A$4629,MATCH(0,INDEX(COUNTIF($B$1:B1725,$A$2:$A$4629),0,0),0)))</f>
        <v/>
      </c>
      <c r="C1726" t="str">
        <f t="shared" si="26"/>
        <v/>
      </c>
    </row>
    <row r="1727" spans="1:3" x14ac:dyDescent="0.25">
      <c r="A1727" t="str">
        <f>IF(Scan2VK!M175&lt;&gt;"",Scan2VK!M175,"")</f>
        <v>BROWSER_SEARCH</v>
      </c>
      <c r="B1727" t="str">
        <f>IF(ISERROR(MATCH(0,INDEX(COUNTIF($B$1:B1726,$A$2:$A$4629),0,0),0)),"",INDEX($A$2:$A$4629,MATCH(0,INDEX(COUNTIF($B$1:B1726,$A$2:$A$4629),0,0),0)))</f>
        <v/>
      </c>
      <c r="C1727" t="str">
        <f t="shared" si="26"/>
        <v/>
      </c>
    </row>
    <row r="1728" spans="1:3" x14ac:dyDescent="0.25">
      <c r="A1728" t="str">
        <f>IF(Scan2VK!M176&lt;&gt;"",Scan2VK!M176,"")</f>
        <v>BROWSER_FAVORITES</v>
      </c>
      <c r="B1728" t="str">
        <f>IF(ISERROR(MATCH(0,INDEX(COUNTIF($B$1:B1727,$A$2:$A$4629),0,0),0)),"",INDEX($A$2:$A$4629,MATCH(0,INDEX(COUNTIF($B$1:B1727,$A$2:$A$4629),0,0),0)))</f>
        <v/>
      </c>
      <c r="C1728" t="str">
        <f t="shared" si="26"/>
        <v/>
      </c>
    </row>
    <row r="1729" spans="1:3" x14ac:dyDescent="0.25">
      <c r="A1729" t="str">
        <f>IF(Scan2VK!M177&lt;&gt;"",Scan2VK!M177,"")</f>
        <v>BROWSER_REFRESH</v>
      </c>
      <c r="B1729" t="str">
        <f>IF(ISERROR(MATCH(0,INDEX(COUNTIF($B$1:B1728,$A$2:$A$4629),0,0),0)),"",INDEX($A$2:$A$4629,MATCH(0,INDEX(COUNTIF($B$1:B1728,$A$2:$A$4629),0,0),0)))</f>
        <v/>
      </c>
      <c r="C1729" t="str">
        <f t="shared" si="26"/>
        <v/>
      </c>
    </row>
    <row r="1730" spans="1:3" x14ac:dyDescent="0.25">
      <c r="A1730" t="str">
        <f>IF(Scan2VK!M178&lt;&gt;"",Scan2VK!M178,"")</f>
        <v>BROWSER_STOP</v>
      </c>
      <c r="B1730" t="str">
        <f>IF(ISERROR(MATCH(0,INDEX(COUNTIF($B$1:B1729,$A$2:$A$4629),0,0),0)),"",INDEX($A$2:$A$4629,MATCH(0,INDEX(COUNTIF($B$1:B1729,$A$2:$A$4629),0,0),0)))</f>
        <v/>
      </c>
      <c r="C1730" t="str">
        <f t="shared" si="26"/>
        <v/>
      </c>
    </row>
    <row r="1731" spans="1:3" x14ac:dyDescent="0.25">
      <c r="A1731" t="str">
        <f>IF(Scan2VK!M179&lt;&gt;"",Scan2VK!M179,"")</f>
        <v>BROWSER_FORWARD</v>
      </c>
      <c r="B1731" t="str">
        <f>IF(ISERROR(MATCH(0,INDEX(COUNTIF($B$1:B1730,$A$2:$A$4629),0,0),0)),"",INDEX($A$2:$A$4629,MATCH(0,INDEX(COUNTIF($B$1:B1730,$A$2:$A$4629),0,0),0)))</f>
        <v/>
      </c>
      <c r="C1731" t="str">
        <f t="shared" ref="C1731:C1794" si="27">IF(B1731&lt;&gt;"","&lt;xs:enumeration value="""&amp;B1731&amp;"""/&gt;","")</f>
        <v/>
      </c>
    </row>
    <row r="1732" spans="1:3" x14ac:dyDescent="0.25">
      <c r="A1732" t="str">
        <f>IF(Scan2VK!M180&lt;&gt;"",Scan2VK!M180,"")</f>
        <v>BROWSER_BACK</v>
      </c>
      <c r="B1732" t="str">
        <f>IF(ISERROR(MATCH(0,INDEX(COUNTIF($B$1:B1731,$A$2:$A$4629),0,0),0)),"",INDEX($A$2:$A$4629,MATCH(0,INDEX(COUNTIF($B$1:B1731,$A$2:$A$4629),0,0),0)))</f>
        <v/>
      </c>
      <c r="C1732" t="str">
        <f t="shared" si="27"/>
        <v/>
      </c>
    </row>
    <row r="1733" spans="1:3" x14ac:dyDescent="0.25">
      <c r="A1733" t="str">
        <f>IF(Scan2VK!M181&lt;&gt;"",Scan2VK!M181,"")</f>
        <v>LAUNCH_APP1</v>
      </c>
      <c r="B1733" t="str">
        <f>IF(ISERROR(MATCH(0,INDEX(COUNTIF($B$1:B1732,$A$2:$A$4629),0,0),0)),"",INDEX($A$2:$A$4629,MATCH(0,INDEX(COUNTIF($B$1:B1732,$A$2:$A$4629),0,0),0)))</f>
        <v/>
      </c>
      <c r="C1733" t="str">
        <f t="shared" si="27"/>
        <v/>
      </c>
    </row>
    <row r="1734" spans="1:3" x14ac:dyDescent="0.25">
      <c r="A1734" t="str">
        <f>IF(Scan2VK!M182&lt;&gt;"",Scan2VK!M182,"")</f>
        <v>LAUNCH_MAIL</v>
      </c>
      <c r="B1734" t="str">
        <f>IF(ISERROR(MATCH(0,INDEX(COUNTIF($B$1:B1733,$A$2:$A$4629),0,0),0)),"",INDEX($A$2:$A$4629,MATCH(0,INDEX(COUNTIF($B$1:B1733,$A$2:$A$4629),0,0),0)))</f>
        <v/>
      </c>
      <c r="C1734" t="str">
        <f t="shared" si="27"/>
        <v/>
      </c>
    </row>
    <row r="1735" spans="1:3" x14ac:dyDescent="0.25">
      <c r="A1735" t="str">
        <f>IF(Scan2VK!M183&lt;&gt;"",Scan2VK!M183,"")</f>
        <v>LAUNCH_MEDIA_SELECT</v>
      </c>
      <c r="B1735" t="str">
        <f>IF(ISERROR(MATCH(0,INDEX(COUNTIF($B$1:B1734,$A$2:$A$4629),0,0),0)),"",INDEX($A$2:$A$4629,MATCH(0,INDEX(COUNTIF($B$1:B1734,$A$2:$A$4629),0,0),0)))</f>
        <v/>
      </c>
      <c r="C1735" t="str">
        <f t="shared" si="27"/>
        <v/>
      </c>
    </row>
    <row r="1736" spans="1:3" x14ac:dyDescent="0.25">
      <c r="A1736" t="str">
        <f>IF(Scan2VK!M184&lt;&gt;"",Scan2VK!M184,"")</f>
        <v/>
      </c>
      <c r="B1736" t="str">
        <f>IF(ISERROR(MATCH(0,INDEX(COUNTIF($B$1:B1735,$A$2:$A$4629),0,0),0)),"",INDEX($A$2:$A$4629,MATCH(0,INDEX(COUNTIF($B$1:B1735,$A$2:$A$4629),0,0),0)))</f>
        <v/>
      </c>
      <c r="C1736" t="str">
        <f t="shared" si="27"/>
        <v/>
      </c>
    </row>
    <row r="1737" spans="1:3" x14ac:dyDescent="0.25">
      <c r="A1737" t="str">
        <f>IF(Scan2VK!M185&lt;&gt;"",Scan2VK!M185,"")</f>
        <v/>
      </c>
      <c r="B1737" t="str">
        <f>IF(ISERROR(MATCH(0,INDEX(COUNTIF($B$1:B1736,$A$2:$A$4629),0,0),0)),"",INDEX($A$2:$A$4629,MATCH(0,INDEX(COUNTIF($B$1:B1736,$A$2:$A$4629),0,0),0)))</f>
        <v/>
      </c>
      <c r="C1737" t="str">
        <f t="shared" si="27"/>
        <v/>
      </c>
    </row>
    <row r="1738" spans="1:3" x14ac:dyDescent="0.25">
      <c r="A1738" t="str">
        <f>IF(Scan2VK!M186&lt;&gt;"",Scan2VK!M186,"")</f>
        <v/>
      </c>
      <c r="B1738" t="str">
        <f>IF(ISERROR(MATCH(0,INDEX(COUNTIF($B$1:B1737,$A$2:$A$4629),0,0),0)),"",INDEX($A$2:$A$4629,MATCH(0,INDEX(COUNTIF($B$1:B1737,$A$2:$A$4629),0,0),0)))</f>
        <v/>
      </c>
      <c r="C1738" t="str">
        <f t="shared" si="27"/>
        <v/>
      </c>
    </row>
    <row r="1739" spans="1:3" x14ac:dyDescent="0.25">
      <c r="A1739" t="str">
        <f>IF(Scan2VK!M187&lt;&gt;"",Scan2VK!M187,"")</f>
        <v/>
      </c>
      <c r="B1739" t="str">
        <f>IF(ISERROR(MATCH(0,INDEX(COUNTIF($B$1:B1738,$A$2:$A$4629),0,0),0)),"",INDEX($A$2:$A$4629,MATCH(0,INDEX(COUNTIF($B$1:B1738,$A$2:$A$4629),0,0),0)))</f>
        <v/>
      </c>
      <c r="C1739" t="str">
        <f t="shared" si="27"/>
        <v/>
      </c>
    </row>
    <row r="1740" spans="1:3" x14ac:dyDescent="0.25">
      <c r="A1740" t="str">
        <f>IF(Scan2VK!M188&lt;&gt;"",Scan2VK!M188,"")</f>
        <v/>
      </c>
      <c r="B1740" t="str">
        <f>IF(ISERROR(MATCH(0,INDEX(COUNTIF($B$1:B1739,$A$2:$A$4629),0,0),0)),"",INDEX($A$2:$A$4629,MATCH(0,INDEX(COUNTIF($B$1:B1739,$A$2:$A$4629),0,0),0)))</f>
        <v/>
      </c>
      <c r="C1740" t="str">
        <f t="shared" si="27"/>
        <v/>
      </c>
    </row>
    <row r="1741" spans="1:3" x14ac:dyDescent="0.25">
      <c r="A1741" t="str">
        <f>IF(Scan2VK!M189&lt;&gt;"",Scan2VK!M189,"")</f>
        <v/>
      </c>
      <c r="B1741" t="str">
        <f>IF(ISERROR(MATCH(0,INDEX(COUNTIF($B$1:B1740,$A$2:$A$4629),0,0),0)),"",INDEX($A$2:$A$4629,MATCH(0,INDEX(COUNTIF($B$1:B1740,$A$2:$A$4629),0,0),0)))</f>
        <v/>
      </c>
      <c r="C1741" t="str">
        <f t="shared" si="27"/>
        <v/>
      </c>
    </row>
    <row r="1742" spans="1:3" x14ac:dyDescent="0.25">
      <c r="A1742" t="str">
        <f>IF(Scan2VK!M190&lt;&gt;"",Scan2VK!M190,"")</f>
        <v/>
      </c>
      <c r="B1742" t="str">
        <f>IF(ISERROR(MATCH(0,INDEX(COUNTIF($B$1:B1741,$A$2:$A$4629),0,0),0)),"",INDEX($A$2:$A$4629,MATCH(0,INDEX(COUNTIF($B$1:B1741,$A$2:$A$4629),0,0),0)))</f>
        <v/>
      </c>
      <c r="C1742" t="str">
        <f t="shared" si="27"/>
        <v/>
      </c>
    </row>
    <row r="1743" spans="1:3" x14ac:dyDescent="0.25">
      <c r="A1743" t="str">
        <f>IF(Scan2VK!M191&lt;&gt;"",Scan2VK!M191,"")</f>
        <v/>
      </c>
      <c r="B1743" t="str">
        <f>IF(ISERROR(MATCH(0,INDEX(COUNTIF($B$1:B1742,$A$2:$A$4629),0,0),0)),"",INDEX($A$2:$A$4629,MATCH(0,INDEX(COUNTIF($B$1:B1742,$A$2:$A$4629),0,0),0)))</f>
        <v/>
      </c>
      <c r="C1743" t="str">
        <f t="shared" si="27"/>
        <v/>
      </c>
    </row>
    <row r="1744" spans="1:3" x14ac:dyDescent="0.25">
      <c r="A1744" t="str">
        <f>IF(Scan2VK!M192&lt;&gt;"",Scan2VK!M192,"")</f>
        <v/>
      </c>
      <c r="B1744" t="str">
        <f>IF(ISERROR(MATCH(0,INDEX(COUNTIF($B$1:B1743,$A$2:$A$4629),0,0),0)),"",INDEX($A$2:$A$4629,MATCH(0,INDEX(COUNTIF($B$1:B1743,$A$2:$A$4629),0,0),0)))</f>
        <v/>
      </c>
      <c r="C1744" t="str">
        <f t="shared" si="27"/>
        <v/>
      </c>
    </row>
    <row r="1745" spans="1:3" x14ac:dyDescent="0.25">
      <c r="A1745" t="str">
        <f>IF(Scan2VK!M193&lt;&gt;"",Scan2VK!M193,"")</f>
        <v>_none_</v>
      </c>
      <c r="B1745" t="str">
        <f>IF(ISERROR(MATCH(0,INDEX(COUNTIF($B$1:B1744,$A$2:$A$4629),0,0),0)),"",INDEX($A$2:$A$4629,MATCH(0,INDEX(COUNTIF($B$1:B1744,$A$2:$A$4629),0,0),0)))</f>
        <v/>
      </c>
      <c r="C1745" t="str">
        <f t="shared" si="27"/>
        <v/>
      </c>
    </row>
    <row r="1746" spans="1:3" x14ac:dyDescent="0.25">
      <c r="A1746" t="str">
        <f>IF(Scan2VK!M194&lt;&gt;"",Scan2VK!M194,"")</f>
        <v>_none_</v>
      </c>
      <c r="B1746" t="str">
        <f>IF(ISERROR(MATCH(0,INDEX(COUNTIF($B$1:B1745,$A$2:$A$4629),0,0),0)),"",INDEX($A$2:$A$4629,MATCH(0,INDEX(COUNTIF($B$1:B1745,$A$2:$A$4629),0,0),0)))</f>
        <v/>
      </c>
      <c r="C1746" t="str">
        <f t="shared" si="27"/>
        <v/>
      </c>
    </row>
    <row r="1747" spans="1:3" x14ac:dyDescent="0.25">
      <c r="A1747" t="str">
        <f>IF(Scan2VK!M195&lt;&gt;"",Scan2VK!M195,"")</f>
        <v>PAUSE</v>
      </c>
      <c r="B1747" t="str">
        <f>IF(ISERROR(MATCH(0,INDEX(COUNTIF($B$1:B1746,$A$2:$A$4629),0,0),0)),"",INDEX($A$2:$A$4629,MATCH(0,INDEX(COUNTIF($B$1:B1746,$A$2:$A$4629),0,0),0)))</f>
        <v/>
      </c>
      <c r="C1747" t="str">
        <f t="shared" si="27"/>
        <v/>
      </c>
    </row>
    <row r="1748" spans="1:3" x14ac:dyDescent="0.25">
      <c r="A1748" t="str">
        <f>IF(Scan2VK!N2&lt;&gt;"",Scan2VK!N2,"")</f>
        <v>_none_</v>
      </c>
      <c r="B1748" t="str">
        <f>IF(ISERROR(MATCH(0,INDEX(COUNTIF($B$1:B1747,$A$2:$A$4629),0,0),0)),"",INDEX($A$2:$A$4629,MATCH(0,INDEX(COUNTIF($B$1:B1747,$A$2:$A$4629),0,0),0)))</f>
        <v/>
      </c>
      <c r="C1748" t="str">
        <f t="shared" si="27"/>
        <v/>
      </c>
    </row>
    <row r="1749" spans="1:3" x14ac:dyDescent="0.25">
      <c r="A1749" t="str">
        <f>IF(Scan2VK!N3&lt;&gt;"",Scan2VK!N3,"")</f>
        <v>ESCAPE</v>
      </c>
      <c r="B1749" t="str">
        <f>IF(ISERROR(MATCH(0,INDEX(COUNTIF($B$1:B1748,$A$2:$A$4629),0,0),0)),"",INDEX($A$2:$A$4629,MATCH(0,INDEX(COUNTIF($B$1:B1748,$A$2:$A$4629),0,0),0)))</f>
        <v/>
      </c>
      <c r="C1749" t="str">
        <f t="shared" si="27"/>
        <v/>
      </c>
    </row>
    <row r="1750" spans="1:3" x14ac:dyDescent="0.25">
      <c r="A1750" t="str">
        <f>IF(Scan2VK!N4&lt;&gt;"",Scan2VK!N4,"")</f>
        <v>'1'</v>
      </c>
      <c r="B1750" t="str">
        <f>IF(ISERROR(MATCH(0,INDEX(COUNTIF($B$1:B1749,$A$2:$A$4629),0,0),0)),"",INDEX($A$2:$A$4629,MATCH(0,INDEX(COUNTIF($B$1:B1749,$A$2:$A$4629),0,0),0)))</f>
        <v/>
      </c>
      <c r="C1750" t="str">
        <f t="shared" si="27"/>
        <v/>
      </c>
    </row>
    <row r="1751" spans="1:3" x14ac:dyDescent="0.25">
      <c r="A1751" t="str">
        <f>IF(Scan2VK!N5&lt;&gt;"",Scan2VK!N5,"")</f>
        <v>'2'</v>
      </c>
      <c r="B1751" t="str">
        <f>IF(ISERROR(MATCH(0,INDEX(COUNTIF($B$1:B1750,$A$2:$A$4629),0,0),0)),"",INDEX($A$2:$A$4629,MATCH(0,INDEX(COUNTIF($B$1:B1750,$A$2:$A$4629),0,0),0)))</f>
        <v/>
      </c>
      <c r="C1751" t="str">
        <f t="shared" si="27"/>
        <v/>
      </c>
    </row>
    <row r="1752" spans="1:3" x14ac:dyDescent="0.25">
      <c r="A1752" t="str">
        <f>IF(Scan2VK!N6&lt;&gt;"",Scan2VK!N6,"")</f>
        <v>'3'</v>
      </c>
      <c r="B1752" t="str">
        <f>IF(ISERROR(MATCH(0,INDEX(COUNTIF($B$1:B1751,$A$2:$A$4629),0,0),0)),"",INDEX($A$2:$A$4629,MATCH(0,INDEX(COUNTIF($B$1:B1751,$A$2:$A$4629),0,0),0)))</f>
        <v/>
      </c>
      <c r="C1752" t="str">
        <f t="shared" si="27"/>
        <v/>
      </c>
    </row>
    <row r="1753" spans="1:3" x14ac:dyDescent="0.25">
      <c r="A1753" t="str">
        <f>IF(Scan2VK!N7&lt;&gt;"",Scan2VK!N7,"")</f>
        <v>'4'</v>
      </c>
      <c r="B1753" t="str">
        <f>IF(ISERROR(MATCH(0,INDEX(COUNTIF($B$1:B1752,$A$2:$A$4629),0,0),0)),"",INDEX($A$2:$A$4629,MATCH(0,INDEX(COUNTIF($B$1:B1752,$A$2:$A$4629),0,0),0)))</f>
        <v/>
      </c>
      <c r="C1753" t="str">
        <f t="shared" si="27"/>
        <v/>
      </c>
    </row>
    <row r="1754" spans="1:3" x14ac:dyDescent="0.25">
      <c r="A1754" t="str">
        <f>IF(Scan2VK!N8&lt;&gt;"",Scan2VK!N8,"")</f>
        <v>'5'</v>
      </c>
      <c r="B1754" t="str">
        <f>IF(ISERROR(MATCH(0,INDEX(COUNTIF($B$1:B1753,$A$2:$A$4629),0,0),0)),"",INDEX($A$2:$A$4629,MATCH(0,INDEX(COUNTIF($B$1:B1753,$A$2:$A$4629),0,0),0)))</f>
        <v/>
      </c>
      <c r="C1754" t="str">
        <f t="shared" si="27"/>
        <v/>
      </c>
    </row>
    <row r="1755" spans="1:3" x14ac:dyDescent="0.25">
      <c r="A1755" t="str">
        <f>IF(Scan2VK!N9&lt;&gt;"",Scan2VK!N9,"")</f>
        <v>'6'</v>
      </c>
      <c r="B1755" t="str">
        <f>IF(ISERROR(MATCH(0,INDEX(COUNTIF($B$1:B1754,$A$2:$A$4629),0,0),0)),"",INDEX($A$2:$A$4629,MATCH(0,INDEX(COUNTIF($B$1:B1754,$A$2:$A$4629),0,0),0)))</f>
        <v/>
      </c>
      <c r="C1755" t="str">
        <f t="shared" si="27"/>
        <v/>
      </c>
    </row>
    <row r="1756" spans="1:3" x14ac:dyDescent="0.25">
      <c r="A1756" t="str">
        <f>IF(Scan2VK!N10&lt;&gt;"",Scan2VK!N10,"")</f>
        <v>'7'</v>
      </c>
      <c r="B1756" t="str">
        <f>IF(ISERROR(MATCH(0,INDEX(COUNTIF($B$1:B1755,$A$2:$A$4629),0,0),0)),"",INDEX($A$2:$A$4629,MATCH(0,INDEX(COUNTIF($B$1:B1755,$A$2:$A$4629),0,0),0)))</f>
        <v/>
      </c>
      <c r="C1756" t="str">
        <f t="shared" si="27"/>
        <v/>
      </c>
    </row>
    <row r="1757" spans="1:3" x14ac:dyDescent="0.25">
      <c r="A1757" t="str">
        <f>IF(Scan2VK!N11&lt;&gt;"",Scan2VK!N11,"")</f>
        <v>'8'</v>
      </c>
      <c r="B1757" t="str">
        <f>IF(ISERROR(MATCH(0,INDEX(COUNTIF($B$1:B1756,$A$2:$A$4629),0,0),0)),"",INDEX($A$2:$A$4629,MATCH(0,INDEX(COUNTIF($B$1:B1756,$A$2:$A$4629),0,0),0)))</f>
        <v/>
      </c>
      <c r="C1757" t="str">
        <f t="shared" si="27"/>
        <v/>
      </c>
    </row>
    <row r="1758" spans="1:3" x14ac:dyDescent="0.25">
      <c r="A1758" t="str">
        <f>IF(Scan2VK!N12&lt;&gt;"",Scan2VK!N12,"")</f>
        <v>'9'</v>
      </c>
      <c r="B1758" t="str">
        <f>IF(ISERROR(MATCH(0,INDEX(COUNTIF($B$1:B1757,$A$2:$A$4629),0,0),0)),"",INDEX($A$2:$A$4629,MATCH(0,INDEX(COUNTIF($B$1:B1757,$A$2:$A$4629),0,0),0)))</f>
        <v/>
      </c>
      <c r="C1758" t="str">
        <f t="shared" si="27"/>
        <v/>
      </c>
    </row>
    <row r="1759" spans="1:3" x14ac:dyDescent="0.25">
      <c r="A1759" t="str">
        <f>IF(Scan2VK!N13&lt;&gt;"",Scan2VK!N13,"")</f>
        <v>'0'</v>
      </c>
      <c r="B1759" t="str">
        <f>IF(ISERROR(MATCH(0,INDEX(COUNTIF($B$1:B1758,$A$2:$A$4629),0,0),0)),"",INDEX($A$2:$A$4629,MATCH(0,INDEX(COUNTIF($B$1:B1758,$A$2:$A$4629),0,0),0)))</f>
        <v/>
      </c>
      <c r="C1759" t="str">
        <f t="shared" si="27"/>
        <v/>
      </c>
    </row>
    <row r="1760" spans="1:3" x14ac:dyDescent="0.25">
      <c r="A1760" t="str">
        <f>IF(Scan2VK!N14&lt;&gt;"",Scan2VK!N14,"")</f>
        <v>OEM_MINUS</v>
      </c>
      <c r="B1760" t="str">
        <f>IF(ISERROR(MATCH(0,INDEX(COUNTIF($B$1:B1759,$A$2:$A$4629),0,0),0)),"",INDEX($A$2:$A$4629,MATCH(0,INDEX(COUNTIF($B$1:B1759,$A$2:$A$4629),0,0),0)))</f>
        <v/>
      </c>
      <c r="C1760" t="str">
        <f t="shared" si="27"/>
        <v/>
      </c>
    </row>
    <row r="1761" spans="1:3" x14ac:dyDescent="0.25">
      <c r="A1761" t="str">
        <f>IF(Scan2VK!N15&lt;&gt;"",Scan2VK!N15,"")</f>
        <v>OEM_PLUS</v>
      </c>
      <c r="B1761" t="str">
        <f>IF(ISERROR(MATCH(0,INDEX(COUNTIF($B$1:B1760,$A$2:$A$4629),0,0),0)),"",INDEX($A$2:$A$4629,MATCH(0,INDEX(COUNTIF($B$1:B1760,$A$2:$A$4629),0,0),0)))</f>
        <v/>
      </c>
      <c r="C1761" t="str">
        <f t="shared" si="27"/>
        <v/>
      </c>
    </row>
    <row r="1762" spans="1:3" x14ac:dyDescent="0.25">
      <c r="A1762" t="str">
        <f>IF(Scan2VK!N16&lt;&gt;"",Scan2VK!N16,"")</f>
        <v>BACK</v>
      </c>
      <c r="B1762" t="str">
        <f>IF(ISERROR(MATCH(0,INDEX(COUNTIF($B$1:B1761,$A$2:$A$4629),0,0),0)),"",INDEX($A$2:$A$4629,MATCH(0,INDEX(COUNTIF($B$1:B1761,$A$2:$A$4629),0,0),0)))</f>
        <v/>
      </c>
      <c r="C1762" t="str">
        <f t="shared" si="27"/>
        <v/>
      </c>
    </row>
    <row r="1763" spans="1:3" x14ac:dyDescent="0.25">
      <c r="A1763" t="str">
        <f>IF(Scan2VK!N17&lt;&gt;"",Scan2VK!N17,"")</f>
        <v>TAB</v>
      </c>
      <c r="B1763" t="str">
        <f>IF(ISERROR(MATCH(0,INDEX(COUNTIF($B$1:B1762,$A$2:$A$4629),0,0),0)),"",INDEX($A$2:$A$4629,MATCH(0,INDEX(COUNTIF($B$1:B1762,$A$2:$A$4629),0,0),0)))</f>
        <v/>
      </c>
      <c r="C1763" t="str">
        <f t="shared" si="27"/>
        <v/>
      </c>
    </row>
    <row r="1764" spans="1:3" x14ac:dyDescent="0.25">
      <c r="A1764" t="str">
        <f>IF(Scan2VK!N18&lt;&gt;"",Scan2VK!N18,"")</f>
        <v>'Q'</v>
      </c>
      <c r="B1764" t="str">
        <f>IF(ISERROR(MATCH(0,INDEX(COUNTIF($B$1:B1763,$A$2:$A$4629),0,0),0)),"",INDEX($A$2:$A$4629,MATCH(0,INDEX(COUNTIF($B$1:B1763,$A$2:$A$4629),0,0),0)))</f>
        <v/>
      </c>
      <c r="C1764" t="str">
        <f t="shared" si="27"/>
        <v/>
      </c>
    </row>
    <row r="1765" spans="1:3" x14ac:dyDescent="0.25">
      <c r="A1765" t="str">
        <f>IF(Scan2VK!N19&lt;&gt;"",Scan2VK!N19,"")</f>
        <v>'W'</v>
      </c>
      <c r="B1765" t="str">
        <f>IF(ISERROR(MATCH(0,INDEX(COUNTIF($B$1:B1764,$A$2:$A$4629),0,0),0)),"",INDEX($A$2:$A$4629,MATCH(0,INDEX(COUNTIF($B$1:B1764,$A$2:$A$4629),0,0),0)))</f>
        <v/>
      </c>
      <c r="C1765" t="str">
        <f t="shared" si="27"/>
        <v/>
      </c>
    </row>
    <row r="1766" spans="1:3" x14ac:dyDescent="0.25">
      <c r="A1766" t="str">
        <f>IF(Scan2VK!N20&lt;&gt;"",Scan2VK!N20,"")</f>
        <v>'E'</v>
      </c>
      <c r="B1766" t="str">
        <f>IF(ISERROR(MATCH(0,INDEX(COUNTIF($B$1:B1765,$A$2:$A$4629),0,0),0)),"",INDEX($A$2:$A$4629,MATCH(0,INDEX(COUNTIF($B$1:B1765,$A$2:$A$4629),0,0),0)))</f>
        <v/>
      </c>
      <c r="C1766" t="str">
        <f t="shared" si="27"/>
        <v/>
      </c>
    </row>
    <row r="1767" spans="1:3" x14ac:dyDescent="0.25">
      <c r="A1767" t="str">
        <f>IF(Scan2VK!N21&lt;&gt;"",Scan2VK!N21,"")</f>
        <v>'R'</v>
      </c>
      <c r="B1767" t="str">
        <f>IF(ISERROR(MATCH(0,INDEX(COUNTIF($B$1:B1766,$A$2:$A$4629),0,0),0)),"",INDEX($A$2:$A$4629,MATCH(0,INDEX(COUNTIF($B$1:B1766,$A$2:$A$4629),0,0),0)))</f>
        <v/>
      </c>
      <c r="C1767" t="str">
        <f t="shared" si="27"/>
        <v/>
      </c>
    </row>
    <row r="1768" spans="1:3" x14ac:dyDescent="0.25">
      <c r="A1768" t="str">
        <f>IF(Scan2VK!N22&lt;&gt;"",Scan2VK!N22,"")</f>
        <v>'T'</v>
      </c>
      <c r="B1768" t="str">
        <f>IF(ISERROR(MATCH(0,INDEX(COUNTIF($B$1:B1767,$A$2:$A$4629),0,0),0)),"",INDEX($A$2:$A$4629,MATCH(0,INDEX(COUNTIF($B$1:B1767,$A$2:$A$4629),0,0),0)))</f>
        <v/>
      </c>
      <c r="C1768" t="str">
        <f t="shared" si="27"/>
        <v/>
      </c>
    </row>
    <row r="1769" spans="1:3" x14ac:dyDescent="0.25">
      <c r="A1769" t="str">
        <f>IF(Scan2VK!N23&lt;&gt;"",Scan2VK!N23,"")</f>
        <v>'Y'</v>
      </c>
      <c r="B1769" t="str">
        <f>IF(ISERROR(MATCH(0,INDEX(COUNTIF($B$1:B1768,$A$2:$A$4629),0,0),0)),"",INDEX($A$2:$A$4629,MATCH(0,INDEX(COUNTIF($B$1:B1768,$A$2:$A$4629),0,0),0)))</f>
        <v/>
      </c>
      <c r="C1769" t="str">
        <f t="shared" si="27"/>
        <v/>
      </c>
    </row>
    <row r="1770" spans="1:3" x14ac:dyDescent="0.25">
      <c r="A1770" t="str">
        <f>IF(Scan2VK!N24&lt;&gt;"",Scan2VK!N24,"")</f>
        <v>'U'</v>
      </c>
      <c r="B1770" t="str">
        <f>IF(ISERROR(MATCH(0,INDEX(COUNTIF($B$1:B1769,$A$2:$A$4629),0,0),0)),"",INDEX($A$2:$A$4629,MATCH(0,INDEX(COUNTIF($B$1:B1769,$A$2:$A$4629),0,0),0)))</f>
        <v/>
      </c>
      <c r="C1770" t="str">
        <f t="shared" si="27"/>
        <v/>
      </c>
    </row>
    <row r="1771" spans="1:3" x14ac:dyDescent="0.25">
      <c r="A1771" t="str">
        <f>IF(Scan2VK!N25&lt;&gt;"",Scan2VK!N25,"")</f>
        <v>'I'</v>
      </c>
      <c r="B1771" t="str">
        <f>IF(ISERROR(MATCH(0,INDEX(COUNTIF($B$1:B1770,$A$2:$A$4629),0,0),0)),"",INDEX($A$2:$A$4629,MATCH(0,INDEX(COUNTIF($B$1:B1770,$A$2:$A$4629),0,0),0)))</f>
        <v/>
      </c>
      <c r="C1771" t="str">
        <f t="shared" si="27"/>
        <v/>
      </c>
    </row>
    <row r="1772" spans="1:3" x14ac:dyDescent="0.25">
      <c r="A1772" t="str">
        <f>IF(Scan2VK!N26&lt;&gt;"",Scan2VK!N26,"")</f>
        <v>'O'</v>
      </c>
      <c r="B1772" t="str">
        <f>IF(ISERROR(MATCH(0,INDEX(COUNTIF($B$1:B1771,$A$2:$A$4629),0,0),0)),"",INDEX($A$2:$A$4629,MATCH(0,INDEX(COUNTIF($B$1:B1771,$A$2:$A$4629),0,0),0)))</f>
        <v/>
      </c>
      <c r="C1772" t="str">
        <f t="shared" si="27"/>
        <v/>
      </c>
    </row>
    <row r="1773" spans="1:3" x14ac:dyDescent="0.25">
      <c r="A1773" t="str">
        <f>IF(Scan2VK!N27&lt;&gt;"",Scan2VK!N27,"")</f>
        <v>'P'</v>
      </c>
      <c r="B1773" t="str">
        <f>IF(ISERROR(MATCH(0,INDEX(COUNTIF($B$1:B1772,$A$2:$A$4629),0,0),0)),"",INDEX($A$2:$A$4629,MATCH(0,INDEX(COUNTIF($B$1:B1772,$A$2:$A$4629),0,0),0)))</f>
        <v/>
      </c>
      <c r="C1773" t="str">
        <f t="shared" si="27"/>
        <v/>
      </c>
    </row>
    <row r="1774" spans="1:3" x14ac:dyDescent="0.25">
      <c r="A1774" t="str">
        <f>IF(Scan2VK!N28&lt;&gt;"",Scan2VK!N28,"")</f>
        <v>OEM_4</v>
      </c>
      <c r="B1774" t="str">
        <f>IF(ISERROR(MATCH(0,INDEX(COUNTIF($B$1:B1773,$A$2:$A$4629),0,0),0)),"",INDEX($A$2:$A$4629,MATCH(0,INDEX(COUNTIF($B$1:B1773,$A$2:$A$4629),0,0),0)))</f>
        <v/>
      </c>
      <c r="C1774" t="str">
        <f t="shared" si="27"/>
        <v/>
      </c>
    </row>
    <row r="1775" spans="1:3" x14ac:dyDescent="0.25">
      <c r="A1775" t="str">
        <f>IF(Scan2VK!N29&lt;&gt;"",Scan2VK!N29,"")</f>
        <v>OEM_6</v>
      </c>
      <c r="B1775" t="str">
        <f>IF(ISERROR(MATCH(0,INDEX(COUNTIF($B$1:B1774,$A$2:$A$4629),0,0),0)),"",INDEX($A$2:$A$4629,MATCH(0,INDEX(COUNTIF($B$1:B1774,$A$2:$A$4629),0,0),0)))</f>
        <v/>
      </c>
      <c r="C1775" t="str">
        <f t="shared" si="27"/>
        <v/>
      </c>
    </row>
    <row r="1776" spans="1:3" x14ac:dyDescent="0.25">
      <c r="A1776" t="str">
        <f>IF(Scan2VK!N30&lt;&gt;"",Scan2VK!N30,"")</f>
        <v>RETURN</v>
      </c>
      <c r="B1776" t="str">
        <f>IF(ISERROR(MATCH(0,INDEX(COUNTIF($B$1:B1775,$A$2:$A$4629),0,0),0)),"",INDEX($A$2:$A$4629,MATCH(0,INDEX(COUNTIF($B$1:B1775,$A$2:$A$4629),0,0),0)))</f>
        <v/>
      </c>
      <c r="C1776" t="str">
        <f t="shared" si="27"/>
        <v/>
      </c>
    </row>
    <row r="1777" spans="1:3" x14ac:dyDescent="0.25">
      <c r="A1777" t="str">
        <f>IF(Scan2VK!N31&lt;&gt;"",Scan2VK!N31,"")</f>
        <v>LCONTROL</v>
      </c>
      <c r="B1777" t="str">
        <f>IF(ISERROR(MATCH(0,INDEX(COUNTIF($B$1:B1776,$A$2:$A$4629),0,0),0)),"",INDEX($A$2:$A$4629,MATCH(0,INDEX(COUNTIF($B$1:B1776,$A$2:$A$4629),0,0),0)))</f>
        <v/>
      </c>
      <c r="C1777" t="str">
        <f t="shared" si="27"/>
        <v/>
      </c>
    </row>
    <row r="1778" spans="1:3" x14ac:dyDescent="0.25">
      <c r="A1778" t="str">
        <f>IF(Scan2VK!N32&lt;&gt;"",Scan2VK!N32,"")</f>
        <v>'A'</v>
      </c>
      <c r="B1778" t="str">
        <f>IF(ISERROR(MATCH(0,INDEX(COUNTIF($B$1:B1777,$A$2:$A$4629),0,0),0)),"",INDEX($A$2:$A$4629,MATCH(0,INDEX(COUNTIF($B$1:B1777,$A$2:$A$4629),0,0),0)))</f>
        <v/>
      </c>
      <c r="C1778" t="str">
        <f t="shared" si="27"/>
        <v/>
      </c>
    </row>
    <row r="1779" spans="1:3" x14ac:dyDescent="0.25">
      <c r="A1779" t="str">
        <f>IF(Scan2VK!N33&lt;&gt;"",Scan2VK!N33,"")</f>
        <v>'S'</v>
      </c>
      <c r="B1779" t="str">
        <f>IF(ISERROR(MATCH(0,INDEX(COUNTIF($B$1:B1778,$A$2:$A$4629),0,0),0)),"",INDEX($A$2:$A$4629,MATCH(0,INDEX(COUNTIF($B$1:B1778,$A$2:$A$4629),0,0),0)))</f>
        <v/>
      </c>
      <c r="C1779" t="str">
        <f t="shared" si="27"/>
        <v/>
      </c>
    </row>
    <row r="1780" spans="1:3" x14ac:dyDescent="0.25">
      <c r="A1780" t="str">
        <f>IF(Scan2VK!N34&lt;&gt;"",Scan2VK!N34,"")</f>
        <v>'D'</v>
      </c>
      <c r="B1780" t="str">
        <f>IF(ISERROR(MATCH(0,INDEX(COUNTIF($B$1:B1779,$A$2:$A$4629),0,0),0)),"",INDEX($A$2:$A$4629,MATCH(0,INDEX(COUNTIF($B$1:B1779,$A$2:$A$4629),0,0),0)))</f>
        <v/>
      </c>
      <c r="C1780" t="str">
        <f t="shared" si="27"/>
        <v/>
      </c>
    </row>
    <row r="1781" spans="1:3" x14ac:dyDescent="0.25">
      <c r="A1781" t="str">
        <f>IF(Scan2VK!N35&lt;&gt;"",Scan2VK!N35,"")</f>
        <v>'F'</v>
      </c>
      <c r="B1781" t="str">
        <f>IF(ISERROR(MATCH(0,INDEX(COUNTIF($B$1:B1780,$A$2:$A$4629),0,0),0)),"",INDEX($A$2:$A$4629,MATCH(0,INDEX(COUNTIF($B$1:B1780,$A$2:$A$4629),0,0),0)))</f>
        <v/>
      </c>
      <c r="C1781" t="str">
        <f t="shared" si="27"/>
        <v/>
      </c>
    </row>
    <row r="1782" spans="1:3" x14ac:dyDescent="0.25">
      <c r="A1782" t="str">
        <f>IF(Scan2VK!N36&lt;&gt;"",Scan2VK!N36,"")</f>
        <v>'G'</v>
      </c>
      <c r="B1782" t="str">
        <f>IF(ISERROR(MATCH(0,INDEX(COUNTIF($B$1:B1781,$A$2:$A$4629),0,0),0)),"",INDEX($A$2:$A$4629,MATCH(0,INDEX(COUNTIF($B$1:B1781,$A$2:$A$4629),0,0),0)))</f>
        <v/>
      </c>
      <c r="C1782" t="str">
        <f t="shared" si="27"/>
        <v/>
      </c>
    </row>
    <row r="1783" spans="1:3" x14ac:dyDescent="0.25">
      <c r="A1783" t="str">
        <f>IF(Scan2VK!N37&lt;&gt;"",Scan2VK!N37,"")</f>
        <v>'H'</v>
      </c>
      <c r="B1783" t="str">
        <f>IF(ISERROR(MATCH(0,INDEX(COUNTIF($B$1:B1782,$A$2:$A$4629),0,0),0)),"",INDEX($A$2:$A$4629,MATCH(0,INDEX(COUNTIF($B$1:B1782,$A$2:$A$4629),0,0),0)))</f>
        <v/>
      </c>
      <c r="C1783" t="str">
        <f t="shared" si="27"/>
        <v/>
      </c>
    </row>
    <row r="1784" spans="1:3" x14ac:dyDescent="0.25">
      <c r="A1784" t="str">
        <f>IF(Scan2VK!N38&lt;&gt;"",Scan2VK!N38,"")</f>
        <v>'J'</v>
      </c>
      <c r="B1784" t="str">
        <f>IF(ISERROR(MATCH(0,INDEX(COUNTIF($B$1:B1783,$A$2:$A$4629),0,0),0)),"",INDEX($A$2:$A$4629,MATCH(0,INDEX(COUNTIF($B$1:B1783,$A$2:$A$4629),0,0),0)))</f>
        <v/>
      </c>
      <c r="C1784" t="str">
        <f t="shared" si="27"/>
        <v/>
      </c>
    </row>
    <row r="1785" spans="1:3" x14ac:dyDescent="0.25">
      <c r="A1785" t="str">
        <f>IF(Scan2VK!N39&lt;&gt;"",Scan2VK!N39,"")</f>
        <v>'K'</v>
      </c>
      <c r="B1785" t="str">
        <f>IF(ISERROR(MATCH(0,INDEX(COUNTIF($B$1:B1784,$A$2:$A$4629),0,0),0)),"",INDEX($A$2:$A$4629,MATCH(0,INDEX(COUNTIF($B$1:B1784,$A$2:$A$4629),0,0),0)))</f>
        <v/>
      </c>
      <c r="C1785" t="str">
        <f t="shared" si="27"/>
        <v/>
      </c>
    </row>
    <row r="1786" spans="1:3" x14ac:dyDescent="0.25">
      <c r="A1786" t="str">
        <f>IF(Scan2VK!N40&lt;&gt;"",Scan2VK!N40,"")</f>
        <v>'L'</v>
      </c>
      <c r="B1786" t="str">
        <f>IF(ISERROR(MATCH(0,INDEX(COUNTIF($B$1:B1785,$A$2:$A$4629),0,0),0)),"",INDEX($A$2:$A$4629,MATCH(0,INDEX(COUNTIF($B$1:B1785,$A$2:$A$4629),0,0),0)))</f>
        <v/>
      </c>
      <c r="C1786" t="str">
        <f t="shared" si="27"/>
        <v/>
      </c>
    </row>
    <row r="1787" spans="1:3" x14ac:dyDescent="0.25">
      <c r="A1787" t="str">
        <f>IF(Scan2VK!N41&lt;&gt;"",Scan2VK!N41,"")</f>
        <v>OEM_1</v>
      </c>
      <c r="B1787" t="str">
        <f>IF(ISERROR(MATCH(0,INDEX(COUNTIF($B$1:B1786,$A$2:$A$4629),0,0),0)),"",INDEX($A$2:$A$4629,MATCH(0,INDEX(COUNTIF($B$1:B1786,$A$2:$A$4629),0,0),0)))</f>
        <v/>
      </c>
      <c r="C1787" t="str">
        <f t="shared" si="27"/>
        <v/>
      </c>
    </row>
    <row r="1788" spans="1:3" x14ac:dyDescent="0.25">
      <c r="A1788" t="str">
        <f>IF(Scan2VK!N42&lt;&gt;"",Scan2VK!N42,"")</f>
        <v>OEM_7</v>
      </c>
      <c r="B1788" t="str">
        <f>IF(ISERROR(MATCH(0,INDEX(COUNTIF($B$1:B1787,$A$2:$A$4629),0,0),0)),"",INDEX($A$2:$A$4629,MATCH(0,INDEX(COUNTIF($B$1:B1787,$A$2:$A$4629),0,0),0)))</f>
        <v/>
      </c>
      <c r="C1788" t="str">
        <f t="shared" si="27"/>
        <v/>
      </c>
    </row>
    <row r="1789" spans="1:3" x14ac:dyDescent="0.25">
      <c r="A1789" t="str">
        <f>IF(Scan2VK!N43&lt;&gt;"",Scan2VK!N43,"")</f>
        <v>OEM_3</v>
      </c>
      <c r="B1789" t="str">
        <f>IF(ISERROR(MATCH(0,INDEX(COUNTIF($B$1:B1788,$A$2:$A$4629),0,0),0)),"",INDEX($A$2:$A$4629,MATCH(0,INDEX(COUNTIF($B$1:B1788,$A$2:$A$4629),0,0),0)))</f>
        <v/>
      </c>
      <c r="C1789" t="str">
        <f t="shared" si="27"/>
        <v/>
      </c>
    </row>
    <row r="1790" spans="1:3" x14ac:dyDescent="0.25">
      <c r="A1790" t="str">
        <f>IF(Scan2VK!N44&lt;&gt;"",Scan2VK!N44,"")</f>
        <v>LSHIFT</v>
      </c>
      <c r="B1790" t="str">
        <f>IF(ISERROR(MATCH(0,INDEX(COUNTIF($B$1:B1789,$A$2:$A$4629),0,0),0)),"",INDEX($A$2:$A$4629,MATCH(0,INDEX(COUNTIF($B$1:B1789,$A$2:$A$4629),0,0),0)))</f>
        <v/>
      </c>
      <c r="C1790" t="str">
        <f t="shared" si="27"/>
        <v/>
      </c>
    </row>
    <row r="1791" spans="1:3" x14ac:dyDescent="0.25">
      <c r="A1791" t="str">
        <f>IF(Scan2VK!N45&lt;&gt;"",Scan2VK!N45,"")</f>
        <v>OEM_5</v>
      </c>
      <c r="B1791" t="str">
        <f>IF(ISERROR(MATCH(0,INDEX(COUNTIF($B$1:B1790,$A$2:$A$4629),0,0),0)),"",INDEX($A$2:$A$4629,MATCH(0,INDEX(COUNTIF($B$1:B1790,$A$2:$A$4629),0,0),0)))</f>
        <v/>
      </c>
      <c r="C1791" t="str">
        <f t="shared" si="27"/>
        <v/>
      </c>
    </row>
    <row r="1792" spans="1:3" x14ac:dyDescent="0.25">
      <c r="A1792" t="str">
        <f>IF(Scan2VK!N46&lt;&gt;"",Scan2VK!N46,"")</f>
        <v>'Z'</v>
      </c>
      <c r="B1792" t="str">
        <f>IF(ISERROR(MATCH(0,INDEX(COUNTIF($B$1:B1791,$A$2:$A$4629),0,0),0)),"",INDEX($A$2:$A$4629,MATCH(0,INDEX(COUNTIF($B$1:B1791,$A$2:$A$4629),0,0),0)))</f>
        <v/>
      </c>
      <c r="C1792" t="str">
        <f t="shared" si="27"/>
        <v/>
      </c>
    </row>
    <row r="1793" spans="1:3" x14ac:dyDescent="0.25">
      <c r="A1793" t="str">
        <f>IF(Scan2VK!N47&lt;&gt;"",Scan2VK!N47,"")</f>
        <v>'X'</v>
      </c>
      <c r="B1793" t="str">
        <f>IF(ISERROR(MATCH(0,INDEX(COUNTIF($B$1:B1792,$A$2:$A$4629),0,0),0)),"",INDEX($A$2:$A$4629,MATCH(0,INDEX(COUNTIF($B$1:B1792,$A$2:$A$4629),0,0),0)))</f>
        <v/>
      </c>
      <c r="C1793" t="str">
        <f t="shared" si="27"/>
        <v/>
      </c>
    </row>
    <row r="1794" spans="1:3" x14ac:dyDescent="0.25">
      <c r="A1794" t="str">
        <f>IF(Scan2VK!N48&lt;&gt;"",Scan2VK!N48,"")</f>
        <v>'C'</v>
      </c>
      <c r="B1794" t="str">
        <f>IF(ISERROR(MATCH(0,INDEX(COUNTIF($B$1:B1793,$A$2:$A$4629),0,0),0)),"",INDEX($A$2:$A$4629,MATCH(0,INDEX(COUNTIF($B$1:B1793,$A$2:$A$4629),0,0),0)))</f>
        <v/>
      </c>
      <c r="C1794" t="str">
        <f t="shared" si="27"/>
        <v/>
      </c>
    </row>
    <row r="1795" spans="1:3" x14ac:dyDescent="0.25">
      <c r="A1795" t="str">
        <f>IF(Scan2VK!N49&lt;&gt;"",Scan2VK!N49,"")</f>
        <v>'V'</v>
      </c>
      <c r="B1795" t="str">
        <f>IF(ISERROR(MATCH(0,INDEX(COUNTIF($B$1:B1794,$A$2:$A$4629),0,0),0)),"",INDEX($A$2:$A$4629,MATCH(0,INDEX(COUNTIF($B$1:B1794,$A$2:$A$4629),0,0),0)))</f>
        <v/>
      </c>
      <c r="C1795" t="str">
        <f t="shared" ref="C1795:C1858" si="28">IF(B1795&lt;&gt;"","&lt;xs:enumeration value="""&amp;B1795&amp;"""/&gt;","")</f>
        <v/>
      </c>
    </row>
    <row r="1796" spans="1:3" x14ac:dyDescent="0.25">
      <c r="A1796" t="str">
        <f>IF(Scan2VK!N50&lt;&gt;"",Scan2VK!N50,"")</f>
        <v>'B'</v>
      </c>
      <c r="B1796" t="str">
        <f>IF(ISERROR(MATCH(0,INDEX(COUNTIF($B$1:B1795,$A$2:$A$4629),0,0),0)),"",INDEX($A$2:$A$4629,MATCH(0,INDEX(COUNTIF($B$1:B1795,$A$2:$A$4629),0,0),0)))</f>
        <v/>
      </c>
      <c r="C1796" t="str">
        <f t="shared" si="28"/>
        <v/>
      </c>
    </row>
    <row r="1797" spans="1:3" x14ac:dyDescent="0.25">
      <c r="A1797" t="str">
        <f>IF(Scan2VK!N51&lt;&gt;"",Scan2VK!N51,"")</f>
        <v>'N'</v>
      </c>
      <c r="B1797" t="str">
        <f>IF(ISERROR(MATCH(0,INDEX(COUNTIF($B$1:B1796,$A$2:$A$4629),0,0),0)),"",INDEX($A$2:$A$4629,MATCH(0,INDEX(COUNTIF($B$1:B1796,$A$2:$A$4629),0,0),0)))</f>
        <v/>
      </c>
      <c r="C1797" t="str">
        <f t="shared" si="28"/>
        <v/>
      </c>
    </row>
    <row r="1798" spans="1:3" x14ac:dyDescent="0.25">
      <c r="A1798" t="str">
        <f>IF(Scan2VK!N52&lt;&gt;"",Scan2VK!N52,"")</f>
        <v>'M'</v>
      </c>
      <c r="B1798" t="str">
        <f>IF(ISERROR(MATCH(0,INDEX(COUNTIF($B$1:B1797,$A$2:$A$4629),0,0),0)),"",INDEX($A$2:$A$4629,MATCH(0,INDEX(COUNTIF($B$1:B1797,$A$2:$A$4629),0,0),0)))</f>
        <v/>
      </c>
      <c r="C1798" t="str">
        <f t="shared" si="28"/>
        <v/>
      </c>
    </row>
    <row r="1799" spans="1:3" x14ac:dyDescent="0.25">
      <c r="A1799" t="str">
        <f>IF(Scan2VK!N53&lt;&gt;"",Scan2VK!N53,"")</f>
        <v>OEM_COMMA</v>
      </c>
      <c r="B1799" t="str">
        <f>IF(ISERROR(MATCH(0,INDEX(COUNTIF($B$1:B1798,$A$2:$A$4629),0,0),0)),"",INDEX($A$2:$A$4629,MATCH(0,INDEX(COUNTIF($B$1:B1798,$A$2:$A$4629),0,0),0)))</f>
        <v/>
      </c>
      <c r="C1799" t="str">
        <f t="shared" si="28"/>
        <v/>
      </c>
    </row>
    <row r="1800" spans="1:3" x14ac:dyDescent="0.25">
      <c r="A1800" t="str">
        <f>IF(Scan2VK!N54&lt;&gt;"",Scan2VK!N54,"")</f>
        <v>OEM_PERIOD</v>
      </c>
      <c r="B1800" t="str">
        <f>IF(ISERROR(MATCH(0,INDEX(COUNTIF($B$1:B1799,$A$2:$A$4629),0,0),0)),"",INDEX($A$2:$A$4629,MATCH(0,INDEX(COUNTIF($B$1:B1799,$A$2:$A$4629),0,0),0)))</f>
        <v/>
      </c>
      <c r="C1800" t="str">
        <f t="shared" si="28"/>
        <v/>
      </c>
    </row>
    <row r="1801" spans="1:3" x14ac:dyDescent="0.25">
      <c r="A1801" t="str">
        <f>IF(Scan2VK!N55&lt;&gt;"",Scan2VK!N55,"")</f>
        <v>OEM_2</v>
      </c>
      <c r="B1801" t="str">
        <f>IF(ISERROR(MATCH(0,INDEX(COUNTIF($B$1:B1800,$A$2:$A$4629),0,0),0)),"",INDEX($A$2:$A$4629,MATCH(0,INDEX(COUNTIF($B$1:B1800,$A$2:$A$4629),0,0),0)))</f>
        <v/>
      </c>
      <c r="C1801" t="str">
        <f t="shared" si="28"/>
        <v/>
      </c>
    </row>
    <row r="1802" spans="1:3" x14ac:dyDescent="0.25">
      <c r="A1802" t="str">
        <f>IF(Scan2VK!N56&lt;&gt;"",Scan2VK!N56,"")</f>
        <v>RSHIFT</v>
      </c>
      <c r="B1802" t="str">
        <f>IF(ISERROR(MATCH(0,INDEX(COUNTIF($B$1:B1801,$A$2:$A$4629),0,0),0)),"",INDEX($A$2:$A$4629,MATCH(0,INDEX(COUNTIF($B$1:B1801,$A$2:$A$4629),0,0),0)))</f>
        <v/>
      </c>
      <c r="C1802" t="str">
        <f t="shared" si="28"/>
        <v/>
      </c>
    </row>
    <row r="1803" spans="1:3" x14ac:dyDescent="0.25">
      <c r="A1803" t="str">
        <f>IF(Scan2VK!N57&lt;&gt;"",Scan2VK!N57,"")</f>
        <v>MULTIPLY</v>
      </c>
      <c r="B1803" t="str">
        <f>IF(ISERROR(MATCH(0,INDEX(COUNTIF($B$1:B1802,$A$2:$A$4629),0,0),0)),"",INDEX($A$2:$A$4629,MATCH(0,INDEX(COUNTIF($B$1:B1802,$A$2:$A$4629),0,0),0)))</f>
        <v/>
      </c>
      <c r="C1803" t="str">
        <f t="shared" si="28"/>
        <v/>
      </c>
    </row>
    <row r="1804" spans="1:3" x14ac:dyDescent="0.25">
      <c r="A1804" t="str">
        <f>IF(Scan2VK!N58&lt;&gt;"",Scan2VK!N58,"")</f>
        <v>LMENU</v>
      </c>
      <c r="B1804" t="str">
        <f>IF(ISERROR(MATCH(0,INDEX(COUNTIF($B$1:B1803,$A$2:$A$4629),0,0),0)),"",INDEX($A$2:$A$4629,MATCH(0,INDEX(COUNTIF($B$1:B1803,$A$2:$A$4629),0,0),0)))</f>
        <v/>
      </c>
      <c r="C1804" t="str">
        <f t="shared" si="28"/>
        <v/>
      </c>
    </row>
    <row r="1805" spans="1:3" x14ac:dyDescent="0.25">
      <c r="A1805" t="str">
        <f>IF(Scan2VK!N59&lt;&gt;"",Scan2VK!N59,"")</f>
        <v>''</v>
      </c>
      <c r="B1805" t="str">
        <f>IF(ISERROR(MATCH(0,INDEX(COUNTIF($B$1:B1804,$A$2:$A$4629),0,0),0)),"",INDEX($A$2:$A$4629,MATCH(0,INDEX(COUNTIF($B$1:B1804,$A$2:$A$4629),0,0),0)))</f>
        <v/>
      </c>
      <c r="C1805" t="str">
        <f t="shared" si="28"/>
        <v/>
      </c>
    </row>
    <row r="1806" spans="1:3" x14ac:dyDescent="0.25">
      <c r="A1806" t="str">
        <f>IF(Scan2VK!N60&lt;&gt;"",Scan2VK!N60,"")</f>
        <v>CAPITAL</v>
      </c>
      <c r="B1806" t="str">
        <f>IF(ISERROR(MATCH(0,INDEX(COUNTIF($B$1:B1805,$A$2:$A$4629),0,0),0)),"",INDEX($A$2:$A$4629,MATCH(0,INDEX(COUNTIF($B$1:B1805,$A$2:$A$4629),0,0),0)))</f>
        <v/>
      </c>
      <c r="C1806" t="str">
        <f t="shared" si="28"/>
        <v/>
      </c>
    </row>
    <row r="1807" spans="1:3" x14ac:dyDescent="0.25">
      <c r="A1807" t="str">
        <f>IF(Scan2VK!N61&lt;&gt;"",Scan2VK!N61,"")</f>
        <v>F1</v>
      </c>
      <c r="B1807" t="str">
        <f>IF(ISERROR(MATCH(0,INDEX(COUNTIF($B$1:B1806,$A$2:$A$4629),0,0),0)),"",INDEX($A$2:$A$4629,MATCH(0,INDEX(COUNTIF($B$1:B1806,$A$2:$A$4629),0,0),0)))</f>
        <v/>
      </c>
      <c r="C1807" t="str">
        <f t="shared" si="28"/>
        <v/>
      </c>
    </row>
    <row r="1808" spans="1:3" x14ac:dyDescent="0.25">
      <c r="A1808" t="str">
        <f>IF(Scan2VK!N62&lt;&gt;"",Scan2VK!N62,"")</f>
        <v>F2</v>
      </c>
      <c r="B1808" t="str">
        <f>IF(ISERROR(MATCH(0,INDEX(COUNTIF($B$1:B1807,$A$2:$A$4629),0,0),0)),"",INDEX($A$2:$A$4629,MATCH(0,INDEX(COUNTIF($B$1:B1807,$A$2:$A$4629),0,0),0)))</f>
        <v/>
      </c>
      <c r="C1808" t="str">
        <f t="shared" si="28"/>
        <v/>
      </c>
    </row>
    <row r="1809" spans="1:3" x14ac:dyDescent="0.25">
      <c r="A1809" t="str">
        <f>IF(Scan2VK!N63&lt;&gt;"",Scan2VK!N63,"")</f>
        <v>F3</v>
      </c>
      <c r="B1809" t="str">
        <f>IF(ISERROR(MATCH(0,INDEX(COUNTIF($B$1:B1808,$A$2:$A$4629),0,0),0)),"",INDEX($A$2:$A$4629,MATCH(0,INDEX(COUNTIF($B$1:B1808,$A$2:$A$4629),0,0),0)))</f>
        <v/>
      </c>
      <c r="C1809" t="str">
        <f t="shared" si="28"/>
        <v/>
      </c>
    </row>
    <row r="1810" spans="1:3" x14ac:dyDescent="0.25">
      <c r="A1810" t="str">
        <f>IF(Scan2VK!N64&lt;&gt;"",Scan2VK!N64,"")</f>
        <v>F4</v>
      </c>
      <c r="B1810" t="str">
        <f>IF(ISERROR(MATCH(0,INDEX(COUNTIF($B$1:B1809,$A$2:$A$4629),0,0),0)),"",INDEX($A$2:$A$4629,MATCH(0,INDEX(COUNTIF($B$1:B1809,$A$2:$A$4629),0,0),0)))</f>
        <v/>
      </c>
      <c r="C1810" t="str">
        <f t="shared" si="28"/>
        <v/>
      </c>
    </row>
    <row r="1811" spans="1:3" x14ac:dyDescent="0.25">
      <c r="A1811" t="str">
        <f>IF(Scan2VK!N65&lt;&gt;"",Scan2VK!N65,"")</f>
        <v>F5</v>
      </c>
      <c r="B1811" t="str">
        <f>IF(ISERROR(MATCH(0,INDEX(COUNTIF($B$1:B1810,$A$2:$A$4629),0,0),0)),"",INDEX($A$2:$A$4629,MATCH(0,INDEX(COUNTIF($B$1:B1810,$A$2:$A$4629),0,0),0)))</f>
        <v/>
      </c>
      <c r="C1811" t="str">
        <f t="shared" si="28"/>
        <v/>
      </c>
    </row>
    <row r="1812" spans="1:3" x14ac:dyDescent="0.25">
      <c r="A1812" t="str">
        <f>IF(Scan2VK!N66&lt;&gt;"",Scan2VK!N66,"")</f>
        <v>F6</v>
      </c>
      <c r="B1812" t="str">
        <f>IF(ISERROR(MATCH(0,INDEX(COUNTIF($B$1:B1811,$A$2:$A$4629),0,0),0)),"",INDEX($A$2:$A$4629,MATCH(0,INDEX(COUNTIF($B$1:B1811,$A$2:$A$4629),0,0),0)))</f>
        <v/>
      </c>
      <c r="C1812" t="str">
        <f t="shared" si="28"/>
        <v/>
      </c>
    </row>
    <row r="1813" spans="1:3" x14ac:dyDescent="0.25">
      <c r="A1813" t="str">
        <f>IF(Scan2VK!N67&lt;&gt;"",Scan2VK!N67,"")</f>
        <v>F7</v>
      </c>
      <c r="B1813" t="str">
        <f>IF(ISERROR(MATCH(0,INDEX(COUNTIF($B$1:B1812,$A$2:$A$4629),0,0),0)),"",INDEX($A$2:$A$4629,MATCH(0,INDEX(COUNTIF($B$1:B1812,$A$2:$A$4629),0,0),0)))</f>
        <v/>
      </c>
      <c r="C1813" t="str">
        <f t="shared" si="28"/>
        <v/>
      </c>
    </row>
    <row r="1814" spans="1:3" x14ac:dyDescent="0.25">
      <c r="A1814" t="str">
        <f>IF(Scan2VK!N68&lt;&gt;"",Scan2VK!N68,"")</f>
        <v>F8</v>
      </c>
      <c r="B1814" t="str">
        <f>IF(ISERROR(MATCH(0,INDEX(COUNTIF($B$1:B1813,$A$2:$A$4629),0,0),0)),"",INDEX($A$2:$A$4629,MATCH(0,INDEX(COUNTIF($B$1:B1813,$A$2:$A$4629),0,0),0)))</f>
        <v/>
      </c>
      <c r="C1814" t="str">
        <f t="shared" si="28"/>
        <v/>
      </c>
    </row>
    <row r="1815" spans="1:3" x14ac:dyDescent="0.25">
      <c r="A1815" t="str">
        <f>IF(Scan2VK!N69&lt;&gt;"",Scan2VK!N69,"")</f>
        <v>F9</v>
      </c>
      <c r="B1815" t="str">
        <f>IF(ISERROR(MATCH(0,INDEX(COUNTIF($B$1:B1814,$A$2:$A$4629),0,0),0)),"",INDEX($A$2:$A$4629,MATCH(0,INDEX(COUNTIF($B$1:B1814,$A$2:$A$4629),0,0),0)))</f>
        <v/>
      </c>
      <c r="C1815" t="str">
        <f t="shared" si="28"/>
        <v/>
      </c>
    </row>
    <row r="1816" spans="1:3" x14ac:dyDescent="0.25">
      <c r="A1816" t="str">
        <f>IF(Scan2VK!N70&lt;&gt;"",Scan2VK!N70,"")</f>
        <v>F10</v>
      </c>
      <c r="B1816" t="str">
        <f>IF(ISERROR(MATCH(0,INDEX(COUNTIF($B$1:B1815,$A$2:$A$4629),0,0),0)),"",INDEX($A$2:$A$4629,MATCH(0,INDEX(COUNTIF($B$1:B1815,$A$2:$A$4629),0,0),0)))</f>
        <v/>
      </c>
      <c r="C1816" t="str">
        <f t="shared" si="28"/>
        <v/>
      </c>
    </row>
    <row r="1817" spans="1:3" x14ac:dyDescent="0.25">
      <c r="A1817" t="str">
        <f>IF(Scan2VK!N71&lt;&gt;"",Scan2VK!N71,"")</f>
        <v>NUMLOCK</v>
      </c>
      <c r="B1817" t="str">
        <f>IF(ISERROR(MATCH(0,INDEX(COUNTIF($B$1:B1816,$A$2:$A$4629),0,0),0)),"",INDEX($A$2:$A$4629,MATCH(0,INDEX(COUNTIF($B$1:B1816,$A$2:$A$4629),0,0),0)))</f>
        <v/>
      </c>
      <c r="C1817" t="str">
        <f t="shared" si="28"/>
        <v/>
      </c>
    </row>
    <row r="1818" spans="1:3" x14ac:dyDescent="0.25">
      <c r="A1818" t="str">
        <f>IF(Scan2VK!N72&lt;&gt;"",Scan2VK!N72,"")</f>
        <v>SCROLL</v>
      </c>
      <c r="B1818" t="str">
        <f>IF(ISERROR(MATCH(0,INDEX(COUNTIF($B$1:B1817,$A$2:$A$4629),0,0),0)),"",INDEX($A$2:$A$4629,MATCH(0,INDEX(COUNTIF($B$1:B1817,$A$2:$A$4629),0,0),0)))</f>
        <v/>
      </c>
      <c r="C1818" t="str">
        <f t="shared" si="28"/>
        <v/>
      </c>
    </row>
    <row r="1819" spans="1:3" x14ac:dyDescent="0.25">
      <c r="A1819" t="str">
        <f>IF(Scan2VK!N73&lt;&gt;"",Scan2VK!N73,"")</f>
        <v>HOME</v>
      </c>
      <c r="B1819" t="str">
        <f>IF(ISERROR(MATCH(0,INDEX(COUNTIF($B$1:B1818,$A$2:$A$4629),0,0),0)),"",INDEX($A$2:$A$4629,MATCH(0,INDEX(COUNTIF($B$1:B1818,$A$2:$A$4629),0,0),0)))</f>
        <v/>
      </c>
      <c r="C1819" t="str">
        <f t="shared" si="28"/>
        <v/>
      </c>
    </row>
    <row r="1820" spans="1:3" x14ac:dyDescent="0.25">
      <c r="A1820" t="str">
        <f>IF(Scan2VK!N74&lt;&gt;"",Scan2VK!N74,"")</f>
        <v>UP</v>
      </c>
      <c r="B1820" t="str">
        <f>IF(ISERROR(MATCH(0,INDEX(COUNTIF($B$1:B1819,$A$2:$A$4629),0,0),0)),"",INDEX($A$2:$A$4629,MATCH(0,INDEX(COUNTIF($B$1:B1819,$A$2:$A$4629),0,0),0)))</f>
        <v/>
      </c>
      <c r="C1820" t="str">
        <f t="shared" si="28"/>
        <v/>
      </c>
    </row>
    <row r="1821" spans="1:3" x14ac:dyDescent="0.25">
      <c r="A1821" t="str">
        <f>IF(Scan2VK!N75&lt;&gt;"",Scan2VK!N75,"")</f>
        <v>PRIOR</v>
      </c>
      <c r="B1821" t="str">
        <f>IF(ISERROR(MATCH(0,INDEX(COUNTIF($B$1:B1820,$A$2:$A$4629),0,0),0)),"",INDEX($A$2:$A$4629,MATCH(0,INDEX(COUNTIF($B$1:B1820,$A$2:$A$4629),0,0),0)))</f>
        <v/>
      </c>
      <c r="C1821" t="str">
        <f t="shared" si="28"/>
        <v/>
      </c>
    </row>
    <row r="1822" spans="1:3" x14ac:dyDescent="0.25">
      <c r="A1822" t="str">
        <f>IF(Scan2VK!N76&lt;&gt;"",Scan2VK!N76,"")</f>
        <v>SUBTRACT</v>
      </c>
      <c r="B1822" t="str">
        <f>IF(ISERROR(MATCH(0,INDEX(COUNTIF($B$1:B1821,$A$2:$A$4629),0,0),0)),"",INDEX($A$2:$A$4629,MATCH(0,INDEX(COUNTIF($B$1:B1821,$A$2:$A$4629),0,0),0)))</f>
        <v/>
      </c>
      <c r="C1822" t="str">
        <f t="shared" si="28"/>
        <v/>
      </c>
    </row>
    <row r="1823" spans="1:3" x14ac:dyDescent="0.25">
      <c r="A1823" t="str">
        <f>IF(Scan2VK!N77&lt;&gt;"",Scan2VK!N77,"")</f>
        <v>LEFT</v>
      </c>
      <c r="B1823" t="str">
        <f>IF(ISERROR(MATCH(0,INDEX(COUNTIF($B$1:B1822,$A$2:$A$4629),0,0),0)),"",INDEX($A$2:$A$4629,MATCH(0,INDEX(COUNTIF($B$1:B1822,$A$2:$A$4629),0,0),0)))</f>
        <v/>
      </c>
      <c r="C1823" t="str">
        <f t="shared" si="28"/>
        <v/>
      </c>
    </row>
    <row r="1824" spans="1:3" x14ac:dyDescent="0.25">
      <c r="A1824" t="str">
        <f>IF(Scan2VK!N78&lt;&gt;"",Scan2VK!N78,"")</f>
        <v>CLEAR</v>
      </c>
      <c r="B1824" t="str">
        <f>IF(ISERROR(MATCH(0,INDEX(COUNTIF($B$1:B1823,$A$2:$A$4629),0,0),0)),"",INDEX($A$2:$A$4629,MATCH(0,INDEX(COUNTIF($B$1:B1823,$A$2:$A$4629),0,0),0)))</f>
        <v/>
      </c>
      <c r="C1824" t="str">
        <f t="shared" si="28"/>
        <v/>
      </c>
    </row>
    <row r="1825" spans="1:3" x14ac:dyDescent="0.25">
      <c r="A1825" t="str">
        <f>IF(Scan2VK!N79&lt;&gt;"",Scan2VK!N79,"")</f>
        <v>RIGHT</v>
      </c>
      <c r="B1825" t="str">
        <f>IF(ISERROR(MATCH(0,INDEX(COUNTIF($B$1:B1824,$A$2:$A$4629),0,0),0)),"",INDEX($A$2:$A$4629,MATCH(0,INDEX(COUNTIF($B$1:B1824,$A$2:$A$4629),0,0),0)))</f>
        <v/>
      </c>
      <c r="C1825" t="str">
        <f t="shared" si="28"/>
        <v/>
      </c>
    </row>
    <row r="1826" spans="1:3" x14ac:dyDescent="0.25">
      <c r="A1826" t="str">
        <f>IF(Scan2VK!N80&lt;&gt;"",Scan2VK!N80,"")</f>
        <v>ADD</v>
      </c>
      <c r="B1826" t="str">
        <f>IF(ISERROR(MATCH(0,INDEX(COUNTIF($B$1:B1825,$A$2:$A$4629),0,0),0)),"",INDEX($A$2:$A$4629,MATCH(0,INDEX(COUNTIF($B$1:B1825,$A$2:$A$4629),0,0),0)))</f>
        <v/>
      </c>
      <c r="C1826" t="str">
        <f t="shared" si="28"/>
        <v/>
      </c>
    </row>
    <row r="1827" spans="1:3" x14ac:dyDescent="0.25">
      <c r="A1827" t="str">
        <f>IF(Scan2VK!N81&lt;&gt;"",Scan2VK!N81,"")</f>
        <v>END</v>
      </c>
      <c r="B1827" t="str">
        <f>IF(ISERROR(MATCH(0,INDEX(COUNTIF($B$1:B1826,$A$2:$A$4629),0,0),0)),"",INDEX($A$2:$A$4629,MATCH(0,INDEX(COUNTIF($B$1:B1826,$A$2:$A$4629),0,0),0)))</f>
        <v/>
      </c>
      <c r="C1827" t="str">
        <f t="shared" si="28"/>
        <v/>
      </c>
    </row>
    <row r="1828" spans="1:3" x14ac:dyDescent="0.25">
      <c r="A1828" t="str">
        <f>IF(Scan2VK!N82&lt;&gt;"",Scan2VK!N82,"")</f>
        <v>DOWN</v>
      </c>
      <c r="B1828" t="str">
        <f>IF(ISERROR(MATCH(0,INDEX(COUNTIF($B$1:B1827,$A$2:$A$4629),0,0),0)),"",INDEX($A$2:$A$4629,MATCH(0,INDEX(COUNTIF($B$1:B1827,$A$2:$A$4629),0,0),0)))</f>
        <v/>
      </c>
      <c r="C1828" t="str">
        <f t="shared" si="28"/>
        <v/>
      </c>
    </row>
    <row r="1829" spans="1:3" x14ac:dyDescent="0.25">
      <c r="A1829" t="str">
        <f>IF(Scan2VK!N83&lt;&gt;"",Scan2VK!N83,"")</f>
        <v>NEXT</v>
      </c>
      <c r="B1829" t="str">
        <f>IF(ISERROR(MATCH(0,INDEX(COUNTIF($B$1:B1828,$A$2:$A$4629),0,0),0)),"",INDEX($A$2:$A$4629,MATCH(0,INDEX(COUNTIF($B$1:B1828,$A$2:$A$4629),0,0),0)))</f>
        <v/>
      </c>
      <c r="C1829" t="str">
        <f t="shared" si="28"/>
        <v/>
      </c>
    </row>
    <row r="1830" spans="1:3" x14ac:dyDescent="0.25">
      <c r="A1830" t="str">
        <f>IF(Scan2VK!N84&lt;&gt;"",Scan2VK!N84,"")</f>
        <v>INSERT</v>
      </c>
      <c r="B1830" t="str">
        <f>IF(ISERROR(MATCH(0,INDEX(COUNTIF($B$1:B1829,$A$2:$A$4629),0,0),0)),"",INDEX($A$2:$A$4629,MATCH(0,INDEX(COUNTIF($B$1:B1829,$A$2:$A$4629),0,0),0)))</f>
        <v/>
      </c>
      <c r="C1830" t="str">
        <f t="shared" si="28"/>
        <v/>
      </c>
    </row>
    <row r="1831" spans="1:3" x14ac:dyDescent="0.25">
      <c r="A1831" t="str">
        <f>IF(Scan2VK!N85&lt;&gt;"",Scan2VK!N85,"")</f>
        <v>DELETE</v>
      </c>
      <c r="B1831" t="str">
        <f>IF(ISERROR(MATCH(0,INDEX(COUNTIF($B$1:B1830,$A$2:$A$4629),0,0),0)),"",INDEX($A$2:$A$4629,MATCH(0,INDEX(COUNTIF($B$1:B1830,$A$2:$A$4629),0,0),0)))</f>
        <v/>
      </c>
      <c r="C1831" t="str">
        <f t="shared" si="28"/>
        <v/>
      </c>
    </row>
    <row r="1832" spans="1:3" x14ac:dyDescent="0.25">
      <c r="A1832" t="str">
        <f>IF(Scan2VK!N86&lt;&gt;"",Scan2VK!N86,"")</f>
        <v>SNAPSHOT</v>
      </c>
      <c r="B1832" t="str">
        <f>IF(ISERROR(MATCH(0,INDEX(COUNTIF($B$1:B1831,$A$2:$A$4629),0,0),0)),"",INDEX($A$2:$A$4629,MATCH(0,INDEX(COUNTIF($B$1:B1831,$A$2:$A$4629),0,0),0)))</f>
        <v/>
      </c>
      <c r="C1832" t="str">
        <f t="shared" si="28"/>
        <v/>
      </c>
    </row>
    <row r="1833" spans="1:3" x14ac:dyDescent="0.25">
      <c r="A1833" t="str">
        <f>IF(Scan2VK!N87&lt;&gt;"",Scan2VK!N87,"")</f>
        <v>_none_</v>
      </c>
      <c r="B1833" t="str">
        <f>IF(ISERROR(MATCH(0,INDEX(COUNTIF($B$1:B1832,$A$2:$A$4629),0,0),0)),"",INDEX($A$2:$A$4629,MATCH(0,INDEX(COUNTIF($B$1:B1832,$A$2:$A$4629),0,0),0)))</f>
        <v/>
      </c>
      <c r="C1833" t="str">
        <f t="shared" si="28"/>
        <v/>
      </c>
    </row>
    <row r="1834" spans="1:3" x14ac:dyDescent="0.25">
      <c r="A1834" t="str">
        <f>IF(Scan2VK!N88&lt;&gt;"",Scan2VK!N88,"")</f>
        <v>OEM_102</v>
      </c>
      <c r="B1834" t="str">
        <f>IF(ISERROR(MATCH(0,INDEX(COUNTIF($B$1:B1833,$A$2:$A$4629),0,0),0)),"",INDEX($A$2:$A$4629,MATCH(0,INDEX(COUNTIF($B$1:B1833,$A$2:$A$4629),0,0),0)))</f>
        <v/>
      </c>
      <c r="C1834" t="str">
        <f t="shared" si="28"/>
        <v/>
      </c>
    </row>
    <row r="1835" spans="1:3" x14ac:dyDescent="0.25">
      <c r="A1835" t="str">
        <f>IF(Scan2VK!N89&lt;&gt;"",Scan2VK!N89,"")</f>
        <v>F11</v>
      </c>
      <c r="B1835" t="str">
        <f>IF(ISERROR(MATCH(0,INDEX(COUNTIF($B$1:B1834,$A$2:$A$4629),0,0),0)),"",INDEX($A$2:$A$4629,MATCH(0,INDEX(COUNTIF($B$1:B1834,$A$2:$A$4629),0,0),0)))</f>
        <v/>
      </c>
      <c r="C1835" t="str">
        <f t="shared" si="28"/>
        <v/>
      </c>
    </row>
    <row r="1836" spans="1:3" x14ac:dyDescent="0.25">
      <c r="A1836" t="str">
        <f>IF(Scan2VK!N90&lt;&gt;"",Scan2VK!N90,"")</f>
        <v>F12</v>
      </c>
      <c r="B1836" t="str">
        <f>IF(ISERROR(MATCH(0,INDEX(COUNTIF($B$1:B1835,$A$2:$A$4629),0,0),0)),"",INDEX($A$2:$A$4629,MATCH(0,INDEX(COUNTIF($B$1:B1835,$A$2:$A$4629),0,0),0)))</f>
        <v/>
      </c>
      <c r="C1836" t="str">
        <f t="shared" si="28"/>
        <v/>
      </c>
    </row>
    <row r="1837" spans="1:3" x14ac:dyDescent="0.25">
      <c r="A1837" t="str">
        <f>IF(Scan2VK!N91&lt;&gt;"",Scan2VK!N91,"")</f>
        <v>CLEAR</v>
      </c>
      <c r="B1837" t="str">
        <f>IF(ISERROR(MATCH(0,INDEX(COUNTIF($B$1:B1836,$A$2:$A$4629),0,0),0)),"",INDEX($A$2:$A$4629,MATCH(0,INDEX(COUNTIF($B$1:B1836,$A$2:$A$4629),0,0),0)))</f>
        <v/>
      </c>
      <c r="C1837" t="str">
        <f t="shared" si="28"/>
        <v/>
      </c>
    </row>
    <row r="1838" spans="1:3" x14ac:dyDescent="0.25">
      <c r="A1838" t="str">
        <f>IF(Scan2VK!N92&lt;&gt;"",Scan2VK!N92,"")</f>
        <v>OEM_WSCTRL</v>
      </c>
      <c r="B1838" t="str">
        <f>IF(ISERROR(MATCH(0,INDEX(COUNTIF($B$1:B1837,$A$2:$A$4629),0,0),0)),"",INDEX($A$2:$A$4629,MATCH(0,INDEX(COUNTIF($B$1:B1837,$A$2:$A$4629),0,0),0)))</f>
        <v/>
      </c>
      <c r="C1838" t="str">
        <f t="shared" si="28"/>
        <v/>
      </c>
    </row>
    <row r="1839" spans="1:3" x14ac:dyDescent="0.25">
      <c r="A1839" t="str">
        <f>IF(Scan2VK!N93&lt;&gt;"",Scan2VK!N93,"")</f>
        <v>OEM_FINISH</v>
      </c>
      <c r="B1839" t="str">
        <f>IF(ISERROR(MATCH(0,INDEX(COUNTIF($B$1:B1838,$A$2:$A$4629),0,0),0)),"",INDEX($A$2:$A$4629,MATCH(0,INDEX(COUNTIF($B$1:B1838,$A$2:$A$4629),0,0),0)))</f>
        <v/>
      </c>
      <c r="C1839" t="str">
        <f t="shared" si="28"/>
        <v/>
      </c>
    </row>
    <row r="1840" spans="1:3" x14ac:dyDescent="0.25">
      <c r="A1840" t="str">
        <f>IF(Scan2VK!N94&lt;&gt;"",Scan2VK!N94,"")</f>
        <v>OEM_JUMP</v>
      </c>
      <c r="B1840" t="str">
        <f>IF(ISERROR(MATCH(0,INDEX(COUNTIF($B$1:B1839,$A$2:$A$4629),0,0),0)),"",INDEX($A$2:$A$4629,MATCH(0,INDEX(COUNTIF($B$1:B1839,$A$2:$A$4629),0,0),0)))</f>
        <v/>
      </c>
      <c r="C1840" t="str">
        <f t="shared" si="28"/>
        <v/>
      </c>
    </row>
    <row r="1841" spans="1:3" x14ac:dyDescent="0.25">
      <c r="A1841" t="str">
        <f>IF(Scan2VK!N95&lt;&gt;"",Scan2VK!N95,"")</f>
        <v>EREOF</v>
      </c>
      <c r="B1841" t="str">
        <f>IF(ISERROR(MATCH(0,INDEX(COUNTIF($B$1:B1840,$A$2:$A$4629),0,0),0)),"",INDEX($A$2:$A$4629,MATCH(0,INDEX(COUNTIF($B$1:B1840,$A$2:$A$4629),0,0),0)))</f>
        <v/>
      </c>
      <c r="C1841" t="str">
        <f t="shared" si="28"/>
        <v/>
      </c>
    </row>
    <row r="1842" spans="1:3" x14ac:dyDescent="0.25">
      <c r="A1842" t="str">
        <f>IF(Scan2VK!N96&lt;&gt;"",Scan2VK!N96,"")</f>
        <v>OEM_BACKTAB</v>
      </c>
      <c r="B1842" t="str">
        <f>IF(ISERROR(MATCH(0,INDEX(COUNTIF($B$1:B1841,$A$2:$A$4629),0,0),0)),"",INDEX($A$2:$A$4629,MATCH(0,INDEX(COUNTIF($B$1:B1841,$A$2:$A$4629),0,0),0)))</f>
        <v/>
      </c>
      <c r="C1842" t="str">
        <f t="shared" si="28"/>
        <v/>
      </c>
    </row>
    <row r="1843" spans="1:3" x14ac:dyDescent="0.25">
      <c r="A1843" t="str">
        <f>IF(Scan2VK!N97&lt;&gt;"",Scan2VK!N97,"")</f>
        <v>OEM_AUTO</v>
      </c>
      <c r="B1843" t="str">
        <f>IF(ISERROR(MATCH(0,INDEX(COUNTIF($B$1:B1842,$A$2:$A$4629),0,0),0)),"",INDEX($A$2:$A$4629,MATCH(0,INDEX(COUNTIF($B$1:B1842,$A$2:$A$4629),0,0),0)))</f>
        <v/>
      </c>
      <c r="C1843" t="str">
        <f t="shared" si="28"/>
        <v/>
      </c>
    </row>
    <row r="1844" spans="1:3" x14ac:dyDescent="0.25">
      <c r="A1844" t="str">
        <f>IF(Scan2VK!N98&lt;&gt;"",Scan2VK!N98,"")</f>
        <v>_none_</v>
      </c>
      <c r="B1844" t="str">
        <f>IF(ISERROR(MATCH(0,INDEX(COUNTIF($B$1:B1843,$A$2:$A$4629),0,0),0)),"",INDEX($A$2:$A$4629,MATCH(0,INDEX(COUNTIF($B$1:B1843,$A$2:$A$4629),0,0),0)))</f>
        <v/>
      </c>
      <c r="C1844" t="str">
        <f t="shared" si="28"/>
        <v/>
      </c>
    </row>
    <row r="1845" spans="1:3" x14ac:dyDescent="0.25">
      <c r="A1845" t="str">
        <f>IF(Scan2VK!N99&lt;&gt;"",Scan2VK!N99,"")</f>
        <v>ZOOM</v>
      </c>
      <c r="B1845" t="str">
        <f>IF(ISERROR(MATCH(0,INDEX(COUNTIF($B$1:B1844,$A$2:$A$4629),0,0),0)),"",INDEX($A$2:$A$4629,MATCH(0,INDEX(COUNTIF($B$1:B1844,$A$2:$A$4629),0,0),0)))</f>
        <v/>
      </c>
      <c r="C1845" t="str">
        <f t="shared" si="28"/>
        <v/>
      </c>
    </row>
    <row r="1846" spans="1:3" x14ac:dyDescent="0.25">
      <c r="A1846" t="str">
        <f>IF(Scan2VK!N100&lt;&gt;"",Scan2VK!N100,"")</f>
        <v>HELP</v>
      </c>
      <c r="B1846" t="str">
        <f>IF(ISERROR(MATCH(0,INDEX(COUNTIF($B$1:B1845,$A$2:$A$4629),0,0),0)),"",INDEX($A$2:$A$4629,MATCH(0,INDEX(COUNTIF($B$1:B1845,$A$2:$A$4629),0,0),0)))</f>
        <v/>
      </c>
      <c r="C1846" t="str">
        <f t="shared" si="28"/>
        <v/>
      </c>
    </row>
    <row r="1847" spans="1:3" x14ac:dyDescent="0.25">
      <c r="A1847" t="str">
        <f>IF(Scan2VK!N101&lt;&gt;"",Scan2VK!N101,"")</f>
        <v>_none_</v>
      </c>
      <c r="B1847" t="str">
        <f>IF(ISERROR(MATCH(0,INDEX(COUNTIF($B$1:B1846,$A$2:$A$4629),0,0),0)),"",INDEX($A$2:$A$4629,MATCH(0,INDEX(COUNTIF($B$1:B1846,$A$2:$A$4629),0,0),0)))</f>
        <v/>
      </c>
      <c r="C1847" t="str">
        <f t="shared" si="28"/>
        <v/>
      </c>
    </row>
    <row r="1848" spans="1:3" x14ac:dyDescent="0.25">
      <c r="A1848" t="str">
        <f>IF(Scan2VK!N102&lt;&gt;"",Scan2VK!N102,"")</f>
        <v>F13</v>
      </c>
      <c r="B1848" t="str">
        <f>IF(ISERROR(MATCH(0,INDEX(COUNTIF($B$1:B1847,$A$2:$A$4629),0,0),0)),"",INDEX($A$2:$A$4629,MATCH(0,INDEX(COUNTIF($B$1:B1847,$A$2:$A$4629),0,0),0)))</f>
        <v/>
      </c>
      <c r="C1848" t="str">
        <f t="shared" si="28"/>
        <v/>
      </c>
    </row>
    <row r="1849" spans="1:3" x14ac:dyDescent="0.25">
      <c r="A1849" t="str">
        <f>IF(Scan2VK!N103&lt;&gt;"",Scan2VK!N103,"")</f>
        <v>F14</v>
      </c>
      <c r="B1849" t="str">
        <f>IF(ISERROR(MATCH(0,INDEX(COUNTIF($B$1:B1848,$A$2:$A$4629),0,0),0)),"",INDEX($A$2:$A$4629,MATCH(0,INDEX(COUNTIF($B$1:B1848,$A$2:$A$4629),0,0),0)))</f>
        <v/>
      </c>
      <c r="C1849" t="str">
        <f t="shared" si="28"/>
        <v/>
      </c>
    </row>
    <row r="1850" spans="1:3" x14ac:dyDescent="0.25">
      <c r="A1850" t="str">
        <f>IF(Scan2VK!N104&lt;&gt;"",Scan2VK!N104,"")</f>
        <v>F15</v>
      </c>
      <c r="B1850" t="str">
        <f>IF(ISERROR(MATCH(0,INDEX(COUNTIF($B$1:B1849,$A$2:$A$4629),0,0),0)),"",INDEX($A$2:$A$4629,MATCH(0,INDEX(COUNTIF($B$1:B1849,$A$2:$A$4629),0,0),0)))</f>
        <v/>
      </c>
      <c r="C1850" t="str">
        <f t="shared" si="28"/>
        <v/>
      </c>
    </row>
    <row r="1851" spans="1:3" x14ac:dyDescent="0.25">
      <c r="A1851" t="str">
        <f>IF(Scan2VK!N105&lt;&gt;"",Scan2VK!N105,"")</f>
        <v>F16</v>
      </c>
      <c r="B1851" t="str">
        <f>IF(ISERROR(MATCH(0,INDEX(COUNTIF($B$1:B1850,$A$2:$A$4629),0,0),0)),"",INDEX($A$2:$A$4629,MATCH(0,INDEX(COUNTIF($B$1:B1850,$A$2:$A$4629),0,0),0)))</f>
        <v/>
      </c>
      <c r="C1851" t="str">
        <f t="shared" si="28"/>
        <v/>
      </c>
    </row>
    <row r="1852" spans="1:3" x14ac:dyDescent="0.25">
      <c r="A1852" t="str">
        <f>IF(Scan2VK!N106&lt;&gt;"",Scan2VK!N106,"")</f>
        <v>F17</v>
      </c>
      <c r="B1852" t="str">
        <f>IF(ISERROR(MATCH(0,INDEX(COUNTIF($B$1:B1851,$A$2:$A$4629),0,0),0)),"",INDEX($A$2:$A$4629,MATCH(0,INDEX(COUNTIF($B$1:B1851,$A$2:$A$4629),0,0),0)))</f>
        <v/>
      </c>
      <c r="C1852" t="str">
        <f t="shared" si="28"/>
        <v/>
      </c>
    </row>
    <row r="1853" spans="1:3" x14ac:dyDescent="0.25">
      <c r="A1853" t="str">
        <f>IF(Scan2VK!N107&lt;&gt;"",Scan2VK!N107,"")</f>
        <v>F18</v>
      </c>
      <c r="B1853" t="str">
        <f>IF(ISERROR(MATCH(0,INDEX(COUNTIF($B$1:B1852,$A$2:$A$4629),0,0),0)),"",INDEX($A$2:$A$4629,MATCH(0,INDEX(COUNTIF($B$1:B1852,$A$2:$A$4629),0,0),0)))</f>
        <v/>
      </c>
      <c r="C1853" t="str">
        <f t="shared" si="28"/>
        <v/>
      </c>
    </row>
    <row r="1854" spans="1:3" x14ac:dyDescent="0.25">
      <c r="A1854" t="str">
        <f>IF(Scan2VK!N108&lt;&gt;"",Scan2VK!N108,"")</f>
        <v>F19</v>
      </c>
      <c r="B1854" t="str">
        <f>IF(ISERROR(MATCH(0,INDEX(COUNTIF($B$1:B1853,$A$2:$A$4629),0,0),0)),"",INDEX($A$2:$A$4629,MATCH(0,INDEX(COUNTIF($B$1:B1853,$A$2:$A$4629),0,0),0)))</f>
        <v/>
      </c>
      <c r="C1854" t="str">
        <f t="shared" si="28"/>
        <v/>
      </c>
    </row>
    <row r="1855" spans="1:3" x14ac:dyDescent="0.25">
      <c r="A1855" t="str">
        <f>IF(Scan2VK!N109&lt;&gt;"",Scan2VK!N109,"")</f>
        <v>F20</v>
      </c>
      <c r="B1855" t="str">
        <f>IF(ISERROR(MATCH(0,INDEX(COUNTIF($B$1:B1854,$A$2:$A$4629),0,0),0)),"",INDEX($A$2:$A$4629,MATCH(0,INDEX(COUNTIF($B$1:B1854,$A$2:$A$4629),0,0),0)))</f>
        <v/>
      </c>
      <c r="C1855" t="str">
        <f t="shared" si="28"/>
        <v/>
      </c>
    </row>
    <row r="1856" spans="1:3" x14ac:dyDescent="0.25">
      <c r="A1856" t="str">
        <f>IF(Scan2VK!N110&lt;&gt;"",Scan2VK!N110,"")</f>
        <v>F21</v>
      </c>
      <c r="B1856" t="str">
        <f>IF(ISERROR(MATCH(0,INDEX(COUNTIF($B$1:B1855,$A$2:$A$4629),0,0),0)),"",INDEX($A$2:$A$4629,MATCH(0,INDEX(COUNTIF($B$1:B1855,$A$2:$A$4629),0,0),0)))</f>
        <v/>
      </c>
      <c r="C1856" t="str">
        <f t="shared" si="28"/>
        <v/>
      </c>
    </row>
    <row r="1857" spans="1:3" x14ac:dyDescent="0.25">
      <c r="A1857" t="str">
        <f>IF(Scan2VK!N111&lt;&gt;"",Scan2VK!N111,"")</f>
        <v>F22</v>
      </c>
      <c r="B1857" t="str">
        <f>IF(ISERROR(MATCH(0,INDEX(COUNTIF($B$1:B1856,$A$2:$A$4629),0,0),0)),"",INDEX($A$2:$A$4629,MATCH(0,INDEX(COUNTIF($B$1:B1856,$A$2:$A$4629),0,0),0)))</f>
        <v/>
      </c>
      <c r="C1857" t="str">
        <f t="shared" si="28"/>
        <v/>
      </c>
    </row>
    <row r="1858" spans="1:3" x14ac:dyDescent="0.25">
      <c r="A1858" t="str">
        <f>IF(Scan2VK!N112&lt;&gt;"",Scan2VK!N112,"")</f>
        <v>F23</v>
      </c>
      <c r="B1858" t="str">
        <f>IF(ISERROR(MATCH(0,INDEX(COUNTIF($B$1:B1857,$A$2:$A$4629),0,0),0)),"",INDEX($A$2:$A$4629,MATCH(0,INDEX(COUNTIF($B$1:B1857,$A$2:$A$4629),0,0),0)))</f>
        <v/>
      </c>
      <c r="C1858" t="str">
        <f t="shared" si="28"/>
        <v/>
      </c>
    </row>
    <row r="1859" spans="1:3" x14ac:dyDescent="0.25">
      <c r="A1859" t="str">
        <f>IF(Scan2VK!N113&lt;&gt;"",Scan2VK!N113,"")</f>
        <v>OEM_PA3</v>
      </c>
      <c r="B1859" t="str">
        <f>IF(ISERROR(MATCH(0,INDEX(COUNTIF($B$1:B1858,$A$2:$A$4629),0,0),0)),"",INDEX($A$2:$A$4629,MATCH(0,INDEX(COUNTIF($B$1:B1858,$A$2:$A$4629),0,0),0)))</f>
        <v/>
      </c>
      <c r="C1859" t="str">
        <f t="shared" ref="C1859:C1922" si="29">IF(B1859&lt;&gt;"","&lt;xs:enumeration value="""&amp;B1859&amp;"""/&gt;","")</f>
        <v/>
      </c>
    </row>
    <row r="1860" spans="1:3" x14ac:dyDescent="0.25">
      <c r="A1860" t="str">
        <f>IF(Scan2VK!N114&lt;&gt;"",Scan2VK!N114,"")</f>
        <v>_none_</v>
      </c>
      <c r="B1860" t="str">
        <f>IF(ISERROR(MATCH(0,INDEX(COUNTIF($B$1:B1859,$A$2:$A$4629),0,0),0)),"",INDEX($A$2:$A$4629,MATCH(0,INDEX(COUNTIF($B$1:B1859,$A$2:$A$4629),0,0),0)))</f>
        <v/>
      </c>
      <c r="C1860" t="str">
        <f t="shared" si="29"/>
        <v/>
      </c>
    </row>
    <row r="1861" spans="1:3" x14ac:dyDescent="0.25">
      <c r="A1861" t="str">
        <f>IF(Scan2VK!N115&lt;&gt;"",Scan2VK!N115,"")</f>
        <v>OEM_RESET</v>
      </c>
      <c r="B1861" t="str">
        <f>IF(ISERROR(MATCH(0,INDEX(COUNTIF($B$1:B1860,$A$2:$A$4629),0,0),0)),"",INDEX($A$2:$A$4629,MATCH(0,INDEX(COUNTIF($B$1:B1860,$A$2:$A$4629),0,0),0)))</f>
        <v/>
      </c>
      <c r="C1861" t="str">
        <f t="shared" si="29"/>
        <v/>
      </c>
    </row>
    <row r="1862" spans="1:3" x14ac:dyDescent="0.25">
      <c r="A1862" t="str">
        <f>IF(Scan2VK!N116&lt;&gt;"",Scan2VK!N116,"")</f>
        <v>_none_</v>
      </c>
      <c r="B1862" t="str">
        <f>IF(ISERROR(MATCH(0,INDEX(COUNTIF($B$1:B1861,$A$2:$A$4629),0,0),0)),"",INDEX($A$2:$A$4629,MATCH(0,INDEX(COUNTIF($B$1:B1861,$A$2:$A$4629),0,0),0)))</f>
        <v/>
      </c>
      <c r="C1862" t="str">
        <f t="shared" si="29"/>
        <v/>
      </c>
    </row>
    <row r="1863" spans="1:3" x14ac:dyDescent="0.25">
      <c r="A1863" t="str">
        <f>IF(Scan2VK!N117&lt;&gt;"",Scan2VK!N117,"")</f>
        <v>ABNT_C1</v>
      </c>
      <c r="B1863" t="str">
        <f>IF(ISERROR(MATCH(0,INDEX(COUNTIF($B$1:B1862,$A$2:$A$4629),0,0),0)),"",INDEX($A$2:$A$4629,MATCH(0,INDEX(COUNTIF($B$1:B1862,$A$2:$A$4629),0,0),0)))</f>
        <v/>
      </c>
      <c r="C1863" t="str">
        <f t="shared" si="29"/>
        <v/>
      </c>
    </row>
    <row r="1864" spans="1:3" x14ac:dyDescent="0.25">
      <c r="A1864" t="str">
        <f>IF(Scan2VK!N118&lt;&gt;"",Scan2VK!N118,"")</f>
        <v>_none_</v>
      </c>
      <c r="B1864" t="str">
        <f>IF(ISERROR(MATCH(0,INDEX(COUNTIF($B$1:B1863,$A$2:$A$4629),0,0),0)),"",INDEX($A$2:$A$4629,MATCH(0,INDEX(COUNTIF($B$1:B1863,$A$2:$A$4629),0,0),0)))</f>
        <v/>
      </c>
      <c r="C1864" t="str">
        <f t="shared" si="29"/>
        <v/>
      </c>
    </row>
    <row r="1865" spans="1:3" x14ac:dyDescent="0.25">
      <c r="A1865" t="str">
        <f>IF(Scan2VK!N119&lt;&gt;"",Scan2VK!N119,"")</f>
        <v>_none_</v>
      </c>
      <c r="B1865" t="str">
        <f>IF(ISERROR(MATCH(0,INDEX(COUNTIF($B$1:B1864,$A$2:$A$4629),0,0),0)),"",INDEX($A$2:$A$4629,MATCH(0,INDEX(COUNTIF($B$1:B1864,$A$2:$A$4629),0,0),0)))</f>
        <v/>
      </c>
      <c r="C1865" t="str">
        <f t="shared" si="29"/>
        <v/>
      </c>
    </row>
    <row r="1866" spans="1:3" x14ac:dyDescent="0.25">
      <c r="A1866" t="str">
        <f>IF(Scan2VK!N120&lt;&gt;"",Scan2VK!N120,"")</f>
        <v>F24</v>
      </c>
      <c r="B1866" t="str">
        <f>IF(ISERROR(MATCH(0,INDEX(COUNTIF($B$1:B1865,$A$2:$A$4629),0,0),0)),"",INDEX($A$2:$A$4629,MATCH(0,INDEX(COUNTIF($B$1:B1865,$A$2:$A$4629),0,0),0)))</f>
        <v/>
      </c>
      <c r="C1866" t="str">
        <f t="shared" si="29"/>
        <v/>
      </c>
    </row>
    <row r="1867" spans="1:3" x14ac:dyDescent="0.25">
      <c r="A1867" t="str">
        <f>IF(Scan2VK!N121&lt;&gt;"",Scan2VK!N121,"")</f>
        <v>_none_</v>
      </c>
      <c r="B1867" t="str">
        <f>IF(ISERROR(MATCH(0,INDEX(COUNTIF($B$1:B1866,$A$2:$A$4629),0,0),0)),"",INDEX($A$2:$A$4629,MATCH(0,INDEX(COUNTIF($B$1:B1866,$A$2:$A$4629),0,0),0)))</f>
        <v/>
      </c>
      <c r="C1867" t="str">
        <f t="shared" si="29"/>
        <v/>
      </c>
    </row>
    <row r="1868" spans="1:3" x14ac:dyDescent="0.25">
      <c r="A1868" t="str">
        <f>IF(Scan2VK!N122&lt;&gt;"",Scan2VK!N122,"")</f>
        <v>_none_</v>
      </c>
      <c r="B1868" t="str">
        <f>IF(ISERROR(MATCH(0,INDEX(COUNTIF($B$1:B1867,$A$2:$A$4629),0,0),0)),"",INDEX($A$2:$A$4629,MATCH(0,INDEX(COUNTIF($B$1:B1867,$A$2:$A$4629),0,0),0)))</f>
        <v/>
      </c>
      <c r="C1868" t="str">
        <f t="shared" si="29"/>
        <v/>
      </c>
    </row>
    <row r="1869" spans="1:3" x14ac:dyDescent="0.25">
      <c r="A1869" t="str">
        <f>IF(Scan2VK!N123&lt;&gt;"",Scan2VK!N123,"")</f>
        <v>_none_</v>
      </c>
      <c r="B1869" t="str">
        <f>IF(ISERROR(MATCH(0,INDEX(COUNTIF($B$1:B1868,$A$2:$A$4629),0,0),0)),"",INDEX($A$2:$A$4629,MATCH(0,INDEX(COUNTIF($B$1:B1868,$A$2:$A$4629),0,0),0)))</f>
        <v/>
      </c>
      <c r="C1869" t="str">
        <f t="shared" si="29"/>
        <v/>
      </c>
    </row>
    <row r="1870" spans="1:3" x14ac:dyDescent="0.25">
      <c r="A1870" t="str">
        <f>IF(Scan2VK!N124&lt;&gt;"",Scan2VK!N124,"")</f>
        <v>_none_</v>
      </c>
      <c r="B1870" t="str">
        <f>IF(ISERROR(MATCH(0,INDEX(COUNTIF($B$1:B1869,$A$2:$A$4629),0,0),0)),"",INDEX($A$2:$A$4629,MATCH(0,INDEX(COUNTIF($B$1:B1869,$A$2:$A$4629),0,0),0)))</f>
        <v/>
      </c>
      <c r="C1870" t="str">
        <f t="shared" si="29"/>
        <v/>
      </c>
    </row>
    <row r="1871" spans="1:3" x14ac:dyDescent="0.25">
      <c r="A1871" t="str">
        <f>IF(Scan2VK!N125&lt;&gt;"",Scan2VK!N125,"")</f>
        <v>OEM_PA1</v>
      </c>
      <c r="B1871" t="str">
        <f>IF(ISERROR(MATCH(0,INDEX(COUNTIF($B$1:B1870,$A$2:$A$4629),0,0),0)),"",INDEX($A$2:$A$4629,MATCH(0,INDEX(COUNTIF($B$1:B1870,$A$2:$A$4629),0,0),0)))</f>
        <v/>
      </c>
      <c r="C1871" t="str">
        <f t="shared" si="29"/>
        <v/>
      </c>
    </row>
    <row r="1872" spans="1:3" x14ac:dyDescent="0.25">
      <c r="A1872" t="str">
        <f>IF(Scan2VK!N126&lt;&gt;"",Scan2VK!N126,"")</f>
        <v>TAB</v>
      </c>
      <c r="B1872" t="str">
        <f>IF(ISERROR(MATCH(0,INDEX(COUNTIF($B$1:B1871,$A$2:$A$4629),0,0),0)),"",INDEX($A$2:$A$4629,MATCH(0,INDEX(COUNTIF($B$1:B1871,$A$2:$A$4629),0,0),0)))</f>
        <v/>
      </c>
      <c r="C1872" t="str">
        <f t="shared" si="29"/>
        <v/>
      </c>
    </row>
    <row r="1873" spans="1:3" x14ac:dyDescent="0.25">
      <c r="A1873" t="str">
        <f>IF(Scan2VK!N127&lt;&gt;"",Scan2VK!N127,"")</f>
        <v>_none_</v>
      </c>
      <c r="B1873" t="str">
        <f>IF(ISERROR(MATCH(0,INDEX(COUNTIF($B$1:B1872,$A$2:$A$4629),0,0),0)),"",INDEX($A$2:$A$4629,MATCH(0,INDEX(COUNTIF($B$1:B1872,$A$2:$A$4629),0,0),0)))</f>
        <v/>
      </c>
      <c r="C1873" t="str">
        <f t="shared" si="29"/>
        <v/>
      </c>
    </row>
    <row r="1874" spans="1:3" x14ac:dyDescent="0.25">
      <c r="A1874" t="str">
        <f>IF(Scan2VK!N128&lt;&gt;"",Scan2VK!N128,"")</f>
        <v>ABNT_C2</v>
      </c>
      <c r="B1874" t="str">
        <f>IF(ISERROR(MATCH(0,INDEX(COUNTIF($B$1:B1873,$A$2:$A$4629),0,0),0)),"",INDEX($A$2:$A$4629,MATCH(0,INDEX(COUNTIF($B$1:B1873,$A$2:$A$4629),0,0),0)))</f>
        <v/>
      </c>
      <c r="C1874" t="str">
        <f t="shared" si="29"/>
        <v/>
      </c>
    </row>
    <row r="1875" spans="1:3" x14ac:dyDescent="0.25">
      <c r="A1875" t="str">
        <f>IF(Scan2VK!N129&lt;&gt;"",Scan2VK!N129,"")</f>
        <v>OEM_PA2</v>
      </c>
      <c r="B1875" t="str">
        <f>IF(ISERROR(MATCH(0,INDEX(COUNTIF($B$1:B1874,$A$2:$A$4629),0,0),0)),"",INDEX($A$2:$A$4629,MATCH(0,INDEX(COUNTIF($B$1:B1874,$A$2:$A$4629),0,0),0)))</f>
        <v/>
      </c>
      <c r="C1875" t="str">
        <f t="shared" si="29"/>
        <v/>
      </c>
    </row>
    <row r="1876" spans="1:3" x14ac:dyDescent="0.25">
      <c r="A1876" t="str">
        <f>IF(Scan2VK!N130&lt;&gt;"",Scan2VK!N130,"")</f>
        <v/>
      </c>
      <c r="B1876" t="str">
        <f>IF(ISERROR(MATCH(0,INDEX(COUNTIF($B$1:B1875,$A$2:$A$4629),0,0),0)),"",INDEX($A$2:$A$4629,MATCH(0,INDEX(COUNTIF($B$1:B1875,$A$2:$A$4629),0,0),0)))</f>
        <v/>
      </c>
      <c r="C1876" t="str">
        <f t="shared" si="29"/>
        <v/>
      </c>
    </row>
    <row r="1877" spans="1:3" x14ac:dyDescent="0.25">
      <c r="A1877" t="str">
        <f>IF(Scan2VK!N131&lt;&gt;"",Scan2VK!N131,"")</f>
        <v>MEDIA_PREV_TRACK</v>
      </c>
      <c r="B1877" t="str">
        <f>IF(ISERROR(MATCH(0,INDEX(COUNTIF($B$1:B1876,$A$2:$A$4629),0,0),0)),"",INDEX($A$2:$A$4629,MATCH(0,INDEX(COUNTIF($B$1:B1876,$A$2:$A$4629),0,0),0)))</f>
        <v/>
      </c>
      <c r="C1877" t="str">
        <f t="shared" si="29"/>
        <v/>
      </c>
    </row>
    <row r="1878" spans="1:3" x14ac:dyDescent="0.25">
      <c r="A1878" t="str">
        <f>IF(Scan2VK!N132&lt;&gt;"",Scan2VK!N132,"")</f>
        <v>MEDIA_NEXT_TRACK</v>
      </c>
      <c r="B1878" t="str">
        <f>IF(ISERROR(MATCH(0,INDEX(COUNTIF($B$1:B1877,$A$2:$A$4629),0,0),0)),"",INDEX($A$2:$A$4629,MATCH(0,INDEX(COUNTIF($B$1:B1877,$A$2:$A$4629),0,0),0)))</f>
        <v/>
      </c>
      <c r="C1878" t="str">
        <f t="shared" si="29"/>
        <v/>
      </c>
    </row>
    <row r="1879" spans="1:3" x14ac:dyDescent="0.25">
      <c r="A1879" t="str">
        <f>IF(Scan2VK!N133&lt;&gt;"",Scan2VK!N133,"")</f>
        <v>RETURN</v>
      </c>
      <c r="B1879" t="str">
        <f>IF(ISERROR(MATCH(0,INDEX(COUNTIF($B$1:B1878,$A$2:$A$4629),0,0),0)),"",INDEX($A$2:$A$4629,MATCH(0,INDEX(COUNTIF($B$1:B1878,$A$2:$A$4629),0,0),0)))</f>
        <v/>
      </c>
      <c r="C1879" t="str">
        <f t="shared" si="29"/>
        <v/>
      </c>
    </row>
    <row r="1880" spans="1:3" x14ac:dyDescent="0.25">
      <c r="A1880" t="str">
        <f>IF(Scan2VK!N134&lt;&gt;"",Scan2VK!N134,"")</f>
        <v>HANJA</v>
      </c>
      <c r="B1880" t="str">
        <f>IF(ISERROR(MATCH(0,INDEX(COUNTIF($B$1:B1879,$A$2:$A$4629),0,0),0)),"",INDEX($A$2:$A$4629,MATCH(0,INDEX(COUNTIF($B$1:B1879,$A$2:$A$4629),0,0),0)))</f>
        <v/>
      </c>
      <c r="C1880" t="str">
        <f t="shared" si="29"/>
        <v/>
      </c>
    </row>
    <row r="1881" spans="1:3" x14ac:dyDescent="0.25">
      <c r="A1881" t="str">
        <f>IF(Scan2VK!N135&lt;&gt;"",Scan2VK!N135,"")</f>
        <v>VOLUME_MUTE</v>
      </c>
      <c r="B1881" t="str">
        <f>IF(ISERROR(MATCH(0,INDEX(COUNTIF($B$1:B1880,$A$2:$A$4629),0,0),0)),"",INDEX($A$2:$A$4629,MATCH(0,INDEX(COUNTIF($B$1:B1880,$A$2:$A$4629),0,0),0)))</f>
        <v/>
      </c>
      <c r="C1881" t="str">
        <f t="shared" si="29"/>
        <v/>
      </c>
    </row>
    <row r="1882" spans="1:3" x14ac:dyDescent="0.25">
      <c r="A1882" t="str">
        <f>IF(Scan2VK!N136&lt;&gt;"",Scan2VK!N136,"")</f>
        <v>LAUNCH_APP2</v>
      </c>
      <c r="B1882" t="str">
        <f>IF(ISERROR(MATCH(0,INDEX(COUNTIF($B$1:B1881,$A$2:$A$4629),0,0),0)),"",INDEX($A$2:$A$4629,MATCH(0,INDEX(COUNTIF($B$1:B1881,$A$2:$A$4629),0,0),0)))</f>
        <v/>
      </c>
      <c r="C1882" t="str">
        <f t="shared" si="29"/>
        <v/>
      </c>
    </row>
    <row r="1883" spans="1:3" x14ac:dyDescent="0.25">
      <c r="A1883" t="str">
        <f>IF(Scan2VK!N137&lt;&gt;"",Scan2VK!N137,"")</f>
        <v>MEDIA_PLAY_PAUSE</v>
      </c>
      <c r="B1883" t="str">
        <f>IF(ISERROR(MATCH(0,INDEX(COUNTIF($B$1:B1882,$A$2:$A$4629),0,0),0)),"",INDEX($A$2:$A$4629,MATCH(0,INDEX(COUNTIF($B$1:B1882,$A$2:$A$4629),0,0),0)))</f>
        <v/>
      </c>
      <c r="C1883" t="str">
        <f t="shared" si="29"/>
        <v/>
      </c>
    </row>
    <row r="1884" spans="1:3" x14ac:dyDescent="0.25">
      <c r="A1884" t="str">
        <f>IF(Scan2VK!N138&lt;&gt;"",Scan2VK!N138,"")</f>
        <v>MEDIA_STOP</v>
      </c>
      <c r="B1884" t="str">
        <f>IF(ISERROR(MATCH(0,INDEX(COUNTIF($B$1:B1883,$A$2:$A$4629),0,0),0)),"",INDEX($A$2:$A$4629,MATCH(0,INDEX(COUNTIF($B$1:B1883,$A$2:$A$4629),0,0),0)))</f>
        <v/>
      </c>
      <c r="C1884" t="str">
        <f t="shared" si="29"/>
        <v/>
      </c>
    </row>
    <row r="1885" spans="1:3" x14ac:dyDescent="0.25">
      <c r="A1885" t="str">
        <f>IF(Scan2VK!N139&lt;&gt;"",Scan2VK!N139,"")</f>
        <v>VOLUME_DOWN</v>
      </c>
      <c r="B1885" t="str">
        <f>IF(ISERROR(MATCH(0,INDEX(COUNTIF($B$1:B1884,$A$2:$A$4629),0,0),0)),"",INDEX($A$2:$A$4629,MATCH(0,INDEX(COUNTIF($B$1:B1884,$A$2:$A$4629),0,0),0)))</f>
        <v/>
      </c>
      <c r="C1885" t="str">
        <f t="shared" si="29"/>
        <v/>
      </c>
    </row>
    <row r="1886" spans="1:3" x14ac:dyDescent="0.25">
      <c r="A1886" t="str">
        <f>IF(Scan2VK!N140&lt;&gt;"",Scan2VK!N140,"")</f>
        <v>VOLUME_UP</v>
      </c>
      <c r="B1886" t="str">
        <f>IF(ISERROR(MATCH(0,INDEX(COUNTIF($B$1:B1885,$A$2:$A$4629),0,0),0)),"",INDEX($A$2:$A$4629,MATCH(0,INDEX(COUNTIF($B$1:B1885,$A$2:$A$4629),0,0),0)))</f>
        <v/>
      </c>
      <c r="C1886" t="str">
        <f t="shared" si="29"/>
        <v/>
      </c>
    </row>
    <row r="1887" spans="1:3" x14ac:dyDescent="0.25">
      <c r="A1887" t="str">
        <f>IF(Scan2VK!N141&lt;&gt;"",Scan2VK!N141,"")</f>
        <v>BROWSER_HOME</v>
      </c>
      <c r="B1887" t="str">
        <f>IF(ISERROR(MATCH(0,INDEX(COUNTIF($B$1:B1886,$A$2:$A$4629),0,0),0)),"",INDEX($A$2:$A$4629,MATCH(0,INDEX(COUNTIF($B$1:B1886,$A$2:$A$4629),0,0),0)))</f>
        <v/>
      </c>
      <c r="C1887" t="str">
        <f t="shared" si="29"/>
        <v/>
      </c>
    </row>
    <row r="1888" spans="1:3" x14ac:dyDescent="0.25">
      <c r="A1888" t="str">
        <f>IF(Scan2VK!N142&lt;&gt;"",Scan2VK!N142,"")</f>
        <v>_none_</v>
      </c>
      <c r="B1888" t="str">
        <f>IF(ISERROR(MATCH(0,INDEX(COUNTIF($B$1:B1887,$A$2:$A$4629),0,0),0)),"",INDEX($A$2:$A$4629,MATCH(0,INDEX(COUNTIF($B$1:B1887,$A$2:$A$4629),0,0),0)))</f>
        <v/>
      </c>
      <c r="C1888" t="str">
        <f t="shared" si="29"/>
        <v/>
      </c>
    </row>
    <row r="1889" spans="1:3" x14ac:dyDescent="0.25">
      <c r="A1889" t="str">
        <f>IF(Scan2VK!N143&lt;&gt;"",Scan2VK!N143,"")</f>
        <v>DIVIDE</v>
      </c>
      <c r="B1889" t="str">
        <f>IF(ISERROR(MATCH(0,INDEX(COUNTIF($B$1:B1888,$A$2:$A$4629),0,0),0)),"",INDEX($A$2:$A$4629,MATCH(0,INDEX(COUNTIF($B$1:B1888,$A$2:$A$4629),0,0),0)))</f>
        <v/>
      </c>
      <c r="C1889" t="str">
        <f t="shared" si="29"/>
        <v/>
      </c>
    </row>
    <row r="1890" spans="1:3" x14ac:dyDescent="0.25">
      <c r="A1890" t="str">
        <f>IF(Scan2VK!N144&lt;&gt;"",Scan2VK!N144,"")</f>
        <v>SNAPSHOT</v>
      </c>
      <c r="B1890" t="str">
        <f>IF(ISERROR(MATCH(0,INDEX(COUNTIF($B$1:B1889,$A$2:$A$4629),0,0),0)),"",INDEX($A$2:$A$4629,MATCH(0,INDEX(COUNTIF($B$1:B1889,$A$2:$A$4629),0,0),0)))</f>
        <v/>
      </c>
      <c r="C1890" t="str">
        <f t="shared" si="29"/>
        <v/>
      </c>
    </row>
    <row r="1891" spans="1:3" x14ac:dyDescent="0.25">
      <c r="A1891" t="str">
        <f>IF(Scan2VK!N145&lt;&gt;"",Scan2VK!N145,"")</f>
        <v>HANGEUL</v>
      </c>
      <c r="B1891" t="str">
        <f>IF(ISERROR(MATCH(0,INDEX(COUNTIF($B$1:B1890,$A$2:$A$4629),0,0),0)),"",INDEX($A$2:$A$4629,MATCH(0,INDEX(COUNTIF($B$1:B1890,$A$2:$A$4629),0,0),0)))</f>
        <v/>
      </c>
      <c r="C1891" t="str">
        <f t="shared" si="29"/>
        <v/>
      </c>
    </row>
    <row r="1892" spans="1:3" x14ac:dyDescent="0.25">
      <c r="A1892" t="str">
        <f>IF(Scan2VK!N146&lt;&gt;"",Scan2VK!N146,"")</f>
        <v/>
      </c>
      <c r="B1892" t="str">
        <f>IF(ISERROR(MATCH(0,INDEX(COUNTIF($B$1:B1891,$A$2:$A$4629),0,0),0)),"",INDEX($A$2:$A$4629,MATCH(0,INDEX(COUNTIF($B$1:B1891,$A$2:$A$4629),0,0),0)))</f>
        <v/>
      </c>
      <c r="C1892" t="str">
        <f t="shared" si="29"/>
        <v/>
      </c>
    </row>
    <row r="1893" spans="1:3" x14ac:dyDescent="0.25">
      <c r="A1893" t="str">
        <f>IF(Scan2VK!N147&lt;&gt;"",Scan2VK!N147,"")</f>
        <v/>
      </c>
      <c r="B1893" t="str">
        <f>IF(ISERROR(MATCH(0,INDEX(COUNTIF($B$1:B1892,$A$2:$A$4629),0,0),0)),"",INDEX($A$2:$A$4629,MATCH(0,INDEX(COUNTIF($B$1:B1892,$A$2:$A$4629),0,0),0)))</f>
        <v/>
      </c>
      <c r="C1893" t="str">
        <f t="shared" si="29"/>
        <v/>
      </c>
    </row>
    <row r="1894" spans="1:3" x14ac:dyDescent="0.25">
      <c r="A1894" t="str">
        <f>IF(Scan2VK!N148&lt;&gt;"",Scan2VK!N148,"")</f>
        <v/>
      </c>
      <c r="B1894" t="str">
        <f>IF(ISERROR(MATCH(0,INDEX(COUNTIF($B$1:B1893,$A$2:$A$4629),0,0),0)),"",INDEX($A$2:$A$4629,MATCH(0,INDEX(COUNTIF($B$1:B1893,$A$2:$A$4629),0,0),0)))</f>
        <v/>
      </c>
      <c r="C1894" t="str">
        <f t="shared" si="29"/>
        <v/>
      </c>
    </row>
    <row r="1895" spans="1:3" x14ac:dyDescent="0.25">
      <c r="A1895" t="str">
        <f>IF(Scan2VK!N149&lt;&gt;"",Scan2VK!N149,"")</f>
        <v/>
      </c>
      <c r="B1895" t="str">
        <f>IF(ISERROR(MATCH(0,INDEX(COUNTIF($B$1:B1894,$A$2:$A$4629),0,0),0)),"",INDEX($A$2:$A$4629,MATCH(0,INDEX(COUNTIF($B$1:B1894,$A$2:$A$4629),0,0),0)))</f>
        <v/>
      </c>
      <c r="C1895" t="str">
        <f t="shared" si="29"/>
        <v/>
      </c>
    </row>
    <row r="1896" spans="1:3" x14ac:dyDescent="0.25">
      <c r="A1896" t="str">
        <f>IF(Scan2VK!N150&lt;&gt;"",Scan2VK!N150,"")</f>
        <v/>
      </c>
      <c r="B1896" t="str">
        <f>IF(ISERROR(MATCH(0,INDEX(COUNTIF($B$1:B1895,$A$2:$A$4629),0,0),0)),"",INDEX($A$2:$A$4629,MATCH(0,INDEX(COUNTIF($B$1:B1895,$A$2:$A$4629),0,0),0)))</f>
        <v/>
      </c>
      <c r="C1896" t="str">
        <f t="shared" si="29"/>
        <v/>
      </c>
    </row>
    <row r="1897" spans="1:3" x14ac:dyDescent="0.25">
      <c r="A1897" t="str">
        <f>IF(Scan2VK!N151&lt;&gt;"",Scan2VK!N151,"")</f>
        <v>_none_</v>
      </c>
      <c r="B1897" t="str">
        <f>IF(ISERROR(MATCH(0,INDEX(COUNTIF($B$1:B1896,$A$2:$A$4629),0,0),0)),"",INDEX($A$2:$A$4629,MATCH(0,INDEX(COUNTIF($B$1:B1896,$A$2:$A$4629),0,0),0)))</f>
        <v/>
      </c>
      <c r="C1897" t="str">
        <f t="shared" si="29"/>
        <v/>
      </c>
    </row>
    <row r="1898" spans="1:3" x14ac:dyDescent="0.25">
      <c r="A1898" t="str">
        <f>IF(Scan2VK!N152&lt;&gt;"",Scan2VK!N152,"")</f>
        <v>_none_</v>
      </c>
      <c r="B1898" t="str">
        <f>IF(ISERROR(MATCH(0,INDEX(COUNTIF($B$1:B1897,$A$2:$A$4629),0,0),0)),"",INDEX($A$2:$A$4629,MATCH(0,INDEX(COUNTIF($B$1:B1897,$A$2:$A$4629),0,0),0)))</f>
        <v/>
      </c>
      <c r="C1898" t="str">
        <f t="shared" si="29"/>
        <v/>
      </c>
    </row>
    <row r="1899" spans="1:3" x14ac:dyDescent="0.25">
      <c r="A1899" t="str">
        <f>IF(Scan2VK!N153&lt;&gt;"",Scan2VK!N153,"")</f>
        <v>_none_</v>
      </c>
      <c r="B1899" t="str">
        <f>IF(ISERROR(MATCH(0,INDEX(COUNTIF($B$1:B1898,$A$2:$A$4629),0,0),0)),"",INDEX($A$2:$A$4629,MATCH(0,INDEX(COUNTIF($B$1:B1898,$A$2:$A$4629),0,0),0)))</f>
        <v/>
      </c>
      <c r="C1899" t="str">
        <f t="shared" si="29"/>
        <v/>
      </c>
    </row>
    <row r="1900" spans="1:3" x14ac:dyDescent="0.25">
      <c r="A1900" t="str">
        <f>IF(Scan2VK!N154&lt;&gt;"",Scan2VK!N154,"")</f>
        <v>CANCEL</v>
      </c>
      <c r="B1900" t="str">
        <f>IF(ISERROR(MATCH(0,INDEX(COUNTIF($B$1:B1899,$A$2:$A$4629),0,0),0)),"",INDEX($A$2:$A$4629,MATCH(0,INDEX(COUNTIF($B$1:B1899,$A$2:$A$4629),0,0),0)))</f>
        <v/>
      </c>
      <c r="C1900" t="str">
        <f t="shared" si="29"/>
        <v/>
      </c>
    </row>
    <row r="1901" spans="1:3" x14ac:dyDescent="0.25">
      <c r="A1901" t="str">
        <f>IF(Scan2VK!N155&lt;&gt;"",Scan2VK!N155,"")</f>
        <v>HOME</v>
      </c>
      <c r="B1901" t="str">
        <f>IF(ISERROR(MATCH(0,INDEX(COUNTIF($B$1:B1900,$A$2:$A$4629),0,0),0)),"",INDEX($A$2:$A$4629,MATCH(0,INDEX(COUNTIF($B$1:B1900,$A$2:$A$4629),0,0),0)))</f>
        <v/>
      </c>
      <c r="C1901" t="str">
        <f t="shared" si="29"/>
        <v/>
      </c>
    </row>
    <row r="1902" spans="1:3" x14ac:dyDescent="0.25">
      <c r="A1902" t="str">
        <f>IF(Scan2VK!N156&lt;&gt;"",Scan2VK!N156,"")</f>
        <v>UP</v>
      </c>
      <c r="B1902" t="str">
        <f>IF(ISERROR(MATCH(0,INDEX(COUNTIF($B$1:B1901,$A$2:$A$4629),0,0),0)),"",INDEX($A$2:$A$4629,MATCH(0,INDEX(COUNTIF($B$1:B1901,$A$2:$A$4629),0,0),0)))</f>
        <v/>
      </c>
      <c r="C1902" t="str">
        <f t="shared" si="29"/>
        <v/>
      </c>
    </row>
    <row r="1903" spans="1:3" x14ac:dyDescent="0.25">
      <c r="A1903" t="str">
        <f>IF(Scan2VK!N157&lt;&gt;"",Scan2VK!N157,"")</f>
        <v>PRIOR</v>
      </c>
      <c r="B1903" t="str">
        <f>IF(ISERROR(MATCH(0,INDEX(COUNTIF($B$1:B1902,$A$2:$A$4629),0,0),0)),"",INDEX($A$2:$A$4629,MATCH(0,INDEX(COUNTIF($B$1:B1902,$A$2:$A$4629),0,0),0)))</f>
        <v/>
      </c>
      <c r="C1903" t="str">
        <f t="shared" si="29"/>
        <v/>
      </c>
    </row>
    <row r="1904" spans="1:3" x14ac:dyDescent="0.25">
      <c r="A1904" t="str">
        <f>IF(Scan2VK!N158&lt;&gt;"",Scan2VK!N158,"")</f>
        <v>LEFT</v>
      </c>
      <c r="B1904" t="str">
        <f>IF(ISERROR(MATCH(0,INDEX(COUNTIF($B$1:B1903,$A$2:$A$4629),0,0),0)),"",INDEX($A$2:$A$4629,MATCH(0,INDEX(COUNTIF($B$1:B1903,$A$2:$A$4629),0,0),0)))</f>
        <v/>
      </c>
      <c r="C1904" t="str">
        <f t="shared" si="29"/>
        <v/>
      </c>
    </row>
    <row r="1905" spans="1:3" x14ac:dyDescent="0.25">
      <c r="A1905" t="str">
        <f>IF(Scan2VK!N159&lt;&gt;"",Scan2VK!N159,"")</f>
        <v>RIGHT</v>
      </c>
      <c r="B1905" t="str">
        <f>IF(ISERROR(MATCH(0,INDEX(COUNTIF($B$1:B1904,$A$2:$A$4629),0,0),0)),"",INDEX($A$2:$A$4629,MATCH(0,INDEX(COUNTIF($B$1:B1904,$A$2:$A$4629),0,0),0)))</f>
        <v/>
      </c>
      <c r="C1905" t="str">
        <f t="shared" si="29"/>
        <v/>
      </c>
    </row>
    <row r="1906" spans="1:3" x14ac:dyDescent="0.25">
      <c r="A1906" t="str">
        <f>IF(Scan2VK!N160&lt;&gt;"",Scan2VK!N160,"")</f>
        <v>END</v>
      </c>
      <c r="B1906" t="str">
        <f>IF(ISERROR(MATCH(0,INDEX(COUNTIF($B$1:B1905,$A$2:$A$4629),0,0),0)),"",INDEX($A$2:$A$4629,MATCH(0,INDEX(COUNTIF($B$1:B1905,$A$2:$A$4629),0,0),0)))</f>
        <v/>
      </c>
      <c r="C1906" t="str">
        <f t="shared" si="29"/>
        <v/>
      </c>
    </row>
    <row r="1907" spans="1:3" x14ac:dyDescent="0.25">
      <c r="A1907" t="str">
        <f>IF(Scan2VK!N161&lt;&gt;"",Scan2VK!N161,"")</f>
        <v>DOWN</v>
      </c>
      <c r="B1907" t="str">
        <f>IF(ISERROR(MATCH(0,INDEX(COUNTIF($B$1:B1906,$A$2:$A$4629),0,0),0)),"",INDEX($A$2:$A$4629,MATCH(0,INDEX(COUNTIF($B$1:B1906,$A$2:$A$4629),0,0),0)))</f>
        <v/>
      </c>
      <c r="C1907" t="str">
        <f t="shared" si="29"/>
        <v/>
      </c>
    </row>
    <row r="1908" spans="1:3" x14ac:dyDescent="0.25">
      <c r="A1908" t="str">
        <f>IF(Scan2VK!N162&lt;&gt;"",Scan2VK!N162,"")</f>
        <v>NEXT</v>
      </c>
      <c r="B1908" t="str">
        <f>IF(ISERROR(MATCH(0,INDEX(COUNTIF($B$1:B1907,$A$2:$A$4629),0,0),0)),"",INDEX($A$2:$A$4629,MATCH(0,INDEX(COUNTIF($B$1:B1907,$A$2:$A$4629),0,0),0)))</f>
        <v/>
      </c>
      <c r="C1908" t="str">
        <f t="shared" si="29"/>
        <v/>
      </c>
    </row>
    <row r="1909" spans="1:3" x14ac:dyDescent="0.25">
      <c r="A1909" t="str">
        <f>IF(Scan2VK!N163&lt;&gt;"",Scan2VK!N163,"")</f>
        <v>INSERT</v>
      </c>
      <c r="B1909" t="str">
        <f>IF(ISERROR(MATCH(0,INDEX(COUNTIF($B$1:B1908,$A$2:$A$4629),0,0),0)),"",INDEX($A$2:$A$4629,MATCH(0,INDEX(COUNTIF($B$1:B1908,$A$2:$A$4629),0,0),0)))</f>
        <v/>
      </c>
      <c r="C1909" t="str">
        <f t="shared" si="29"/>
        <v/>
      </c>
    </row>
    <row r="1910" spans="1:3" x14ac:dyDescent="0.25">
      <c r="A1910" t="str">
        <f>IF(Scan2VK!N164&lt;&gt;"",Scan2VK!N164,"")</f>
        <v>DELETE</v>
      </c>
      <c r="B1910" t="str">
        <f>IF(ISERROR(MATCH(0,INDEX(COUNTIF($B$1:B1909,$A$2:$A$4629),0,0),0)),"",INDEX($A$2:$A$4629,MATCH(0,INDEX(COUNTIF($B$1:B1909,$A$2:$A$4629),0,0),0)))</f>
        <v/>
      </c>
      <c r="C1910" t="str">
        <f t="shared" si="29"/>
        <v/>
      </c>
    </row>
    <row r="1911" spans="1:3" x14ac:dyDescent="0.25">
      <c r="A1911" t="str">
        <f>IF(Scan2VK!N165&lt;&gt;"",Scan2VK!N165,"")</f>
        <v>LWIN</v>
      </c>
      <c r="B1911" t="str">
        <f>IF(ISERROR(MATCH(0,INDEX(COUNTIF($B$1:B1910,$A$2:$A$4629),0,0),0)),"",INDEX($A$2:$A$4629,MATCH(0,INDEX(COUNTIF($B$1:B1910,$A$2:$A$4629),0,0),0)))</f>
        <v/>
      </c>
      <c r="C1911" t="str">
        <f t="shared" si="29"/>
        <v/>
      </c>
    </row>
    <row r="1912" spans="1:3" x14ac:dyDescent="0.25">
      <c r="A1912" t="str">
        <f>IF(Scan2VK!N166&lt;&gt;"",Scan2VK!N166,"")</f>
        <v>RWIN</v>
      </c>
      <c r="B1912" t="str">
        <f>IF(ISERROR(MATCH(0,INDEX(COUNTIF($B$1:B1911,$A$2:$A$4629),0,0),0)),"",INDEX($A$2:$A$4629,MATCH(0,INDEX(COUNTIF($B$1:B1911,$A$2:$A$4629),0,0),0)))</f>
        <v/>
      </c>
      <c r="C1912" t="str">
        <f t="shared" si="29"/>
        <v/>
      </c>
    </row>
    <row r="1913" spans="1:3" x14ac:dyDescent="0.25">
      <c r="A1913" t="str">
        <f>IF(Scan2VK!N167&lt;&gt;"",Scan2VK!N167,"")</f>
        <v>APPS</v>
      </c>
      <c r="B1913" t="str">
        <f>IF(ISERROR(MATCH(0,INDEX(COUNTIF($B$1:B1912,$A$2:$A$4629),0,0),0)),"",INDEX($A$2:$A$4629,MATCH(0,INDEX(COUNTIF($B$1:B1912,$A$2:$A$4629),0,0),0)))</f>
        <v/>
      </c>
      <c r="C1913" t="str">
        <f t="shared" si="29"/>
        <v/>
      </c>
    </row>
    <row r="1914" spans="1:3" x14ac:dyDescent="0.25">
      <c r="A1914" t="str">
        <f>IF(Scan2VK!N168&lt;&gt;"",Scan2VK!N168,"")</f>
        <v>POWER</v>
      </c>
      <c r="B1914" t="str">
        <f>IF(ISERROR(MATCH(0,INDEX(COUNTIF($B$1:B1913,$A$2:$A$4629),0,0),0)),"",INDEX($A$2:$A$4629,MATCH(0,INDEX(COUNTIF($B$1:B1913,$A$2:$A$4629),0,0),0)))</f>
        <v/>
      </c>
      <c r="C1914" t="str">
        <f t="shared" si="29"/>
        <v/>
      </c>
    </row>
    <row r="1915" spans="1:3" x14ac:dyDescent="0.25">
      <c r="A1915" t="str">
        <f>IF(Scan2VK!N169&lt;&gt;"",Scan2VK!N169,"")</f>
        <v>SLEEP</v>
      </c>
      <c r="B1915" t="str">
        <f>IF(ISERROR(MATCH(0,INDEX(COUNTIF($B$1:B1914,$A$2:$A$4629),0,0),0)),"",INDEX($A$2:$A$4629,MATCH(0,INDEX(COUNTIF($B$1:B1914,$A$2:$A$4629),0,0),0)))</f>
        <v/>
      </c>
      <c r="C1915" t="str">
        <f t="shared" si="29"/>
        <v/>
      </c>
    </row>
    <row r="1916" spans="1:3" x14ac:dyDescent="0.25">
      <c r="A1916" t="str">
        <f>IF(Scan2VK!N170&lt;&gt;"",Scan2VK!N170,"")</f>
        <v/>
      </c>
      <c r="B1916" t="str">
        <f>IF(ISERROR(MATCH(0,INDEX(COUNTIF($B$1:B1915,$A$2:$A$4629),0,0),0)),"",INDEX($A$2:$A$4629,MATCH(0,INDEX(COUNTIF($B$1:B1915,$A$2:$A$4629),0,0),0)))</f>
        <v/>
      </c>
      <c r="C1916" t="str">
        <f t="shared" si="29"/>
        <v/>
      </c>
    </row>
    <row r="1917" spans="1:3" x14ac:dyDescent="0.25">
      <c r="A1917" t="str">
        <f>IF(Scan2VK!N171&lt;&gt;"",Scan2VK!N171,"")</f>
        <v/>
      </c>
      <c r="B1917" t="str">
        <f>IF(ISERROR(MATCH(0,INDEX(COUNTIF($B$1:B1916,$A$2:$A$4629),0,0),0)),"",INDEX($A$2:$A$4629,MATCH(0,INDEX(COUNTIF($B$1:B1916,$A$2:$A$4629),0,0),0)))</f>
        <v/>
      </c>
      <c r="C1917" t="str">
        <f t="shared" si="29"/>
        <v/>
      </c>
    </row>
    <row r="1918" spans="1:3" x14ac:dyDescent="0.25">
      <c r="A1918" t="str">
        <f>IF(Scan2VK!N172&lt;&gt;"",Scan2VK!N172,"")</f>
        <v/>
      </c>
      <c r="B1918" t="str">
        <f>IF(ISERROR(MATCH(0,INDEX(COUNTIF($B$1:B1917,$A$2:$A$4629),0,0),0)),"",INDEX($A$2:$A$4629,MATCH(0,INDEX(COUNTIF($B$1:B1917,$A$2:$A$4629),0,0),0)))</f>
        <v/>
      </c>
      <c r="C1918" t="str">
        <f t="shared" si="29"/>
        <v/>
      </c>
    </row>
    <row r="1919" spans="1:3" x14ac:dyDescent="0.25">
      <c r="A1919" t="str">
        <f>IF(Scan2VK!N173&lt;&gt;"",Scan2VK!N173,"")</f>
        <v/>
      </c>
      <c r="B1919" t="str">
        <f>IF(ISERROR(MATCH(0,INDEX(COUNTIF($B$1:B1918,$A$2:$A$4629),0,0),0)),"",INDEX($A$2:$A$4629,MATCH(0,INDEX(COUNTIF($B$1:B1918,$A$2:$A$4629),0,0),0)))</f>
        <v/>
      </c>
      <c r="C1919" t="str">
        <f t="shared" si="29"/>
        <v/>
      </c>
    </row>
    <row r="1920" spans="1:3" x14ac:dyDescent="0.25">
      <c r="A1920" t="str">
        <f>IF(Scan2VK!N174&lt;&gt;"",Scan2VK!N174,"")</f>
        <v/>
      </c>
      <c r="B1920" t="str">
        <f>IF(ISERROR(MATCH(0,INDEX(COUNTIF($B$1:B1919,$A$2:$A$4629),0,0),0)),"",INDEX($A$2:$A$4629,MATCH(0,INDEX(COUNTIF($B$1:B1919,$A$2:$A$4629),0,0),0)))</f>
        <v/>
      </c>
      <c r="C1920" t="str">
        <f t="shared" si="29"/>
        <v/>
      </c>
    </row>
    <row r="1921" spans="1:3" x14ac:dyDescent="0.25">
      <c r="A1921" t="str">
        <f>IF(Scan2VK!N175&lt;&gt;"",Scan2VK!N175,"")</f>
        <v>BROWSER_SEARCH</v>
      </c>
      <c r="B1921" t="str">
        <f>IF(ISERROR(MATCH(0,INDEX(COUNTIF($B$1:B1920,$A$2:$A$4629),0,0),0)),"",INDEX($A$2:$A$4629,MATCH(0,INDEX(COUNTIF($B$1:B1920,$A$2:$A$4629),0,0),0)))</f>
        <v/>
      </c>
      <c r="C1921" t="str">
        <f t="shared" si="29"/>
        <v/>
      </c>
    </row>
    <row r="1922" spans="1:3" x14ac:dyDescent="0.25">
      <c r="A1922" t="str">
        <f>IF(Scan2VK!N176&lt;&gt;"",Scan2VK!N176,"")</f>
        <v>BROWSER_FAVORITES</v>
      </c>
      <c r="B1922" t="str">
        <f>IF(ISERROR(MATCH(0,INDEX(COUNTIF($B$1:B1921,$A$2:$A$4629),0,0),0)),"",INDEX($A$2:$A$4629,MATCH(0,INDEX(COUNTIF($B$1:B1921,$A$2:$A$4629),0,0),0)))</f>
        <v/>
      </c>
      <c r="C1922" t="str">
        <f t="shared" si="29"/>
        <v/>
      </c>
    </row>
    <row r="1923" spans="1:3" x14ac:dyDescent="0.25">
      <c r="A1923" t="str">
        <f>IF(Scan2VK!N177&lt;&gt;"",Scan2VK!N177,"")</f>
        <v>BROWSER_REFRESH</v>
      </c>
      <c r="B1923" t="str">
        <f>IF(ISERROR(MATCH(0,INDEX(COUNTIF($B$1:B1922,$A$2:$A$4629),0,0),0)),"",INDEX($A$2:$A$4629,MATCH(0,INDEX(COUNTIF($B$1:B1922,$A$2:$A$4629),0,0),0)))</f>
        <v/>
      </c>
      <c r="C1923" t="str">
        <f t="shared" ref="C1923:C1986" si="30">IF(B1923&lt;&gt;"","&lt;xs:enumeration value="""&amp;B1923&amp;"""/&gt;","")</f>
        <v/>
      </c>
    </row>
    <row r="1924" spans="1:3" x14ac:dyDescent="0.25">
      <c r="A1924" t="str">
        <f>IF(Scan2VK!N178&lt;&gt;"",Scan2VK!N178,"")</f>
        <v>BROWSER_STOP</v>
      </c>
      <c r="B1924" t="str">
        <f>IF(ISERROR(MATCH(0,INDEX(COUNTIF($B$1:B1923,$A$2:$A$4629),0,0),0)),"",INDEX($A$2:$A$4629,MATCH(0,INDEX(COUNTIF($B$1:B1923,$A$2:$A$4629),0,0),0)))</f>
        <v/>
      </c>
      <c r="C1924" t="str">
        <f t="shared" si="30"/>
        <v/>
      </c>
    </row>
    <row r="1925" spans="1:3" x14ac:dyDescent="0.25">
      <c r="A1925" t="str">
        <f>IF(Scan2VK!N179&lt;&gt;"",Scan2VK!N179,"")</f>
        <v>BROWSER_FORWARD</v>
      </c>
      <c r="B1925" t="str">
        <f>IF(ISERROR(MATCH(0,INDEX(COUNTIF($B$1:B1924,$A$2:$A$4629),0,0),0)),"",INDEX($A$2:$A$4629,MATCH(0,INDEX(COUNTIF($B$1:B1924,$A$2:$A$4629),0,0),0)))</f>
        <v/>
      </c>
      <c r="C1925" t="str">
        <f t="shared" si="30"/>
        <v/>
      </c>
    </row>
    <row r="1926" spans="1:3" x14ac:dyDescent="0.25">
      <c r="A1926" t="str">
        <f>IF(Scan2VK!N180&lt;&gt;"",Scan2VK!N180,"")</f>
        <v>BROWSER_BACK</v>
      </c>
      <c r="B1926" t="str">
        <f>IF(ISERROR(MATCH(0,INDEX(COUNTIF($B$1:B1925,$A$2:$A$4629),0,0),0)),"",INDEX($A$2:$A$4629,MATCH(0,INDEX(COUNTIF($B$1:B1925,$A$2:$A$4629),0,0),0)))</f>
        <v/>
      </c>
      <c r="C1926" t="str">
        <f t="shared" si="30"/>
        <v/>
      </c>
    </row>
    <row r="1927" spans="1:3" x14ac:dyDescent="0.25">
      <c r="A1927" t="str">
        <f>IF(Scan2VK!N181&lt;&gt;"",Scan2VK!N181,"")</f>
        <v>LAUNCH_APP1</v>
      </c>
      <c r="B1927" t="str">
        <f>IF(ISERROR(MATCH(0,INDEX(COUNTIF($B$1:B1926,$A$2:$A$4629),0,0),0)),"",INDEX($A$2:$A$4629,MATCH(0,INDEX(COUNTIF($B$1:B1926,$A$2:$A$4629),0,0),0)))</f>
        <v/>
      </c>
      <c r="C1927" t="str">
        <f t="shared" si="30"/>
        <v/>
      </c>
    </row>
    <row r="1928" spans="1:3" x14ac:dyDescent="0.25">
      <c r="A1928" t="str">
        <f>IF(Scan2VK!N182&lt;&gt;"",Scan2VK!N182,"")</f>
        <v>LAUNCH_MAIL</v>
      </c>
      <c r="B1928" t="str">
        <f>IF(ISERROR(MATCH(0,INDEX(COUNTIF($B$1:B1927,$A$2:$A$4629),0,0),0)),"",INDEX($A$2:$A$4629,MATCH(0,INDEX(COUNTIF($B$1:B1927,$A$2:$A$4629),0,0),0)))</f>
        <v/>
      </c>
      <c r="C1928" t="str">
        <f t="shared" si="30"/>
        <v/>
      </c>
    </row>
    <row r="1929" spans="1:3" x14ac:dyDescent="0.25">
      <c r="A1929" t="str">
        <f>IF(Scan2VK!N183&lt;&gt;"",Scan2VK!N183,"")</f>
        <v>LAUNCH_MEDIA_SELECT</v>
      </c>
      <c r="B1929" t="str">
        <f>IF(ISERROR(MATCH(0,INDEX(COUNTIF($B$1:B1928,$A$2:$A$4629),0,0),0)),"",INDEX($A$2:$A$4629,MATCH(0,INDEX(COUNTIF($B$1:B1928,$A$2:$A$4629),0,0),0)))</f>
        <v/>
      </c>
      <c r="C1929" t="str">
        <f t="shared" si="30"/>
        <v/>
      </c>
    </row>
    <row r="1930" spans="1:3" x14ac:dyDescent="0.25">
      <c r="A1930" t="str">
        <f>IF(Scan2VK!N184&lt;&gt;"",Scan2VK!N184,"")</f>
        <v/>
      </c>
      <c r="B1930" t="str">
        <f>IF(ISERROR(MATCH(0,INDEX(COUNTIF($B$1:B1929,$A$2:$A$4629),0,0),0)),"",INDEX($A$2:$A$4629,MATCH(0,INDEX(COUNTIF($B$1:B1929,$A$2:$A$4629),0,0),0)))</f>
        <v/>
      </c>
      <c r="C1930" t="str">
        <f t="shared" si="30"/>
        <v/>
      </c>
    </row>
    <row r="1931" spans="1:3" x14ac:dyDescent="0.25">
      <c r="A1931" t="str">
        <f>IF(Scan2VK!N185&lt;&gt;"",Scan2VK!N185,"")</f>
        <v/>
      </c>
      <c r="B1931" t="str">
        <f>IF(ISERROR(MATCH(0,INDEX(COUNTIF($B$1:B1930,$A$2:$A$4629),0,0),0)),"",INDEX($A$2:$A$4629,MATCH(0,INDEX(COUNTIF($B$1:B1930,$A$2:$A$4629),0,0),0)))</f>
        <v/>
      </c>
      <c r="C1931" t="str">
        <f t="shared" si="30"/>
        <v/>
      </c>
    </row>
    <row r="1932" spans="1:3" x14ac:dyDescent="0.25">
      <c r="A1932" t="str">
        <f>IF(Scan2VK!N186&lt;&gt;"",Scan2VK!N186,"")</f>
        <v/>
      </c>
      <c r="B1932" t="str">
        <f>IF(ISERROR(MATCH(0,INDEX(COUNTIF($B$1:B1931,$A$2:$A$4629),0,0),0)),"",INDEX($A$2:$A$4629,MATCH(0,INDEX(COUNTIF($B$1:B1931,$A$2:$A$4629),0,0),0)))</f>
        <v/>
      </c>
      <c r="C1932" t="str">
        <f t="shared" si="30"/>
        <v/>
      </c>
    </row>
    <row r="1933" spans="1:3" x14ac:dyDescent="0.25">
      <c r="A1933" t="str">
        <f>IF(Scan2VK!N187&lt;&gt;"",Scan2VK!N187,"")</f>
        <v/>
      </c>
      <c r="B1933" t="str">
        <f>IF(ISERROR(MATCH(0,INDEX(COUNTIF($B$1:B1932,$A$2:$A$4629),0,0),0)),"",INDEX($A$2:$A$4629,MATCH(0,INDEX(COUNTIF($B$1:B1932,$A$2:$A$4629),0,0),0)))</f>
        <v/>
      </c>
      <c r="C1933" t="str">
        <f t="shared" si="30"/>
        <v/>
      </c>
    </row>
    <row r="1934" spans="1:3" x14ac:dyDescent="0.25">
      <c r="A1934" t="str">
        <f>IF(Scan2VK!N188&lt;&gt;"",Scan2VK!N188,"")</f>
        <v/>
      </c>
      <c r="B1934" t="str">
        <f>IF(ISERROR(MATCH(0,INDEX(COUNTIF($B$1:B1933,$A$2:$A$4629),0,0),0)),"",INDEX($A$2:$A$4629,MATCH(0,INDEX(COUNTIF($B$1:B1933,$A$2:$A$4629),0,0),0)))</f>
        <v/>
      </c>
      <c r="C1934" t="str">
        <f t="shared" si="30"/>
        <v/>
      </c>
    </row>
    <row r="1935" spans="1:3" x14ac:dyDescent="0.25">
      <c r="A1935" t="str">
        <f>IF(Scan2VK!N189&lt;&gt;"",Scan2VK!N189,"")</f>
        <v/>
      </c>
      <c r="B1935" t="str">
        <f>IF(ISERROR(MATCH(0,INDEX(COUNTIF($B$1:B1934,$A$2:$A$4629),0,0),0)),"",INDEX($A$2:$A$4629,MATCH(0,INDEX(COUNTIF($B$1:B1934,$A$2:$A$4629),0,0),0)))</f>
        <v/>
      </c>
      <c r="C1935" t="str">
        <f t="shared" si="30"/>
        <v/>
      </c>
    </row>
    <row r="1936" spans="1:3" x14ac:dyDescent="0.25">
      <c r="A1936" t="str">
        <f>IF(Scan2VK!N190&lt;&gt;"",Scan2VK!N190,"")</f>
        <v/>
      </c>
      <c r="B1936" t="str">
        <f>IF(ISERROR(MATCH(0,INDEX(COUNTIF($B$1:B1935,$A$2:$A$4629),0,0),0)),"",INDEX($A$2:$A$4629,MATCH(0,INDEX(COUNTIF($B$1:B1935,$A$2:$A$4629),0,0),0)))</f>
        <v/>
      </c>
      <c r="C1936" t="str">
        <f t="shared" si="30"/>
        <v/>
      </c>
    </row>
    <row r="1937" spans="1:3" x14ac:dyDescent="0.25">
      <c r="A1937" t="str">
        <f>IF(Scan2VK!N191&lt;&gt;"",Scan2VK!N191,"")</f>
        <v/>
      </c>
      <c r="B1937" t="str">
        <f>IF(ISERROR(MATCH(0,INDEX(COUNTIF($B$1:B1936,$A$2:$A$4629),0,0),0)),"",INDEX($A$2:$A$4629,MATCH(0,INDEX(COUNTIF($B$1:B1936,$A$2:$A$4629),0,0),0)))</f>
        <v/>
      </c>
      <c r="C1937" t="str">
        <f t="shared" si="30"/>
        <v/>
      </c>
    </row>
    <row r="1938" spans="1:3" x14ac:dyDescent="0.25">
      <c r="A1938" t="str">
        <f>IF(Scan2VK!N192&lt;&gt;"",Scan2VK!N192,"")</f>
        <v/>
      </c>
      <c r="B1938" t="str">
        <f>IF(ISERROR(MATCH(0,INDEX(COUNTIF($B$1:B1937,$A$2:$A$4629),0,0),0)),"",INDEX($A$2:$A$4629,MATCH(0,INDEX(COUNTIF($B$1:B1937,$A$2:$A$4629),0,0),0)))</f>
        <v/>
      </c>
      <c r="C1938" t="str">
        <f t="shared" si="30"/>
        <v/>
      </c>
    </row>
    <row r="1939" spans="1:3" x14ac:dyDescent="0.25">
      <c r="A1939" t="str">
        <f>IF(Scan2VK!N193&lt;&gt;"",Scan2VK!N193,"")</f>
        <v>HANJA</v>
      </c>
      <c r="B1939" t="str">
        <f>IF(ISERROR(MATCH(0,INDEX(COUNTIF($B$1:B1938,$A$2:$A$4629),0,0),0)),"",INDEX($A$2:$A$4629,MATCH(0,INDEX(COUNTIF($B$1:B1938,$A$2:$A$4629),0,0),0)))</f>
        <v/>
      </c>
      <c r="C1939" t="str">
        <f t="shared" si="30"/>
        <v/>
      </c>
    </row>
    <row r="1940" spans="1:3" x14ac:dyDescent="0.25">
      <c r="A1940" t="str">
        <f>IF(Scan2VK!N194&lt;&gt;"",Scan2VK!N194,"")</f>
        <v>HANGEUL</v>
      </c>
      <c r="B1940" t="str">
        <f>IF(ISERROR(MATCH(0,INDEX(COUNTIF($B$1:B1939,$A$2:$A$4629),0,0),0)),"",INDEX($A$2:$A$4629,MATCH(0,INDEX(COUNTIF($B$1:B1939,$A$2:$A$4629),0,0),0)))</f>
        <v/>
      </c>
      <c r="C1940" t="str">
        <f t="shared" si="30"/>
        <v/>
      </c>
    </row>
    <row r="1941" spans="1:3" x14ac:dyDescent="0.25">
      <c r="A1941" t="str">
        <f>IF(Scan2VK!N195&lt;&gt;"",Scan2VK!N195,"")</f>
        <v>PAUSE</v>
      </c>
      <c r="B1941" t="str">
        <f>IF(ISERROR(MATCH(0,INDEX(COUNTIF($B$1:B1940,$A$2:$A$4629),0,0),0)),"",INDEX($A$2:$A$4629,MATCH(0,INDEX(COUNTIF($B$1:B1940,$A$2:$A$4629),0,0),0)))</f>
        <v/>
      </c>
      <c r="C1941" t="str">
        <f t="shared" si="30"/>
        <v/>
      </c>
    </row>
    <row r="1942" spans="1:3" x14ac:dyDescent="0.25">
      <c r="A1942" t="str">
        <f>IF(Scan2VK!O2&lt;&gt;"",Scan2VK!O2,"")</f>
        <v>_none_</v>
      </c>
      <c r="B1942" t="str">
        <f>IF(ISERROR(MATCH(0,INDEX(COUNTIF($B$1:B1941,$A$2:$A$4629),0,0),0)),"",INDEX($A$2:$A$4629,MATCH(0,INDEX(COUNTIF($B$1:B1941,$A$2:$A$4629),0,0),0)))</f>
        <v/>
      </c>
      <c r="C1942" t="str">
        <f t="shared" si="30"/>
        <v/>
      </c>
    </row>
    <row r="1943" spans="1:3" x14ac:dyDescent="0.25">
      <c r="A1943" t="str">
        <f>IF(Scan2VK!O3&lt;&gt;"",Scan2VK!O3,"")</f>
        <v>ESCAPE</v>
      </c>
      <c r="B1943" t="str">
        <f>IF(ISERROR(MATCH(0,INDEX(COUNTIF($B$1:B1942,$A$2:$A$4629),0,0),0)),"",INDEX($A$2:$A$4629,MATCH(0,INDEX(COUNTIF($B$1:B1942,$A$2:$A$4629),0,0),0)))</f>
        <v/>
      </c>
      <c r="C1943" t="str">
        <f t="shared" si="30"/>
        <v/>
      </c>
    </row>
    <row r="1944" spans="1:3" x14ac:dyDescent="0.25">
      <c r="A1944" t="str">
        <f>IF(Scan2VK!O4&lt;&gt;"",Scan2VK!O4,"")</f>
        <v>'1'</v>
      </c>
      <c r="B1944" t="str">
        <f>IF(ISERROR(MATCH(0,INDEX(COUNTIF($B$1:B1943,$A$2:$A$4629),0,0),0)),"",INDEX($A$2:$A$4629,MATCH(0,INDEX(COUNTIF($B$1:B1943,$A$2:$A$4629),0,0),0)))</f>
        <v/>
      </c>
      <c r="C1944" t="str">
        <f t="shared" si="30"/>
        <v/>
      </c>
    </row>
    <row r="1945" spans="1:3" x14ac:dyDescent="0.25">
      <c r="A1945" t="str">
        <f>IF(Scan2VK!O5&lt;&gt;"",Scan2VK!O5,"")</f>
        <v>'2'</v>
      </c>
      <c r="B1945" t="str">
        <f>IF(ISERROR(MATCH(0,INDEX(COUNTIF($B$1:B1944,$A$2:$A$4629),0,0),0)),"",INDEX($A$2:$A$4629,MATCH(0,INDEX(COUNTIF($B$1:B1944,$A$2:$A$4629),0,0),0)))</f>
        <v/>
      </c>
      <c r="C1945" t="str">
        <f t="shared" si="30"/>
        <v/>
      </c>
    </row>
    <row r="1946" spans="1:3" x14ac:dyDescent="0.25">
      <c r="A1946" t="str">
        <f>IF(Scan2VK!O6&lt;&gt;"",Scan2VK!O6,"")</f>
        <v>'3'</v>
      </c>
      <c r="B1946" t="str">
        <f>IF(ISERROR(MATCH(0,INDEX(COUNTIF($B$1:B1945,$A$2:$A$4629),0,0),0)),"",INDEX($A$2:$A$4629,MATCH(0,INDEX(COUNTIF($B$1:B1945,$A$2:$A$4629),0,0),0)))</f>
        <v/>
      </c>
      <c r="C1946" t="str">
        <f t="shared" si="30"/>
        <v/>
      </c>
    </row>
    <row r="1947" spans="1:3" x14ac:dyDescent="0.25">
      <c r="A1947" t="str">
        <f>IF(Scan2VK!O7&lt;&gt;"",Scan2VK!O7,"")</f>
        <v>'4'</v>
      </c>
      <c r="B1947" t="str">
        <f>IF(ISERROR(MATCH(0,INDEX(COUNTIF($B$1:B1946,$A$2:$A$4629),0,0),0)),"",INDEX($A$2:$A$4629,MATCH(0,INDEX(COUNTIF($B$1:B1946,$A$2:$A$4629),0,0),0)))</f>
        <v/>
      </c>
      <c r="C1947" t="str">
        <f t="shared" si="30"/>
        <v/>
      </c>
    </row>
    <row r="1948" spans="1:3" x14ac:dyDescent="0.25">
      <c r="A1948" t="str">
        <f>IF(Scan2VK!O8&lt;&gt;"",Scan2VK!O8,"")</f>
        <v>'5'</v>
      </c>
      <c r="B1948" t="str">
        <f>IF(ISERROR(MATCH(0,INDEX(COUNTIF($B$1:B1947,$A$2:$A$4629),0,0),0)),"",INDEX($A$2:$A$4629,MATCH(0,INDEX(COUNTIF($B$1:B1947,$A$2:$A$4629),0,0),0)))</f>
        <v/>
      </c>
      <c r="C1948" t="str">
        <f t="shared" si="30"/>
        <v/>
      </c>
    </row>
    <row r="1949" spans="1:3" x14ac:dyDescent="0.25">
      <c r="A1949" t="str">
        <f>IF(Scan2VK!O9&lt;&gt;"",Scan2VK!O9,"")</f>
        <v>'6'</v>
      </c>
      <c r="B1949" t="str">
        <f>IF(ISERROR(MATCH(0,INDEX(COUNTIF($B$1:B1948,$A$2:$A$4629),0,0),0)),"",INDEX($A$2:$A$4629,MATCH(0,INDEX(COUNTIF($B$1:B1948,$A$2:$A$4629),0,0),0)))</f>
        <v/>
      </c>
      <c r="C1949" t="str">
        <f t="shared" si="30"/>
        <v/>
      </c>
    </row>
    <row r="1950" spans="1:3" x14ac:dyDescent="0.25">
      <c r="A1950" t="str">
        <f>IF(Scan2VK!O10&lt;&gt;"",Scan2VK!O10,"")</f>
        <v>'7'</v>
      </c>
      <c r="B1950" t="str">
        <f>IF(ISERROR(MATCH(0,INDEX(COUNTIF($B$1:B1949,$A$2:$A$4629),0,0),0)),"",INDEX($A$2:$A$4629,MATCH(0,INDEX(COUNTIF($B$1:B1949,$A$2:$A$4629),0,0),0)))</f>
        <v/>
      </c>
      <c r="C1950" t="str">
        <f t="shared" si="30"/>
        <v/>
      </c>
    </row>
    <row r="1951" spans="1:3" x14ac:dyDescent="0.25">
      <c r="A1951" t="str">
        <f>IF(Scan2VK!O11&lt;&gt;"",Scan2VK!O11,"")</f>
        <v>'8'</v>
      </c>
      <c r="B1951" t="str">
        <f>IF(ISERROR(MATCH(0,INDEX(COUNTIF($B$1:B1950,$A$2:$A$4629),0,0),0)),"",INDEX($A$2:$A$4629,MATCH(0,INDEX(COUNTIF($B$1:B1950,$A$2:$A$4629),0,0),0)))</f>
        <v/>
      </c>
      <c r="C1951" t="str">
        <f t="shared" si="30"/>
        <v/>
      </c>
    </row>
    <row r="1952" spans="1:3" x14ac:dyDescent="0.25">
      <c r="A1952" t="str">
        <f>IF(Scan2VK!O12&lt;&gt;"",Scan2VK!O12,"")</f>
        <v>'9'</v>
      </c>
      <c r="B1952" t="str">
        <f>IF(ISERROR(MATCH(0,INDEX(COUNTIF($B$1:B1951,$A$2:$A$4629),0,0),0)),"",INDEX($A$2:$A$4629,MATCH(0,INDEX(COUNTIF($B$1:B1951,$A$2:$A$4629),0,0),0)))</f>
        <v/>
      </c>
      <c r="C1952" t="str">
        <f t="shared" si="30"/>
        <v/>
      </c>
    </row>
    <row r="1953" spans="1:3" x14ac:dyDescent="0.25">
      <c r="A1953" t="str">
        <f>IF(Scan2VK!O13&lt;&gt;"",Scan2VK!O13,"")</f>
        <v>'0'</v>
      </c>
      <c r="B1953" t="str">
        <f>IF(ISERROR(MATCH(0,INDEX(COUNTIF($B$1:B1952,$A$2:$A$4629),0,0),0)),"",INDEX($A$2:$A$4629,MATCH(0,INDEX(COUNTIF($B$1:B1952,$A$2:$A$4629),0,0),0)))</f>
        <v/>
      </c>
      <c r="C1953" t="str">
        <f t="shared" si="30"/>
        <v/>
      </c>
    </row>
    <row r="1954" spans="1:3" x14ac:dyDescent="0.25">
      <c r="A1954" t="str">
        <f>IF(Scan2VK!O14&lt;&gt;"",Scan2VK!O14,"")</f>
        <v>OEM_MINUS</v>
      </c>
      <c r="B1954" t="str">
        <f>IF(ISERROR(MATCH(0,INDEX(COUNTIF($B$1:B1953,$A$2:$A$4629),0,0),0)),"",INDEX($A$2:$A$4629,MATCH(0,INDEX(COUNTIF($B$1:B1953,$A$2:$A$4629),0,0),0)))</f>
        <v/>
      </c>
      <c r="C1954" t="str">
        <f t="shared" si="30"/>
        <v/>
      </c>
    </row>
    <row r="1955" spans="1:3" x14ac:dyDescent="0.25">
      <c r="A1955" t="str">
        <f>IF(Scan2VK!O15&lt;&gt;"",Scan2VK!O15,"")</f>
        <v>OEM_PLUS</v>
      </c>
      <c r="B1955" t="str">
        <f>IF(ISERROR(MATCH(0,INDEX(COUNTIF($B$1:B1954,$A$2:$A$4629),0,0),0)),"",INDEX($A$2:$A$4629,MATCH(0,INDEX(COUNTIF($B$1:B1954,$A$2:$A$4629),0,0),0)))</f>
        <v/>
      </c>
      <c r="C1955" t="str">
        <f t="shared" si="30"/>
        <v/>
      </c>
    </row>
    <row r="1956" spans="1:3" x14ac:dyDescent="0.25">
      <c r="A1956" t="str">
        <f>IF(Scan2VK!O16&lt;&gt;"",Scan2VK!O16,"")</f>
        <v>BACK</v>
      </c>
      <c r="B1956" t="str">
        <f>IF(ISERROR(MATCH(0,INDEX(COUNTIF($B$1:B1955,$A$2:$A$4629),0,0),0)),"",INDEX($A$2:$A$4629,MATCH(0,INDEX(COUNTIF($B$1:B1955,$A$2:$A$4629),0,0),0)))</f>
        <v/>
      </c>
      <c r="C1956" t="str">
        <f t="shared" si="30"/>
        <v/>
      </c>
    </row>
    <row r="1957" spans="1:3" x14ac:dyDescent="0.25">
      <c r="A1957" t="str">
        <f>IF(Scan2VK!O17&lt;&gt;"",Scan2VK!O17,"")</f>
        <v>TAB</v>
      </c>
      <c r="B1957" t="str">
        <f>IF(ISERROR(MATCH(0,INDEX(COUNTIF($B$1:B1956,$A$2:$A$4629),0,0),0)),"",INDEX($A$2:$A$4629,MATCH(0,INDEX(COUNTIF($B$1:B1956,$A$2:$A$4629),0,0),0)))</f>
        <v/>
      </c>
      <c r="C1957" t="str">
        <f t="shared" si="30"/>
        <v/>
      </c>
    </row>
    <row r="1958" spans="1:3" x14ac:dyDescent="0.25">
      <c r="A1958" t="str">
        <f>IF(Scan2VK!O18&lt;&gt;"",Scan2VK!O18,"")</f>
        <v>'Q'</v>
      </c>
      <c r="B1958" t="str">
        <f>IF(ISERROR(MATCH(0,INDEX(COUNTIF($B$1:B1957,$A$2:$A$4629),0,0),0)),"",INDEX($A$2:$A$4629,MATCH(0,INDEX(COUNTIF($B$1:B1957,$A$2:$A$4629),0,0),0)))</f>
        <v/>
      </c>
      <c r="C1958" t="str">
        <f t="shared" si="30"/>
        <v/>
      </c>
    </row>
    <row r="1959" spans="1:3" x14ac:dyDescent="0.25">
      <c r="A1959" t="str">
        <f>IF(Scan2VK!O19&lt;&gt;"",Scan2VK!O19,"")</f>
        <v>'W'</v>
      </c>
      <c r="B1959" t="str">
        <f>IF(ISERROR(MATCH(0,INDEX(COUNTIF($B$1:B1958,$A$2:$A$4629),0,0),0)),"",INDEX($A$2:$A$4629,MATCH(0,INDEX(COUNTIF($B$1:B1958,$A$2:$A$4629),0,0),0)))</f>
        <v/>
      </c>
      <c r="C1959" t="str">
        <f t="shared" si="30"/>
        <v/>
      </c>
    </row>
    <row r="1960" spans="1:3" x14ac:dyDescent="0.25">
      <c r="A1960" t="str">
        <f>IF(Scan2VK!O20&lt;&gt;"",Scan2VK!O20,"")</f>
        <v>'E'</v>
      </c>
      <c r="B1960" t="str">
        <f>IF(ISERROR(MATCH(0,INDEX(COUNTIF($B$1:B1959,$A$2:$A$4629),0,0),0)),"",INDEX($A$2:$A$4629,MATCH(0,INDEX(COUNTIF($B$1:B1959,$A$2:$A$4629),0,0),0)))</f>
        <v/>
      </c>
      <c r="C1960" t="str">
        <f t="shared" si="30"/>
        <v/>
      </c>
    </row>
    <row r="1961" spans="1:3" x14ac:dyDescent="0.25">
      <c r="A1961" t="str">
        <f>IF(Scan2VK!O21&lt;&gt;"",Scan2VK!O21,"")</f>
        <v>'R'</v>
      </c>
      <c r="B1961" t="str">
        <f>IF(ISERROR(MATCH(0,INDEX(COUNTIF($B$1:B1960,$A$2:$A$4629),0,0),0)),"",INDEX($A$2:$A$4629,MATCH(0,INDEX(COUNTIF($B$1:B1960,$A$2:$A$4629),0,0),0)))</f>
        <v/>
      </c>
      <c r="C1961" t="str">
        <f t="shared" si="30"/>
        <v/>
      </c>
    </row>
    <row r="1962" spans="1:3" x14ac:dyDescent="0.25">
      <c r="A1962" t="str">
        <f>IF(Scan2VK!O22&lt;&gt;"",Scan2VK!O22,"")</f>
        <v>'T'</v>
      </c>
      <c r="B1962" t="str">
        <f>IF(ISERROR(MATCH(0,INDEX(COUNTIF($B$1:B1961,$A$2:$A$4629),0,0),0)),"",INDEX($A$2:$A$4629,MATCH(0,INDEX(COUNTIF($B$1:B1961,$A$2:$A$4629),0,0),0)))</f>
        <v/>
      </c>
      <c r="C1962" t="str">
        <f t="shared" si="30"/>
        <v/>
      </c>
    </row>
    <row r="1963" spans="1:3" x14ac:dyDescent="0.25">
      <c r="A1963" t="str">
        <f>IF(Scan2VK!O23&lt;&gt;"",Scan2VK!O23,"")</f>
        <v>'Y'</v>
      </c>
      <c r="B1963" t="str">
        <f>IF(ISERROR(MATCH(0,INDEX(COUNTIF($B$1:B1962,$A$2:$A$4629),0,0),0)),"",INDEX($A$2:$A$4629,MATCH(0,INDEX(COUNTIF($B$1:B1962,$A$2:$A$4629),0,0),0)))</f>
        <v/>
      </c>
      <c r="C1963" t="str">
        <f t="shared" si="30"/>
        <v/>
      </c>
    </row>
    <row r="1964" spans="1:3" x14ac:dyDescent="0.25">
      <c r="A1964" t="str">
        <f>IF(Scan2VK!O24&lt;&gt;"",Scan2VK!O24,"")</f>
        <v>'U'</v>
      </c>
      <c r="B1964" t="str">
        <f>IF(ISERROR(MATCH(0,INDEX(COUNTIF($B$1:B1963,$A$2:$A$4629),0,0),0)),"",INDEX($A$2:$A$4629,MATCH(0,INDEX(COUNTIF($B$1:B1963,$A$2:$A$4629),0,0),0)))</f>
        <v/>
      </c>
      <c r="C1964" t="str">
        <f t="shared" si="30"/>
        <v/>
      </c>
    </row>
    <row r="1965" spans="1:3" x14ac:dyDescent="0.25">
      <c r="A1965" t="str">
        <f>IF(Scan2VK!O25&lt;&gt;"",Scan2VK!O25,"")</f>
        <v>'I'</v>
      </c>
      <c r="B1965" t="str">
        <f>IF(ISERROR(MATCH(0,INDEX(COUNTIF($B$1:B1964,$A$2:$A$4629),0,0),0)),"",INDEX($A$2:$A$4629,MATCH(0,INDEX(COUNTIF($B$1:B1964,$A$2:$A$4629),0,0),0)))</f>
        <v/>
      </c>
      <c r="C1965" t="str">
        <f t="shared" si="30"/>
        <v/>
      </c>
    </row>
    <row r="1966" spans="1:3" x14ac:dyDescent="0.25">
      <c r="A1966" t="str">
        <f>IF(Scan2VK!O26&lt;&gt;"",Scan2VK!O26,"")</f>
        <v>'O'</v>
      </c>
      <c r="B1966" t="str">
        <f>IF(ISERROR(MATCH(0,INDEX(COUNTIF($B$1:B1965,$A$2:$A$4629),0,0),0)),"",INDEX($A$2:$A$4629,MATCH(0,INDEX(COUNTIF($B$1:B1965,$A$2:$A$4629),0,0),0)))</f>
        <v/>
      </c>
      <c r="C1966" t="str">
        <f t="shared" si="30"/>
        <v/>
      </c>
    </row>
    <row r="1967" spans="1:3" x14ac:dyDescent="0.25">
      <c r="A1967" t="str">
        <f>IF(Scan2VK!O27&lt;&gt;"",Scan2VK!O27,"")</f>
        <v>'P'</v>
      </c>
      <c r="B1967" t="str">
        <f>IF(ISERROR(MATCH(0,INDEX(COUNTIF($B$1:B1966,$A$2:$A$4629),0,0),0)),"",INDEX($A$2:$A$4629,MATCH(0,INDEX(COUNTIF($B$1:B1966,$A$2:$A$4629),0,0),0)))</f>
        <v/>
      </c>
      <c r="C1967" t="str">
        <f t="shared" si="30"/>
        <v/>
      </c>
    </row>
    <row r="1968" spans="1:3" x14ac:dyDescent="0.25">
      <c r="A1968" t="str">
        <f>IF(Scan2VK!O28&lt;&gt;"",Scan2VK!O28,"")</f>
        <v>OEM_4</v>
      </c>
      <c r="B1968" t="str">
        <f>IF(ISERROR(MATCH(0,INDEX(COUNTIF($B$1:B1967,$A$2:$A$4629),0,0),0)),"",INDEX($A$2:$A$4629,MATCH(0,INDEX(COUNTIF($B$1:B1967,$A$2:$A$4629),0,0),0)))</f>
        <v/>
      </c>
      <c r="C1968" t="str">
        <f t="shared" si="30"/>
        <v/>
      </c>
    </row>
    <row r="1969" spans="1:3" x14ac:dyDescent="0.25">
      <c r="A1969" t="str">
        <f>IF(Scan2VK!O29&lt;&gt;"",Scan2VK!O29,"")</f>
        <v>OEM_6</v>
      </c>
      <c r="B1969" t="str">
        <f>IF(ISERROR(MATCH(0,INDEX(COUNTIF($B$1:B1968,$A$2:$A$4629),0,0),0)),"",INDEX($A$2:$A$4629,MATCH(0,INDEX(COUNTIF($B$1:B1968,$A$2:$A$4629),0,0),0)))</f>
        <v/>
      </c>
      <c r="C1969" t="str">
        <f t="shared" si="30"/>
        <v/>
      </c>
    </row>
    <row r="1970" spans="1:3" x14ac:dyDescent="0.25">
      <c r="A1970" t="str">
        <f>IF(Scan2VK!O30&lt;&gt;"",Scan2VK!O30,"")</f>
        <v>RETURN</v>
      </c>
      <c r="B1970" t="str">
        <f>IF(ISERROR(MATCH(0,INDEX(COUNTIF($B$1:B1969,$A$2:$A$4629),0,0),0)),"",INDEX($A$2:$A$4629,MATCH(0,INDEX(COUNTIF($B$1:B1969,$A$2:$A$4629),0,0),0)))</f>
        <v/>
      </c>
      <c r="C1970" t="str">
        <f t="shared" si="30"/>
        <v/>
      </c>
    </row>
    <row r="1971" spans="1:3" x14ac:dyDescent="0.25">
      <c r="A1971" t="str">
        <f>IF(Scan2VK!O31&lt;&gt;"",Scan2VK!O31,"")</f>
        <v>LCONTROL</v>
      </c>
      <c r="B1971" t="str">
        <f>IF(ISERROR(MATCH(0,INDEX(COUNTIF($B$1:B1970,$A$2:$A$4629),0,0),0)),"",INDEX($A$2:$A$4629,MATCH(0,INDEX(COUNTIF($B$1:B1970,$A$2:$A$4629),0,0),0)))</f>
        <v/>
      </c>
      <c r="C1971" t="str">
        <f t="shared" si="30"/>
        <v/>
      </c>
    </row>
    <row r="1972" spans="1:3" x14ac:dyDescent="0.25">
      <c r="A1972" t="str">
        <f>IF(Scan2VK!O32&lt;&gt;"",Scan2VK!O32,"")</f>
        <v>'A'</v>
      </c>
      <c r="B1972" t="str">
        <f>IF(ISERROR(MATCH(0,INDEX(COUNTIF($B$1:B1971,$A$2:$A$4629),0,0),0)),"",INDEX($A$2:$A$4629,MATCH(0,INDEX(COUNTIF($B$1:B1971,$A$2:$A$4629),0,0),0)))</f>
        <v/>
      </c>
      <c r="C1972" t="str">
        <f t="shared" si="30"/>
        <v/>
      </c>
    </row>
    <row r="1973" spans="1:3" x14ac:dyDescent="0.25">
      <c r="A1973" t="str">
        <f>IF(Scan2VK!O33&lt;&gt;"",Scan2VK!O33,"")</f>
        <v>'S'</v>
      </c>
      <c r="B1973" t="str">
        <f>IF(ISERROR(MATCH(0,INDEX(COUNTIF($B$1:B1972,$A$2:$A$4629),0,0),0)),"",INDEX($A$2:$A$4629,MATCH(0,INDEX(COUNTIF($B$1:B1972,$A$2:$A$4629),0,0),0)))</f>
        <v/>
      </c>
      <c r="C1973" t="str">
        <f t="shared" si="30"/>
        <v/>
      </c>
    </row>
    <row r="1974" spans="1:3" x14ac:dyDescent="0.25">
      <c r="A1974" t="str">
        <f>IF(Scan2VK!O34&lt;&gt;"",Scan2VK!O34,"")</f>
        <v>'D'</v>
      </c>
      <c r="B1974" t="str">
        <f>IF(ISERROR(MATCH(0,INDEX(COUNTIF($B$1:B1973,$A$2:$A$4629),0,0),0)),"",INDEX($A$2:$A$4629,MATCH(0,INDEX(COUNTIF($B$1:B1973,$A$2:$A$4629),0,0),0)))</f>
        <v/>
      </c>
      <c r="C1974" t="str">
        <f t="shared" si="30"/>
        <v/>
      </c>
    </row>
    <row r="1975" spans="1:3" x14ac:dyDescent="0.25">
      <c r="A1975" t="str">
        <f>IF(Scan2VK!O35&lt;&gt;"",Scan2VK!O35,"")</f>
        <v>'F'</v>
      </c>
      <c r="B1975" t="str">
        <f>IF(ISERROR(MATCH(0,INDEX(COUNTIF($B$1:B1974,$A$2:$A$4629),0,0),0)),"",INDEX($A$2:$A$4629,MATCH(0,INDEX(COUNTIF($B$1:B1974,$A$2:$A$4629),0,0),0)))</f>
        <v/>
      </c>
      <c r="C1975" t="str">
        <f t="shared" si="30"/>
        <v/>
      </c>
    </row>
    <row r="1976" spans="1:3" x14ac:dyDescent="0.25">
      <c r="A1976" t="str">
        <f>IF(Scan2VK!O36&lt;&gt;"",Scan2VK!O36,"")</f>
        <v>'G'</v>
      </c>
      <c r="B1976" t="str">
        <f>IF(ISERROR(MATCH(0,INDEX(COUNTIF($B$1:B1975,$A$2:$A$4629),0,0),0)),"",INDEX($A$2:$A$4629,MATCH(0,INDEX(COUNTIF($B$1:B1975,$A$2:$A$4629),0,0),0)))</f>
        <v/>
      </c>
      <c r="C1976" t="str">
        <f t="shared" si="30"/>
        <v/>
      </c>
    </row>
    <row r="1977" spans="1:3" x14ac:dyDescent="0.25">
      <c r="A1977" t="str">
        <f>IF(Scan2VK!O37&lt;&gt;"",Scan2VK!O37,"")</f>
        <v>'H'</v>
      </c>
      <c r="B1977" t="str">
        <f>IF(ISERROR(MATCH(0,INDEX(COUNTIF($B$1:B1976,$A$2:$A$4629),0,0),0)),"",INDEX($A$2:$A$4629,MATCH(0,INDEX(COUNTIF($B$1:B1976,$A$2:$A$4629),0,0),0)))</f>
        <v/>
      </c>
      <c r="C1977" t="str">
        <f t="shared" si="30"/>
        <v/>
      </c>
    </row>
    <row r="1978" spans="1:3" x14ac:dyDescent="0.25">
      <c r="A1978" t="str">
        <f>IF(Scan2VK!O38&lt;&gt;"",Scan2VK!O38,"")</f>
        <v>'J'</v>
      </c>
      <c r="B1978" t="str">
        <f>IF(ISERROR(MATCH(0,INDEX(COUNTIF($B$1:B1977,$A$2:$A$4629),0,0),0)),"",INDEX($A$2:$A$4629,MATCH(0,INDEX(COUNTIF($B$1:B1977,$A$2:$A$4629),0,0),0)))</f>
        <v/>
      </c>
      <c r="C1978" t="str">
        <f t="shared" si="30"/>
        <v/>
      </c>
    </row>
    <row r="1979" spans="1:3" x14ac:dyDescent="0.25">
      <c r="A1979" t="str">
        <f>IF(Scan2VK!O39&lt;&gt;"",Scan2VK!O39,"")</f>
        <v>'K'</v>
      </c>
      <c r="B1979" t="str">
        <f>IF(ISERROR(MATCH(0,INDEX(COUNTIF($B$1:B1978,$A$2:$A$4629),0,0),0)),"",INDEX($A$2:$A$4629,MATCH(0,INDEX(COUNTIF($B$1:B1978,$A$2:$A$4629),0,0),0)))</f>
        <v/>
      </c>
      <c r="C1979" t="str">
        <f t="shared" si="30"/>
        <v/>
      </c>
    </row>
    <row r="1980" spans="1:3" x14ac:dyDescent="0.25">
      <c r="A1980" t="str">
        <f>IF(Scan2VK!O40&lt;&gt;"",Scan2VK!O40,"")</f>
        <v>'L'</v>
      </c>
      <c r="B1980" t="str">
        <f>IF(ISERROR(MATCH(0,INDEX(COUNTIF($B$1:B1979,$A$2:$A$4629),0,0),0)),"",INDEX($A$2:$A$4629,MATCH(0,INDEX(COUNTIF($B$1:B1979,$A$2:$A$4629),0,0),0)))</f>
        <v/>
      </c>
      <c r="C1980" t="str">
        <f t="shared" si="30"/>
        <v/>
      </c>
    </row>
    <row r="1981" spans="1:3" x14ac:dyDescent="0.25">
      <c r="A1981" t="str">
        <f>IF(Scan2VK!O41&lt;&gt;"",Scan2VK!O41,"")</f>
        <v>OEM_1</v>
      </c>
      <c r="B1981" t="str">
        <f>IF(ISERROR(MATCH(0,INDEX(COUNTIF($B$1:B1980,$A$2:$A$4629),0,0),0)),"",INDEX($A$2:$A$4629,MATCH(0,INDEX(COUNTIF($B$1:B1980,$A$2:$A$4629),0,0),0)))</f>
        <v/>
      </c>
      <c r="C1981" t="str">
        <f t="shared" si="30"/>
        <v/>
      </c>
    </row>
    <row r="1982" spans="1:3" x14ac:dyDescent="0.25">
      <c r="A1982" t="str">
        <f>IF(Scan2VK!O42&lt;&gt;"",Scan2VK!O42,"")</f>
        <v>OEM_7</v>
      </c>
      <c r="B1982" t="str">
        <f>IF(ISERROR(MATCH(0,INDEX(COUNTIF($B$1:B1981,$A$2:$A$4629),0,0),0)),"",INDEX($A$2:$A$4629,MATCH(0,INDEX(COUNTIF($B$1:B1981,$A$2:$A$4629),0,0),0)))</f>
        <v/>
      </c>
      <c r="C1982" t="str">
        <f t="shared" si="30"/>
        <v/>
      </c>
    </row>
    <row r="1983" spans="1:3" x14ac:dyDescent="0.25">
      <c r="A1983" t="str">
        <f>IF(Scan2VK!O43&lt;&gt;"",Scan2VK!O43,"")</f>
        <v>OEM_3</v>
      </c>
      <c r="B1983" t="str">
        <f>IF(ISERROR(MATCH(0,INDEX(COUNTIF($B$1:B1982,$A$2:$A$4629),0,0),0)),"",INDEX($A$2:$A$4629,MATCH(0,INDEX(COUNTIF($B$1:B1982,$A$2:$A$4629),0,0),0)))</f>
        <v/>
      </c>
      <c r="C1983" t="str">
        <f t="shared" si="30"/>
        <v/>
      </c>
    </row>
    <row r="1984" spans="1:3" x14ac:dyDescent="0.25">
      <c r="A1984" t="str">
        <f>IF(Scan2VK!O44&lt;&gt;"",Scan2VK!O44,"")</f>
        <v>LSHIFT</v>
      </c>
      <c r="B1984" t="str">
        <f>IF(ISERROR(MATCH(0,INDEX(COUNTIF($B$1:B1983,$A$2:$A$4629),0,0),0)),"",INDEX($A$2:$A$4629,MATCH(0,INDEX(COUNTIF($B$1:B1983,$A$2:$A$4629),0,0),0)))</f>
        <v/>
      </c>
      <c r="C1984" t="str">
        <f t="shared" si="30"/>
        <v/>
      </c>
    </row>
    <row r="1985" spans="1:3" x14ac:dyDescent="0.25">
      <c r="A1985" t="str">
        <f>IF(Scan2VK!O45&lt;&gt;"",Scan2VK!O45,"")</f>
        <v>OEM_5</v>
      </c>
      <c r="B1985" t="str">
        <f>IF(ISERROR(MATCH(0,INDEX(COUNTIF($B$1:B1984,$A$2:$A$4629),0,0),0)),"",INDEX($A$2:$A$4629,MATCH(0,INDEX(COUNTIF($B$1:B1984,$A$2:$A$4629),0,0),0)))</f>
        <v/>
      </c>
      <c r="C1985" t="str">
        <f t="shared" si="30"/>
        <v/>
      </c>
    </row>
    <row r="1986" spans="1:3" x14ac:dyDescent="0.25">
      <c r="A1986" t="str">
        <f>IF(Scan2VK!O46&lt;&gt;"",Scan2VK!O46,"")</f>
        <v>'Z'</v>
      </c>
      <c r="B1986" t="str">
        <f>IF(ISERROR(MATCH(0,INDEX(COUNTIF($B$1:B1985,$A$2:$A$4629),0,0),0)),"",INDEX($A$2:$A$4629,MATCH(0,INDEX(COUNTIF($B$1:B1985,$A$2:$A$4629),0,0),0)))</f>
        <v/>
      </c>
      <c r="C1986" t="str">
        <f t="shared" si="30"/>
        <v/>
      </c>
    </row>
    <row r="1987" spans="1:3" x14ac:dyDescent="0.25">
      <c r="A1987" t="str">
        <f>IF(Scan2VK!O47&lt;&gt;"",Scan2VK!O47,"")</f>
        <v>'X'</v>
      </c>
      <c r="B1987" t="str">
        <f>IF(ISERROR(MATCH(0,INDEX(COUNTIF($B$1:B1986,$A$2:$A$4629),0,0),0)),"",INDEX($A$2:$A$4629,MATCH(0,INDEX(COUNTIF($B$1:B1986,$A$2:$A$4629),0,0),0)))</f>
        <v/>
      </c>
      <c r="C1987" t="str">
        <f t="shared" ref="C1987:C2050" si="31">IF(B1987&lt;&gt;"","&lt;xs:enumeration value="""&amp;B1987&amp;"""/&gt;","")</f>
        <v/>
      </c>
    </row>
    <row r="1988" spans="1:3" x14ac:dyDescent="0.25">
      <c r="A1988" t="str">
        <f>IF(Scan2VK!O48&lt;&gt;"",Scan2VK!O48,"")</f>
        <v>'C'</v>
      </c>
      <c r="B1988" t="str">
        <f>IF(ISERROR(MATCH(0,INDEX(COUNTIF($B$1:B1987,$A$2:$A$4629),0,0),0)),"",INDEX($A$2:$A$4629,MATCH(0,INDEX(COUNTIF($B$1:B1987,$A$2:$A$4629),0,0),0)))</f>
        <v/>
      </c>
      <c r="C1988" t="str">
        <f t="shared" si="31"/>
        <v/>
      </c>
    </row>
    <row r="1989" spans="1:3" x14ac:dyDescent="0.25">
      <c r="A1989" t="str">
        <f>IF(Scan2VK!O49&lt;&gt;"",Scan2VK!O49,"")</f>
        <v>'V'</v>
      </c>
      <c r="B1989" t="str">
        <f>IF(ISERROR(MATCH(0,INDEX(COUNTIF($B$1:B1988,$A$2:$A$4629),0,0),0)),"",INDEX($A$2:$A$4629,MATCH(0,INDEX(COUNTIF($B$1:B1988,$A$2:$A$4629),0,0),0)))</f>
        <v/>
      </c>
      <c r="C1989" t="str">
        <f t="shared" si="31"/>
        <v/>
      </c>
    </row>
    <row r="1990" spans="1:3" x14ac:dyDescent="0.25">
      <c r="A1990" t="str">
        <f>IF(Scan2VK!O50&lt;&gt;"",Scan2VK!O50,"")</f>
        <v>'B'</v>
      </c>
      <c r="B1990" t="str">
        <f>IF(ISERROR(MATCH(0,INDEX(COUNTIF($B$1:B1989,$A$2:$A$4629),0,0),0)),"",INDEX($A$2:$A$4629,MATCH(0,INDEX(COUNTIF($B$1:B1989,$A$2:$A$4629),0,0),0)))</f>
        <v/>
      </c>
      <c r="C1990" t="str">
        <f t="shared" si="31"/>
        <v/>
      </c>
    </row>
    <row r="1991" spans="1:3" x14ac:dyDescent="0.25">
      <c r="A1991" t="str">
        <f>IF(Scan2VK!O51&lt;&gt;"",Scan2VK!O51,"")</f>
        <v>'N'</v>
      </c>
      <c r="B1991" t="str">
        <f>IF(ISERROR(MATCH(0,INDEX(COUNTIF($B$1:B1990,$A$2:$A$4629),0,0),0)),"",INDEX($A$2:$A$4629,MATCH(0,INDEX(COUNTIF($B$1:B1990,$A$2:$A$4629),0,0),0)))</f>
        <v/>
      </c>
      <c r="C1991" t="str">
        <f t="shared" si="31"/>
        <v/>
      </c>
    </row>
    <row r="1992" spans="1:3" x14ac:dyDescent="0.25">
      <c r="A1992" t="str">
        <f>IF(Scan2VK!O52&lt;&gt;"",Scan2VK!O52,"")</f>
        <v>'M'</v>
      </c>
      <c r="B1992" t="str">
        <f>IF(ISERROR(MATCH(0,INDEX(COUNTIF($B$1:B1991,$A$2:$A$4629),0,0),0)),"",INDEX($A$2:$A$4629,MATCH(0,INDEX(COUNTIF($B$1:B1991,$A$2:$A$4629),0,0),0)))</f>
        <v/>
      </c>
      <c r="C1992" t="str">
        <f t="shared" si="31"/>
        <v/>
      </c>
    </row>
    <row r="1993" spans="1:3" x14ac:dyDescent="0.25">
      <c r="A1993" t="str">
        <f>IF(Scan2VK!O53&lt;&gt;"",Scan2VK!O53,"")</f>
        <v>OEM_COMMA</v>
      </c>
      <c r="B1993" t="str">
        <f>IF(ISERROR(MATCH(0,INDEX(COUNTIF($B$1:B1992,$A$2:$A$4629),0,0),0)),"",INDEX($A$2:$A$4629,MATCH(0,INDEX(COUNTIF($B$1:B1992,$A$2:$A$4629),0,0),0)))</f>
        <v/>
      </c>
      <c r="C1993" t="str">
        <f t="shared" si="31"/>
        <v/>
      </c>
    </row>
    <row r="1994" spans="1:3" x14ac:dyDescent="0.25">
      <c r="A1994" t="str">
        <f>IF(Scan2VK!O54&lt;&gt;"",Scan2VK!O54,"")</f>
        <v>OEM_PERIOD</v>
      </c>
      <c r="B1994" t="str">
        <f>IF(ISERROR(MATCH(0,INDEX(COUNTIF($B$1:B1993,$A$2:$A$4629),0,0),0)),"",INDEX($A$2:$A$4629,MATCH(0,INDEX(COUNTIF($B$1:B1993,$A$2:$A$4629),0,0),0)))</f>
        <v/>
      </c>
      <c r="C1994" t="str">
        <f t="shared" si="31"/>
        <v/>
      </c>
    </row>
    <row r="1995" spans="1:3" x14ac:dyDescent="0.25">
      <c r="A1995" t="str">
        <f>IF(Scan2VK!O55&lt;&gt;"",Scan2VK!O55,"")</f>
        <v>OEM_2</v>
      </c>
      <c r="B1995" t="str">
        <f>IF(ISERROR(MATCH(0,INDEX(COUNTIF($B$1:B1994,$A$2:$A$4629),0,0),0)),"",INDEX($A$2:$A$4629,MATCH(0,INDEX(COUNTIF($B$1:B1994,$A$2:$A$4629),0,0),0)))</f>
        <v/>
      </c>
      <c r="C1995" t="str">
        <f t="shared" si="31"/>
        <v/>
      </c>
    </row>
    <row r="1996" spans="1:3" x14ac:dyDescent="0.25">
      <c r="A1996" t="str">
        <f>IF(Scan2VK!O56&lt;&gt;"",Scan2VK!O56,"")</f>
        <v>RSHIFT</v>
      </c>
      <c r="B1996" t="str">
        <f>IF(ISERROR(MATCH(0,INDEX(COUNTIF($B$1:B1995,$A$2:$A$4629),0,0),0)),"",INDEX($A$2:$A$4629,MATCH(0,INDEX(COUNTIF($B$1:B1995,$A$2:$A$4629),0,0),0)))</f>
        <v/>
      </c>
      <c r="C1996" t="str">
        <f t="shared" si="31"/>
        <v/>
      </c>
    </row>
    <row r="1997" spans="1:3" x14ac:dyDescent="0.25">
      <c r="A1997" t="str">
        <f>IF(Scan2VK!O57&lt;&gt;"",Scan2VK!O57,"")</f>
        <v>MULTIPLY</v>
      </c>
      <c r="B1997" t="str">
        <f>IF(ISERROR(MATCH(0,INDEX(COUNTIF($B$1:B1996,$A$2:$A$4629),0,0),0)),"",INDEX($A$2:$A$4629,MATCH(0,INDEX(COUNTIF($B$1:B1996,$A$2:$A$4629),0,0),0)))</f>
        <v/>
      </c>
      <c r="C1997" t="str">
        <f t="shared" si="31"/>
        <v/>
      </c>
    </row>
    <row r="1998" spans="1:3" x14ac:dyDescent="0.25">
      <c r="A1998" t="str">
        <f>IF(Scan2VK!O58&lt;&gt;"",Scan2VK!O58,"")</f>
        <v>LMENU</v>
      </c>
      <c r="B1998" t="str">
        <f>IF(ISERROR(MATCH(0,INDEX(COUNTIF($B$1:B1997,$A$2:$A$4629),0,0),0)),"",INDEX($A$2:$A$4629,MATCH(0,INDEX(COUNTIF($B$1:B1997,$A$2:$A$4629),0,0),0)))</f>
        <v/>
      </c>
      <c r="C1998" t="str">
        <f t="shared" si="31"/>
        <v/>
      </c>
    </row>
    <row r="1999" spans="1:3" x14ac:dyDescent="0.25">
      <c r="A1999" t="str">
        <f>IF(Scan2VK!O59&lt;&gt;"",Scan2VK!O59,"")</f>
        <v>''</v>
      </c>
      <c r="B1999" t="str">
        <f>IF(ISERROR(MATCH(0,INDEX(COUNTIF($B$1:B1998,$A$2:$A$4629),0,0),0)),"",INDEX($A$2:$A$4629,MATCH(0,INDEX(COUNTIF($B$1:B1998,$A$2:$A$4629),0,0),0)))</f>
        <v/>
      </c>
      <c r="C1999" t="str">
        <f t="shared" si="31"/>
        <v/>
      </c>
    </row>
    <row r="2000" spans="1:3" x14ac:dyDescent="0.25">
      <c r="A2000" t="str">
        <f>IF(Scan2VK!O60&lt;&gt;"",Scan2VK!O60,"")</f>
        <v>CAPITAL</v>
      </c>
      <c r="B2000" t="str">
        <f>IF(ISERROR(MATCH(0,INDEX(COUNTIF($B$1:B1999,$A$2:$A$4629),0,0),0)),"",INDEX($A$2:$A$4629,MATCH(0,INDEX(COUNTIF($B$1:B1999,$A$2:$A$4629),0,0),0)))</f>
        <v/>
      </c>
      <c r="C2000" t="str">
        <f t="shared" si="31"/>
        <v/>
      </c>
    </row>
    <row r="2001" spans="1:3" x14ac:dyDescent="0.25">
      <c r="A2001" t="str">
        <f>IF(Scan2VK!O61&lt;&gt;"",Scan2VK!O61,"")</f>
        <v>F1</v>
      </c>
      <c r="B2001" t="str">
        <f>IF(ISERROR(MATCH(0,INDEX(COUNTIF($B$1:B2000,$A$2:$A$4629),0,0),0)),"",INDEX($A$2:$A$4629,MATCH(0,INDEX(COUNTIF($B$1:B2000,$A$2:$A$4629),0,0),0)))</f>
        <v/>
      </c>
      <c r="C2001" t="str">
        <f t="shared" si="31"/>
        <v/>
      </c>
    </row>
    <row r="2002" spans="1:3" x14ac:dyDescent="0.25">
      <c r="A2002" t="str">
        <f>IF(Scan2VK!O62&lt;&gt;"",Scan2VK!O62,"")</f>
        <v>F2</v>
      </c>
      <c r="B2002" t="str">
        <f>IF(ISERROR(MATCH(0,INDEX(COUNTIF($B$1:B2001,$A$2:$A$4629),0,0),0)),"",INDEX($A$2:$A$4629,MATCH(0,INDEX(COUNTIF($B$1:B2001,$A$2:$A$4629),0,0),0)))</f>
        <v/>
      </c>
      <c r="C2002" t="str">
        <f t="shared" si="31"/>
        <v/>
      </c>
    </row>
    <row r="2003" spans="1:3" x14ac:dyDescent="0.25">
      <c r="A2003" t="str">
        <f>IF(Scan2VK!O63&lt;&gt;"",Scan2VK!O63,"")</f>
        <v>F3</v>
      </c>
      <c r="B2003" t="str">
        <f>IF(ISERROR(MATCH(0,INDEX(COUNTIF($B$1:B2002,$A$2:$A$4629),0,0),0)),"",INDEX($A$2:$A$4629,MATCH(0,INDEX(COUNTIF($B$1:B2002,$A$2:$A$4629),0,0),0)))</f>
        <v/>
      </c>
      <c r="C2003" t="str">
        <f t="shared" si="31"/>
        <v/>
      </c>
    </row>
    <row r="2004" spans="1:3" x14ac:dyDescent="0.25">
      <c r="A2004" t="str">
        <f>IF(Scan2VK!O64&lt;&gt;"",Scan2VK!O64,"")</f>
        <v>F4</v>
      </c>
      <c r="B2004" t="str">
        <f>IF(ISERROR(MATCH(0,INDEX(COUNTIF($B$1:B2003,$A$2:$A$4629),0,0),0)),"",INDEX($A$2:$A$4629,MATCH(0,INDEX(COUNTIF($B$1:B2003,$A$2:$A$4629),0,0),0)))</f>
        <v/>
      </c>
      <c r="C2004" t="str">
        <f t="shared" si="31"/>
        <v/>
      </c>
    </row>
    <row r="2005" spans="1:3" x14ac:dyDescent="0.25">
      <c r="A2005" t="str">
        <f>IF(Scan2VK!O65&lt;&gt;"",Scan2VK!O65,"")</f>
        <v>F5</v>
      </c>
      <c r="B2005" t="str">
        <f>IF(ISERROR(MATCH(0,INDEX(COUNTIF($B$1:B2004,$A$2:$A$4629),0,0),0)),"",INDEX($A$2:$A$4629,MATCH(0,INDEX(COUNTIF($B$1:B2004,$A$2:$A$4629),0,0),0)))</f>
        <v/>
      </c>
      <c r="C2005" t="str">
        <f t="shared" si="31"/>
        <v/>
      </c>
    </row>
    <row r="2006" spans="1:3" x14ac:dyDescent="0.25">
      <c r="A2006" t="str">
        <f>IF(Scan2VK!O66&lt;&gt;"",Scan2VK!O66,"")</f>
        <v>F6</v>
      </c>
      <c r="B2006" t="str">
        <f>IF(ISERROR(MATCH(0,INDEX(COUNTIF($B$1:B2005,$A$2:$A$4629),0,0),0)),"",INDEX($A$2:$A$4629,MATCH(0,INDEX(COUNTIF($B$1:B2005,$A$2:$A$4629),0,0),0)))</f>
        <v/>
      </c>
      <c r="C2006" t="str">
        <f t="shared" si="31"/>
        <v/>
      </c>
    </row>
    <row r="2007" spans="1:3" x14ac:dyDescent="0.25">
      <c r="A2007" t="str">
        <f>IF(Scan2VK!O67&lt;&gt;"",Scan2VK!O67,"")</f>
        <v>F7</v>
      </c>
      <c r="B2007" t="str">
        <f>IF(ISERROR(MATCH(0,INDEX(COUNTIF($B$1:B2006,$A$2:$A$4629),0,0),0)),"",INDEX($A$2:$A$4629,MATCH(0,INDEX(COUNTIF($B$1:B2006,$A$2:$A$4629),0,0),0)))</f>
        <v/>
      </c>
      <c r="C2007" t="str">
        <f t="shared" si="31"/>
        <v/>
      </c>
    </row>
    <row r="2008" spans="1:3" x14ac:dyDescent="0.25">
      <c r="A2008" t="str">
        <f>IF(Scan2VK!O68&lt;&gt;"",Scan2VK!O68,"")</f>
        <v>F8</v>
      </c>
      <c r="B2008" t="str">
        <f>IF(ISERROR(MATCH(0,INDEX(COUNTIF($B$1:B2007,$A$2:$A$4629),0,0),0)),"",INDEX($A$2:$A$4629,MATCH(0,INDEX(COUNTIF($B$1:B2007,$A$2:$A$4629),0,0),0)))</f>
        <v/>
      </c>
      <c r="C2008" t="str">
        <f t="shared" si="31"/>
        <v/>
      </c>
    </row>
    <row r="2009" spans="1:3" x14ac:dyDescent="0.25">
      <c r="A2009" t="str">
        <f>IF(Scan2VK!O69&lt;&gt;"",Scan2VK!O69,"")</f>
        <v>F9</v>
      </c>
      <c r="B2009" t="str">
        <f>IF(ISERROR(MATCH(0,INDEX(COUNTIF($B$1:B2008,$A$2:$A$4629),0,0),0)),"",INDEX($A$2:$A$4629,MATCH(0,INDEX(COUNTIF($B$1:B2008,$A$2:$A$4629),0,0),0)))</f>
        <v/>
      </c>
      <c r="C2009" t="str">
        <f t="shared" si="31"/>
        <v/>
      </c>
    </row>
    <row r="2010" spans="1:3" x14ac:dyDescent="0.25">
      <c r="A2010" t="str">
        <f>IF(Scan2VK!O70&lt;&gt;"",Scan2VK!O70,"")</f>
        <v>F10</v>
      </c>
      <c r="B2010" t="str">
        <f>IF(ISERROR(MATCH(0,INDEX(COUNTIF($B$1:B2009,$A$2:$A$4629),0,0),0)),"",INDEX($A$2:$A$4629,MATCH(0,INDEX(COUNTIF($B$1:B2009,$A$2:$A$4629),0,0),0)))</f>
        <v/>
      </c>
      <c r="C2010" t="str">
        <f t="shared" si="31"/>
        <v/>
      </c>
    </row>
    <row r="2011" spans="1:3" x14ac:dyDescent="0.25">
      <c r="A2011" t="str">
        <f>IF(Scan2VK!O71&lt;&gt;"",Scan2VK!O71,"")</f>
        <v>NUMLOCK</v>
      </c>
      <c r="B2011" t="str">
        <f>IF(ISERROR(MATCH(0,INDEX(COUNTIF($B$1:B2010,$A$2:$A$4629),0,0),0)),"",INDEX($A$2:$A$4629,MATCH(0,INDEX(COUNTIF($B$1:B2010,$A$2:$A$4629),0,0),0)))</f>
        <v/>
      </c>
      <c r="C2011" t="str">
        <f t="shared" si="31"/>
        <v/>
      </c>
    </row>
    <row r="2012" spans="1:3" x14ac:dyDescent="0.25">
      <c r="A2012" t="str">
        <f>IF(Scan2VK!O72&lt;&gt;"",Scan2VK!O72,"")</f>
        <v>SCROLL</v>
      </c>
      <c r="B2012" t="str">
        <f>IF(ISERROR(MATCH(0,INDEX(COUNTIF($B$1:B2011,$A$2:$A$4629),0,0),0)),"",INDEX($A$2:$A$4629,MATCH(0,INDEX(COUNTIF($B$1:B2011,$A$2:$A$4629),0,0),0)))</f>
        <v/>
      </c>
      <c r="C2012" t="str">
        <f t="shared" si="31"/>
        <v/>
      </c>
    </row>
    <row r="2013" spans="1:3" x14ac:dyDescent="0.25">
      <c r="A2013" t="str">
        <f>IF(Scan2VK!O73&lt;&gt;"",Scan2VK!O73,"")</f>
        <v>HOME</v>
      </c>
      <c r="B2013" t="str">
        <f>IF(ISERROR(MATCH(0,INDEX(COUNTIF($B$1:B2012,$A$2:$A$4629),0,0),0)),"",INDEX($A$2:$A$4629,MATCH(0,INDEX(COUNTIF($B$1:B2012,$A$2:$A$4629),0,0),0)))</f>
        <v/>
      </c>
      <c r="C2013" t="str">
        <f t="shared" si="31"/>
        <v/>
      </c>
    </row>
    <row r="2014" spans="1:3" x14ac:dyDescent="0.25">
      <c r="A2014" t="str">
        <f>IF(Scan2VK!O74&lt;&gt;"",Scan2VK!O74,"")</f>
        <v>UP</v>
      </c>
      <c r="B2014" t="str">
        <f>IF(ISERROR(MATCH(0,INDEX(COUNTIF($B$1:B2013,$A$2:$A$4629),0,0),0)),"",INDEX($A$2:$A$4629,MATCH(0,INDEX(COUNTIF($B$1:B2013,$A$2:$A$4629),0,0),0)))</f>
        <v/>
      </c>
      <c r="C2014" t="str">
        <f t="shared" si="31"/>
        <v/>
      </c>
    </row>
    <row r="2015" spans="1:3" x14ac:dyDescent="0.25">
      <c r="A2015" t="str">
        <f>IF(Scan2VK!O75&lt;&gt;"",Scan2VK!O75,"")</f>
        <v>PRIOR</v>
      </c>
      <c r="B2015" t="str">
        <f>IF(ISERROR(MATCH(0,INDEX(COUNTIF($B$1:B2014,$A$2:$A$4629),0,0),0)),"",INDEX($A$2:$A$4629,MATCH(0,INDEX(COUNTIF($B$1:B2014,$A$2:$A$4629),0,0),0)))</f>
        <v/>
      </c>
      <c r="C2015" t="str">
        <f t="shared" si="31"/>
        <v/>
      </c>
    </row>
    <row r="2016" spans="1:3" x14ac:dyDescent="0.25">
      <c r="A2016" t="str">
        <f>IF(Scan2VK!O76&lt;&gt;"",Scan2VK!O76,"")</f>
        <v>SUBTRACT</v>
      </c>
      <c r="B2016" t="str">
        <f>IF(ISERROR(MATCH(0,INDEX(COUNTIF($B$1:B2015,$A$2:$A$4629),0,0),0)),"",INDEX($A$2:$A$4629,MATCH(0,INDEX(COUNTIF($B$1:B2015,$A$2:$A$4629),0,0),0)))</f>
        <v/>
      </c>
      <c r="C2016" t="str">
        <f t="shared" si="31"/>
        <v/>
      </c>
    </row>
    <row r="2017" spans="1:3" x14ac:dyDescent="0.25">
      <c r="A2017" t="str">
        <f>IF(Scan2VK!O77&lt;&gt;"",Scan2VK!O77,"")</f>
        <v>LEFT</v>
      </c>
      <c r="B2017" t="str">
        <f>IF(ISERROR(MATCH(0,INDEX(COUNTIF($B$1:B2016,$A$2:$A$4629),0,0),0)),"",INDEX($A$2:$A$4629,MATCH(0,INDEX(COUNTIF($B$1:B2016,$A$2:$A$4629),0,0),0)))</f>
        <v/>
      </c>
      <c r="C2017" t="str">
        <f t="shared" si="31"/>
        <v/>
      </c>
    </row>
    <row r="2018" spans="1:3" x14ac:dyDescent="0.25">
      <c r="A2018" t="str">
        <f>IF(Scan2VK!O78&lt;&gt;"",Scan2VK!O78,"")</f>
        <v>CLEAR</v>
      </c>
      <c r="B2018" t="str">
        <f>IF(ISERROR(MATCH(0,INDEX(COUNTIF($B$1:B2017,$A$2:$A$4629),0,0),0)),"",INDEX($A$2:$A$4629,MATCH(0,INDEX(COUNTIF($B$1:B2017,$A$2:$A$4629),0,0),0)))</f>
        <v/>
      </c>
      <c r="C2018" t="str">
        <f t="shared" si="31"/>
        <v/>
      </c>
    </row>
    <row r="2019" spans="1:3" x14ac:dyDescent="0.25">
      <c r="A2019" t="str">
        <f>IF(Scan2VK!O79&lt;&gt;"",Scan2VK!O79,"")</f>
        <v>RIGHT</v>
      </c>
      <c r="B2019" t="str">
        <f>IF(ISERROR(MATCH(0,INDEX(COUNTIF($B$1:B2018,$A$2:$A$4629),0,0),0)),"",INDEX($A$2:$A$4629,MATCH(0,INDEX(COUNTIF($B$1:B2018,$A$2:$A$4629),0,0),0)))</f>
        <v/>
      </c>
      <c r="C2019" t="str">
        <f t="shared" si="31"/>
        <v/>
      </c>
    </row>
    <row r="2020" spans="1:3" x14ac:dyDescent="0.25">
      <c r="A2020" t="str">
        <f>IF(Scan2VK!O80&lt;&gt;"",Scan2VK!O80,"")</f>
        <v>ADD</v>
      </c>
      <c r="B2020" t="str">
        <f>IF(ISERROR(MATCH(0,INDEX(COUNTIF($B$1:B2019,$A$2:$A$4629),0,0),0)),"",INDEX($A$2:$A$4629,MATCH(0,INDEX(COUNTIF($B$1:B2019,$A$2:$A$4629),0,0),0)))</f>
        <v/>
      </c>
      <c r="C2020" t="str">
        <f t="shared" si="31"/>
        <v/>
      </c>
    </row>
    <row r="2021" spans="1:3" x14ac:dyDescent="0.25">
      <c r="A2021" t="str">
        <f>IF(Scan2VK!O81&lt;&gt;"",Scan2VK!O81,"")</f>
        <v>END</v>
      </c>
      <c r="B2021" t="str">
        <f>IF(ISERROR(MATCH(0,INDEX(COUNTIF($B$1:B2020,$A$2:$A$4629),0,0),0)),"",INDEX($A$2:$A$4629,MATCH(0,INDEX(COUNTIF($B$1:B2020,$A$2:$A$4629),0,0),0)))</f>
        <v/>
      </c>
      <c r="C2021" t="str">
        <f t="shared" si="31"/>
        <v/>
      </c>
    </row>
    <row r="2022" spans="1:3" x14ac:dyDescent="0.25">
      <c r="A2022" t="str">
        <f>IF(Scan2VK!O82&lt;&gt;"",Scan2VK!O82,"")</f>
        <v>DOWN</v>
      </c>
      <c r="B2022" t="str">
        <f>IF(ISERROR(MATCH(0,INDEX(COUNTIF($B$1:B2021,$A$2:$A$4629),0,0),0)),"",INDEX($A$2:$A$4629,MATCH(0,INDEX(COUNTIF($B$1:B2021,$A$2:$A$4629),0,0),0)))</f>
        <v/>
      </c>
      <c r="C2022" t="str">
        <f t="shared" si="31"/>
        <v/>
      </c>
    </row>
    <row r="2023" spans="1:3" x14ac:dyDescent="0.25">
      <c r="A2023" t="str">
        <f>IF(Scan2VK!O83&lt;&gt;"",Scan2VK!O83,"")</f>
        <v>NEXT</v>
      </c>
      <c r="B2023" t="str">
        <f>IF(ISERROR(MATCH(0,INDEX(COUNTIF($B$1:B2022,$A$2:$A$4629),0,0),0)),"",INDEX($A$2:$A$4629,MATCH(0,INDEX(COUNTIF($B$1:B2022,$A$2:$A$4629),0,0),0)))</f>
        <v/>
      </c>
      <c r="C2023" t="str">
        <f t="shared" si="31"/>
        <v/>
      </c>
    </row>
    <row r="2024" spans="1:3" x14ac:dyDescent="0.25">
      <c r="A2024" t="str">
        <f>IF(Scan2VK!O84&lt;&gt;"",Scan2VK!O84,"")</f>
        <v>INSERT</v>
      </c>
      <c r="B2024" t="str">
        <f>IF(ISERROR(MATCH(0,INDEX(COUNTIF($B$1:B2023,$A$2:$A$4629),0,0),0)),"",INDEX($A$2:$A$4629,MATCH(0,INDEX(COUNTIF($B$1:B2023,$A$2:$A$4629),0,0),0)))</f>
        <v/>
      </c>
      <c r="C2024" t="str">
        <f t="shared" si="31"/>
        <v/>
      </c>
    </row>
    <row r="2025" spans="1:3" x14ac:dyDescent="0.25">
      <c r="A2025" t="str">
        <f>IF(Scan2VK!O85&lt;&gt;"",Scan2VK!O85,"")</f>
        <v>DELETE</v>
      </c>
      <c r="B2025" t="str">
        <f>IF(ISERROR(MATCH(0,INDEX(COUNTIF($B$1:B2024,$A$2:$A$4629),0,0),0)),"",INDEX($A$2:$A$4629,MATCH(0,INDEX(COUNTIF($B$1:B2024,$A$2:$A$4629),0,0),0)))</f>
        <v/>
      </c>
      <c r="C2025" t="str">
        <f t="shared" si="31"/>
        <v/>
      </c>
    </row>
    <row r="2026" spans="1:3" x14ac:dyDescent="0.25">
      <c r="A2026" t="str">
        <f>IF(Scan2VK!O86&lt;&gt;"",Scan2VK!O86,"")</f>
        <v>SNAPSHOT</v>
      </c>
      <c r="B2026" t="str">
        <f>IF(ISERROR(MATCH(0,INDEX(COUNTIF($B$1:B2025,$A$2:$A$4629),0,0),0)),"",INDEX($A$2:$A$4629,MATCH(0,INDEX(COUNTIF($B$1:B2025,$A$2:$A$4629),0,0),0)))</f>
        <v/>
      </c>
      <c r="C2026" t="str">
        <f t="shared" si="31"/>
        <v/>
      </c>
    </row>
    <row r="2027" spans="1:3" x14ac:dyDescent="0.25">
      <c r="A2027" t="str">
        <f>IF(Scan2VK!O87&lt;&gt;"",Scan2VK!O87,"")</f>
        <v>_none_</v>
      </c>
      <c r="B2027" t="str">
        <f>IF(ISERROR(MATCH(0,INDEX(COUNTIF($B$1:B2026,$A$2:$A$4629),0,0),0)),"",INDEX($A$2:$A$4629,MATCH(0,INDEX(COUNTIF($B$1:B2026,$A$2:$A$4629),0,0),0)))</f>
        <v/>
      </c>
      <c r="C2027" t="str">
        <f t="shared" si="31"/>
        <v/>
      </c>
    </row>
    <row r="2028" spans="1:3" x14ac:dyDescent="0.25">
      <c r="A2028" t="str">
        <f>IF(Scan2VK!O88&lt;&gt;"",Scan2VK!O88,"")</f>
        <v>OEM_102</v>
      </c>
      <c r="B2028" t="str">
        <f>IF(ISERROR(MATCH(0,INDEX(COUNTIF($B$1:B2027,$A$2:$A$4629),0,0),0)),"",INDEX($A$2:$A$4629,MATCH(0,INDEX(COUNTIF($B$1:B2027,$A$2:$A$4629),0,0),0)))</f>
        <v/>
      </c>
      <c r="C2028" t="str">
        <f t="shared" si="31"/>
        <v/>
      </c>
    </row>
    <row r="2029" spans="1:3" x14ac:dyDescent="0.25">
      <c r="A2029" t="str">
        <f>IF(Scan2VK!O89&lt;&gt;"",Scan2VK!O89,"")</f>
        <v>F11</v>
      </c>
      <c r="B2029" t="str">
        <f>IF(ISERROR(MATCH(0,INDEX(COUNTIF($B$1:B2028,$A$2:$A$4629),0,0),0)),"",INDEX($A$2:$A$4629,MATCH(0,INDEX(COUNTIF($B$1:B2028,$A$2:$A$4629),0,0),0)))</f>
        <v/>
      </c>
      <c r="C2029" t="str">
        <f t="shared" si="31"/>
        <v/>
      </c>
    </row>
    <row r="2030" spans="1:3" x14ac:dyDescent="0.25">
      <c r="A2030" t="str">
        <f>IF(Scan2VK!O90&lt;&gt;"",Scan2VK!O90,"")</f>
        <v>F12</v>
      </c>
      <c r="B2030" t="str">
        <f>IF(ISERROR(MATCH(0,INDEX(COUNTIF($B$1:B2029,$A$2:$A$4629),0,0),0)),"",INDEX($A$2:$A$4629,MATCH(0,INDEX(COUNTIF($B$1:B2029,$A$2:$A$4629),0,0),0)))</f>
        <v/>
      </c>
      <c r="C2030" t="str">
        <f t="shared" si="31"/>
        <v/>
      </c>
    </row>
    <row r="2031" spans="1:3" x14ac:dyDescent="0.25">
      <c r="A2031" t="str">
        <f>IF(Scan2VK!O91&lt;&gt;"",Scan2VK!O91,"")</f>
        <v>CLEAR</v>
      </c>
      <c r="B2031" t="str">
        <f>IF(ISERROR(MATCH(0,INDEX(COUNTIF($B$1:B2030,$A$2:$A$4629),0,0),0)),"",INDEX($A$2:$A$4629,MATCH(0,INDEX(COUNTIF($B$1:B2030,$A$2:$A$4629),0,0),0)))</f>
        <v/>
      </c>
      <c r="C2031" t="str">
        <f t="shared" si="31"/>
        <v/>
      </c>
    </row>
    <row r="2032" spans="1:3" x14ac:dyDescent="0.25">
      <c r="A2032" t="str">
        <f>IF(Scan2VK!O92&lt;&gt;"",Scan2VK!O92,"")</f>
        <v>OEM_WSCTRL</v>
      </c>
      <c r="B2032" t="str">
        <f>IF(ISERROR(MATCH(0,INDEX(COUNTIF($B$1:B2031,$A$2:$A$4629),0,0),0)),"",INDEX($A$2:$A$4629,MATCH(0,INDEX(COUNTIF($B$1:B2031,$A$2:$A$4629),0,0),0)))</f>
        <v/>
      </c>
      <c r="C2032" t="str">
        <f t="shared" si="31"/>
        <v/>
      </c>
    </row>
    <row r="2033" spans="1:3" x14ac:dyDescent="0.25">
      <c r="A2033" t="str">
        <f>IF(Scan2VK!O93&lt;&gt;"",Scan2VK!O93,"")</f>
        <v>OEM_FINISH</v>
      </c>
      <c r="B2033" t="str">
        <f>IF(ISERROR(MATCH(0,INDEX(COUNTIF($B$1:B2032,$A$2:$A$4629),0,0),0)),"",INDEX($A$2:$A$4629,MATCH(0,INDEX(COUNTIF($B$1:B2032,$A$2:$A$4629),0,0),0)))</f>
        <v/>
      </c>
      <c r="C2033" t="str">
        <f t="shared" si="31"/>
        <v/>
      </c>
    </row>
    <row r="2034" spans="1:3" x14ac:dyDescent="0.25">
      <c r="A2034" t="str">
        <f>IF(Scan2VK!O94&lt;&gt;"",Scan2VK!O94,"")</f>
        <v>OEM_JUMP</v>
      </c>
      <c r="B2034" t="str">
        <f>IF(ISERROR(MATCH(0,INDEX(COUNTIF($B$1:B2033,$A$2:$A$4629),0,0),0)),"",INDEX($A$2:$A$4629,MATCH(0,INDEX(COUNTIF($B$1:B2033,$A$2:$A$4629),0,0),0)))</f>
        <v/>
      </c>
      <c r="C2034" t="str">
        <f t="shared" si="31"/>
        <v/>
      </c>
    </row>
    <row r="2035" spans="1:3" x14ac:dyDescent="0.25">
      <c r="A2035" t="str">
        <f>IF(Scan2VK!O95&lt;&gt;"",Scan2VK!O95,"")</f>
        <v>EREOF</v>
      </c>
      <c r="B2035" t="str">
        <f>IF(ISERROR(MATCH(0,INDEX(COUNTIF($B$1:B2034,$A$2:$A$4629),0,0),0)),"",INDEX($A$2:$A$4629,MATCH(0,INDEX(COUNTIF($B$1:B2034,$A$2:$A$4629),0,0),0)))</f>
        <v/>
      </c>
      <c r="C2035" t="str">
        <f t="shared" si="31"/>
        <v/>
      </c>
    </row>
    <row r="2036" spans="1:3" x14ac:dyDescent="0.25">
      <c r="A2036" t="str">
        <f>IF(Scan2VK!O96&lt;&gt;"",Scan2VK!O96,"")</f>
        <v>OEM_BACKTAB</v>
      </c>
      <c r="B2036" t="str">
        <f>IF(ISERROR(MATCH(0,INDEX(COUNTIF($B$1:B2035,$A$2:$A$4629),0,0),0)),"",INDEX($A$2:$A$4629,MATCH(0,INDEX(COUNTIF($B$1:B2035,$A$2:$A$4629),0,0),0)))</f>
        <v/>
      </c>
      <c r="C2036" t="str">
        <f t="shared" si="31"/>
        <v/>
      </c>
    </row>
    <row r="2037" spans="1:3" x14ac:dyDescent="0.25">
      <c r="A2037" t="str">
        <f>IF(Scan2VK!O97&lt;&gt;"",Scan2VK!O97,"")</f>
        <v>OEM_AUTO</v>
      </c>
      <c r="B2037" t="str">
        <f>IF(ISERROR(MATCH(0,INDEX(COUNTIF($B$1:B2036,$A$2:$A$4629),0,0),0)),"",INDEX($A$2:$A$4629,MATCH(0,INDEX(COUNTIF($B$1:B2036,$A$2:$A$4629),0,0),0)))</f>
        <v/>
      </c>
      <c r="C2037" t="str">
        <f t="shared" si="31"/>
        <v/>
      </c>
    </row>
    <row r="2038" spans="1:3" x14ac:dyDescent="0.25">
      <c r="A2038" t="str">
        <f>IF(Scan2VK!O98&lt;&gt;"",Scan2VK!O98,"")</f>
        <v>_none_</v>
      </c>
      <c r="B2038" t="str">
        <f>IF(ISERROR(MATCH(0,INDEX(COUNTIF($B$1:B2037,$A$2:$A$4629),0,0),0)),"",INDEX($A$2:$A$4629,MATCH(0,INDEX(COUNTIF($B$1:B2037,$A$2:$A$4629),0,0),0)))</f>
        <v/>
      </c>
      <c r="C2038" t="str">
        <f t="shared" si="31"/>
        <v/>
      </c>
    </row>
    <row r="2039" spans="1:3" x14ac:dyDescent="0.25">
      <c r="A2039" t="str">
        <f>IF(Scan2VK!O99&lt;&gt;"",Scan2VK!O99,"")</f>
        <v>ZOOM</v>
      </c>
      <c r="B2039" t="str">
        <f>IF(ISERROR(MATCH(0,INDEX(COUNTIF($B$1:B2038,$A$2:$A$4629),0,0),0)),"",INDEX($A$2:$A$4629,MATCH(0,INDEX(COUNTIF($B$1:B2038,$A$2:$A$4629),0,0),0)))</f>
        <v/>
      </c>
      <c r="C2039" t="str">
        <f t="shared" si="31"/>
        <v/>
      </c>
    </row>
    <row r="2040" spans="1:3" x14ac:dyDescent="0.25">
      <c r="A2040" t="str">
        <f>IF(Scan2VK!O100&lt;&gt;"",Scan2VK!O100,"")</f>
        <v>HELP</v>
      </c>
      <c r="B2040" t="str">
        <f>IF(ISERROR(MATCH(0,INDEX(COUNTIF($B$1:B2039,$A$2:$A$4629),0,0),0)),"",INDEX($A$2:$A$4629,MATCH(0,INDEX(COUNTIF($B$1:B2039,$A$2:$A$4629),0,0),0)))</f>
        <v/>
      </c>
      <c r="C2040" t="str">
        <f t="shared" si="31"/>
        <v/>
      </c>
    </row>
    <row r="2041" spans="1:3" x14ac:dyDescent="0.25">
      <c r="A2041" t="str">
        <f>IF(Scan2VK!O101&lt;&gt;"",Scan2VK!O101,"")</f>
        <v>_none_</v>
      </c>
      <c r="B2041" t="str">
        <f>IF(ISERROR(MATCH(0,INDEX(COUNTIF($B$1:B2040,$A$2:$A$4629),0,0),0)),"",INDEX($A$2:$A$4629,MATCH(0,INDEX(COUNTIF($B$1:B2040,$A$2:$A$4629),0,0),0)))</f>
        <v/>
      </c>
      <c r="C2041" t="str">
        <f t="shared" si="31"/>
        <v/>
      </c>
    </row>
    <row r="2042" spans="1:3" x14ac:dyDescent="0.25">
      <c r="A2042" t="str">
        <f>IF(Scan2VK!O102&lt;&gt;"",Scan2VK!O102,"")</f>
        <v>F13</v>
      </c>
      <c r="B2042" t="str">
        <f>IF(ISERROR(MATCH(0,INDEX(COUNTIF($B$1:B2041,$A$2:$A$4629),0,0),0)),"",INDEX($A$2:$A$4629,MATCH(0,INDEX(COUNTIF($B$1:B2041,$A$2:$A$4629),0,0),0)))</f>
        <v/>
      </c>
      <c r="C2042" t="str">
        <f t="shared" si="31"/>
        <v/>
      </c>
    </row>
    <row r="2043" spans="1:3" x14ac:dyDescent="0.25">
      <c r="A2043" t="str">
        <f>IF(Scan2VK!O103&lt;&gt;"",Scan2VK!O103,"")</f>
        <v>F14</v>
      </c>
      <c r="B2043" t="str">
        <f>IF(ISERROR(MATCH(0,INDEX(COUNTIF($B$1:B2042,$A$2:$A$4629),0,0),0)),"",INDEX($A$2:$A$4629,MATCH(0,INDEX(COUNTIF($B$1:B2042,$A$2:$A$4629),0,0),0)))</f>
        <v/>
      </c>
      <c r="C2043" t="str">
        <f t="shared" si="31"/>
        <v/>
      </c>
    </row>
    <row r="2044" spans="1:3" x14ac:dyDescent="0.25">
      <c r="A2044" t="str">
        <f>IF(Scan2VK!O104&lt;&gt;"",Scan2VK!O104,"")</f>
        <v>F15</v>
      </c>
      <c r="B2044" t="str">
        <f>IF(ISERROR(MATCH(0,INDEX(COUNTIF($B$1:B2043,$A$2:$A$4629),0,0),0)),"",INDEX($A$2:$A$4629,MATCH(0,INDEX(COUNTIF($B$1:B2043,$A$2:$A$4629),0,0),0)))</f>
        <v/>
      </c>
      <c r="C2044" t="str">
        <f t="shared" si="31"/>
        <v/>
      </c>
    </row>
    <row r="2045" spans="1:3" x14ac:dyDescent="0.25">
      <c r="A2045" t="str">
        <f>IF(Scan2VK!O105&lt;&gt;"",Scan2VK!O105,"")</f>
        <v>F16</v>
      </c>
      <c r="B2045" t="str">
        <f>IF(ISERROR(MATCH(0,INDEX(COUNTIF($B$1:B2044,$A$2:$A$4629),0,0),0)),"",INDEX($A$2:$A$4629,MATCH(0,INDEX(COUNTIF($B$1:B2044,$A$2:$A$4629),0,0),0)))</f>
        <v/>
      </c>
      <c r="C2045" t="str">
        <f t="shared" si="31"/>
        <v/>
      </c>
    </row>
    <row r="2046" spans="1:3" x14ac:dyDescent="0.25">
      <c r="A2046" t="str">
        <f>IF(Scan2VK!O106&lt;&gt;"",Scan2VK!O106,"")</f>
        <v>F17</v>
      </c>
      <c r="B2046" t="str">
        <f>IF(ISERROR(MATCH(0,INDEX(COUNTIF($B$1:B2045,$A$2:$A$4629),0,0),0)),"",INDEX($A$2:$A$4629,MATCH(0,INDEX(COUNTIF($B$1:B2045,$A$2:$A$4629),0,0),0)))</f>
        <v/>
      </c>
      <c r="C2046" t="str">
        <f t="shared" si="31"/>
        <v/>
      </c>
    </row>
    <row r="2047" spans="1:3" x14ac:dyDescent="0.25">
      <c r="A2047" t="str">
        <f>IF(Scan2VK!O107&lt;&gt;"",Scan2VK!O107,"")</f>
        <v>F18</v>
      </c>
      <c r="B2047" t="str">
        <f>IF(ISERROR(MATCH(0,INDEX(COUNTIF($B$1:B2046,$A$2:$A$4629),0,0),0)),"",INDEX($A$2:$A$4629,MATCH(0,INDEX(COUNTIF($B$1:B2046,$A$2:$A$4629),0,0),0)))</f>
        <v/>
      </c>
      <c r="C2047" t="str">
        <f t="shared" si="31"/>
        <v/>
      </c>
    </row>
    <row r="2048" spans="1:3" x14ac:dyDescent="0.25">
      <c r="A2048" t="str">
        <f>IF(Scan2VK!O108&lt;&gt;"",Scan2VK!O108,"")</f>
        <v>F19</v>
      </c>
      <c r="B2048" t="str">
        <f>IF(ISERROR(MATCH(0,INDEX(COUNTIF($B$1:B2047,$A$2:$A$4629),0,0),0)),"",INDEX($A$2:$A$4629,MATCH(0,INDEX(COUNTIF($B$1:B2047,$A$2:$A$4629),0,0),0)))</f>
        <v/>
      </c>
      <c r="C2048" t="str">
        <f t="shared" si="31"/>
        <v/>
      </c>
    </row>
    <row r="2049" spans="1:3" x14ac:dyDescent="0.25">
      <c r="A2049" t="str">
        <f>IF(Scan2VK!O109&lt;&gt;"",Scan2VK!O109,"")</f>
        <v>F20</v>
      </c>
      <c r="B2049" t="str">
        <f>IF(ISERROR(MATCH(0,INDEX(COUNTIF($B$1:B2048,$A$2:$A$4629),0,0),0)),"",INDEX($A$2:$A$4629,MATCH(0,INDEX(COUNTIF($B$1:B2048,$A$2:$A$4629),0,0),0)))</f>
        <v/>
      </c>
      <c r="C2049" t="str">
        <f t="shared" si="31"/>
        <v/>
      </c>
    </row>
    <row r="2050" spans="1:3" x14ac:dyDescent="0.25">
      <c r="A2050" t="str">
        <f>IF(Scan2VK!O110&lt;&gt;"",Scan2VK!O110,"")</f>
        <v>F21</v>
      </c>
      <c r="B2050" t="str">
        <f>IF(ISERROR(MATCH(0,INDEX(COUNTIF($B$1:B2049,$A$2:$A$4629),0,0),0)),"",INDEX($A$2:$A$4629,MATCH(0,INDEX(COUNTIF($B$1:B2049,$A$2:$A$4629),0,0),0)))</f>
        <v/>
      </c>
      <c r="C2050" t="str">
        <f t="shared" si="31"/>
        <v/>
      </c>
    </row>
    <row r="2051" spans="1:3" x14ac:dyDescent="0.25">
      <c r="A2051" t="str">
        <f>IF(Scan2VK!O111&lt;&gt;"",Scan2VK!O111,"")</f>
        <v>F22</v>
      </c>
      <c r="B2051" t="str">
        <f>IF(ISERROR(MATCH(0,INDEX(COUNTIF($B$1:B2050,$A$2:$A$4629),0,0),0)),"",INDEX($A$2:$A$4629,MATCH(0,INDEX(COUNTIF($B$1:B2050,$A$2:$A$4629),0,0),0)))</f>
        <v/>
      </c>
      <c r="C2051" t="str">
        <f t="shared" ref="C2051:C2114" si="32">IF(B2051&lt;&gt;"","&lt;xs:enumeration value="""&amp;B2051&amp;"""/&gt;","")</f>
        <v/>
      </c>
    </row>
    <row r="2052" spans="1:3" x14ac:dyDescent="0.25">
      <c r="A2052" t="str">
        <f>IF(Scan2VK!O112&lt;&gt;"",Scan2VK!O112,"")</f>
        <v>F23</v>
      </c>
      <c r="B2052" t="str">
        <f>IF(ISERROR(MATCH(0,INDEX(COUNTIF($B$1:B2051,$A$2:$A$4629),0,0),0)),"",INDEX($A$2:$A$4629,MATCH(0,INDEX(COUNTIF($B$1:B2051,$A$2:$A$4629),0,0),0)))</f>
        <v/>
      </c>
      <c r="C2052" t="str">
        <f t="shared" si="32"/>
        <v/>
      </c>
    </row>
    <row r="2053" spans="1:3" x14ac:dyDescent="0.25">
      <c r="A2053" t="str">
        <f>IF(Scan2VK!O113&lt;&gt;"",Scan2VK!O113,"")</f>
        <v>OEM_PA3</v>
      </c>
      <c r="B2053" t="str">
        <f>IF(ISERROR(MATCH(0,INDEX(COUNTIF($B$1:B2052,$A$2:$A$4629),0,0),0)),"",INDEX($A$2:$A$4629,MATCH(0,INDEX(COUNTIF($B$1:B2052,$A$2:$A$4629),0,0),0)))</f>
        <v/>
      </c>
      <c r="C2053" t="str">
        <f t="shared" si="32"/>
        <v/>
      </c>
    </row>
    <row r="2054" spans="1:3" x14ac:dyDescent="0.25">
      <c r="A2054" t="str">
        <f>IF(Scan2VK!O114&lt;&gt;"",Scan2VK!O114,"")</f>
        <v>_none_</v>
      </c>
      <c r="B2054" t="str">
        <f>IF(ISERROR(MATCH(0,INDEX(COUNTIF($B$1:B2053,$A$2:$A$4629),0,0),0)),"",INDEX($A$2:$A$4629,MATCH(0,INDEX(COUNTIF($B$1:B2053,$A$2:$A$4629),0,0),0)))</f>
        <v/>
      </c>
      <c r="C2054" t="str">
        <f t="shared" si="32"/>
        <v/>
      </c>
    </row>
    <row r="2055" spans="1:3" x14ac:dyDescent="0.25">
      <c r="A2055" t="str">
        <f>IF(Scan2VK!O115&lt;&gt;"",Scan2VK!O115,"")</f>
        <v>OEM_RESET</v>
      </c>
      <c r="B2055" t="str">
        <f>IF(ISERROR(MATCH(0,INDEX(COUNTIF($B$1:B2054,$A$2:$A$4629),0,0),0)),"",INDEX($A$2:$A$4629,MATCH(0,INDEX(COUNTIF($B$1:B2054,$A$2:$A$4629),0,0),0)))</f>
        <v/>
      </c>
      <c r="C2055" t="str">
        <f t="shared" si="32"/>
        <v/>
      </c>
    </row>
    <row r="2056" spans="1:3" x14ac:dyDescent="0.25">
      <c r="A2056" t="str">
        <f>IF(Scan2VK!O116&lt;&gt;"",Scan2VK!O116,"")</f>
        <v>_none_</v>
      </c>
      <c r="B2056" t="str">
        <f>IF(ISERROR(MATCH(0,INDEX(COUNTIF($B$1:B2055,$A$2:$A$4629),0,0),0)),"",INDEX($A$2:$A$4629,MATCH(0,INDEX(COUNTIF($B$1:B2055,$A$2:$A$4629),0,0),0)))</f>
        <v/>
      </c>
      <c r="C2056" t="str">
        <f t="shared" si="32"/>
        <v/>
      </c>
    </row>
    <row r="2057" spans="1:3" x14ac:dyDescent="0.25">
      <c r="A2057" t="str">
        <f>IF(Scan2VK!O117&lt;&gt;"",Scan2VK!O117,"")</f>
        <v>ABNT_C1</v>
      </c>
      <c r="B2057" t="str">
        <f>IF(ISERROR(MATCH(0,INDEX(COUNTIF($B$1:B2056,$A$2:$A$4629),0,0),0)),"",INDEX($A$2:$A$4629,MATCH(0,INDEX(COUNTIF($B$1:B2056,$A$2:$A$4629),0,0),0)))</f>
        <v/>
      </c>
      <c r="C2057" t="str">
        <f t="shared" si="32"/>
        <v/>
      </c>
    </row>
    <row r="2058" spans="1:3" x14ac:dyDescent="0.25">
      <c r="A2058" t="str">
        <f>IF(Scan2VK!O118&lt;&gt;"",Scan2VK!O118,"")</f>
        <v>_none_</v>
      </c>
      <c r="B2058" t="str">
        <f>IF(ISERROR(MATCH(0,INDEX(COUNTIF($B$1:B2057,$A$2:$A$4629),0,0),0)),"",INDEX($A$2:$A$4629,MATCH(0,INDEX(COUNTIF($B$1:B2057,$A$2:$A$4629),0,0),0)))</f>
        <v/>
      </c>
      <c r="C2058" t="str">
        <f t="shared" si="32"/>
        <v/>
      </c>
    </row>
    <row r="2059" spans="1:3" x14ac:dyDescent="0.25">
      <c r="A2059" t="str">
        <f>IF(Scan2VK!O119&lt;&gt;"",Scan2VK!O119,"")</f>
        <v>_none_</v>
      </c>
      <c r="B2059" t="str">
        <f>IF(ISERROR(MATCH(0,INDEX(COUNTIF($B$1:B2058,$A$2:$A$4629),0,0),0)),"",INDEX($A$2:$A$4629,MATCH(0,INDEX(COUNTIF($B$1:B2058,$A$2:$A$4629),0,0),0)))</f>
        <v/>
      </c>
      <c r="C2059" t="str">
        <f t="shared" si="32"/>
        <v/>
      </c>
    </row>
    <row r="2060" spans="1:3" x14ac:dyDescent="0.25">
      <c r="A2060" t="str">
        <f>IF(Scan2VK!O120&lt;&gt;"",Scan2VK!O120,"")</f>
        <v>F24</v>
      </c>
      <c r="B2060" t="str">
        <f>IF(ISERROR(MATCH(0,INDEX(COUNTIF($B$1:B2059,$A$2:$A$4629),0,0),0)),"",INDEX($A$2:$A$4629,MATCH(0,INDEX(COUNTIF($B$1:B2059,$A$2:$A$4629),0,0),0)))</f>
        <v/>
      </c>
      <c r="C2060" t="str">
        <f t="shared" si="32"/>
        <v/>
      </c>
    </row>
    <row r="2061" spans="1:3" x14ac:dyDescent="0.25">
      <c r="A2061" t="str">
        <f>IF(Scan2VK!O121&lt;&gt;"",Scan2VK!O121,"")</f>
        <v>_none_</v>
      </c>
      <c r="B2061" t="str">
        <f>IF(ISERROR(MATCH(0,INDEX(COUNTIF($B$1:B2060,$A$2:$A$4629),0,0),0)),"",INDEX($A$2:$A$4629,MATCH(0,INDEX(COUNTIF($B$1:B2060,$A$2:$A$4629),0,0),0)))</f>
        <v/>
      </c>
      <c r="C2061" t="str">
        <f t="shared" si="32"/>
        <v/>
      </c>
    </row>
    <row r="2062" spans="1:3" x14ac:dyDescent="0.25">
      <c r="A2062" t="str">
        <f>IF(Scan2VK!O122&lt;&gt;"",Scan2VK!O122,"")</f>
        <v>_none_</v>
      </c>
      <c r="B2062" t="str">
        <f>IF(ISERROR(MATCH(0,INDEX(COUNTIF($B$1:B2061,$A$2:$A$4629),0,0),0)),"",INDEX($A$2:$A$4629,MATCH(0,INDEX(COUNTIF($B$1:B2061,$A$2:$A$4629),0,0),0)))</f>
        <v/>
      </c>
      <c r="C2062" t="str">
        <f t="shared" si="32"/>
        <v/>
      </c>
    </row>
    <row r="2063" spans="1:3" x14ac:dyDescent="0.25">
      <c r="A2063" t="str">
        <f>IF(Scan2VK!O123&lt;&gt;"",Scan2VK!O123,"")</f>
        <v>_none_</v>
      </c>
      <c r="B2063" t="str">
        <f>IF(ISERROR(MATCH(0,INDEX(COUNTIF($B$1:B2062,$A$2:$A$4629),0,0),0)),"",INDEX($A$2:$A$4629,MATCH(0,INDEX(COUNTIF($B$1:B2062,$A$2:$A$4629),0,0),0)))</f>
        <v/>
      </c>
      <c r="C2063" t="str">
        <f t="shared" si="32"/>
        <v/>
      </c>
    </row>
    <row r="2064" spans="1:3" x14ac:dyDescent="0.25">
      <c r="A2064" t="str">
        <f>IF(Scan2VK!O124&lt;&gt;"",Scan2VK!O124,"")</f>
        <v>_none_</v>
      </c>
      <c r="B2064" t="str">
        <f>IF(ISERROR(MATCH(0,INDEX(COUNTIF($B$1:B2063,$A$2:$A$4629),0,0),0)),"",INDEX($A$2:$A$4629,MATCH(0,INDEX(COUNTIF($B$1:B2063,$A$2:$A$4629),0,0),0)))</f>
        <v/>
      </c>
      <c r="C2064" t="str">
        <f t="shared" si="32"/>
        <v/>
      </c>
    </row>
    <row r="2065" spans="1:3" x14ac:dyDescent="0.25">
      <c r="A2065" t="str">
        <f>IF(Scan2VK!O125&lt;&gt;"",Scan2VK!O125,"")</f>
        <v>OEM_PA1</v>
      </c>
      <c r="B2065" t="str">
        <f>IF(ISERROR(MATCH(0,INDEX(COUNTIF($B$1:B2064,$A$2:$A$4629),0,0),0)),"",INDEX($A$2:$A$4629,MATCH(0,INDEX(COUNTIF($B$1:B2064,$A$2:$A$4629),0,0),0)))</f>
        <v/>
      </c>
      <c r="C2065" t="str">
        <f t="shared" si="32"/>
        <v/>
      </c>
    </row>
    <row r="2066" spans="1:3" x14ac:dyDescent="0.25">
      <c r="A2066" t="str">
        <f>IF(Scan2VK!O126&lt;&gt;"",Scan2VK!O126,"")</f>
        <v>TAB</v>
      </c>
      <c r="B2066" t="str">
        <f>IF(ISERROR(MATCH(0,INDEX(COUNTIF($B$1:B2065,$A$2:$A$4629),0,0),0)),"",INDEX($A$2:$A$4629,MATCH(0,INDEX(COUNTIF($B$1:B2065,$A$2:$A$4629),0,0),0)))</f>
        <v/>
      </c>
      <c r="C2066" t="str">
        <f t="shared" si="32"/>
        <v/>
      </c>
    </row>
    <row r="2067" spans="1:3" x14ac:dyDescent="0.25">
      <c r="A2067" t="str">
        <f>IF(Scan2VK!O127&lt;&gt;"",Scan2VK!O127,"")</f>
        <v>_none_</v>
      </c>
      <c r="B2067" t="str">
        <f>IF(ISERROR(MATCH(0,INDEX(COUNTIF($B$1:B2066,$A$2:$A$4629),0,0),0)),"",INDEX($A$2:$A$4629,MATCH(0,INDEX(COUNTIF($B$1:B2066,$A$2:$A$4629),0,0),0)))</f>
        <v/>
      </c>
      <c r="C2067" t="str">
        <f t="shared" si="32"/>
        <v/>
      </c>
    </row>
    <row r="2068" spans="1:3" x14ac:dyDescent="0.25">
      <c r="A2068" t="str">
        <f>IF(Scan2VK!O128&lt;&gt;"",Scan2VK!O128,"")</f>
        <v>ABNT_C2</v>
      </c>
      <c r="B2068" t="str">
        <f>IF(ISERROR(MATCH(0,INDEX(COUNTIF($B$1:B2067,$A$2:$A$4629),0,0),0)),"",INDEX($A$2:$A$4629,MATCH(0,INDEX(COUNTIF($B$1:B2067,$A$2:$A$4629),0,0),0)))</f>
        <v/>
      </c>
      <c r="C2068" t="str">
        <f t="shared" si="32"/>
        <v/>
      </c>
    </row>
    <row r="2069" spans="1:3" x14ac:dyDescent="0.25">
      <c r="A2069" t="str">
        <f>IF(Scan2VK!O129&lt;&gt;"",Scan2VK!O129,"")</f>
        <v>OEM_PA2</v>
      </c>
      <c r="B2069" t="str">
        <f>IF(ISERROR(MATCH(0,INDEX(COUNTIF($B$1:B2068,$A$2:$A$4629),0,0),0)),"",INDEX($A$2:$A$4629,MATCH(0,INDEX(COUNTIF($B$1:B2068,$A$2:$A$4629),0,0),0)))</f>
        <v/>
      </c>
      <c r="C2069" t="str">
        <f t="shared" si="32"/>
        <v/>
      </c>
    </row>
    <row r="2070" spans="1:3" x14ac:dyDescent="0.25">
      <c r="A2070" t="str">
        <f>IF(Scan2VK!O130&lt;&gt;"",Scan2VK!O130,"")</f>
        <v/>
      </c>
      <c r="B2070" t="str">
        <f>IF(ISERROR(MATCH(0,INDEX(COUNTIF($B$1:B2069,$A$2:$A$4629),0,0),0)),"",INDEX($A$2:$A$4629,MATCH(0,INDEX(COUNTIF($B$1:B2069,$A$2:$A$4629),0,0),0)))</f>
        <v/>
      </c>
      <c r="C2070" t="str">
        <f t="shared" si="32"/>
        <v/>
      </c>
    </row>
    <row r="2071" spans="1:3" x14ac:dyDescent="0.25">
      <c r="A2071" t="str">
        <f>IF(Scan2VK!O131&lt;&gt;"",Scan2VK!O131,"")</f>
        <v>MEDIA_PREV_TRACK</v>
      </c>
      <c r="B2071" t="str">
        <f>IF(ISERROR(MATCH(0,INDEX(COUNTIF($B$1:B2070,$A$2:$A$4629),0,0),0)),"",INDEX($A$2:$A$4629,MATCH(0,INDEX(COUNTIF($B$1:B2070,$A$2:$A$4629),0,0),0)))</f>
        <v/>
      </c>
      <c r="C2071" t="str">
        <f t="shared" si="32"/>
        <v/>
      </c>
    </row>
    <row r="2072" spans="1:3" x14ac:dyDescent="0.25">
      <c r="A2072" t="str">
        <f>IF(Scan2VK!O132&lt;&gt;"",Scan2VK!O132,"")</f>
        <v>MEDIA_NEXT_TRACK</v>
      </c>
      <c r="B2072" t="str">
        <f>IF(ISERROR(MATCH(0,INDEX(COUNTIF($B$1:B2071,$A$2:$A$4629),0,0),0)),"",INDEX($A$2:$A$4629,MATCH(0,INDEX(COUNTIF($B$1:B2071,$A$2:$A$4629),0,0),0)))</f>
        <v/>
      </c>
      <c r="C2072" t="str">
        <f t="shared" si="32"/>
        <v/>
      </c>
    </row>
    <row r="2073" spans="1:3" x14ac:dyDescent="0.25">
      <c r="A2073" t="str">
        <f>IF(Scan2VK!O133&lt;&gt;"",Scan2VK!O133,"")</f>
        <v>RETURN</v>
      </c>
      <c r="B2073" t="str">
        <f>IF(ISERROR(MATCH(0,INDEX(COUNTIF($B$1:B2072,$A$2:$A$4629),0,0),0)),"",INDEX($A$2:$A$4629,MATCH(0,INDEX(COUNTIF($B$1:B2072,$A$2:$A$4629),0,0),0)))</f>
        <v/>
      </c>
      <c r="C2073" t="str">
        <f t="shared" si="32"/>
        <v/>
      </c>
    </row>
    <row r="2074" spans="1:3" x14ac:dyDescent="0.25">
      <c r="A2074" t="str">
        <f>IF(Scan2VK!O134&lt;&gt;"",Scan2VK!O134,"")</f>
        <v>HANGEUL</v>
      </c>
      <c r="B2074" t="str">
        <f>IF(ISERROR(MATCH(0,INDEX(COUNTIF($B$1:B2073,$A$2:$A$4629),0,0),0)),"",INDEX($A$2:$A$4629,MATCH(0,INDEX(COUNTIF($B$1:B2073,$A$2:$A$4629),0,0),0)))</f>
        <v/>
      </c>
      <c r="C2074" t="str">
        <f t="shared" si="32"/>
        <v/>
      </c>
    </row>
    <row r="2075" spans="1:3" x14ac:dyDescent="0.25">
      <c r="A2075" t="str">
        <f>IF(Scan2VK!O135&lt;&gt;"",Scan2VK!O135,"")</f>
        <v>VOLUME_MUTE</v>
      </c>
      <c r="B2075" t="str">
        <f>IF(ISERROR(MATCH(0,INDEX(COUNTIF($B$1:B2074,$A$2:$A$4629),0,0),0)),"",INDEX($A$2:$A$4629,MATCH(0,INDEX(COUNTIF($B$1:B2074,$A$2:$A$4629),0,0),0)))</f>
        <v/>
      </c>
      <c r="C2075" t="str">
        <f t="shared" si="32"/>
        <v/>
      </c>
    </row>
    <row r="2076" spans="1:3" x14ac:dyDescent="0.25">
      <c r="A2076" t="str">
        <f>IF(Scan2VK!O136&lt;&gt;"",Scan2VK!O136,"")</f>
        <v>LAUNCH_APP2</v>
      </c>
      <c r="B2076" t="str">
        <f>IF(ISERROR(MATCH(0,INDEX(COUNTIF($B$1:B2075,$A$2:$A$4629),0,0),0)),"",INDEX($A$2:$A$4629,MATCH(0,INDEX(COUNTIF($B$1:B2075,$A$2:$A$4629),0,0),0)))</f>
        <v/>
      </c>
      <c r="C2076" t="str">
        <f t="shared" si="32"/>
        <v/>
      </c>
    </row>
    <row r="2077" spans="1:3" x14ac:dyDescent="0.25">
      <c r="A2077" t="str">
        <f>IF(Scan2VK!O137&lt;&gt;"",Scan2VK!O137,"")</f>
        <v>MEDIA_PLAY_PAUSE</v>
      </c>
      <c r="B2077" t="str">
        <f>IF(ISERROR(MATCH(0,INDEX(COUNTIF($B$1:B2076,$A$2:$A$4629),0,0),0)),"",INDEX($A$2:$A$4629,MATCH(0,INDEX(COUNTIF($B$1:B2076,$A$2:$A$4629),0,0),0)))</f>
        <v/>
      </c>
      <c r="C2077" t="str">
        <f t="shared" si="32"/>
        <v/>
      </c>
    </row>
    <row r="2078" spans="1:3" x14ac:dyDescent="0.25">
      <c r="A2078" t="str">
        <f>IF(Scan2VK!O138&lt;&gt;"",Scan2VK!O138,"")</f>
        <v>MEDIA_STOP</v>
      </c>
      <c r="B2078" t="str">
        <f>IF(ISERROR(MATCH(0,INDEX(COUNTIF($B$1:B2077,$A$2:$A$4629),0,0),0)),"",INDEX($A$2:$A$4629,MATCH(0,INDEX(COUNTIF($B$1:B2077,$A$2:$A$4629),0,0),0)))</f>
        <v/>
      </c>
      <c r="C2078" t="str">
        <f t="shared" si="32"/>
        <v/>
      </c>
    </row>
    <row r="2079" spans="1:3" x14ac:dyDescent="0.25">
      <c r="A2079" t="str">
        <f>IF(Scan2VK!O139&lt;&gt;"",Scan2VK!O139,"")</f>
        <v>VOLUME_DOWN</v>
      </c>
      <c r="B2079" t="str">
        <f>IF(ISERROR(MATCH(0,INDEX(COUNTIF($B$1:B2078,$A$2:$A$4629),0,0),0)),"",INDEX($A$2:$A$4629,MATCH(0,INDEX(COUNTIF($B$1:B2078,$A$2:$A$4629),0,0),0)))</f>
        <v/>
      </c>
      <c r="C2079" t="str">
        <f t="shared" si="32"/>
        <v/>
      </c>
    </row>
    <row r="2080" spans="1:3" x14ac:dyDescent="0.25">
      <c r="A2080" t="str">
        <f>IF(Scan2VK!O140&lt;&gt;"",Scan2VK!O140,"")</f>
        <v>VOLUME_UP</v>
      </c>
      <c r="B2080" t="str">
        <f>IF(ISERROR(MATCH(0,INDEX(COUNTIF($B$1:B2079,$A$2:$A$4629),0,0),0)),"",INDEX($A$2:$A$4629,MATCH(0,INDEX(COUNTIF($B$1:B2079,$A$2:$A$4629),0,0),0)))</f>
        <v/>
      </c>
      <c r="C2080" t="str">
        <f t="shared" si="32"/>
        <v/>
      </c>
    </row>
    <row r="2081" spans="1:3" x14ac:dyDescent="0.25">
      <c r="A2081" t="str">
        <f>IF(Scan2VK!O141&lt;&gt;"",Scan2VK!O141,"")</f>
        <v>BROWSER_HOME</v>
      </c>
      <c r="B2081" t="str">
        <f>IF(ISERROR(MATCH(0,INDEX(COUNTIF($B$1:B2080,$A$2:$A$4629),0,0),0)),"",INDEX($A$2:$A$4629,MATCH(0,INDEX(COUNTIF($B$1:B2080,$A$2:$A$4629),0,0),0)))</f>
        <v/>
      </c>
      <c r="C2081" t="str">
        <f t="shared" si="32"/>
        <v/>
      </c>
    </row>
    <row r="2082" spans="1:3" x14ac:dyDescent="0.25">
      <c r="A2082" t="str">
        <f>IF(Scan2VK!O142&lt;&gt;"",Scan2VK!O142,"")</f>
        <v>_none_</v>
      </c>
      <c r="B2082" t="str">
        <f>IF(ISERROR(MATCH(0,INDEX(COUNTIF($B$1:B2081,$A$2:$A$4629),0,0),0)),"",INDEX($A$2:$A$4629,MATCH(0,INDEX(COUNTIF($B$1:B2081,$A$2:$A$4629),0,0),0)))</f>
        <v/>
      </c>
      <c r="C2082" t="str">
        <f t="shared" si="32"/>
        <v/>
      </c>
    </row>
    <row r="2083" spans="1:3" x14ac:dyDescent="0.25">
      <c r="A2083" t="str">
        <f>IF(Scan2VK!O143&lt;&gt;"",Scan2VK!O143,"")</f>
        <v>DIVIDE</v>
      </c>
      <c r="B2083" t="str">
        <f>IF(ISERROR(MATCH(0,INDEX(COUNTIF($B$1:B2082,$A$2:$A$4629),0,0),0)),"",INDEX($A$2:$A$4629,MATCH(0,INDEX(COUNTIF($B$1:B2082,$A$2:$A$4629),0,0),0)))</f>
        <v/>
      </c>
      <c r="C2083" t="str">
        <f t="shared" si="32"/>
        <v/>
      </c>
    </row>
    <row r="2084" spans="1:3" x14ac:dyDescent="0.25">
      <c r="A2084" t="str">
        <f>IF(Scan2VK!O144&lt;&gt;"",Scan2VK!O144,"")</f>
        <v>SNAPSHOT</v>
      </c>
      <c r="B2084" t="str">
        <f>IF(ISERROR(MATCH(0,INDEX(COUNTIF($B$1:B2083,$A$2:$A$4629),0,0),0)),"",INDEX($A$2:$A$4629,MATCH(0,INDEX(COUNTIF($B$1:B2083,$A$2:$A$4629),0,0),0)))</f>
        <v/>
      </c>
      <c r="C2084" t="str">
        <f t="shared" si="32"/>
        <v/>
      </c>
    </row>
    <row r="2085" spans="1:3" x14ac:dyDescent="0.25">
      <c r="A2085" t="str">
        <f>IF(Scan2VK!O145&lt;&gt;"",Scan2VK!O145,"")</f>
        <v>HANJA</v>
      </c>
      <c r="B2085" t="str">
        <f>IF(ISERROR(MATCH(0,INDEX(COUNTIF($B$1:B2084,$A$2:$A$4629),0,0),0)),"",INDEX($A$2:$A$4629,MATCH(0,INDEX(COUNTIF($B$1:B2084,$A$2:$A$4629),0,0),0)))</f>
        <v/>
      </c>
      <c r="C2085" t="str">
        <f t="shared" si="32"/>
        <v/>
      </c>
    </row>
    <row r="2086" spans="1:3" x14ac:dyDescent="0.25">
      <c r="A2086" t="str">
        <f>IF(Scan2VK!O146&lt;&gt;"",Scan2VK!O146,"")</f>
        <v/>
      </c>
      <c r="B2086" t="str">
        <f>IF(ISERROR(MATCH(0,INDEX(COUNTIF($B$1:B2085,$A$2:$A$4629),0,0),0)),"",INDEX($A$2:$A$4629,MATCH(0,INDEX(COUNTIF($B$1:B2085,$A$2:$A$4629),0,0),0)))</f>
        <v/>
      </c>
      <c r="C2086" t="str">
        <f t="shared" si="32"/>
        <v/>
      </c>
    </row>
    <row r="2087" spans="1:3" x14ac:dyDescent="0.25">
      <c r="A2087" t="str">
        <f>IF(Scan2VK!O147&lt;&gt;"",Scan2VK!O147,"")</f>
        <v/>
      </c>
      <c r="B2087" t="str">
        <f>IF(ISERROR(MATCH(0,INDEX(COUNTIF($B$1:B2086,$A$2:$A$4629),0,0),0)),"",INDEX($A$2:$A$4629,MATCH(0,INDEX(COUNTIF($B$1:B2086,$A$2:$A$4629),0,0),0)))</f>
        <v/>
      </c>
      <c r="C2087" t="str">
        <f t="shared" si="32"/>
        <v/>
      </c>
    </row>
    <row r="2088" spans="1:3" x14ac:dyDescent="0.25">
      <c r="A2088" t="str">
        <f>IF(Scan2VK!O148&lt;&gt;"",Scan2VK!O148,"")</f>
        <v/>
      </c>
      <c r="B2088" t="str">
        <f>IF(ISERROR(MATCH(0,INDEX(COUNTIF($B$1:B2087,$A$2:$A$4629),0,0),0)),"",INDEX($A$2:$A$4629,MATCH(0,INDEX(COUNTIF($B$1:B2087,$A$2:$A$4629),0,0),0)))</f>
        <v/>
      </c>
      <c r="C2088" t="str">
        <f t="shared" si="32"/>
        <v/>
      </c>
    </row>
    <row r="2089" spans="1:3" x14ac:dyDescent="0.25">
      <c r="A2089" t="str">
        <f>IF(Scan2VK!O149&lt;&gt;"",Scan2VK!O149,"")</f>
        <v/>
      </c>
      <c r="B2089" t="str">
        <f>IF(ISERROR(MATCH(0,INDEX(COUNTIF($B$1:B2088,$A$2:$A$4629),0,0),0)),"",INDEX($A$2:$A$4629,MATCH(0,INDEX(COUNTIF($B$1:B2088,$A$2:$A$4629),0,0),0)))</f>
        <v/>
      </c>
      <c r="C2089" t="str">
        <f t="shared" si="32"/>
        <v/>
      </c>
    </row>
    <row r="2090" spans="1:3" x14ac:dyDescent="0.25">
      <c r="A2090" t="str">
        <f>IF(Scan2VK!O150&lt;&gt;"",Scan2VK!O150,"")</f>
        <v/>
      </c>
      <c r="B2090" t="str">
        <f>IF(ISERROR(MATCH(0,INDEX(COUNTIF($B$1:B2089,$A$2:$A$4629),0,0),0)),"",INDEX($A$2:$A$4629,MATCH(0,INDEX(COUNTIF($B$1:B2089,$A$2:$A$4629),0,0),0)))</f>
        <v/>
      </c>
      <c r="C2090" t="str">
        <f t="shared" si="32"/>
        <v/>
      </c>
    </row>
    <row r="2091" spans="1:3" x14ac:dyDescent="0.25">
      <c r="A2091" t="str">
        <f>IF(Scan2VK!O151&lt;&gt;"",Scan2VK!O151,"")</f>
        <v>_none_</v>
      </c>
      <c r="B2091" t="str">
        <f>IF(ISERROR(MATCH(0,INDEX(COUNTIF($B$1:B2090,$A$2:$A$4629),0,0),0)),"",INDEX($A$2:$A$4629,MATCH(0,INDEX(COUNTIF($B$1:B2090,$A$2:$A$4629),0,0),0)))</f>
        <v/>
      </c>
      <c r="C2091" t="str">
        <f t="shared" si="32"/>
        <v/>
      </c>
    </row>
    <row r="2092" spans="1:3" x14ac:dyDescent="0.25">
      <c r="A2092" t="str">
        <f>IF(Scan2VK!O152&lt;&gt;"",Scan2VK!O152,"")</f>
        <v>_none_</v>
      </c>
      <c r="B2092" t="str">
        <f>IF(ISERROR(MATCH(0,INDEX(COUNTIF($B$1:B2091,$A$2:$A$4629),0,0),0)),"",INDEX($A$2:$A$4629,MATCH(0,INDEX(COUNTIF($B$1:B2091,$A$2:$A$4629),0,0),0)))</f>
        <v/>
      </c>
      <c r="C2092" t="str">
        <f t="shared" si="32"/>
        <v/>
      </c>
    </row>
    <row r="2093" spans="1:3" x14ac:dyDescent="0.25">
      <c r="A2093" t="str">
        <f>IF(Scan2VK!O153&lt;&gt;"",Scan2VK!O153,"")</f>
        <v>_none_</v>
      </c>
      <c r="B2093" t="str">
        <f>IF(ISERROR(MATCH(0,INDEX(COUNTIF($B$1:B2092,$A$2:$A$4629),0,0),0)),"",INDEX($A$2:$A$4629,MATCH(0,INDEX(COUNTIF($B$1:B2092,$A$2:$A$4629),0,0),0)))</f>
        <v/>
      </c>
      <c r="C2093" t="str">
        <f t="shared" si="32"/>
        <v/>
      </c>
    </row>
    <row r="2094" spans="1:3" x14ac:dyDescent="0.25">
      <c r="A2094" t="str">
        <f>IF(Scan2VK!O154&lt;&gt;"",Scan2VK!O154,"")</f>
        <v>CANCEL</v>
      </c>
      <c r="B2094" t="str">
        <f>IF(ISERROR(MATCH(0,INDEX(COUNTIF($B$1:B2093,$A$2:$A$4629),0,0),0)),"",INDEX($A$2:$A$4629,MATCH(0,INDEX(COUNTIF($B$1:B2093,$A$2:$A$4629),0,0),0)))</f>
        <v/>
      </c>
      <c r="C2094" t="str">
        <f t="shared" si="32"/>
        <v/>
      </c>
    </row>
    <row r="2095" spans="1:3" x14ac:dyDescent="0.25">
      <c r="A2095" t="str">
        <f>IF(Scan2VK!O155&lt;&gt;"",Scan2VK!O155,"")</f>
        <v>HOME</v>
      </c>
      <c r="B2095" t="str">
        <f>IF(ISERROR(MATCH(0,INDEX(COUNTIF($B$1:B2094,$A$2:$A$4629),0,0),0)),"",INDEX($A$2:$A$4629,MATCH(0,INDEX(COUNTIF($B$1:B2094,$A$2:$A$4629),0,0),0)))</f>
        <v/>
      </c>
      <c r="C2095" t="str">
        <f t="shared" si="32"/>
        <v/>
      </c>
    </row>
    <row r="2096" spans="1:3" x14ac:dyDescent="0.25">
      <c r="A2096" t="str">
        <f>IF(Scan2VK!O156&lt;&gt;"",Scan2VK!O156,"")</f>
        <v>UP</v>
      </c>
      <c r="B2096" t="str">
        <f>IF(ISERROR(MATCH(0,INDEX(COUNTIF($B$1:B2095,$A$2:$A$4629),0,0),0)),"",INDEX($A$2:$A$4629,MATCH(0,INDEX(COUNTIF($B$1:B2095,$A$2:$A$4629),0,0),0)))</f>
        <v/>
      </c>
      <c r="C2096" t="str">
        <f t="shared" si="32"/>
        <v/>
      </c>
    </row>
    <row r="2097" spans="1:3" x14ac:dyDescent="0.25">
      <c r="A2097" t="str">
        <f>IF(Scan2VK!O157&lt;&gt;"",Scan2VK!O157,"")</f>
        <v>PRIOR</v>
      </c>
      <c r="B2097" t="str">
        <f>IF(ISERROR(MATCH(0,INDEX(COUNTIF($B$1:B2096,$A$2:$A$4629),0,0),0)),"",INDEX($A$2:$A$4629,MATCH(0,INDEX(COUNTIF($B$1:B2096,$A$2:$A$4629),0,0),0)))</f>
        <v/>
      </c>
      <c r="C2097" t="str">
        <f t="shared" si="32"/>
        <v/>
      </c>
    </row>
    <row r="2098" spans="1:3" x14ac:dyDescent="0.25">
      <c r="A2098" t="str">
        <f>IF(Scan2VK!O158&lt;&gt;"",Scan2VK!O158,"")</f>
        <v>LEFT</v>
      </c>
      <c r="B2098" t="str">
        <f>IF(ISERROR(MATCH(0,INDEX(COUNTIF($B$1:B2097,$A$2:$A$4629),0,0),0)),"",INDEX($A$2:$A$4629,MATCH(0,INDEX(COUNTIF($B$1:B2097,$A$2:$A$4629),0,0),0)))</f>
        <v/>
      </c>
      <c r="C2098" t="str">
        <f t="shared" si="32"/>
        <v/>
      </c>
    </row>
    <row r="2099" spans="1:3" x14ac:dyDescent="0.25">
      <c r="A2099" t="str">
        <f>IF(Scan2VK!O159&lt;&gt;"",Scan2VK!O159,"")</f>
        <v>RIGHT</v>
      </c>
      <c r="B2099" t="str">
        <f>IF(ISERROR(MATCH(0,INDEX(COUNTIF($B$1:B2098,$A$2:$A$4629),0,0),0)),"",INDEX($A$2:$A$4629,MATCH(0,INDEX(COUNTIF($B$1:B2098,$A$2:$A$4629),0,0),0)))</f>
        <v/>
      </c>
      <c r="C2099" t="str">
        <f t="shared" si="32"/>
        <v/>
      </c>
    </row>
    <row r="2100" spans="1:3" x14ac:dyDescent="0.25">
      <c r="A2100" t="str">
        <f>IF(Scan2VK!O160&lt;&gt;"",Scan2VK!O160,"")</f>
        <v>END</v>
      </c>
      <c r="B2100" t="str">
        <f>IF(ISERROR(MATCH(0,INDEX(COUNTIF($B$1:B2099,$A$2:$A$4629),0,0),0)),"",INDEX($A$2:$A$4629,MATCH(0,INDEX(COUNTIF($B$1:B2099,$A$2:$A$4629),0,0),0)))</f>
        <v/>
      </c>
      <c r="C2100" t="str">
        <f t="shared" si="32"/>
        <v/>
      </c>
    </row>
    <row r="2101" spans="1:3" x14ac:dyDescent="0.25">
      <c r="A2101" t="str">
        <f>IF(Scan2VK!O161&lt;&gt;"",Scan2VK!O161,"")</f>
        <v>DOWN</v>
      </c>
      <c r="B2101" t="str">
        <f>IF(ISERROR(MATCH(0,INDEX(COUNTIF($B$1:B2100,$A$2:$A$4629),0,0),0)),"",INDEX($A$2:$A$4629,MATCH(0,INDEX(COUNTIF($B$1:B2100,$A$2:$A$4629),0,0),0)))</f>
        <v/>
      </c>
      <c r="C2101" t="str">
        <f t="shared" si="32"/>
        <v/>
      </c>
    </row>
    <row r="2102" spans="1:3" x14ac:dyDescent="0.25">
      <c r="A2102" t="str">
        <f>IF(Scan2VK!O162&lt;&gt;"",Scan2VK!O162,"")</f>
        <v>NEXT</v>
      </c>
      <c r="B2102" t="str">
        <f>IF(ISERROR(MATCH(0,INDEX(COUNTIF($B$1:B2101,$A$2:$A$4629),0,0),0)),"",INDEX($A$2:$A$4629,MATCH(0,INDEX(COUNTIF($B$1:B2101,$A$2:$A$4629),0,0),0)))</f>
        <v/>
      </c>
      <c r="C2102" t="str">
        <f t="shared" si="32"/>
        <v/>
      </c>
    </row>
    <row r="2103" spans="1:3" x14ac:dyDescent="0.25">
      <c r="A2103" t="str">
        <f>IF(Scan2VK!O163&lt;&gt;"",Scan2VK!O163,"")</f>
        <v>INSERT</v>
      </c>
      <c r="B2103" t="str">
        <f>IF(ISERROR(MATCH(0,INDEX(COUNTIF($B$1:B2102,$A$2:$A$4629),0,0),0)),"",INDEX($A$2:$A$4629,MATCH(0,INDEX(COUNTIF($B$1:B2102,$A$2:$A$4629),0,0),0)))</f>
        <v/>
      </c>
      <c r="C2103" t="str">
        <f t="shared" si="32"/>
        <v/>
      </c>
    </row>
    <row r="2104" spans="1:3" x14ac:dyDescent="0.25">
      <c r="A2104" t="str">
        <f>IF(Scan2VK!O164&lt;&gt;"",Scan2VK!O164,"")</f>
        <v>DELETE</v>
      </c>
      <c r="B2104" t="str">
        <f>IF(ISERROR(MATCH(0,INDEX(COUNTIF($B$1:B2103,$A$2:$A$4629),0,0),0)),"",INDEX($A$2:$A$4629,MATCH(0,INDEX(COUNTIF($B$1:B2103,$A$2:$A$4629),0,0),0)))</f>
        <v/>
      </c>
      <c r="C2104" t="str">
        <f t="shared" si="32"/>
        <v/>
      </c>
    </row>
    <row r="2105" spans="1:3" x14ac:dyDescent="0.25">
      <c r="A2105" t="str">
        <f>IF(Scan2VK!O165&lt;&gt;"",Scan2VK!O165,"")</f>
        <v>LWIN</v>
      </c>
      <c r="B2105" t="str">
        <f>IF(ISERROR(MATCH(0,INDEX(COUNTIF($B$1:B2104,$A$2:$A$4629),0,0),0)),"",INDEX($A$2:$A$4629,MATCH(0,INDEX(COUNTIF($B$1:B2104,$A$2:$A$4629),0,0),0)))</f>
        <v/>
      </c>
      <c r="C2105" t="str">
        <f t="shared" si="32"/>
        <v/>
      </c>
    </row>
    <row r="2106" spans="1:3" x14ac:dyDescent="0.25">
      <c r="A2106" t="str">
        <f>IF(Scan2VK!O166&lt;&gt;"",Scan2VK!O166,"")</f>
        <v>RWIN</v>
      </c>
      <c r="B2106" t="str">
        <f>IF(ISERROR(MATCH(0,INDEX(COUNTIF($B$1:B2105,$A$2:$A$4629),0,0),0)),"",INDEX($A$2:$A$4629,MATCH(0,INDEX(COUNTIF($B$1:B2105,$A$2:$A$4629),0,0),0)))</f>
        <v/>
      </c>
      <c r="C2106" t="str">
        <f t="shared" si="32"/>
        <v/>
      </c>
    </row>
    <row r="2107" spans="1:3" x14ac:dyDescent="0.25">
      <c r="A2107" t="str">
        <f>IF(Scan2VK!O167&lt;&gt;"",Scan2VK!O167,"")</f>
        <v>APPS</v>
      </c>
      <c r="B2107" t="str">
        <f>IF(ISERROR(MATCH(0,INDEX(COUNTIF($B$1:B2106,$A$2:$A$4629),0,0),0)),"",INDEX($A$2:$A$4629,MATCH(0,INDEX(COUNTIF($B$1:B2106,$A$2:$A$4629),0,0),0)))</f>
        <v/>
      </c>
      <c r="C2107" t="str">
        <f t="shared" si="32"/>
        <v/>
      </c>
    </row>
    <row r="2108" spans="1:3" x14ac:dyDescent="0.25">
      <c r="A2108" t="str">
        <f>IF(Scan2VK!O168&lt;&gt;"",Scan2VK!O168,"")</f>
        <v>POWER</v>
      </c>
      <c r="B2108" t="str">
        <f>IF(ISERROR(MATCH(0,INDEX(COUNTIF($B$1:B2107,$A$2:$A$4629),0,0),0)),"",INDEX($A$2:$A$4629,MATCH(0,INDEX(COUNTIF($B$1:B2107,$A$2:$A$4629),0,0),0)))</f>
        <v/>
      </c>
      <c r="C2108" t="str">
        <f t="shared" si="32"/>
        <v/>
      </c>
    </row>
    <row r="2109" spans="1:3" x14ac:dyDescent="0.25">
      <c r="A2109" t="str">
        <f>IF(Scan2VK!O169&lt;&gt;"",Scan2VK!O169,"")</f>
        <v>SLEEP</v>
      </c>
      <c r="B2109" t="str">
        <f>IF(ISERROR(MATCH(0,INDEX(COUNTIF($B$1:B2108,$A$2:$A$4629),0,0),0)),"",INDEX($A$2:$A$4629,MATCH(0,INDEX(COUNTIF($B$1:B2108,$A$2:$A$4629),0,0),0)))</f>
        <v/>
      </c>
      <c r="C2109" t="str">
        <f t="shared" si="32"/>
        <v/>
      </c>
    </row>
    <row r="2110" spans="1:3" x14ac:dyDescent="0.25">
      <c r="A2110" t="str">
        <f>IF(Scan2VK!O170&lt;&gt;"",Scan2VK!O170,"")</f>
        <v/>
      </c>
      <c r="B2110" t="str">
        <f>IF(ISERROR(MATCH(0,INDEX(COUNTIF($B$1:B2109,$A$2:$A$4629),0,0),0)),"",INDEX($A$2:$A$4629,MATCH(0,INDEX(COUNTIF($B$1:B2109,$A$2:$A$4629),0,0),0)))</f>
        <v/>
      </c>
      <c r="C2110" t="str">
        <f t="shared" si="32"/>
        <v/>
      </c>
    </row>
    <row r="2111" spans="1:3" x14ac:dyDescent="0.25">
      <c r="A2111" t="str">
        <f>IF(Scan2VK!O171&lt;&gt;"",Scan2VK!O171,"")</f>
        <v/>
      </c>
      <c r="B2111" t="str">
        <f>IF(ISERROR(MATCH(0,INDEX(COUNTIF($B$1:B2110,$A$2:$A$4629),0,0),0)),"",INDEX($A$2:$A$4629,MATCH(0,INDEX(COUNTIF($B$1:B2110,$A$2:$A$4629),0,0),0)))</f>
        <v/>
      </c>
      <c r="C2111" t="str">
        <f t="shared" si="32"/>
        <v/>
      </c>
    </row>
    <row r="2112" spans="1:3" x14ac:dyDescent="0.25">
      <c r="A2112" t="str">
        <f>IF(Scan2VK!O172&lt;&gt;"",Scan2VK!O172,"")</f>
        <v/>
      </c>
      <c r="B2112" t="str">
        <f>IF(ISERROR(MATCH(0,INDEX(COUNTIF($B$1:B2111,$A$2:$A$4629),0,0),0)),"",INDEX($A$2:$A$4629,MATCH(0,INDEX(COUNTIF($B$1:B2111,$A$2:$A$4629),0,0),0)))</f>
        <v/>
      </c>
      <c r="C2112" t="str">
        <f t="shared" si="32"/>
        <v/>
      </c>
    </row>
    <row r="2113" spans="1:3" x14ac:dyDescent="0.25">
      <c r="A2113" t="str">
        <f>IF(Scan2VK!O173&lt;&gt;"",Scan2VK!O173,"")</f>
        <v/>
      </c>
      <c r="B2113" t="str">
        <f>IF(ISERROR(MATCH(0,INDEX(COUNTIF($B$1:B2112,$A$2:$A$4629),0,0),0)),"",INDEX($A$2:$A$4629,MATCH(0,INDEX(COUNTIF($B$1:B2112,$A$2:$A$4629),0,0),0)))</f>
        <v/>
      </c>
      <c r="C2113" t="str">
        <f t="shared" si="32"/>
        <v/>
      </c>
    </row>
    <row r="2114" spans="1:3" x14ac:dyDescent="0.25">
      <c r="A2114" t="str">
        <f>IF(Scan2VK!O174&lt;&gt;"",Scan2VK!O174,"")</f>
        <v/>
      </c>
      <c r="B2114" t="str">
        <f>IF(ISERROR(MATCH(0,INDEX(COUNTIF($B$1:B2113,$A$2:$A$4629),0,0),0)),"",INDEX($A$2:$A$4629,MATCH(0,INDEX(COUNTIF($B$1:B2113,$A$2:$A$4629),0,0),0)))</f>
        <v/>
      </c>
      <c r="C2114" t="str">
        <f t="shared" si="32"/>
        <v/>
      </c>
    </row>
    <row r="2115" spans="1:3" x14ac:dyDescent="0.25">
      <c r="A2115" t="str">
        <f>IF(Scan2VK!O175&lt;&gt;"",Scan2VK!O175,"")</f>
        <v>BROWSER_SEARCH</v>
      </c>
      <c r="B2115" t="str">
        <f>IF(ISERROR(MATCH(0,INDEX(COUNTIF($B$1:B2114,$A$2:$A$4629),0,0),0)),"",INDEX($A$2:$A$4629,MATCH(0,INDEX(COUNTIF($B$1:B2114,$A$2:$A$4629),0,0),0)))</f>
        <v/>
      </c>
      <c r="C2115" t="str">
        <f t="shared" ref="C2115:C2178" si="33">IF(B2115&lt;&gt;"","&lt;xs:enumeration value="""&amp;B2115&amp;"""/&gt;","")</f>
        <v/>
      </c>
    </row>
    <row r="2116" spans="1:3" x14ac:dyDescent="0.25">
      <c r="A2116" t="str">
        <f>IF(Scan2VK!O176&lt;&gt;"",Scan2VK!O176,"")</f>
        <v>BROWSER_FAVORITES</v>
      </c>
      <c r="B2116" t="str">
        <f>IF(ISERROR(MATCH(0,INDEX(COUNTIF($B$1:B2115,$A$2:$A$4629),0,0),0)),"",INDEX($A$2:$A$4629,MATCH(0,INDEX(COUNTIF($B$1:B2115,$A$2:$A$4629),0,0),0)))</f>
        <v/>
      </c>
      <c r="C2116" t="str">
        <f t="shared" si="33"/>
        <v/>
      </c>
    </row>
    <row r="2117" spans="1:3" x14ac:dyDescent="0.25">
      <c r="A2117" t="str">
        <f>IF(Scan2VK!O177&lt;&gt;"",Scan2VK!O177,"")</f>
        <v>BROWSER_REFRESH</v>
      </c>
      <c r="B2117" t="str">
        <f>IF(ISERROR(MATCH(0,INDEX(COUNTIF($B$1:B2116,$A$2:$A$4629),0,0),0)),"",INDEX($A$2:$A$4629,MATCH(0,INDEX(COUNTIF($B$1:B2116,$A$2:$A$4629),0,0),0)))</f>
        <v/>
      </c>
      <c r="C2117" t="str">
        <f t="shared" si="33"/>
        <v/>
      </c>
    </row>
    <row r="2118" spans="1:3" x14ac:dyDescent="0.25">
      <c r="A2118" t="str">
        <f>IF(Scan2VK!O178&lt;&gt;"",Scan2VK!O178,"")</f>
        <v>BROWSER_STOP</v>
      </c>
      <c r="B2118" t="str">
        <f>IF(ISERROR(MATCH(0,INDEX(COUNTIF($B$1:B2117,$A$2:$A$4629),0,0),0)),"",INDEX($A$2:$A$4629,MATCH(0,INDEX(COUNTIF($B$1:B2117,$A$2:$A$4629),0,0),0)))</f>
        <v/>
      </c>
      <c r="C2118" t="str">
        <f t="shared" si="33"/>
        <v/>
      </c>
    </row>
    <row r="2119" spans="1:3" x14ac:dyDescent="0.25">
      <c r="A2119" t="str">
        <f>IF(Scan2VK!O179&lt;&gt;"",Scan2VK!O179,"")</f>
        <v>BROWSER_FORWARD</v>
      </c>
      <c r="B2119" t="str">
        <f>IF(ISERROR(MATCH(0,INDEX(COUNTIF($B$1:B2118,$A$2:$A$4629),0,0),0)),"",INDEX($A$2:$A$4629,MATCH(0,INDEX(COUNTIF($B$1:B2118,$A$2:$A$4629),0,0),0)))</f>
        <v/>
      </c>
      <c r="C2119" t="str">
        <f t="shared" si="33"/>
        <v/>
      </c>
    </row>
    <row r="2120" spans="1:3" x14ac:dyDescent="0.25">
      <c r="A2120" t="str">
        <f>IF(Scan2VK!O180&lt;&gt;"",Scan2VK!O180,"")</f>
        <v>BROWSER_BACK</v>
      </c>
      <c r="B2120" t="str">
        <f>IF(ISERROR(MATCH(0,INDEX(COUNTIF($B$1:B2119,$A$2:$A$4629),0,0),0)),"",INDEX($A$2:$A$4629,MATCH(0,INDEX(COUNTIF($B$1:B2119,$A$2:$A$4629),0,0),0)))</f>
        <v/>
      </c>
      <c r="C2120" t="str">
        <f t="shared" si="33"/>
        <v/>
      </c>
    </row>
    <row r="2121" spans="1:3" x14ac:dyDescent="0.25">
      <c r="A2121" t="str">
        <f>IF(Scan2VK!O181&lt;&gt;"",Scan2VK!O181,"")</f>
        <v>LAUNCH_APP1</v>
      </c>
      <c r="B2121" t="str">
        <f>IF(ISERROR(MATCH(0,INDEX(COUNTIF($B$1:B2120,$A$2:$A$4629),0,0),0)),"",INDEX($A$2:$A$4629,MATCH(0,INDEX(COUNTIF($B$1:B2120,$A$2:$A$4629),0,0),0)))</f>
        <v/>
      </c>
      <c r="C2121" t="str">
        <f t="shared" si="33"/>
        <v/>
      </c>
    </row>
    <row r="2122" spans="1:3" x14ac:dyDescent="0.25">
      <c r="A2122" t="str">
        <f>IF(Scan2VK!O182&lt;&gt;"",Scan2VK!O182,"")</f>
        <v>LAUNCH_MAIL</v>
      </c>
      <c r="B2122" t="str">
        <f>IF(ISERROR(MATCH(0,INDEX(COUNTIF($B$1:B2121,$A$2:$A$4629),0,0),0)),"",INDEX($A$2:$A$4629,MATCH(0,INDEX(COUNTIF($B$1:B2121,$A$2:$A$4629),0,0),0)))</f>
        <v/>
      </c>
      <c r="C2122" t="str">
        <f t="shared" si="33"/>
        <v/>
      </c>
    </row>
    <row r="2123" spans="1:3" x14ac:dyDescent="0.25">
      <c r="A2123" t="str">
        <f>IF(Scan2VK!O183&lt;&gt;"",Scan2VK!O183,"")</f>
        <v>LAUNCH_MEDIA_SELECT</v>
      </c>
      <c r="B2123" t="str">
        <f>IF(ISERROR(MATCH(0,INDEX(COUNTIF($B$1:B2122,$A$2:$A$4629),0,0),0)),"",INDEX($A$2:$A$4629,MATCH(0,INDEX(COUNTIF($B$1:B2122,$A$2:$A$4629),0,0),0)))</f>
        <v/>
      </c>
      <c r="C2123" t="str">
        <f t="shared" si="33"/>
        <v/>
      </c>
    </row>
    <row r="2124" spans="1:3" x14ac:dyDescent="0.25">
      <c r="A2124" t="str">
        <f>IF(Scan2VK!O184&lt;&gt;"",Scan2VK!O184,"")</f>
        <v/>
      </c>
      <c r="B2124" t="str">
        <f>IF(ISERROR(MATCH(0,INDEX(COUNTIF($B$1:B2123,$A$2:$A$4629),0,0),0)),"",INDEX($A$2:$A$4629,MATCH(0,INDEX(COUNTIF($B$1:B2123,$A$2:$A$4629),0,0),0)))</f>
        <v/>
      </c>
      <c r="C2124" t="str">
        <f t="shared" si="33"/>
        <v/>
      </c>
    </row>
    <row r="2125" spans="1:3" x14ac:dyDescent="0.25">
      <c r="A2125" t="str">
        <f>IF(Scan2VK!O185&lt;&gt;"",Scan2VK!O185,"")</f>
        <v/>
      </c>
      <c r="B2125" t="str">
        <f>IF(ISERROR(MATCH(0,INDEX(COUNTIF($B$1:B2124,$A$2:$A$4629),0,0),0)),"",INDEX($A$2:$A$4629,MATCH(0,INDEX(COUNTIF($B$1:B2124,$A$2:$A$4629),0,0),0)))</f>
        <v/>
      </c>
      <c r="C2125" t="str">
        <f t="shared" si="33"/>
        <v/>
      </c>
    </row>
    <row r="2126" spans="1:3" x14ac:dyDescent="0.25">
      <c r="A2126" t="str">
        <f>IF(Scan2VK!O186&lt;&gt;"",Scan2VK!O186,"")</f>
        <v/>
      </c>
      <c r="B2126" t="str">
        <f>IF(ISERROR(MATCH(0,INDEX(COUNTIF($B$1:B2125,$A$2:$A$4629),0,0),0)),"",INDEX($A$2:$A$4629,MATCH(0,INDEX(COUNTIF($B$1:B2125,$A$2:$A$4629),0,0),0)))</f>
        <v/>
      </c>
      <c r="C2126" t="str">
        <f t="shared" si="33"/>
        <v/>
      </c>
    </row>
    <row r="2127" spans="1:3" x14ac:dyDescent="0.25">
      <c r="A2127" t="str">
        <f>IF(Scan2VK!O187&lt;&gt;"",Scan2VK!O187,"")</f>
        <v/>
      </c>
      <c r="B2127" t="str">
        <f>IF(ISERROR(MATCH(0,INDEX(COUNTIF($B$1:B2126,$A$2:$A$4629),0,0),0)),"",INDEX($A$2:$A$4629,MATCH(0,INDEX(COUNTIF($B$1:B2126,$A$2:$A$4629),0,0),0)))</f>
        <v/>
      </c>
      <c r="C2127" t="str">
        <f t="shared" si="33"/>
        <v/>
      </c>
    </row>
    <row r="2128" spans="1:3" x14ac:dyDescent="0.25">
      <c r="A2128" t="str">
        <f>IF(Scan2VK!O188&lt;&gt;"",Scan2VK!O188,"")</f>
        <v/>
      </c>
      <c r="B2128" t="str">
        <f>IF(ISERROR(MATCH(0,INDEX(COUNTIF($B$1:B2127,$A$2:$A$4629),0,0),0)),"",INDEX($A$2:$A$4629,MATCH(0,INDEX(COUNTIF($B$1:B2127,$A$2:$A$4629),0,0),0)))</f>
        <v/>
      </c>
      <c r="C2128" t="str">
        <f t="shared" si="33"/>
        <v/>
      </c>
    </row>
    <row r="2129" spans="1:3" x14ac:dyDescent="0.25">
      <c r="A2129" t="str">
        <f>IF(Scan2VK!O189&lt;&gt;"",Scan2VK!O189,"")</f>
        <v/>
      </c>
      <c r="B2129" t="str">
        <f>IF(ISERROR(MATCH(0,INDEX(COUNTIF($B$1:B2128,$A$2:$A$4629),0,0),0)),"",INDEX($A$2:$A$4629,MATCH(0,INDEX(COUNTIF($B$1:B2128,$A$2:$A$4629),0,0),0)))</f>
        <v/>
      </c>
      <c r="C2129" t="str">
        <f t="shared" si="33"/>
        <v/>
      </c>
    </row>
    <row r="2130" spans="1:3" x14ac:dyDescent="0.25">
      <c r="A2130" t="str">
        <f>IF(Scan2VK!O190&lt;&gt;"",Scan2VK!O190,"")</f>
        <v/>
      </c>
      <c r="B2130" t="str">
        <f>IF(ISERROR(MATCH(0,INDEX(COUNTIF($B$1:B2129,$A$2:$A$4629),0,0),0)),"",INDEX($A$2:$A$4629,MATCH(0,INDEX(COUNTIF($B$1:B2129,$A$2:$A$4629),0,0),0)))</f>
        <v/>
      </c>
      <c r="C2130" t="str">
        <f t="shared" si="33"/>
        <v/>
      </c>
    </row>
    <row r="2131" spans="1:3" x14ac:dyDescent="0.25">
      <c r="A2131" t="str">
        <f>IF(Scan2VK!O191&lt;&gt;"",Scan2VK!O191,"")</f>
        <v/>
      </c>
      <c r="B2131" t="str">
        <f>IF(ISERROR(MATCH(0,INDEX(COUNTIF($B$1:B2130,$A$2:$A$4629),0,0),0)),"",INDEX($A$2:$A$4629,MATCH(0,INDEX(COUNTIF($B$1:B2130,$A$2:$A$4629),0,0),0)))</f>
        <v/>
      </c>
      <c r="C2131" t="str">
        <f t="shared" si="33"/>
        <v/>
      </c>
    </row>
    <row r="2132" spans="1:3" x14ac:dyDescent="0.25">
      <c r="A2132" t="str">
        <f>IF(Scan2VK!O192&lt;&gt;"",Scan2VK!O192,"")</f>
        <v/>
      </c>
      <c r="B2132" t="str">
        <f>IF(ISERROR(MATCH(0,INDEX(COUNTIF($B$1:B2131,$A$2:$A$4629),0,0),0)),"",INDEX($A$2:$A$4629,MATCH(0,INDEX(COUNTIF($B$1:B2131,$A$2:$A$4629),0,0),0)))</f>
        <v/>
      </c>
      <c r="C2132" t="str">
        <f t="shared" si="33"/>
        <v/>
      </c>
    </row>
    <row r="2133" spans="1:3" x14ac:dyDescent="0.25">
      <c r="A2133" t="str">
        <f>IF(Scan2VK!O193&lt;&gt;"",Scan2VK!O193,"")</f>
        <v>HANJA</v>
      </c>
      <c r="B2133" t="str">
        <f>IF(ISERROR(MATCH(0,INDEX(COUNTIF($B$1:B2132,$A$2:$A$4629),0,0),0)),"",INDEX($A$2:$A$4629,MATCH(0,INDEX(COUNTIF($B$1:B2132,$A$2:$A$4629),0,0),0)))</f>
        <v/>
      </c>
      <c r="C2133" t="str">
        <f t="shared" si="33"/>
        <v/>
      </c>
    </row>
    <row r="2134" spans="1:3" x14ac:dyDescent="0.25">
      <c r="A2134" t="str">
        <f>IF(Scan2VK!O194&lt;&gt;"",Scan2VK!O194,"")</f>
        <v>HANGEUL</v>
      </c>
      <c r="B2134" t="str">
        <f>IF(ISERROR(MATCH(0,INDEX(COUNTIF($B$1:B2133,$A$2:$A$4629),0,0),0)),"",INDEX($A$2:$A$4629,MATCH(0,INDEX(COUNTIF($B$1:B2133,$A$2:$A$4629),0,0),0)))</f>
        <v/>
      </c>
      <c r="C2134" t="str">
        <f t="shared" si="33"/>
        <v/>
      </c>
    </row>
    <row r="2135" spans="1:3" x14ac:dyDescent="0.25">
      <c r="A2135" t="str">
        <f>IF(Scan2VK!O195&lt;&gt;"",Scan2VK!O195,"")</f>
        <v>PAUSE</v>
      </c>
      <c r="B2135" t="str">
        <f>IF(ISERROR(MATCH(0,INDEX(COUNTIF($B$1:B2134,$A$2:$A$4629),0,0),0)),"",INDEX($A$2:$A$4629,MATCH(0,INDEX(COUNTIF($B$1:B2134,$A$2:$A$4629),0,0),0)))</f>
        <v/>
      </c>
      <c r="C2135" t="str">
        <f t="shared" si="33"/>
        <v/>
      </c>
    </row>
    <row r="2136" spans="1:3" x14ac:dyDescent="0.25">
      <c r="A2136" t="str">
        <f>IF(Scan2VK!P2&lt;&gt;"",Scan2VK!P2,"")</f>
        <v>_none_</v>
      </c>
      <c r="B2136" t="str">
        <f>IF(ISERROR(MATCH(0,INDEX(COUNTIF($B$1:B2135,$A$2:$A$4629),0,0),0)),"",INDEX($A$2:$A$4629,MATCH(0,INDEX(COUNTIF($B$1:B2135,$A$2:$A$4629),0,0),0)))</f>
        <v/>
      </c>
      <c r="C2136" t="str">
        <f t="shared" si="33"/>
        <v/>
      </c>
    </row>
    <row r="2137" spans="1:3" x14ac:dyDescent="0.25">
      <c r="A2137" t="str">
        <f>IF(Scan2VK!P3&lt;&gt;"",Scan2VK!P3,"")</f>
        <v>ESCAPE</v>
      </c>
      <c r="B2137" t="str">
        <f>IF(ISERROR(MATCH(0,INDEX(COUNTIF($B$1:B2136,$A$2:$A$4629),0,0),0)),"",INDEX($A$2:$A$4629,MATCH(0,INDEX(COUNTIF($B$1:B2136,$A$2:$A$4629),0,0),0)))</f>
        <v/>
      </c>
      <c r="C2137" t="str">
        <f t="shared" si="33"/>
        <v/>
      </c>
    </row>
    <row r="2138" spans="1:3" x14ac:dyDescent="0.25">
      <c r="A2138" t="str">
        <f>IF(Scan2VK!P4&lt;&gt;"",Scan2VK!P4,"")</f>
        <v>'1'</v>
      </c>
      <c r="B2138" t="str">
        <f>IF(ISERROR(MATCH(0,INDEX(COUNTIF($B$1:B2137,$A$2:$A$4629),0,0),0)),"",INDEX($A$2:$A$4629,MATCH(0,INDEX(COUNTIF($B$1:B2137,$A$2:$A$4629),0,0),0)))</f>
        <v/>
      </c>
      <c r="C2138" t="str">
        <f t="shared" si="33"/>
        <v/>
      </c>
    </row>
    <row r="2139" spans="1:3" x14ac:dyDescent="0.25">
      <c r="A2139" t="str">
        <f>IF(Scan2VK!P5&lt;&gt;"",Scan2VK!P5,"")</f>
        <v>'2'</v>
      </c>
      <c r="B2139" t="str">
        <f>IF(ISERROR(MATCH(0,INDEX(COUNTIF($B$1:B2138,$A$2:$A$4629),0,0),0)),"",INDEX($A$2:$A$4629,MATCH(0,INDEX(COUNTIF($B$1:B2138,$A$2:$A$4629),0,0),0)))</f>
        <v/>
      </c>
      <c r="C2139" t="str">
        <f t="shared" si="33"/>
        <v/>
      </c>
    </row>
    <row r="2140" spans="1:3" x14ac:dyDescent="0.25">
      <c r="A2140" t="str">
        <f>IF(Scan2VK!P6&lt;&gt;"",Scan2VK!P6,"")</f>
        <v>'3'</v>
      </c>
      <c r="B2140" t="str">
        <f>IF(ISERROR(MATCH(0,INDEX(COUNTIF($B$1:B2139,$A$2:$A$4629),0,0),0)),"",INDEX($A$2:$A$4629,MATCH(0,INDEX(COUNTIF($B$1:B2139,$A$2:$A$4629),0,0),0)))</f>
        <v/>
      </c>
      <c r="C2140" t="str">
        <f t="shared" si="33"/>
        <v/>
      </c>
    </row>
    <row r="2141" spans="1:3" x14ac:dyDescent="0.25">
      <c r="A2141" t="str">
        <f>IF(Scan2VK!P7&lt;&gt;"",Scan2VK!P7,"")</f>
        <v>'4'</v>
      </c>
      <c r="B2141" t="str">
        <f>IF(ISERROR(MATCH(0,INDEX(COUNTIF($B$1:B2140,$A$2:$A$4629),0,0),0)),"",INDEX($A$2:$A$4629,MATCH(0,INDEX(COUNTIF($B$1:B2140,$A$2:$A$4629),0,0),0)))</f>
        <v/>
      </c>
      <c r="C2141" t="str">
        <f t="shared" si="33"/>
        <v/>
      </c>
    </row>
    <row r="2142" spans="1:3" x14ac:dyDescent="0.25">
      <c r="A2142" t="str">
        <f>IF(Scan2VK!P8&lt;&gt;"",Scan2VK!P8,"")</f>
        <v>'5'</v>
      </c>
      <c r="B2142" t="str">
        <f>IF(ISERROR(MATCH(0,INDEX(COUNTIF($B$1:B2141,$A$2:$A$4629),0,0),0)),"",INDEX($A$2:$A$4629,MATCH(0,INDEX(COUNTIF($B$1:B2141,$A$2:$A$4629),0,0),0)))</f>
        <v/>
      </c>
      <c r="C2142" t="str">
        <f t="shared" si="33"/>
        <v/>
      </c>
    </row>
    <row r="2143" spans="1:3" x14ac:dyDescent="0.25">
      <c r="A2143" t="str">
        <f>IF(Scan2VK!P9&lt;&gt;"",Scan2VK!P9,"")</f>
        <v>'6'</v>
      </c>
      <c r="B2143" t="str">
        <f>IF(ISERROR(MATCH(0,INDEX(COUNTIF($B$1:B2142,$A$2:$A$4629),0,0),0)),"",INDEX($A$2:$A$4629,MATCH(0,INDEX(COUNTIF($B$1:B2142,$A$2:$A$4629),0,0),0)))</f>
        <v/>
      </c>
      <c r="C2143" t="str">
        <f t="shared" si="33"/>
        <v/>
      </c>
    </row>
    <row r="2144" spans="1:3" x14ac:dyDescent="0.25">
      <c r="A2144" t="str">
        <f>IF(Scan2VK!P10&lt;&gt;"",Scan2VK!P10,"")</f>
        <v>'7'</v>
      </c>
      <c r="B2144" t="str">
        <f>IF(ISERROR(MATCH(0,INDEX(COUNTIF($B$1:B2143,$A$2:$A$4629),0,0),0)),"",INDEX($A$2:$A$4629,MATCH(0,INDEX(COUNTIF($B$1:B2143,$A$2:$A$4629),0,0),0)))</f>
        <v/>
      </c>
      <c r="C2144" t="str">
        <f t="shared" si="33"/>
        <v/>
      </c>
    </row>
    <row r="2145" spans="1:3" x14ac:dyDescent="0.25">
      <c r="A2145" t="str">
        <f>IF(Scan2VK!P11&lt;&gt;"",Scan2VK!P11,"")</f>
        <v>'8'</v>
      </c>
      <c r="B2145" t="str">
        <f>IF(ISERROR(MATCH(0,INDEX(COUNTIF($B$1:B2144,$A$2:$A$4629),0,0),0)),"",INDEX($A$2:$A$4629,MATCH(0,INDEX(COUNTIF($B$1:B2144,$A$2:$A$4629),0,0),0)))</f>
        <v/>
      </c>
      <c r="C2145" t="str">
        <f t="shared" si="33"/>
        <v/>
      </c>
    </row>
    <row r="2146" spans="1:3" x14ac:dyDescent="0.25">
      <c r="A2146" t="str">
        <f>IF(Scan2VK!P12&lt;&gt;"",Scan2VK!P12,"")</f>
        <v>'9'</v>
      </c>
      <c r="B2146" t="str">
        <f>IF(ISERROR(MATCH(0,INDEX(COUNTIF($B$1:B2145,$A$2:$A$4629),0,0),0)),"",INDEX($A$2:$A$4629,MATCH(0,INDEX(COUNTIF($B$1:B2145,$A$2:$A$4629),0,0),0)))</f>
        <v/>
      </c>
      <c r="C2146" t="str">
        <f t="shared" si="33"/>
        <v/>
      </c>
    </row>
    <row r="2147" spans="1:3" x14ac:dyDescent="0.25">
      <c r="A2147" t="str">
        <f>IF(Scan2VK!P13&lt;&gt;"",Scan2VK!P13,"")</f>
        <v>'0'</v>
      </c>
      <c r="B2147" t="str">
        <f>IF(ISERROR(MATCH(0,INDEX(COUNTIF($B$1:B2146,$A$2:$A$4629),0,0),0)),"",INDEX($A$2:$A$4629,MATCH(0,INDEX(COUNTIF($B$1:B2146,$A$2:$A$4629),0,0),0)))</f>
        <v/>
      </c>
      <c r="C2147" t="str">
        <f t="shared" si="33"/>
        <v/>
      </c>
    </row>
    <row r="2148" spans="1:3" x14ac:dyDescent="0.25">
      <c r="A2148" t="str">
        <f>IF(Scan2VK!P14&lt;&gt;"",Scan2VK!P14,"")</f>
        <v>OEM_MINUS</v>
      </c>
      <c r="B2148" t="str">
        <f>IF(ISERROR(MATCH(0,INDEX(COUNTIF($B$1:B2147,$A$2:$A$4629),0,0),0)),"",INDEX($A$2:$A$4629,MATCH(0,INDEX(COUNTIF($B$1:B2147,$A$2:$A$4629),0,0),0)))</f>
        <v/>
      </c>
      <c r="C2148" t="str">
        <f t="shared" si="33"/>
        <v/>
      </c>
    </row>
    <row r="2149" spans="1:3" x14ac:dyDescent="0.25">
      <c r="A2149" t="str">
        <f>IF(Scan2VK!P15&lt;&gt;"",Scan2VK!P15,"")</f>
        <v>OEM_PLUS</v>
      </c>
      <c r="B2149" t="str">
        <f>IF(ISERROR(MATCH(0,INDEX(COUNTIF($B$1:B2148,$A$2:$A$4629),0,0),0)),"",INDEX($A$2:$A$4629,MATCH(0,INDEX(COUNTIF($B$1:B2148,$A$2:$A$4629),0,0),0)))</f>
        <v/>
      </c>
      <c r="C2149" t="str">
        <f t="shared" si="33"/>
        <v/>
      </c>
    </row>
    <row r="2150" spans="1:3" x14ac:dyDescent="0.25">
      <c r="A2150" t="str">
        <f>IF(Scan2VK!P16&lt;&gt;"",Scan2VK!P16,"")</f>
        <v>BACK</v>
      </c>
      <c r="B2150" t="str">
        <f>IF(ISERROR(MATCH(0,INDEX(COUNTIF($B$1:B2149,$A$2:$A$4629),0,0),0)),"",INDEX($A$2:$A$4629,MATCH(0,INDEX(COUNTIF($B$1:B2149,$A$2:$A$4629),0,0),0)))</f>
        <v/>
      </c>
      <c r="C2150" t="str">
        <f t="shared" si="33"/>
        <v/>
      </c>
    </row>
    <row r="2151" spans="1:3" x14ac:dyDescent="0.25">
      <c r="A2151" t="str">
        <f>IF(Scan2VK!P17&lt;&gt;"",Scan2VK!P17,"")</f>
        <v>TAB</v>
      </c>
      <c r="B2151" t="str">
        <f>IF(ISERROR(MATCH(0,INDEX(COUNTIF($B$1:B2150,$A$2:$A$4629),0,0),0)),"",INDEX($A$2:$A$4629,MATCH(0,INDEX(COUNTIF($B$1:B2150,$A$2:$A$4629),0,0),0)))</f>
        <v/>
      </c>
      <c r="C2151" t="str">
        <f t="shared" si="33"/>
        <v/>
      </c>
    </row>
    <row r="2152" spans="1:3" x14ac:dyDescent="0.25">
      <c r="A2152" t="str">
        <f>IF(Scan2VK!P18&lt;&gt;"",Scan2VK!P18,"")</f>
        <v>'Q'</v>
      </c>
      <c r="B2152" t="str">
        <f>IF(ISERROR(MATCH(0,INDEX(COUNTIF($B$1:B2151,$A$2:$A$4629),0,0),0)),"",INDEX($A$2:$A$4629,MATCH(0,INDEX(COUNTIF($B$1:B2151,$A$2:$A$4629),0,0),0)))</f>
        <v/>
      </c>
      <c r="C2152" t="str">
        <f t="shared" si="33"/>
        <v/>
      </c>
    </row>
    <row r="2153" spans="1:3" x14ac:dyDescent="0.25">
      <c r="A2153" t="str">
        <f>IF(Scan2VK!P19&lt;&gt;"",Scan2VK!P19,"")</f>
        <v>'W'</v>
      </c>
      <c r="B2153" t="str">
        <f>IF(ISERROR(MATCH(0,INDEX(COUNTIF($B$1:B2152,$A$2:$A$4629),0,0),0)),"",INDEX($A$2:$A$4629,MATCH(0,INDEX(COUNTIF($B$1:B2152,$A$2:$A$4629),0,0),0)))</f>
        <v/>
      </c>
      <c r="C2153" t="str">
        <f t="shared" si="33"/>
        <v/>
      </c>
    </row>
    <row r="2154" spans="1:3" x14ac:dyDescent="0.25">
      <c r="A2154" t="str">
        <f>IF(Scan2VK!P20&lt;&gt;"",Scan2VK!P20,"")</f>
        <v>'E'</v>
      </c>
      <c r="B2154" t="str">
        <f>IF(ISERROR(MATCH(0,INDEX(COUNTIF($B$1:B2153,$A$2:$A$4629),0,0),0)),"",INDEX($A$2:$A$4629,MATCH(0,INDEX(COUNTIF($B$1:B2153,$A$2:$A$4629),0,0),0)))</f>
        <v/>
      </c>
      <c r="C2154" t="str">
        <f t="shared" si="33"/>
        <v/>
      </c>
    </row>
    <row r="2155" spans="1:3" x14ac:dyDescent="0.25">
      <c r="A2155" t="str">
        <f>IF(Scan2VK!P21&lt;&gt;"",Scan2VK!P21,"")</f>
        <v>'R'</v>
      </c>
      <c r="B2155" t="str">
        <f>IF(ISERROR(MATCH(0,INDEX(COUNTIF($B$1:B2154,$A$2:$A$4629),0,0),0)),"",INDEX($A$2:$A$4629,MATCH(0,INDEX(COUNTIF($B$1:B2154,$A$2:$A$4629),0,0),0)))</f>
        <v/>
      </c>
      <c r="C2155" t="str">
        <f t="shared" si="33"/>
        <v/>
      </c>
    </row>
    <row r="2156" spans="1:3" x14ac:dyDescent="0.25">
      <c r="A2156" t="str">
        <f>IF(Scan2VK!P22&lt;&gt;"",Scan2VK!P22,"")</f>
        <v>'T'</v>
      </c>
      <c r="B2156" t="str">
        <f>IF(ISERROR(MATCH(0,INDEX(COUNTIF($B$1:B2155,$A$2:$A$4629),0,0),0)),"",INDEX($A$2:$A$4629,MATCH(0,INDEX(COUNTIF($B$1:B2155,$A$2:$A$4629),0,0),0)))</f>
        <v/>
      </c>
      <c r="C2156" t="str">
        <f t="shared" si="33"/>
        <v/>
      </c>
    </row>
    <row r="2157" spans="1:3" x14ac:dyDescent="0.25">
      <c r="A2157" t="str">
        <f>IF(Scan2VK!P23&lt;&gt;"",Scan2VK!P23,"")</f>
        <v>'Y'</v>
      </c>
      <c r="B2157" t="str">
        <f>IF(ISERROR(MATCH(0,INDEX(COUNTIF($B$1:B2156,$A$2:$A$4629),0,0),0)),"",INDEX($A$2:$A$4629,MATCH(0,INDEX(COUNTIF($B$1:B2156,$A$2:$A$4629),0,0),0)))</f>
        <v/>
      </c>
      <c r="C2157" t="str">
        <f t="shared" si="33"/>
        <v/>
      </c>
    </row>
    <row r="2158" spans="1:3" x14ac:dyDescent="0.25">
      <c r="A2158" t="str">
        <f>IF(Scan2VK!P24&lt;&gt;"",Scan2VK!P24,"")</f>
        <v>'U'</v>
      </c>
      <c r="B2158" t="str">
        <f>IF(ISERROR(MATCH(0,INDEX(COUNTIF($B$1:B2157,$A$2:$A$4629),0,0),0)),"",INDEX($A$2:$A$4629,MATCH(0,INDEX(COUNTIF($B$1:B2157,$A$2:$A$4629),0,0),0)))</f>
        <v/>
      </c>
      <c r="C2158" t="str">
        <f t="shared" si="33"/>
        <v/>
      </c>
    </row>
    <row r="2159" spans="1:3" x14ac:dyDescent="0.25">
      <c r="A2159" t="str">
        <f>IF(Scan2VK!P25&lt;&gt;"",Scan2VK!P25,"")</f>
        <v>'I'</v>
      </c>
      <c r="B2159" t="str">
        <f>IF(ISERROR(MATCH(0,INDEX(COUNTIF($B$1:B2158,$A$2:$A$4629),0,0),0)),"",INDEX($A$2:$A$4629,MATCH(0,INDEX(COUNTIF($B$1:B2158,$A$2:$A$4629),0,0),0)))</f>
        <v/>
      </c>
      <c r="C2159" t="str">
        <f t="shared" si="33"/>
        <v/>
      </c>
    </row>
    <row r="2160" spans="1:3" x14ac:dyDescent="0.25">
      <c r="A2160" t="str">
        <f>IF(Scan2VK!P26&lt;&gt;"",Scan2VK!P26,"")</f>
        <v>'O'</v>
      </c>
      <c r="B2160" t="str">
        <f>IF(ISERROR(MATCH(0,INDEX(COUNTIF($B$1:B2159,$A$2:$A$4629),0,0),0)),"",INDEX($A$2:$A$4629,MATCH(0,INDEX(COUNTIF($B$1:B2159,$A$2:$A$4629),0,0),0)))</f>
        <v/>
      </c>
      <c r="C2160" t="str">
        <f t="shared" si="33"/>
        <v/>
      </c>
    </row>
    <row r="2161" spans="1:3" x14ac:dyDescent="0.25">
      <c r="A2161" t="str">
        <f>IF(Scan2VK!P27&lt;&gt;"",Scan2VK!P27,"")</f>
        <v>'P'</v>
      </c>
      <c r="B2161" t="str">
        <f>IF(ISERROR(MATCH(0,INDEX(COUNTIF($B$1:B2160,$A$2:$A$4629),0,0),0)),"",INDEX($A$2:$A$4629,MATCH(0,INDEX(COUNTIF($B$1:B2160,$A$2:$A$4629),0,0),0)))</f>
        <v/>
      </c>
      <c r="C2161" t="str">
        <f t="shared" si="33"/>
        <v/>
      </c>
    </row>
    <row r="2162" spans="1:3" x14ac:dyDescent="0.25">
      <c r="A2162" t="str">
        <f>IF(Scan2VK!P28&lt;&gt;"",Scan2VK!P28,"")</f>
        <v>OEM_4</v>
      </c>
      <c r="B2162" t="str">
        <f>IF(ISERROR(MATCH(0,INDEX(COUNTIF($B$1:B2161,$A$2:$A$4629),0,0),0)),"",INDEX($A$2:$A$4629,MATCH(0,INDEX(COUNTIF($B$1:B2161,$A$2:$A$4629),0,0),0)))</f>
        <v/>
      </c>
      <c r="C2162" t="str">
        <f t="shared" si="33"/>
        <v/>
      </c>
    </row>
    <row r="2163" spans="1:3" x14ac:dyDescent="0.25">
      <c r="A2163" t="str">
        <f>IF(Scan2VK!P29&lt;&gt;"",Scan2VK!P29,"")</f>
        <v>OEM_6</v>
      </c>
      <c r="B2163" t="str">
        <f>IF(ISERROR(MATCH(0,INDEX(COUNTIF($B$1:B2162,$A$2:$A$4629),0,0),0)),"",INDEX($A$2:$A$4629,MATCH(0,INDEX(COUNTIF($B$1:B2162,$A$2:$A$4629),0,0),0)))</f>
        <v/>
      </c>
      <c r="C2163" t="str">
        <f t="shared" si="33"/>
        <v/>
      </c>
    </row>
    <row r="2164" spans="1:3" x14ac:dyDescent="0.25">
      <c r="A2164" t="str">
        <f>IF(Scan2VK!P30&lt;&gt;"",Scan2VK!P30,"")</f>
        <v>RETURN</v>
      </c>
      <c r="B2164" t="str">
        <f>IF(ISERROR(MATCH(0,INDEX(COUNTIF($B$1:B2163,$A$2:$A$4629),0,0),0)),"",INDEX($A$2:$A$4629,MATCH(0,INDEX(COUNTIF($B$1:B2163,$A$2:$A$4629),0,0),0)))</f>
        <v/>
      </c>
      <c r="C2164" t="str">
        <f t="shared" si="33"/>
        <v/>
      </c>
    </row>
    <row r="2165" spans="1:3" x14ac:dyDescent="0.25">
      <c r="A2165" t="str">
        <f>IF(Scan2VK!P31&lt;&gt;"",Scan2VK!P31,"")</f>
        <v>LCONTROL</v>
      </c>
      <c r="B2165" t="str">
        <f>IF(ISERROR(MATCH(0,INDEX(COUNTIF($B$1:B2164,$A$2:$A$4629),0,0),0)),"",INDEX($A$2:$A$4629,MATCH(0,INDEX(COUNTIF($B$1:B2164,$A$2:$A$4629),0,0),0)))</f>
        <v/>
      </c>
      <c r="C2165" t="str">
        <f t="shared" si="33"/>
        <v/>
      </c>
    </row>
    <row r="2166" spans="1:3" x14ac:dyDescent="0.25">
      <c r="A2166" t="str">
        <f>IF(Scan2VK!P32&lt;&gt;"",Scan2VK!P32,"")</f>
        <v>'A'</v>
      </c>
      <c r="B2166" t="str">
        <f>IF(ISERROR(MATCH(0,INDEX(COUNTIF($B$1:B2165,$A$2:$A$4629),0,0),0)),"",INDEX($A$2:$A$4629,MATCH(0,INDEX(COUNTIF($B$1:B2165,$A$2:$A$4629),0,0),0)))</f>
        <v/>
      </c>
      <c r="C2166" t="str">
        <f t="shared" si="33"/>
        <v/>
      </c>
    </row>
    <row r="2167" spans="1:3" x14ac:dyDescent="0.25">
      <c r="A2167" t="str">
        <f>IF(Scan2VK!P33&lt;&gt;"",Scan2VK!P33,"")</f>
        <v>'S'</v>
      </c>
      <c r="B2167" t="str">
        <f>IF(ISERROR(MATCH(0,INDEX(COUNTIF($B$1:B2166,$A$2:$A$4629),0,0),0)),"",INDEX($A$2:$A$4629,MATCH(0,INDEX(COUNTIF($B$1:B2166,$A$2:$A$4629),0,0),0)))</f>
        <v/>
      </c>
      <c r="C2167" t="str">
        <f t="shared" si="33"/>
        <v/>
      </c>
    </row>
    <row r="2168" spans="1:3" x14ac:dyDescent="0.25">
      <c r="A2168" t="str">
        <f>IF(Scan2VK!P34&lt;&gt;"",Scan2VK!P34,"")</f>
        <v>'D'</v>
      </c>
      <c r="B2168" t="str">
        <f>IF(ISERROR(MATCH(0,INDEX(COUNTIF($B$1:B2167,$A$2:$A$4629),0,0),0)),"",INDEX($A$2:$A$4629,MATCH(0,INDEX(COUNTIF($B$1:B2167,$A$2:$A$4629),0,0),0)))</f>
        <v/>
      </c>
      <c r="C2168" t="str">
        <f t="shared" si="33"/>
        <v/>
      </c>
    </row>
    <row r="2169" spans="1:3" x14ac:dyDescent="0.25">
      <c r="A2169" t="str">
        <f>IF(Scan2VK!P35&lt;&gt;"",Scan2VK!P35,"")</f>
        <v>'F'</v>
      </c>
      <c r="B2169" t="str">
        <f>IF(ISERROR(MATCH(0,INDEX(COUNTIF($B$1:B2168,$A$2:$A$4629),0,0),0)),"",INDEX($A$2:$A$4629,MATCH(0,INDEX(COUNTIF($B$1:B2168,$A$2:$A$4629),0,0),0)))</f>
        <v/>
      </c>
      <c r="C2169" t="str">
        <f t="shared" si="33"/>
        <v/>
      </c>
    </row>
    <row r="2170" spans="1:3" x14ac:dyDescent="0.25">
      <c r="A2170" t="str">
        <f>IF(Scan2VK!P36&lt;&gt;"",Scan2VK!P36,"")</f>
        <v>'G'</v>
      </c>
      <c r="B2170" t="str">
        <f>IF(ISERROR(MATCH(0,INDEX(COUNTIF($B$1:B2169,$A$2:$A$4629),0,0),0)),"",INDEX($A$2:$A$4629,MATCH(0,INDEX(COUNTIF($B$1:B2169,$A$2:$A$4629),0,0),0)))</f>
        <v/>
      </c>
      <c r="C2170" t="str">
        <f t="shared" si="33"/>
        <v/>
      </c>
    </row>
    <row r="2171" spans="1:3" x14ac:dyDescent="0.25">
      <c r="A2171" t="str">
        <f>IF(Scan2VK!P37&lt;&gt;"",Scan2VK!P37,"")</f>
        <v>'H'</v>
      </c>
      <c r="B2171" t="str">
        <f>IF(ISERROR(MATCH(0,INDEX(COUNTIF($B$1:B2170,$A$2:$A$4629),0,0),0)),"",INDEX($A$2:$A$4629,MATCH(0,INDEX(COUNTIF($B$1:B2170,$A$2:$A$4629),0,0),0)))</f>
        <v/>
      </c>
      <c r="C2171" t="str">
        <f t="shared" si="33"/>
        <v/>
      </c>
    </row>
    <row r="2172" spans="1:3" x14ac:dyDescent="0.25">
      <c r="A2172" t="str">
        <f>IF(Scan2VK!P38&lt;&gt;"",Scan2VK!P38,"")</f>
        <v>'J'</v>
      </c>
      <c r="B2172" t="str">
        <f>IF(ISERROR(MATCH(0,INDEX(COUNTIF($B$1:B2171,$A$2:$A$4629),0,0),0)),"",INDEX($A$2:$A$4629,MATCH(0,INDEX(COUNTIF($B$1:B2171,$A$2:$A$4629),0,0),0)))</f>
        <v/>
      </c>
      <c r="C2172" t="str">
        <f t="shared" si="33"/>
        <v/>
      </c>
    </row>
    <row r="2173" spans="1:3" x14ac:dyDescent="0.25">
      <c r="A2173" t="str">
        <f>IF(Scan2VK!P39&lt;&gt;"",Scan2VK!P39,"")</f>
        <v>'K'</v>
      </c>
      <c r="B2173" t="str">
        <f>IF(ISERROR(MATCH(0,INDEX(COUNTIF($B$1:B2172,$A$2:$A$4629),0,0),0)),"",INDEX($A$2:$A$4629,MATCH(0,INDEX(COUNTIF($B$1:B2172,$A$2:$A$4629),0,0),0)))</f>
        <v/>
      </c>
      <c r="C2173" t="str">
        <f t="shared" si="33"/>
        <v/>
      </c>
    </row>
    <row r="2174" spans="1:3" x14ac:dyDescent="0.25">
      <c r="A2174" t="str">
        <f>IF(Scan2VK!P40&lt;&gt;"",Scan2VK!P40,"")</f>
        <v>'L'</v>
      </c>
      <c r="B2174" t="str">
        <f>IF(ISERROR(MATCH(0,INDEX(COUNTIF($B$1:B2173,$A$2:$A$4629),0,0),0)),"",INDEX($A$2:$A$4629,MATCH(0,INDEX(COUNTIF($B$1:B2173,$A$2:$A$4629),0,0),0)))</f>
        <v/>
      </c>
      <c r="C2174" t="str">
        <f t="shared" si="33"/>
        <v/>
      </c>
    </row>
    <row r="2175" spans="1:3" x14ac:dyDescent="0.25">
      <c r="A2175" t="str">
        <f>IF(Scan2VK!P41&lt;&gt;"",Scan2VK!P41,"")</f>
        <v>OEM_1</v>
      </c>
      <c r="B2175" t="str">
        <f>IF(ISERROR(MATCH(0,INDEX(COUNTIF($B$1:B2174,$A$2:$A$4629),0,0),0)),"",INDEX($A$2:$A$4629,MATCH(0,INDEX(COUNTIF($B$1:B2174,$A$2:$A$4629),0,0),0)))</f>
        <v/>
      </c>
      <c r="C2175" t="str">
        <f t="shared" si="33"/>
        <v/>
      </c>
    </row>
    <row r="2176" spans="1:3" x14ac:dyDescent="0.25">
      <c r="A2176" t="str">
        <f>IF(Scan2VK!P42&lt;&gt;"",Scan2VK!P42,"")</f>
        <v>OEM_7</v>
      </c>
      <c r="B2176" t="str">
        <f>IF(ISERROR(MATCH(0,INDEX(COUNTIF($B$1:B2175,$A$2:$A$4629),0,0),0)),"",INDEX($A$2:$A$4629,MATCH(0,INDEX(COUNTIF($B$1:B2175,$A$2:$A$4629),0,0),0)))</f>
        <v/>
      </c>
      <c r="C2176" t="str">
        <f t="shared" si="33"/>
        <v/>
      </c>
    </row>
    <row r="2177" spans="1:3" x14ac:dyDescent="0.25">
      <c r="A2177" t="str">
        <f>IF(Scan2VK!P43&lt;&gt;"",Scan2VK!P43,"")</f>
        <v>OEM_3</v>
      </c>
      <c r="B2177" t="str">
        <f>IF(ISERROR(MATCH(0,INDEX(COUNTIF($B$1:B2176,$A$2:$A$4629),0,0),0)),"",INDEX($A$2:$A$4629,MATCH(0,INDEX(COUNTIF($B$1:B2176,$A$2:$A$4629),0,0),0)))</f>
        <v/>
      </c>
      <c r="C2177" t="str">
        <f t="shared" si="33"/>
        <v/>
      </c>
    </row>
    <row r="2178" spans="1:3" x14ac:dyDescent="0.25">
      <c r="A2178" t="str">
        <f>IF(Scan2VK!P44&lt;&gt;"",Scan2VK!P44,"")</f>
        <v>LSHIFT</v>
      </c>
      <c r="B2178" t="str">
        <f>IF(ISERROR(MATCH(0,INDEX(COUNTIF($B$1:B2177,$A$2:$A$4629),0,0),0)),"",INDEX($A$2:$A$4629,MATCH(0,INDEX(COUNTIF($B$1:B2177,$A$2:$A$4629),0,0),0)))</f>
        <v/>
      </c>
      <c r="C2178" t="str">
        <f t="shared" si="33"/>
        <v/>
      </c>
    </row>
    <row r="2179" spans="1:3" x14ac:dyDescent="0.25">
      <c r="A2179" t="str">
        <f>IF(Scan2VK!P45&lt;&gt;"",Scan2VK!P45,"")</f>
        <v>OEM_5</v>
      </c>
      <c r="B2179" t="str">
        <f>IF(ISERROR(MATCH(0,INDEX(COUNTIF($B$1:B2178,$A$2:$A$4629),0,0),0)),"",INDEX($A$2:$A$4629,MATCH(0,INDEX(COUNTIF($B$1:B2178,$A$2:$A$4629),0,0),0)))</f>
        <v/>
      </c>
      <c r="C2179" t="str">
        <f t="shared" ref="C2179:C2242" si="34">IF(B2179&lt;&gt;"","&lt;xs:enumeration value="""&amp;B2179&amp;"""/&gt;","")</f>
        <v/>
      </c>
    </row>
    <row r="2180" spans="1:3" x14ac:dyDescent="0.25">
      <c r="A2180" t="str">
        <f>IF(Scan2VK!P46&lt;&gt;"",Scan2VK!P46,"")</f>
        <v>'Z'</v>
      </c>
      <c r="B2180" t="str">
        <f>IF(ISERROR(MATCH(0,INDEX(COUNTIF($B$1:B2179,$A$2:$A$4629),0,0),0)),"",INDEX($A$2:$A$4629,MATCH(0,INDEX(COUNTIF($B$1:B2179,$A$2:$A$4629),0,0),0)))</f>
        <v/>
      </c>
      <c r="C2180" t="str">
        <f t="shared" si="34"/>
        <v/>
      </c>
    </row>
    <row r="2181" spans="1:3" x14ac:dyDescent="0.25">
      <c r="A2181" t="str">
        <f>IF(Scan2VK!P47&lt;&gt;"",Scan2VK!P47,"")</f>
        <v>'X'</v>
      </c>
      <c r="B2181" t="str">
        <f>IF(ISERROR(MATCH(0,INDEX(COUNTIF($B$1:B2180,$A$2:$A$4629),0,0),0)),"",INDEX($A$2:$A$4629,MATCH(0,INDEX(COUNTIF($B$1:B2180,$A$2:$A$4629),0,0),0)))</f>
        <v/>
      </c>
      <c r="C2181" t="str">
        <f t="shared" si="34"/>
        <v/>
      </c>
    </row>
    <row r="2182" spans="1:3" x14ac:dyDescent="0.25">
      <c r="A2182" t="str">
        <f>IF(Scan2VK!P48&lt;&gt;"",Scan2VK!P48,"")</f>
        <v>'C'</v>
      </c>
      <c r="B2182" t="str">
        <f>IF(ISERROR(MATCH(0,INDEX(COUNTIF($B$1:B2181,$A$2:$A$4629),0,0),0)),"",INDEX($A$2:$A$4629,MATCH(0,INDEX(COUNTIF($B$1:B2181,$A$2:$A$4629),0,0),0)))</f>
        <v/>
      </c>
      <c r="C2182" t="str">
        <f t="shared" si="34"/>
        <v/>
      </c>
    </row>
    <row r="2183" spans="1:3" x14ac:dyDescent="0.25">
      <c r="A2183" t="str">
        <f>IF(Scan2VK!P49&lt;&gt;"",Scan2VK!P49,"")</f>
        <v>'V'</v>
      </c>
      <c r="B2183" t="str">
        <f>IF(ISERROR(MATCH(0,INDEX(COUNTIF($B$1:B2182,$A$2:$A$4629),0,0),0)),"",INDEX($A$2:$A$4629,MATCH(0,INDEX(COUNTIF($B$1:B2182,$A$2:$A$4629),0,0),0)))</f>
        <v/>
      </c>
      <c r="C2183" t="str">
        <f t="shared" si="34"/>
        <v/>
      </c>
    </row>
    <row r="2184" spans="1:3" x14ac:dyDescent="0.25">
      <c r="A2184" t="str">
        <f>IF(Scan2VK!P50&lt;&gt;"",Scan2VK!P50,"")</f>
        <v>'B'</v>
      </c>
      <c r="B2184" t="str">
        <f>IF(ISERROR(MATCH(0,INDEX(COUNTIF($B$1:B2183,$A$2:$A$4629),0,0),0)),"",INDEX($A$2:$A$4629,MATCH(0,INDEX(COUNTIF($B$1:B2183,$A$2:$A$4629),0,0),0)))</f>
        <v/>
      </c>
      <c r="C2184" t="str">
        <f t="shared" si="34"/>
        <v/>
      </c>
    </row>
    <row r="2185" spans="1:3" x14ac:dyDescent="0.25">
      <c r="A2185" t="str">
        <f>IF(Scan2VK!P51&lt;&gt;"",Scan2VK!P51,"")</f>
        <v>'N'</v>
      </c>
      <c r="B2185" t="str">
        <f>IF(ISERROR(MATCH(0,INDEX(COUNTIF($B$1:B2184,$A$2:$A$4629),0,0),0)),"",INDEX($A$2:$A$4629,MATCH(0,INDEX(COUNTIF($B$1:B2184,$A$2:$A$4629),0,0),0)))</f>
        <v/>
      </c>
      <c r="C2185" t="str">
        <f t="shared" si="34"/>
        <v/>
      </c>
    </row>
    <row r="2186" spans="1:3" x14ac:dyDescent="0.25">
      <c r="A2186" t="str">
        <f>IF(Scan2VK!P52&lt;&gt;"",Scan2VK!P52,"")</f>
        <v>'M'</v>
      </c>
      <c r="B2186" t="str">
        <f>IF(ISERROR(MATCH(0,INDEX(COUNTIF($B$1:B2185,$A$2:$A$4629),0,0),0)),"",INDEX($A$2:$A$4629,MATCH(0,INDEX(COUNTIF($B$1:B2185,$A$2:$A$4629),0,0),0)))</f>
        <v/>
      </c>
      <c r="C2186" t="str">
        <f t="shared" si="34"/>
        <v/>
      </c>
    </row>
    <row r="2187" spans="1:3" x14ac:dyDescent="0.25">
      <c r="A2187" t="str">
        <f>IF(Scan2VK!P53&lt;&gt;"",Scan2VK!P53,"")</f>
        <v>OEM_COMMA</v>
      </c>
      <c r="B2187" t="str">
        <f>IF(ISERROR(MATCH(0,INDEX(COUNTIF($B$1:B2186,$A$2:$A$4629),0,0),0)),"",INDEX($A$2:$A$4629,MATCH(0,INDEX(COUNTIF($B$1:B2186,$A$2:$A$4629),0,0),0)))</f>
        <v/>
      </c>
      <c r="C2187" t="str">
        <f t="shared" si="34"/>
        <v/>
      </c>
    </row>
    <row r="2188" spans="1:3" x14ac:dyDescent="0.25">
      <c r="A2188" t="str">
        <f>IF(Scan2VK!P54&lt;&gt;"",Scan2VK!P54,"")</f>
        <v>OEM_PERIOD</v>
      </c>
      <c r="B2188" t="str">
        <f>IF(ISERROR(MATCH(0,INDEX(COUNTIF($B$1:B2187,$A$2:$A$4629),0,0),0)),"",INDEX($A$2:$A$4629,MATCH(0,INDEX(COUNTIF($B$1:B2187,$A$2:$A$4629),0,0),0)))</f>
        <v/>
      </c>
      <c r="C2188" t="str">
        <f t="shared" si="34"/>
        <v/>
      </c>
    </row>
    <row r="2189" spans="1:3" x14ac:dyDescent="0.25">
      <c r="A2189" t="str">
        <f>IF(Scan2VK!P55&lt;&gt;"",Scan2VK!P55,"")</f>
        <v>OEM_2</v>
      </c>
      <c r="B2189" t="str">
        <f>IF(ISERROR(MATCH(0,INDEX(COUNTIF($B$1:B2188,$A$2:$A$4629),0,0),0)),"",INDEX($A$2:$A$4629,MATCH(0,INDEX(COUNTIF($B$1:B2188,$A$2:$A$4629),0,0),0)))</f>
        <v/>
      </c>
      <c r="C2189" t="str">
        <f t="shared" si="34"/>
        <v/>
      </c>
    </row>
    <row r="2190" spans="1:3" x14ac:dyDescent="0.25">
      <c r="A2190" t="str">
        <f>IF(Scan2VK!P56&lt;&gt;"",Scan2VK!P56,"")</f>
        <v>RSHIFT</v>
      </c>
      <c r="B2190" t="str">
        <f>IF(ISERROR(MATCH(0,INDEX(COUNTIF($B$1:B2189,$A$2:$A$4629),0,0),0)),"",INDEX($A$2:$A$4629,MATCH(0,INDEX(COUNTIF($B$1:B2189,$A$2:$A$4629),0,0),0)))</f>
        <v/>
      </c>
      <c r="C2190" t="str">
        <f t="shared" si="34"/>
        <v/>
      </c>
    </row>
    <row r="2191" spans="1:3" x14ac:dyDescent="0.25">
      <c r="A2191" t="str">
        <f>IF(Scan2VK!P57&lt;&gt;"",Scan2VK!P57,"")</f>
        <v>MULTIPLY</v>
      </c>
      <c r="B2191" t="str">
        <f>IF(ISERROR(MATCH(0,INDEX(COUNTIF($B$1:B2190,$A$2:$A$4629),0,0),0)),"",INDEX($A$2:$A$4629,MATCH(0,INDEX(COUNTIF($B$1:B2190,$A$2:$A$4629),0,0),0)))</f>
        <v/>
      </c>
      <c r="C2191" t="str">
        <f t="shared" si="34"/>
        <v/>
      </c>
    </row>
    <row r="2192" spans="1:3" x14ac:dyDescent="0.25">
      <c r="A2192" t="str">
        <f>IF(Scan2VK!P58&lt;&gt;"",Scan2VK!P58,"")</f>
        <v>LMENU</v>
      </c>
      <c r="B2192" t="str">
        <f>IF(ISERROR(MATCH(0,INDEX(COUNTIF($B$1:B2191,$A$2:$A$4629),0,0),0)),"",INDEX($A$2:$A$4629,MATCH(0,INDEX(COUNTIF($B$1:B2191,$A$2:$A$4629),0,0),0)))</f>
        <v/>
      </c>
      <c r="C2192" t="str">
        <f t="shared" si="34"/>
        <v/>
      </c>
    </row>
    <row r="2193" spans="1:3" x14ac:dyDescent="0.25">
      <c r="A2193" t="str">
        <f>IF(Scan2VK!P59&lt;&gt;"",Scan2VK!P59,"")</f>
        <v>''</v>
      </c>
      <c r="B2193" t="str">
        <f>IF(ISERROR(MATCH(0,INDEX(COUNTIF($B$1:B2192,$A$2:$A$4629),0,0),0)),"",INDEX($A$2:$A$4629,MATCH(0,INDEX(COUNTIF($B$1:B2192,$A$2:$A$4629),0,0),0)))</f>
        <v/>
      </c>
      <c r="C2193" t="str">
        <f t="shared" si="34"/>
        <v/>
      </c>
    </row>
    <row r="2194" spans="1:3" x14ac:dyDescent="0.25">
      <c r="A2194" t="str">
        <f>IF(Scan2VK!P60&lt;&gt;"",Scan2VK!P60,"")</f>
        <v>CAPITAL</v>
      </c>
      <c r="B2194" t="str">
        <f>IF(ISERROR(MATCH(0,INDEX(COUNTIF($B$1:B2193,$A$2:$A$4629),0,0),0)),"",INDEX($A$2:$A$4629,MATCH(0,INDEX(COUNTIF($B$1:B2193,$A$2:$A$4629),0,0),0)))</f>
        <v/>
      </c>
      <c r="C2194" t="str">
        <f t="shared" si="34"/>
        <v/>
      </c>
    </row>
    <row r="2195" spans="1:3" x14ac:dyDescent="0.25">
      <c r="A2195" t="str">
        <f>IF(Scan2VK!P61&lt;&gt;"",Scan2VK!P61,"")</f>
        <v>F1</v>
      </c>
      <c r="B2195" t="str">
        <f>IF(ISERROR(MATCH(0,INDEX(COUNTIF($B$1:B2194,$A$2:$A$4629),0,0),0)),"",INDEX($A$2:$A$4629,MATCH(0,INDEX(COUNTIF($B$1:B2194,$A$2:$A$4629),0,0),0)))</f>
        <v/>
      </c>
      <c r="C2195" t="str">
        <f t="shared" si="34"/>
        <v/>
      </c>
    </row>
    <row r="2196" spans="1:3" x14ac:dyDescent="0.25">
      <c r="A2196" t="str">
        <f>IF(Scan2VK!P62&lt;&gt;"",Scan2VK!P62,"")</f>
        <v>F2</v>
      </c>
      <c r="B2196" t="str">
        <f>IF(ISERROR(MATCH(0,INDEX(COUNTIF($B$1:B2195,$A$2:$A$4629),0,0),0)),"",INDEX($A$2:$A$4629,MATCH(0,INDEX(COUNTIF($B$1:B2195,$A$2:$A$4629),0,0),0)))</f>
        <v/>
      </c>
      <c r="C2196" t="str">
        <f t="shared" si="34"/>
        <v/>
      </c>
    </row>
    <row r="2197" spans="1:3" x14ac:dyDescent="0.25">
      <c r="A2197" t="str">
        <f>IF(Scan2VK!P63&lt;&gt;"",Scan2VK!P63,"")</f>
        <v>F3</v>
      </c>
      <c r="B2197" t="str">
        <f>IF(ISERROR(MATCH(0,INDEX(COUNTIF($B$1:B2196,$A$2:$A$4629),0,0),0)),"",INDEX($A$2:$A$4629,MATCH(0,INDEX(COUNTIF($B$1:B2196,$A$2:$A$4629),0,0),0)))</f>
        <v/>
      </c>
      <c r="C2197" t="str">
        <f t="shared" si="34"/>
        <v/>
      </c>
    </row>
    <row r="2198" spans="1:3" x14ac:dyDescent="0.25">
      <c r="A2198" t="str">
        <f>IF(Scan2VK!P64&lt;&gt;"",Scan2VK!P64,"")</f>
        <v>F4</v>
      </c>
      <c r="B2198" t="str">
        <f>IF(ISERROR(MATCH(0,INDEX(COUNTIF($B$1:B2197,$A$2:$A$4629),0,0),0)),"",INDEX($A$2:$A$4629,MATCH(0,INDEX(COUNTIF($B$1:B2197,$A$2:$A$4629),0,0),0)))</f>
        <v/>
      </c>
      <c r="C2198" t="str">
        <f t="shared" si="34"/>
        <v/>
      </c>
    </row>
    <row r="2199" spans="1:3" x14ac:dyDescent="0.25">
      <c r="A2199" t="str">
        <f>IF(Scan2VK!P65&lt;&gt;"",Scan2VK!P65,"")</f>
        <v>F5</v>
      </c>
      <c r="B2199" t="str">
        <f>IF(ISERROR(MATCH(0,INDEX(COUNTIF($B$1:B2198,$A$2:$A$4629),0,0),0)),"",INDEX($A$2:$A$4629,MATCH(0,INDEX(COUNTIF($B$1:B2198,$A$2:$A$4629),0,0),0)))</f>
        <v/>
      </c>
      <c r="C2199" t="str">
        <f t="shared" si="34"/>
        <v/>
      </c>
    </row>
    <row r="2200" spans="1:3" x14ac:dyDescent="0.25">
      <c r="A2200" t="str">
        <f>IF(Scan2VK!P66&lt;&gt;"",Scan2VK!P66,"")</f>
        <v>F6</v>
      </c>
      <c r="B2200" t="str">
        <f>IF(ISERROR(MATCH(0,INDEX(COUNTIF($B$1:B2199,$A$2:$A$4629),0,0),0)),"",INDEX($A$2:$A$4629,MATCH(0,INDEX(COUNTIF($B$1:B2199,$A$2:$A$4629),0,0),0)))</f>
        <v/>
      </c>
      <c r="C2200" t="str">
        <f t="shared" si="34"/>
        <v/>
      </c>
    </row>
    <row r="2201" spans="1:3" x14ac:dyDescent="0.25">
      <c r="A2201" t="str">
        <f>IF(Scan2VK!P67&lt;&gt;"",Scan2VK!P67,"")</f>
        <v>F7</v>
      </c>
      <c r="B2201" t="str">
        <f>IF(ISERROR(MATCH(0,INDEX(COUNTIF($B$1:B2200,$A$2:$A$4629),0,0),0)),"",INDEX($A$2:$A$4629,MATCH(0,INDEX(COUNTIF($B$1:B2200,$A$2:$A$4629),0,0),0)))</f>
        <v/>
      </c>
      <c r="C2201" t="str">
        <f t="shared" si="34"/>
        <v/>
      </c>
    </row>
    <row r="2202" spans="1:3" x14ac:dyDescent="0.25">
      <c r="A2202" t="str">
        <f>IF(Scan2VK!P68&lt;&gt;"",Scan2VK!P68,"")</f>
        <v>F8</v>
      </c>
      <c r="B2202" t="str">
        <f>IF(ISERROR(MATCH(0,INDEX(COUNTIF($B$1:B2201,$A$2:$A$4629),0,0),0)),"",INDEX($A$2:$A$4629,MATCH(0,INDEX(COUNTIF($B$1:B2201,$A$2:$A$4629),0,0),0)))</f>
        <v/>
      </c>
      <c r="C2202" t="str">
        <f t="shared" si="34"/>
        <v/>
      </c>
    </row>
    <row r="2203" spans="1:3" x14ac:dyDescent="0.25">
      <c r="A2203" t="str">
        <f>IF(Scan2VK!P69&lt;&gt;"",Scan2VK!P69,"")</f>
        <v>F9</v>
      </c>
      <c r="B2203" t="str">
        <f>IF(ISERROR(MATCH(0,INDEX(COUNTIF($B$1:B2202,$A$2:$A$4629),0,0),0)),"",INDEX($A$2:$A$4629,MATCH(0,INDEX(COUNTIF($B$1:B2202,$A$2:$A$4629),0,0),0)))</f>
        <v/>
      </c>
      <c r="C2203" t="str">
        <f t="shared" si="34"/>
        <v/>
      </c>
    </row>
    <row r="2204" spans="1:3" x14ac:dyDescent="0.25">
      <c r="A2204" t="str">
        <f>IF(Scan2VK!P70&lt;&gt;"",Scan2VK!P70,"")</f>
        <v>F10</v>
      </c>
      <c r="B2204" t="str">
        <f>IF(ISERROR(MATCH(0,INDEX(COUNTIF($B$1:B2203,$A$2:$A$4629),0,0),0)),"",INDEX($A$2:$A$4629,MATCH(0,INDEX(COUNTIF($B$1:B2203,$A$2:$A$4629),0,0),0)))</f>
        <v/>
      </c>
      <c r="C2204" t="str">
        <f t="shared" si="34"/>
        <v/>
      </c>
    </row>
    <row r="2205" spans="1:3" x14ac:dyDescent="0.25">
      <c r="A2205" t="str">
        <f>IF(Scan2VK!P71&lt;&gt;"",Scan2VK!P71,"")</f>
        <v>NUMLOCK</v>
      </c>
      <c r="B2205" t="str">
        <f>IF(ISERROR(MATCH(0,INDEX(COUNTIF($B$1:B2204,$A$2:$A$4629),0,0),0)),"",INDEX($A$2:$A$4629,MATCH(0,INDEX(COUNTIF($B$1:B2204,$A$2:$A$4629),0,0),0)))</f>
        <v/>
      </c>
      <c r="C2205" t="str">
        <f t="shared" si="34"/>
        <v/>
      </c>
    </row>
    <row r="2206" spans="1:3" x14ac:dyDescent="0.25">
      <c r="A2206" t="str">
        <f>IF(Scan2VK!P72&lt;&gt;"",Scan2VK!P72,"")</f>
        <v>SCROLL</v>
      </c>
      <c r="B2206" t="str">
        <f>IF(ISERROR(MATCH(0,INDEX(COUNTIF($B$1:B2205,$A$2:$A$4629),0,0),0)),"",INDEX($A$2:$A$4629,MATCH(0,INDEX(COUNTIF($B$1:B2205,$A$2:$A$4629),0,0),0)))</f>
        <v/>
      </c>
      <c r="C2206" t="str">
        <f t="shared" si="34"/>
        <v/>
      </c>
    </row>
    <row r="2207" spans="1:3" x14ac:dyDescent="0.25">
      <c r="A2207" t="str">
        <f>IF(Scan2VK!P73&lt;&gt;"",Scan2VK!P73,"")</f>
        <v>HOME</v>
      </c>
      <c r="B2207" t="str">
        <f>IF(ISERROR(MATCH(0,INDEX(COUNTIF($B$1:B2206,$A$2:$A$4629),0,0),0)),"",INDEX($A$2:$A$4629,MATCH(0,INDEX(COUNTIF($B$1:B2206,$A$2:$A$4629),0,0),0)))</f>
        <v/>
      </c>
      <c r="C2207" t="str">
        <f t="shared" si="34"/>
        <v/>
      </c>
    </row>
    <row r="2208" spans="1:3" x14ac:dyDescent="0.25">
      <c r="A2208" t="str">
        <f>IF(Scan2VK!P74&lt;&gt;"",Scan2VK!P74,"")</f>
        <v>UP</v>
      </c>
      <c r="B2208" t="str">
        <f>IF(ISERROR(MATCH(0,INDEX(COUNTIF($B$1:B2207,$A$2:$A$4629),0,0),0)),"",INDEX($A$2:$A$4629,MATCH(0,INDEX(COUNTIF($B$1:B2207,$A$2:$A$4629),0,0),0)))</f>
        <v/>
      </c>
      <c r="C2208" t="str">
        <f t="shared" si="34"/>
        <v/>
      </c>
    </row>
    <row r="2209" spans="1:3" x14ac:dyDescent="0.25">
      <c r="A2209" t="str">
        <f>IF(Scan2VK!P75&lt;&gt;"",Scan2VK!P75,"")</f>
        <v>PRIOR</v>
      </c>
      <c r="B2209" t="str">
        <f>IF(ISERROR(MATCH(0,INDEX(COUNTIF($B$1:B2208,$A$2:$A$4629),0,0),0)),"",INDEX($A$2:$A$4629,MATCH(0,INDEX(COUNTIF($B$1:B2208,$A$2:$A$4629),0,0),0)))</f>
        <v/>
      </c>
      <c r="C2209" t="str">
        <f t="shared" si="34"/>
        <v/>
      </c>
    </row>
    <row r="2210" spans="1:3" x14ac:dyDescent="0.25">
      <c r="A2210" t="str">
        <f>IF(Scan2VK!P76&lt;&gt;"",Scan2VK!P76,"")</f>
        <v>SUBTRACT</v>
      </c>
      <c r="B2210" t="str">
        <f>IF(ISERROR(MATCH(0,INDEX(COUNTIF($B$1:B2209,$A$2:$A$4629),0,0),0)),"",INDEX($A$2:$A$4629,MATCH(0,INDEX(COUNTIF($B$1:B2209,$A$2:$A$4629),0,0),0)))</f>
        <v/>
      </c>
      <c r="C2210" t="str">
        <f t="shared" si="34"/>
        <v/>
      </c>
    </row>
    <row r="2211" spans="1:3" x14ac:dyDescent="0.25">
      <c r="A2211" t="str">
        <f>IF(Scan2VK!P77&lt;&gt;"",Scan2VK!P77,"")</f>
        <v>LEFT</v>
      </c>
      <c r="B2211" t="str">
        <f>IF(ISERROR(MATCH(0,INDEX(COUNTIF($B$1:B2210,$A$2:$A$4629),0,0),0)),"",INDEX($A$2:$A$4629,MATCH(0,INDEX(COUNTIF($B$1:B2210,$A$2:$A$4629),0,0),0)))</f>
        <v/>
      </c>
      <c r="C2211" t="str">
        <f t="shared" si="34"/>
        <v/>
      </c>
    </row>
    <row r="2212" spans="1:3" x14ac:dyDescent="0.25">
      <c r="A2212" t="str">
        <f>IF(Scan2VK!P78&lt;&gt;"",Scan2VK!P78,"")</f>
        <v>CLEAR</v>
      </c>
      <c r="B2212" t="str">
        <f>IF(ISERROR(MATCH(0,INDEX(COUNTIF($B$1:B2211,$A$2:$A$4629),0,0),0)),"",INDEX($A$2:$A$4629,MATCH(0,INDEX(COUNTIF($B$1:B2211,$A$2:$A$4629),0,0),0)))</f>
        <v/>
      </c>
      <c r="C2212" t="str">
        <f t="shared" si="34"/>
        <v/>
      </c>
    </row>
    <row r="2213" spans="1:3" x14ac:dyDescent="0.25">
      <c r="A2213" t="str">
        <f>IF(Scan2VK!P79&lt;&gt;"",Scan2VK!P79,"")</f>
        <v>RIGHT</v>
      </c>
      <c r="B2213" t="str">
        <f>IF(ISERROR(MATCH(0,INDEX(COUNTIF($B$1:B2212,$A$2:$A$4629),0,0),0)),"",INDEX($A$2:$A$4629,MATCH(0,INDEX(COUNTIF($B$1:B2212,$A$2:$A$4629),0,0),0)))</f>
        <v/>
      </c>
      <c r="C2213" t="str">
        <f t="shared" si="34"/>
        <v/>
      </c>
    </row>
    <row r="2214" spans="1:3" x14ac:dyDescent="0.25">
      <c r="A2214" t="str">
        <f>IF(Scan2VK!P80&lt;&gt;"",Scan2VK!P80,"")</f>
        <v>ADD</v>
      </c>
      <c r="B2214" t="str">
        <f>IF(ISERROR(MATCH(0,INDEX(COUNTIF($B$1:B2213,$A$2:$A$4629),0,0),0)),"",INDEX($A$2:$A$4629,MATCH(0,INDEX(COUNTIF($B$1:B2213,$A$2:$A$4629),0,0),0)))</f>
        <v/>
      </c>
      <c r="C2214" t="str">
        <f t="shared" si="34"/>
        <v/>
      </c>
    </row>
    <row r="2215" spans="1:3" x14ac:dyDescent="0.25">
      <c r="A2215" t="str">
        <f>IF(Scan2VK!P81&lt;&gt;"",Scan2VK!P81,"")</f>
        <v>END</v>
      </c>
      <c r="B2215" t="str">
        <f>IF(ISERROR(MATCH(0,INDEX(COUNTIF($B$1:B2214,$A$2:$A$4629),0,0),0)),"",INDEX($A$2:$A$4629,MATCH(0,INDEX(COUNTIF($B$1:B2214,$A$2:$A$4629),0,0),0)))</f>
        <v/>
      </c>
      <c r="C2215" t="str">
        <f t="shared" si="34"/>
        <v/>
      </c>
    </row>
    <row r="2216" spans="1:3" x14ac:dyDescent="0.25">
      <c r="A2216" t="str">
        <f>IF(Scan2VK!P82&lt;&gt;"",Scan2VK!P82,"")</f>
        <v>DOWN</v>
      </c>
      <c r="B2216" t="str">
        <f>IF(ISERROR(MATCH(0,INDEX(COUNTIF($B$1:B2215,$A$2:$A$4629),0,0),0)),"",INDEX($A$2:$A$4629,MATCH(0,INDEX(COUNTIF($B$1:B2215,$A$2:$A$4629),0,0),0)))</f>
        <v/>
      </c>
      <c r="C2216" t="str">
        <f t="shared" si="34"/>
        <v/>
      </c>
    </row>
    <row r="2217" spans="1:3" x14ac:dyDescent="0.25">
      <c r="A2217" t="str">
        <f>IF(Scan2VK!P83&lt;&gt;"",Scan2VK!P83,"")</f>
        <v>NEXT</v>
      </c>
      <c r="B2217" t="str">
        <f>IF(ISERROR(MATCH(0,INDEX(COUNTIF($B$1:B2216,$A$2:$A$4629),0,0),0)),"",INDEX($A$2:$A$4629,MATCH(0,INDEX(COUNTIF($B$1:B2216,$A$2:$A$4629),0,0),0)))</f>
        <v/>
      </c>
      <c r="C2217" t="str">
        <f t="shared" si="34"/>
        <v/>
      </c>
    </row>
    <row r="2218" spans="1:3" x14ac:dyDescent="0.25">
      <c r="A2218" t="str">
        <f>IF(Scan2VK!P84&lt;&gt;"",Scan2VK!P84,"")</f>
        <v>INSERT</v>
      </c>
      <c r="B2218" t="str">
        <f>IF(ISERROR(MATCH(0,INDEX(COUNTIF($B$1:B2217,$A$2:$A$4629),0,0),0)),"",INDEX($A$2:$A$4629,MATCH(0,INDEX(COUNTIF($B$1:B2217,$A$2:$A$4629),0,0),0)))</f>
        <v/>
      </c>
      <c r="C2218" t="str">
        <f t="shared" si="34"/>
        <v/>
      </c>
    </row>
    <row r="2219" spans="1:3" x14ac:dyDescent="0.25">
      <c r="A2219" t="str">
        <f>IF(Scan2VK!P85&lt;&gt;"",Scan2VK!P85,"")</f>
        <v>DELETE</v>
      </c>
      <c r="B2219" t="str">
        <f>IF(ISERROR(MATCH(0,INDEX(COUNTIF($B$1:B2218,$A$2:$A$4629),0,0),0)),"",INDEX($A$2:$A$4629,MATCH(0,INDEX(COUNTIF($B$1:B2218,$A$2:$A$4629),0,0),0)))</f>
        <v/>
      </c>
      <c r="C2219" t="str">
        <f t="shared" si="34"/>
        <v/>
      </c>
    </row>
    <row r="2220" spans="1:3" x14ac:dyDescent="0.25">
      <c r="A2220" t="str">
        <f>IF(Scan2VK!P86&lt;&gt;"",Scan2VK!P86,"")</f>
        <v>SNAPSHOT</v>
      </c>
      <c r="B2220" t="str">
        <f>IF(ISERROR(MATCH(0,INDEX(COUNTIF($B$1:B2219,$A$2:$A$4629),0,0),0)),"",INDEX($A$2:$A$4629,MATCH(0,INDEX(COUNTIF($B$1:B2219,$A$2:$A$4629),0,0),0)))</f>
        <v/>
      </c>
      <c r="C2220" t="str">
        <f t="shared" si="34"/>
        <v/>
      </c>
    </row>
    <row r="2221" spans="1:3" x14ac:dyDescent="0.25">
      <c r="A2221" t="str">
        <f>IF(Scan2VK!P87&lt;&gt;"",Scan2VK!P87,"")</f>
        <v>_none_</v>
      </c>
      <c r="B2221" t="str">
        <f>IF(ISERROR(MATCH(0,INDEX(COUNTIF($B$1:B2220,$A$2:$A$4629),0,0),0)),"",INDEX($A$2:$A$4629,MATCH(0,INDEX(COUNTIF($B$1:B2220,$A$2:$A$4629),0,0),0)))</f>
        <v/>
      </c>
      <c r="C2221" t="str">
        <f t="shared" si="34"/>
        <v/>
      </c>
    </row>
    <row r="2222" spans="1:3" x14ac:dyDescent="0.25">
      <c r="A2222" t="str">
        <f>IF(Scan2VK!P88&lt;&gt;"",Scan2VK!P88,"")</f>
        <v>OEM_102</v>
      </c>
      <c r="B2222" t="str">
        <f>IF(ISERROR(MATCH(0,INDEX(COUNTIF($B$1:B2221,$A$2:$A$4629),0,0),0)),"",INDEX($A$2:$A$4629,MATCH(0,INDEX(COUNTIF($B$1:B2221,$A$2:$A$4629),0,0),0)))</f>
        <v/>
      </c>
      <c r="C2222" t="str">
        <f t="shared" si="34"/>
        <v/>
      </c>
    </row>
    <row r="2223" spans="1:3" x14ac:dyDescent="0.25">
      <c r="A2223" t="str">
        <f>IF(Scan2VK!P89&lt;&gt;"",Scan2VK!P89,"")</f>
        <v>F11</v>
      </c>
      <c r="B2223" t="str">
        <f>IF(ISERROR(MATCH(0,INDEX(COUNTIF($B$1:B2222,$A$2:$A$4629),0,0),0)),"",INDEX($A$2:$A$4629,MATCH(0,INDEX(COUNTIF($B$1:B2222,$A$2:$A$4629),0,0),0)))</f>
        <v/>
      </c>
      <c r="C2223" t="str">
        <f t="shared" si="34"/>
        <v/>
      </c>
    </row>
    <row r="2224" spans="1:3" x14ac:dyDescent="0.25">
      <c r="A2224" t="str">
        <f>IF(Scan2VK!P90&lt;&gt;"",Scan2VK!P90,"")</f>
        <v>F12</v>
      </c>
      <c r="B2224" t="str">
        <f>IF(ISERROR(MATCH(0,INDEX(COUNTIF($B$1:B2223,$A$2:$A$4629),0,0),0)),"",INDEX($A$2:$A$4629,MATCH(0,INDEX(COUNTIF($B$1:B2223,$A$2:$A$4629),0,0),0)))</f>
        <v/>
      </c>
      <c r="C2224" t="str">
        <f t="shared" si="34"/>
        <v/>
      </c>
    </row>
    <row r="2225" spans="1:3" x14ac:dyDescent="0.25">
      <c r="A2225" t="str">
        <f>IF(Scan2VK!P91&lt;&gt;"",Scan2VK!P91,"")</f>
        <v>CLEAR</v>
      </c>
      <c r="B2225" t="str">
        <f>IF(ISERROR(MATCH(0,INDEX(COUNTIF($B$1:B2224,$A$2:$A$4629),0,0),0)),"",INDEX($A$2:$A$4629,MATCH(0,INDEX(COUNTIF($B$1:B2224,$A$2:$A$4629),0,0),0)))</f>
        <v/>
      </c>
      <c r="C2225" t="str">
        <f t="shared" si="34"/>
        <v/>
      </c>
    </row>
    <row r="2226" spans="1:3" x14ac:dyDescent="0.25">
      <c r="A2226" t="str">
        <f>IF(Scan2VK!P92&lt;&gt;"",Scan2VK!P92,"")</f>
        <v>OEM_WSCTRL</v>
      </c>
      <c r="B2226" t="str">
        <f>IF(ISERROR(MATCH(0,INDEX(COUNTIF($B$1:B2225,$A$2:$A$4629),0,0),0)),"",INDEX($A$2:$A$4629,MATCH(0,INDEX(COUNTIF($B$1:B2225,$A$2:$A$4629),0,0),0)))</f>
        <v/>
      </c>
      <c r="C2226" t="str">
        <f t="shared" si="34"/>
        <v/>
      </c>
    </row>
    <row r="2227" spans="1:3" x14ac:dyDescent="0.25">
      <c r="A2227" t="str">
        <f>IF(Scan2VK!P93&lt;&gt;"",Scan2VK!P93,"")</f>
        <v>OEM_FINISH</v>
      </c>
      <c r="B2227" t="str">
        <f>IF(ISERROR(MATCH(0,INDEX(COUNTIF($B$1:B2226,$A$2:$A$4629),0,0),0)),"",INDEX($A$2:$A$4629,MATCH(0,INDEX(COUNTIF($B$1:B2226,$A$2:$A$4629),0,0),0)))</f>
        <v/>
      </c>
      <c r="C2227" t="str">
        <f t="shared" si="34"/>
        <v/>
      </c>
    </row>
    <row r="2228" spans="1:3" x14ac:dyDescent="0.25">
      <c r="A2228" t="str">
        <f>IF(Scan2VK!P94&lt;&gt;"",Scan2VK!P94,"")</f>
        <v>OEM_JUMP</v>
      </c>
      <c r="B2228" t="str">
        <f>IF(ISERROR(MATCH(0,INDEX(COUNTIF($B$1:B2227,$A$2:$A$4629),0,0),0)),"",INDEX($A$2:$A$4629,MATCH(0,INDEX(COUNTIF($B$1:B2227,$A$2:$A$4629),0,0),0)))</f>
        <v/>
      </c>
      <c r="C2228" t="str">
        <f t="shared" si="34"/>
        <v/>
      </c>
    </row>
    <row r="2229" spans="1:3" x14ac:dyDescent="0.25">
      <c r="A2229" t="str">
        <f>IF(Scan2VK!P95&lt;&gt;"",Scan2VK!P95,"")</f>
        <v>EREOF</v>
      </c>
      <c r="B2229" t="str">
        <f>IF(ISERROR(MATCH(0,INDEX(COUNTIF($B$1:B2228,$A$2:$A$4629),0,0),0)),"",INDEX($A$2:$A$4629,MATCH(0,INDEX(COUNTIF($B$1:B2228,$A$2:$A$4629),0,0),0)))</f>
        <v/>
      </c>
      <c r="C2229" t="str">
        <f t="shared" si="34"/>
        <v/>
      </c>
    </row>
    <row r="2230" spans="1:3" x14ac:dyDescent="0.25">
      <c r="A2230" t="str">
        <f>IF(Scan2VK!P96&lt;&gt;"",Scan2VK!P96,"")</f>
        <v>OEM_BACKTAB</v>
      </c>
      <c r="B2230" t="str">
        <f>IF(ISERROR(MATCH(0,INDEX(COUNTIF($B$1:B2229,$A$2:$A$4629),0,0),0)),"",INDEX($A$2:$A$4629,MATCH(0,INDEX(COUNTIF($B$1:B2229,$A$2:$A$4629),0,0),0)))</f>
        <v/>
      </c>
      <c r="C2230" t="str">
        <f t="shared" si="34"/>
        <v/>
      </c>
    </row>
    <row r="2231" spans="1:3" x14ac:dyDescent="0.25">
      <c r="A2231" t="str">
        <f>IF(Scan2VK!P97&lt;&gt;"",Scan2VK!P97,"")</f>
        <v>OEM_AUTO</v>
      </c>
      <c r="B2231" t="str">
        <f>IF(ISERROR(MATCH(0,INDEX(COUNTIF($B$1:B2230,$A$2:$A$4629),0,0),0)),"",INDEX($A$2:$A$4629,MATCH(0,INDEX(COUNTIF($B$1:B2230,$A$2:$A$4629),0,0),0)))</f>
        <v/>
      </c>
      <c r="C2231" t="str">
        <f t="shared" si="34"/>
        <v/>
      </c>
    </row>
    <row r="2232" spans="1:3" x14ac:dyDescent="0.25">
      <c r="A2232" t="str">
        <f>IF(Scan2VK!P98&lt;&gt;"",Scan2VK!P98,"")</f>
        <v>_none_</v>
      </c>
      <c r="B2232" t="str">
        <f>IF(ISERROR(MATCH(0,INDEX(COUNTIF($B$1:B2231,$A$2:$A$4629),0,0),0)),"",INDEX($A$2:$A$4629,MATCH(0,INDEX(COUNTIF($B$1:B2231,$A$2:$A$4629),0,0),0)))</f>
        <v/>
      </c>
      <c r="C2232" t="str">
        <f t="shared" si="34"/>
        <v/>
      </c>
    </row>
    <row r="2233" spans="1:3" x14ac:dyDescent="0.25">
      <c r="A2233" t="str">
        <f>IF(Scan2VK!P99&lt;&gt;"",Scan2VK!P99,"")</f>
        <v>ZOOM</v>
      </c>
      <c r="B2233" t="str">
        <f>IF(ISERROR(MATCH(0,INDEX(COUNTIF($B$1:B2232,$A$2:$A$4629),0,0),0)),"",INDEX($A$2:$A$4629,MATCH(0,INDEX(COUNTIF($B$1:B2232,$A$2:$A$4629),0,0),0)))</f>
        <v/>
      </c>
      <c r="C2233" t="str">
        <f t="shared" si="34"/>
        <v/>
      </c>
    </row>
    <row r="2234" spans="1:3" x14ac:dyDescent="0.25">
      <c r="A2234" t="str">
        <f>IF(Scan2VK!P100&lt;&gt;"",Scan2VK!P100,"")</f>
        <v>HELP</v>
      </c>
      <c r="B2234" t="str">
        <f>IF(ISERROR(MATCH(0,INDEX(COUNTIF($B$1:B2233,$A$2:$A$4629),0,0),0)),"",INDEX($A$2:$A$4629,MATCH(0,INDEX(COUNTIF($B$1:B2233,$A$2:$A$4629),0,0),0)))</f>
        <v/>
      </c>
      <c r="C2234" t="str">
        <f t="shared" si="34"/>
        <v/>
      </c>
    </row>
    <row r="2235" spans="1:3" x14ac:dyDescent="0.25">
      <c r="A2235" t="str">
        <f>IF(Scan2VK!P101&lt;&gt;"",Scan2VK!P101,"")</f>
        <v>_none_</v>
      </c>
      <c r="B2235" t="str">
        <f>IF(ISERROR(MATCH(0,INDEX(COUNTIF($B$1:B2234,$A$2:$A$4629),0,0),0)),"",INDEX($A$2:$A$4629,MATCH(0,INDEX(COUNTIF($B$1:B2234,$A$2:$A$4629),0,0),0)))</f>
        <v/>
      </c>
      <c r="C2235" t="str">
        <f t="shared" si="34"/>
        <v/>
      </c>
    </row>
    <row r="2236" spans="1:3" x14ac:dyDescent="0.25">
      <c r="A2236" t="str">
        <f>IF(Scan2VK!P102&lt;&gt;"",Scan2VK!P102,"")</f>
        <v>F13</v>
      </c>
      <c r="B2236" t="str">
        <f>IF(ISERROR(MATCH(0,INDEX(COUNTIF($B$1:B2235,$A$2:$A$4629),0,0),0)),"",INDEX($A$2:$A$4629,MATCH(0,INDEX(COUNTIF($B$1:B2235,$A$2:$A$4629),0,0),0)))</f>
        <v/>
      </c>
      <c r="C2236" t="str">
        <f t="shared" si="34"/>
        <v/>
      </c>
    </row>
    <row r="2237" spans="1:3" x14ac:dyDescent="0.25">
      <c r="A2237" t="str">
        <f>IF(Scan2VK!P103&lt;&gt;"",Scan2VK!P103,"")</f>
        <v>F14</v>
      </c>
      <c r="B2237" t="str">
        <f>IF(ISERROR(MATCH(0,INDEX(COUNTIF($B$1:B2236,$A$2:$A$4629),0,0),0)),"",INDEX($A$2:$A$4629,MATCH(0,INDEX(COUNTIF($B$1:B2236,$A$2:$A$4629),0,0),0)))</f>
        <v/>
      </c>
      <c r="C2237" t="str">
        <f t="shared" si="34"/>
        <v/>
      </c>
    </row>
    <row r="2238" spans="1:3" x14ac:dyDescent="0.25">
      <c r="A2238" t="str">
        <f>IF(Scan2VK!P104&lt;&gt;"",Scan2VK!P104,"")</f>
        <v>F15</v>
      </c>
      <c r="B2238" t="str">
        <f>IF(ISERROR(MATCH(0,INDEX(COUNTIF($B$1:B2237,$A$2:$A$4629),0,0),0)),"",INDEX($A$2:$A$4629,MATCH(0,INDEX(COUNTIF($B$1:B2237,$A$2:$A$4629),0,0),0)))</f>
        <v/>
      </c>
      <c r="C2238" t="str">
        <f t="shared" si="34"/>
        <v/>
      </c>
    </row>
    <row r="2239" spans="1:3" x14ac:dyDescent="0.25">
      <c r="A2239" t="str">
        <f>IF(Scan2VK!P105&lt;&gt;"",Scan2VK!P105,"")</f>
        <v>F16</v>
      </c>
      <c r="B2239" t="str">
        <f>IF(ISERROR(MATCH(0,INDEX(COUNTIF($B$1:B2238,$A$2:$A$4629),0,0),0)),"",INDEX($A$2:$A$4629,MATCH(0,INDEX(COUNTIF($B$1:B2238,$A$2:$A$4629),0,0),0)))</f>
        <v/>
      </c>
      <c r="C2239" t="str">
        <f t="shared" si="34"/>
        <v/>
      </c>
    </row>
    <row r="2240" spans="1:3" x14ac:dyDescent="0.25">
      <c r="A2240" t="str">
        <f>IF(Scan2VK!P106&lt;&gt;"",Scan2VK!P106,"")</f>
        <v>F17</v>
      </c>
      <c r="B2240" t="str">
        <f>IF(ISERROR(MATCH(0,INDEX(COUNTIF($B$1:B2239,$A$2:$A$4629),0,0),0)),"",INDEX($A$2:$A$4629,MATCH(0,INDEX(COUNTIF($B$1:B2239,$A$2:$A$4629),0,0),0)))</f>
        <v/>
      </c>
      <c r="C2240" t="str">
        <f t="shared" si="34"/>
        <v/>
      </c>
    </row>
    <row r="2241" spans="1:3" x14ac:dyDescent="0.25">
      <c r="A2241" t="str">
        <f>IF(Scan2VK!P107&lt;&gt;"",Scan2VK!P107,"")</f>
        <v>F18</v>
      </c>
      <c r="B2241" t="str">
        <f>IF(ISERROR(MATCH(0,INDEX(COUNTIF($B$1:B2240,$A$2:$A$4629),0,0),0)),"",INDEX($A$2:$A$4629,MATCH(0,INDEX(COUNTIF($B$1:B2240,$A$2:$A$4629),0,0),0)))</f>
        <v/>
      </c>
      <c r="C2241" t="str">
        <f t="shared" si="34"/>
        <v/>
      </c>
    </row>
    <row r="2242" spans="1:3" x14ac:dyDescent="0.25">
      <c r="A2242" t="str">
        <f>IF(Scan2VK!P108&lt;&gt;"",Scan2VK!P108,"")</f>
        <v>F19</v>
      </c>
      <c r="B2242" t="str">
        <f>IF(ISERROR(MATCH(0,INDEX(COUNTIF($B$1:B2241,$A$2:$A$4629),0,0),0)),"",INDEX($A$2:$A$4629,MATCH(0,INDEX(COUNTIF($B$1:B2241,$A$2:$A$4629),0,0),0)))</f>
        <v/>
      </c>
      <c r="C2242" t="str">
        <f t="shared" si="34"/>
        <v/>
      </c>
    </row>
    <row r="2243" spans="1:3" x14ac:dyDescent="0.25">
      <c r="A2243" t="str">
        <f>IF(Scan2VK!P109&lt;&gt;"",Scan2VK!P109,"")</f>
        <v>F20</v>
      </c>
      <c r="B2243" t="str">
        <f>IF(ISERROR(MATCH(0,INDEX(COUNTIF($B$1:B2242,$A$2:$A$4629),0,0),0)),"",INDEX($A$2:$A$4629,MATCH(0,INDEX(COUNTIF($B$1:B2242,$A$2:$A$4629),0,0),0)))</f>
        <v/>
      </c>
      <c r="C2243" t="str">
        <f t="shared" ref="C2243:C2306" si="35">IF(B2243&lt;&gt;"","&lt;xs:enumeration value="""&amp;B2243&amp;"""/&gt;","")</f>
        <v/>
      </c>
    </row>
    <row r="2244" spans="1:3" x14ac:dyDescent="0.25">
      <c r="A2244" t="str">
        <f>IF(Scan2VK!P110&lt;&gt;"",Scan2VK!P110,"")</f>
        <v>F21</v>
      </c>
      <c r="B2244" t="str">
        <f>IF(ISERROR(MATCH(0,INDEX(COUNTIF($B$1:B2243,$A$2:$A$4629),0,0),0)),"",INDEX($A$2:$A$4629,MATCH(0,INDEX(COUNTIF($B$1:B2243,$A$2:$A$4629),0,0),0)))</f>
        <v/>
      </c>
      <c r="C2244" t="str">
        <f t="shared" si="35"/>
        <v/>
      </c>
    </row>
    <row r="2245" spans="1:3" x14ac:dyDescent="0.25">
      <c r="A2245" t="str">
        <f>IF(Scan2VK!P111&lt;&gt;"",Scan2VK!P111,"")</f>
        <v>F22</v>
      </c>
      <c r="B2245" t="str">
        <f>IF(ISERROR(MATCH(0,INDEX(COUNTIF($B$1:B2244,$A$2:$A$4629),0,0),0)),"",INDEX($A$2:$A$4629,MATCH(0,INDEX(COUNTIF($B$1:B2244,$A$2:$A$4629),0,0),0)))</f>
        <v/>
      </c>
      <c r="C2245" t="str">
        <f t="shared" si="35"/>
        <v/>
      </c>
    </row>
    <row r="2246" spans="1:3" x14ac:dyDescent="0.25">
      <c r="A2246" t="str">
        <f>IF(Scan2VK!P112&lt;&gt;"",Scan2VK!P112,"")</f>
        <v>F23</v>
      </c>
      <c r="B2246" t="str">
        <f>IF(ISERROR(MATCH(0,INDEX(COUNTIF($B$1:B2245,$A$2:$A$4629),0,0),0)),"",INDEX($A$2:$A$4629,MATCH(0,INDEX(COUNTIF($B$1:B2245,$A$2:$A$4629),0,0),0)))</f>
        <v/>
      </c>
      <c r="C2246" t="str">
        <f t="shared" si="35"/>
        <v/>
      </c>
    </row>
    <row r="2247" spans="1:3" x14ac:dyDescent="0.25">
      <c r="A2247" t="str">
        <f>IF(Scan2VK!P113&lt;&gt;"",Scan2VK!P113,"")</f>
        <v>OEM_PA3</v>
      </c>
      <c r="B2247" t="str">
        <f>IF(ISERROR(MATCH(0,INDEX(COUNTIF($B$1:B2246,$A$2:$A$4629),0,0),0)),"",INDEX($A$2:$A$4629,MATCH(0,INDEX(COUNTIF($B$1:B2246,$A$2:$A$4629),0,0),0)))</f>
        <v/>
      </c>
      <c r="C2247" t="str">
        <f t="shared" si="35"/>
        <v/>
      </c>
    </row>
    <row r="2248" spans="1:3" x14ac:dyDescent="0.25">
      <c r="A2248" t="str">
        <f>IF(Scan2VK!P114&lt;&gt;"",Scan2VK!P114,"")</f>
        <v>_none_</v>
      </c>
      <c r="B2248" t="str">
        <f>IF(ISERROR(MATCH(0,INDEX(COUNTIF($B$1:B2247,$A$2:$A$4629),0,0),0)),"",INDEX($A$2:$A$4629,MATCH(0,INDEX(COUNTIF($B$1:B2247,$A$2:$A$4629),0,0),0)))</f>
        <v/>
      </c>
      <c r="C2248" t="str">
        <f t="shared" si="35"/>
        <v/>
      </c>
    </row>
    <row r="2249" spans="1:3" x14ac:dyDescent="0.25">
      <c r="A2249" t="str">
        <f>IF(Scan2VK!P115&lt;&gt;"",Scan2VK!P115,"")</f>
        <v>OEM_RESET</v>
      </c>
      <c r="B2249" t="str">
        <f>IF(ISERROR(MATCH(0,INDEX(COUNTIF($B$1:B2248,$A$2:$A$4629),0,0),0)),"",INDEX($A$2:$A$4629,MATCH(0,INDEX(COUNTIF($B$1:B2248,$A$2:$A$4629),0,0),0)))</f>
        <v/>
      </c>
      <c r="C2249" t="str">
        <f t="shared" si="35"/>
        <v/>
      </c>
    </row>
    <row r="2250" spans="1:3" x14ac:dyDescent="0.25">
      <c r="A2250" t="str">
        <f>IF(Scan2VK!P116&lt;&gt;"",Scan2VK!P116,"")</f>
        <v>_none_</v>
      </c>
      <c r="B2250" t="str">
        <f>IF(ISERROR(MATCH(0,INDEX(COUNTIF($B$1:B2249,$A$2:$A$4629),0,0),0)),"",INDEX($A$2:$A$4629,MATCH(0,INDEX(COUNTIF($B$1:B2249,$A$2:$A$4629),0,0),0)))</f>
        <v/>
      </c>
      <c r="C2250" t="str">
        <f t="shared" si="35"/>
        <v/>
      </c>
    </row>
    <row r="2251" spans="1:3" x14ac:dyDescent="0.25">
      <c r="A2251" t="str">
        <f>IF(Scan2VK!P117&lt;&gt;"",Scan2VK!P117,"")</f>
        <v>ABNT_C1</v>
      </c>
      <c r="B2251" t="str">
        <f>IF(ISERROR(MATCH(0,INDEX(COUNTIF($B$1:B2250,$A$2:$A$4629),0,0),0)),"",INDEX($A$2:$A$4629,MATCH(0,INDEX(COUNTIF($B$1:B2250,$A$2:$A$4629),0,0),0)))</f>
        <v/>
      </c>
      <c r="C2251" t="str">
        <f t="shared" si="35"/>
        <v/>
      </c>
    </row>
    <row r="2252" spans="1:3" x14ac:dyDescent="0.25">
      <c r="A2252" t="str">
        <f>IF(Scan2VK!P118&lt;&gt;"",Scan2VK!P118,"")</f>
        <v>_none_</v>
      </c>
      <c r="B2252" t="str">
        <f>IF(ISERROR(MATCH(0,INDEX(COUNTIF($B$1:B2251,$A$2:$A$4629),0,0),0)),"",INDEX($A$2:$A$4629,MATCH(0,INDEX(COUNTIF($B$1:B2251,$A$2:$A$4629),0,0),0)))</f>
        <v/>
      </c>
      <c r="C2252" t="str">
        <f t="shared" si="35"/>
        <v/>
      </c>
    </row>
    <row r="2253" spans="1:3" x14ac:dyDescent="0.25">
      <c r="A2253" t="str">
        <f>IF(Scan2VK!P119&lt;&gt;"",Scan2VK!P119,"")</f>
        <v>_none_</v>
      </c>
      <c r="B2253" t="str">
        <f>IF(ISERROR(MATCH(0,INDEX(COUNTIF($B$1:B2252,$A$2:$A$4629),0,0),0)),"",INDEX($A$2:$A$4629,MATCH(0,INDEX(COUNTIF($B$1:B2252,$A$2:$A$4629),0,0),0)))</f>
        <v/>
      </c>
      <c r="C2253" t="str">
        <f t="shared" si="35"/>
        <v/>
      </c>
    </row>
    <row r="2254" spans="1:3" x14ac:dyDescent="0.25">
      <c r="A2254" t="str">
        <f>IF(Scan2VK!P120&lt;&gt;"",Scan2VK!P120,"")</f>
        <v>F24</v>
      </c>
      <c r="B2254" t="str">
        <f>IF(ISERROR(MATCH(0,INDEX(COUNTIF($B$1:B2253,$A$2:$A$4629),0,0),0)),"",INDEX($A$2:$A$4629,MATCH(0,INDEX(COUNTIF($B$1:B2253,$A$2:$A$4629),0,0),0)))</f>
        <v/>
      </c>
      <c r="C2254" t="str">
        <f t="shared" si="35"/>
        <v/>
      </c>
    </row>
    <row r="2255" spans="1:3" x14ac:dyDescent="0.25">
      <c r="A2255" t="str">
        <f>IF(Scan2VK!P121&lt;&gt;"",Scan2VK!P121,"")</f>
        <v>_none_</v>
      </c>
      <c r="B2255" t="str">
        <f>IF(ISERROR(MATCH(0,INDEX(COUNTIF($B$1:B2254,$A$2:$A$4629),0,0),0)),"",INDEX($A$2:$A$4629,MATCH(0,INDEX(COUNTIF($B$1:B2254,$A$2:$A$4629),0,0),0)))</f>
        <v/>
      </c>
      <c r="C2255" t="str">
        <f t="shared" si="35"/>
        <v/>
      </c>
    </row>
    <row r="2256" spans="1:3" x14ac:dyDescent="0.25">
      <c r="A2256" t="str">
        <f>IF(Scan2VK!P122&lt;&gt;"",Scan2VK!P122,"")</f>
        <v>_none_</v>
      </c>
      <c r="B2256" t="str">
        <f>IF(ISERROR(MATCH(0,INDEX(COUNTIF($B$1:B2255,$A$2:$A$4629),0,0),0)),"",INDEX($A$2:$A$4629,MATCH(0,INDEX(COUNTIF($B$1:B2255,$A$2:$A$4629),0,0),0)))</f>
        <v/>
      </c>
      <c r="C2256" t="str">
        <f t="shared" si="35"/>
        <v/>
      </c>
    </row>
    <row r="2257" spans="1:3" x14ac:dyDescent="0.25">
      <c r="A2257" t="str">
        <f>IF(Scan2VK!P123&lt;&gt;"",Scan2VK!P123,"")</f>
        <v>_none_</v>
      </c>
      <c r="B2257" t="str">
        <f>IF(ISERROR(MATCH(0,INDEX(COUNTIF($B$1:B2256,$A$2:$A$4629),0,0),0)),"",INDEX($A$2:$A$4629,MATCH(0,INDEX(COUNTIF($B$1:B2256,$A$2:$A$4629),0,0),0)))</f>
        <v/>
      </c>
      <c r="C2257" t="str">
        <f t="shared" si="35"/>
        <v/>
      </c>
    </row>
    <row r="2258" spans="1:3" x14ac:dyDescent="0.25">
      <c r="A2258" t="str">
        <f>IF(Scan2VK!P124&lt;&gt;"",Scan2VK!P124,"")</f>
        <v>_none_</v>
      </c>
      <c r="B2258" t="str">
        <f>IF(ISERROR(MATCH(0,INDEX(COUNTIF($B$1:B2257,$A$2:$A$4629),0,0),0)),"",INDEX($A$2:$A$4629,MATCH(0,INDEX(COUNTIF($B$1:B2257,$A$2:$A$4629),0,0),0)))</f>
        <v/>
      </c>
      <c r="C2258" t="str">
        <f t="shared" si="35"/>
        <v/>
      </c>
    </row>
    <row r="2259" spans="1:3" x14ac:dyDescent="0.25">
      <c r="A2259" t="str">
        <f>IF(Scan2VK!P125&lt;&gt;"",Scan2VK!P125,"")</f>
        <v>OEM_PA1</v>
      </c>
      <c r="B2259" t="str">
        <f>IF(ISERROR(MATCH(0,INDEX(COUNTIF($B$1:B2258,$A$2:$A$4629),0,0),0)),"",INDEX($A$2:$A$4629,MATCH(0,INDEX(COUNTIF($B$1:B2258,$A$2:$A$4629),0,0),0)))</f>
        <v/>
      </c>
      <c r="C2259" t="str">
        <f t="shared" si="35"/>
        <v/>
      </c>
    </row>
    <row r="2260" spans="1:3" x14ac:dyDescent="0.25">
      <c r="A2260" t="str">
        <f>IF(Scan2VK!P126&lt;&gt;"",Scan2VK!P126,"")</f>
        <v>TAB</v>
      </c>
      <c r="B2260" t="str">
        <f>IF(ISERROR(MATCH(0,INDEX(COUNTIF($B$1:B2259,$A$2:$A$4629),0,0),0)),"",INDEX($A$2:$A$4629,MATCH(0,INDEX(COUNTIF($B$1:B2259,$A$2:$A$4629),0,0),0)))</f>
        <v/>
      </c>
      <c r="C2260" t="str">
        <f t="shared" si="35"/>
        <v/>
      </c>
    </row>
    <row r="2261" spans="1:3" x14ac:dyDescent="0.25">
      <c r="A2261" t="str">
        <f>IF(Scan2VK!P127&lt;&gt;"",Scan2VK!P127,"")</f>
        <v>_none_</v>
      </c>
      <c r="B2261" t="str">
        <f>IF(ISERROR(MATCH(0,INDEX(COUNTIF($B$1:B2260,$A$2:$A$4629),0,0),0)),"",INDEX($A$2:$A$4629,MATCH(0,INDEX(COUNTIF($B$1:B2260,$A$2:$A$4629),0,0),0)))</f>
        <v/>
      </c>
      <c r="C2261" t="str">
        <f t="shared" si="35"/>
        <v/>
      </c>
    </row>
    <row r="2262" spans="1:3" x14ac:dyDescent="0.25">
      <c r="A2262" t="str">
        <f>IF(Scan2VK!P128&lt;&gt;"",Scan2VK!P128,"")</f>
        <v>ABNT_C2</v>
      </c>
      <c r="B2262" t="str">
        <f>IF(ISERROR(MATCH(0,INDEX(COUNTIF($B$1:B2261,$A$2:$A$4629),0,0),0)),"",INDEX($A$2:$A$4629,MATCH(0,INDEX(COUNTIF($B$1:B2261,$A$2:$A$4629),0,0),0)))</f>
        <v/>
      </c>
      <c r="C2262" t="str">
        <f t="shared" si="35"/>
        <v/>
      </c>
    </row>
    <row r="2263" spans="1:3" x14ac:dyDescent="0.25">
      <c r="A2263" t="str">
        <f>IF(Scan2VK!P129&lt;&gt;"",Scan2VK!P129,"")</f>
        <v>OEM_PA2</v>
      </c>
      <c r="B2263" t="str">
        <f>IF(ISERROR(MATCH(0,INDEX(COUNTIF($B$1:B2262,$A$2:$A$4629),0,0),0)),"",INDEX($A$2:$A$4629,MATCH(0,INDEX(COUNTIF($B$1:B2262,$A$2:$A$4629),0,0),0)))</f>
        <v/>
      </c>
      <c r="C2263" t="str">
        <f t="shared" si="35"/>
        <v/>
      </c>
    </row>
    <row r="2264" spans="1:3" x14ac:dyDescent="0.25">
      <c r="A2264" t="str">
        <f>IF(Scan2VK!P130&lt;&gt;"",Scan2VK!P130,"")</f>
        <v/>
      </c>
      <c r="B2264" t="str">
        <f>IF(ISERROR(MATCH(0,INDEX(COUNTIF($B$1:B2263,$A$2:$A$4629),0,0),0)),"",INDEX($A$2:$A$4629,MATCH(0,INDEX(COUNTIF($B$1:B2263,$A$2:$A$4629),0,0),0)))</f>
        <v/>
      </c>
      <c r="C2264" t="str">
        <f t="shared" si="35"/>
        <v/>
      </c>
    </row>
    <row r="2265" spans="1:3" x14ac:dyDescent="0.25">
      <c r="A2265" t="str">
        <f>IF(Scan2VK!P131&lt;&gt;"",Scan2VK!P131,"")</f>
        <v>MEDIA_PREV_TRACK</v>
      </c>
      <c r="B2265" t="str">
        <f>IF(ISERROR(MATCH(0,INDEX(COUNTIF($B$1:B2264,$A$2:$A$4629),0,0),0)),"",INDEX($A$2:$A$4629,MATCH(0,INDEX(COUNTIF($B$1:B2264,$A$2:$A$4629),0,0),0)))</f>
        <v/>
      </c>
      <c r="C2265" t="str">
        <f t="shared" si="35"/>
        <v/>
      </c>
    </row>
    <row r="2266" spans="1:3" x14ac:dyDescent="0.25">
      <c r="A2266" t="str">
        <f>IF(Scan2VK!P132&lt;&gt;"",Scan2VK!P132,"")</f>
        <v>MEDIA_NEXT_TRACK</v>
      </c>
      <c r="B2266" t="str">
        <f>IF(ISERROR(MATCH(0,INDEX(COUNTIF($B$1:B2265,$A$2:$A$4629),0,0),0)),"",INDEX($A$2:$A$4629,MATCH(0,INDEX(COUNTIF($B$1:B2265,$A$2:$A$4629),0,0),0)))</f>
        <v/>
      </c>
      <c r="C2266" t="str">
        <f t="shared" si="35"/>
        <v/>
      </c>
    </row>
    <row r="2267" spans="1:3" x14ac:dyDescent="0.25">
      <c r="A2267" t="str">
        <f>IF(Scan2VK!P133&lt;&gt;"",Scan2VK!P133,"")</f>
        <v>RETURN</v>
      </c>
      <c r="B2267" t="str">
        <f>IF(ISERROR(MATCH(0,INDEX(COUNTIF($B$1:B2266,$A$2:$A$4629),0,0),0)),"",INDEX($A$2:$A$4629,MATCH(0,INDEX(COUNTIF($B$1:B2266,$A$2:$A$4629),0,0),0)))</f>
        <v/>
      </c>
      <c r="C2267" t="str">
        <f t="shared" si="35"/>
        <v/>
      </c>
    </row>
    <row r="2268" spans="1:3" x14ac:dyDescent="0.25">
      <c r="A2268" t="str">
        <f>IF(Scan2VK!P134&lt;&gt;"",Scan2VK!P134,"")</f>
        <v>RCONTROL</v>
      </c>
      <c r="B2268" t="str">
        <f>IF(ISERROR(MATCH(0,INDEX(COUNTIF($B$1:B2267,$A$2:$A$4629),0,0),0)),"",INDEX($A$2:$A$4629,MATCH(0,INDEX(COUNTIF($B$1:B2267,$A$2:$A$4629),0,0),0)))</f>
        <v/>
      </c>
      <c r="C2268" t="str">
        <f t="shared" si="35"/>
        <v/>
      </c>
    </row>
    <row r="2269" spans="1:3" x14ac:dyDescent="0.25">
      <c r="A2269" t="str">
        <f>IF(Scan2VK!P135&lt;&gt;"",Scan2VK!P135,"")</f>
        <v>VOLUME_MUTE</v>
      </c>
      <c r="B2269" t="str">
        <f>IF(ISERROR(MATCH(0,INDEX(COUNTIF($B$1:B2268,$A$2:$A$4629),0,0),0)),"",INDEX($A$2:$A$4629,MATCH(0,INDEX(COUNTIF($B$1:B2268,$A$2:$A$4629),0,0),0)))</f>
        <v/>
      </c>
      <c r="C2269" t="str">
        <f t="shared" si="35"/>
        <v/>
      </c>
    </row>
    <row r="2270" spans="1:3" x14ac:dyDescent="0.25">
      <c r="A2270" t="str">
        <f>IF(Scan2VK!P136&lt;&gt;"",Scan2VK!P136,"")</f>
        <v>LAUNCH_APP2</v>
      </c>
      <c r="B2270" t="str">
        <f>IF(ISERROR(MATCH(0,INDEX(COUNTIF($B$1:B2269,$A$2:$A$4629),0,0),0)),"",INDEX($A$2:$A$4629,MATCH(0,INDEX(COUNTIF($B$1:B2269,$A$2:$A$4629),0,0),0)))</f>
        <v/>
      </c>
      <c r="C2270" t="str">
        <f t="shared" si="35"/>
        <v/>
      </c>
    </row>
    <row r="2271" spans="1:3" x14ac:dyDescent="0.25">
      <c r="A2271" t="str">
        <f>IF(Scan2VK!P137&lt;&gt;"",Scan2VK!P137,"")</f>
        <v>MEDIA_PLAY_PAUSE</v>
      </c>
      <c r="B2271" t="str">
        <f>IF(ISERROR(MATCH(0,INDEX(COUNTIF($B$1:B2270,$A$2:$A$4629),0,0),0)),"",INDEX($A$2:$A$4629,MATCH(0,INDEX(COUNTIF($B$1:B2270,$A$2:$A$4629),0,0),0)))</f>
        <v/>
      </c>
      <c r="C2271" t="str">
        <f t="shared" si="35"/>
        <v/>
      </c>
    </row>
    <row r="2272" spans="1:3" x14ac:dyDescent="0.25">
      <c r="A2272" t="str">
        <f>IF(Scan2VK!P138&lt;&gt;"",Scan2VK!P138,"")</f>
        <v>MEDIA_STOP</v>
      </c>
      <c r="B2272" t="str">
        <f>IF(ISERROR(MATCH(0,INDEX(COUNTIF($B$1:B2271,$A$2:$A$4629),0,0),0)),"",INDEX($A$2:$A$4629,MATCH(0,INDEX(COUNTIF($B$1:B2271,$A$2:$A$4629),0,0),0)))</f>
        <v/>
      </c>
      <c r="C2272" t="str">
        <f t="shared" si="35"/>
        <v/>
      </c>
    </row>
    <row r="2273" spans="1:3" x14ac:dyDescent="0.25">
      <c r="A2273" t="str">
        <f>IF(Scan2VK!P139&lt;&gt;"",Scan2VK!P139,"")</f>
        <v>VOLUME_DOWN</v>
      </c>
      <c r="B2273" t="str">
        <f>IF(ISERROR(MATCH(0,INDEX(COUNTIF($B$1:B2272,$A$2:$A$4629),0,0),0)),"",INDEX($A$2:$A$4629,MATCH(0,INDEX(COUNTIF($B$1:B2272,$A$2:$A$4629),0,0),0)))</f>
        <v/>
      </c>
      <c r="C2273" t="str">
        <f t="shared" si="35"/>
        <v/>
      </c>
    </row>
    <row r="2274" spans="1:3" x14ac:dyDescent="0.25">
      <c r="A2274" t="str">
        <f>IF(Scan2VK!P140&lt;&gt;"",Scan2VK!P140,"")</f>
        <v>VOLUME_UP</v>
      </c>
      <c r="B2274" t="str">
        <f>IF(ISERROR(MATCH(0,INDEX(COUNTIF($B$1:B2273,$A$2:$A$4629),0,0),0)),"",INDEX($A$2:$A$4629,MATCH(0,INDEX(COUNTIF($B$1:B2273,$A$2:$A$4629),0,0),0)))</f>
        <v/>
      </c>
      <c r="C2274" t="str">
        <f t="shared" si="35"/>
        <v/>
      </c>
    </row>
    <row r="2275" spans="1:3" x14ac:dyDescent="0.25">
      <c r="A2275" t="str">
        <f>IF(Scan2VK!P141&lt;&gt;"",Scan2VK!P141,"")</f>
        <v>BROWSER_HOME</v>
      </c>
      <c r="B2275" t="str">
        <f>IF(ISERROR(MATCH(0,INDEX(COUNTIF($B$1:B2274,$A$2:$A$4629),0,0),0)),"",INDEX($A$2:$A$4629,MATCH(0,INDEX(COUNTIF($B$1:B2274,$A$2:$A$4629),0,0),0)))</f>
        <v/>
      </c>
      <c r="C2275" t="str">
        <f t="shared" si="35"/>
        <v/>
      </c>
    </row>
    <row r="2276" spans="1:3" x14ac:dyDescent="0.25">
      <c r="A2276" t="str">
        <f>IF(Scan2VK!P142&lt;&gt;"",Scan2VK!P142,"")</f>
        <v>_none_</v>
      </c>
      <c r="B2276" t="str">
        <f>IF(ISERROR(MATCH(0,INDEX(COUNTIF($B$1:B2275,$A$2:$A$4629),0,0),0)),"",INDEX($A$2:$A$4629,MATCH(0,INDEX(COUNTIF($B$1:B2275,$A$2:$A$4629),0,0),0)))</f>
        <v/>
      </c>
      <c r="C2276" t="str">
        <f t="shared" si="35"/>
        <v/>
      </c>
    </row>
    <row r="2277" spans="1:3" x14ac:dyDescent="0.25">
      <c r="A2277" t="str">
        <f>IF(Scan2VK!P143&lt;&gt;"",Scan2VK!P143,"")</f>
        <v>DIVIDE</v>
      </c>
      <c r="B2277" t="str">
        <f>IF(ISERROR(MATCH(0,INDEX(COUNTIF($B$1:B2276,$A$2:$A$4629),0,0),0)),"",INDEX($A$2:$A$4629,MATCH(0,INDEX(COUNTIF($B$1:B2276,$A$2:$A$4629),0,0),0)))</f>
        <v/>
      </c>
      <c r="C2277" t="str">
        <f t="shared" si="35"/>
        <v/>
      </c>
    </row>
    <row r="2278" spans="1:3" x14ac:dyDescent="0.25">
      <c r="A2278" t="str">
        <f>IF(Scan2VK!P144&lt;&gt;"",Scan2VK!P144,"")</f>
        <v>SNAPSHOT</v>
      </c>
      <c r="B2278" t="str">
        <f>IF(ISERROR(MATCH(0,INDEX(COUNTIF($B$1:B2277,$A$2:$A$4629),0,0),0)),"",INDEX($A$2:$A$4629,MATCH(0,INDEX(COUNTIF($B$1:B2277,$A$2:$A$4629),0,0),0)))</f>
        <v/>
      </c>
      <c r="C2278" t="str">
        <f t="shared" si="35"/>
        <v/>
      </c>
    </row>
    <row r="2279" spans="1:3" x14ac:dyDescent="0.25">
      <c r="A2279" t="str">
        <f>IF(Scan2VK!P145&lt;&gt;"",Scan2VK!P145,"")</f>
        <v>RMENU</v>
      </c>
      <c r="B2279" t="str">
        <f>IF(ISERROR(MATCH(0,INDEX(COUNTIF($B$1:B2278,$A$2:$A$4629),0,0),0)),"",INDEX($A$2:$A$4629,MATCH(0,INDEX(COUNTIF($B$1:B2278,$A$2:$A$4629),0,0),0)))</f>
        <v/>
      </c>
      <c r="C2279" t="str">
        <f t="shared" si="35"/>
        <v/>
      </c>
    </row>
    <row r="2280" spans="1:3" x14ac:dyDescent="0.25">
      <c r="A2280" t="str">
        <f>IF(Scan2VK!P146&lt;&gt;"",Scan2VK!P146,"")</f>
        <v/>
      </c>
      <c r="B2280" t="str">
        <f>IF(ISERROR(MATCH(0,INDEX(COUNTIF($B$1:B2279,$A$2:$A$4629),0,0),0)),"",INDEX($A$2:$A$4629,MATCH(0,INDEX(COUNTIF($B$1:B2279,$A$2:$A$4629),0,0),0)))</f>
        <v/>
      </c>
      <c r="C2280" t="str">
        <f t="shared" si="35"/>
        <v/>
      </c>
    </row>
    <row r="2281" spans="1:3" x14ac:dyDescent="0.25">
      <c r="A2281" t="str">
        <f>IF(Scan2VK!P147&lt;&gt;"",Scan2VK!P147,"")</f>
        <v/>
      </c>
      <c r="B2281" t="str">
        <f>IF(ISERROR(MATCH(0,INDEX(COUNTIF($B$1:B2280,$A$2:$A$4629),0,0),0)),"",INDEX($A$2:$A$4629,MATCH(0,INDEX(COUNTIF($B$1:B2280,$A$2:$A$4629),0,0),0)))</f>
        <v/>
      </c>
      <c r="C2281" t="str">
        <f t="shared" si="35"/>
        <v/>
      </c>
    </row>
    <row r="2282" spans="1:3" x14ac:dyDescent="0.25">
      <c r="A2282" t="str">
        <f>IF(Scan2VK!P148&lt;&gt;"",Scan2VK!P148,"")</f>
        <v/>
      </c>
      <c r="B2282" t="str">
        <f>IF(ISERROR(MATCH(0,INDEX(COUNTIF($B$1:B2281,$A$2:$A$4629),0,0),0)),"",INDEX($A$2:$A$4629,MATCH(0,INDEX(COUNTIF($B$1:B2281,$A$2:$A$4629),0,0),0)))</f>
        <v/>
      </c>
      <c r="C2282" t="str">
        <f t="shared" si="35"/>
        <v/>
      </c>
    </row>
    <row r="2283" spans="1:3" x14ac:dyDescent="0.25">
      <c r="A2283" t="str">
        <f>IF(Scan2VK!P149&lt;&gt;"",Scan2VK!P149,"")</f>
        <v/>
      </c>
      <c r="B2283" t="str">
        <f>IF(ISERROR(MATCH(0,INDEX(COUNTIF($B$1:B2282,$A$2:$A$4629),0,0),0)),"",INDEX($A$2:$A$4629,MATCH(0,INDEX(COUNTIF($B$1:B2282,$A$2:$A$4629),0,0),0)))</f>
        <v/>
      </c>
      <c r="C2283" t="str">
        <f t="shared" si="35"/>
        <v/>
      </c>
    </row>
    <row r="2284" spans="1:3" x14ac:dyDescent="0.25">
      <c r="A2284" t="str">
        <f>IF(Scan2VK!P150&lt;&gt;"",Scan2VK!P150,"")</f>
        <v/>
      </c>
      <c r="B2284" t="str">
        <f>IF(ISERROR(MATCH(0,INDEX(COUNTIF($B$1:B2283,$A$2:$A$4629),0,0),0)),"",INDEX($A$2:$A$4629,MATCH(0,INDEX(COUNTIF($B$1:B2283,$A$2:$A$4629),0,0),0)))</f>
        <v/>
      </c>
      <c r="C2284" t="str">
        <f t="shared" si="35"/>
        <v/>
      </c>
    </row>
    <row r="2285" spans="1:3" x14ac:dyDescent="0.25">
      <c r="A2285" t="str">
        <f>IF(Scan2VK!P151&lt;&gt;"",Scan2VK!P151,"")</f>
        <v>_none_</v>
      </c>
      <c r="B2285" t="str">
        <f>IF(ISERROR(MATCH(0,INDEX(COUNTIF($B$1:B2284,$A$2:$A$4629),0,0),0)),"",INDEX($A$2:$A$4629,MATCH(0,INDEX(COUNTIF($B$1:B2284,$A$2:$A$4629),0,0),0)))</f>
        <v/>
      </c>
      <c r="C2285" t="str">
        <f t="shared" si="35"/>
        <v/>
      </c>
    </row>
    <row r="2286" spans="1:3" x14ac:dyDescent="0.25">
      <c r="A2286" t="str">
        <f>IF(Scan2VK!P152&lt;&gt;"",Scan2VK!P152,"")</f>
        <v>_none_</v>
      </c>
      <c r="B2286" t="str">
        <f>IF(ISERROR(MATCH(0,INDEX(COUNTIF($B$1:B2285,$A$2:$A$4629),0,0),0)),"",INDEX($A$2:$A$4629,MATCH(0,INDEX(COUNTIF($B$1:B2285,$A$2:$A$4629),0,0),0)))</f>
        <v/>
      </c>
      <c r="C2286" t="str">
        <f t="shared" si="35"/>
        <v/>
      </c>
    </row>
    <row r="2287" spans="1:3" x14ac:dyDescent="0.25">
      <c r="A2287" t="str">
        <f>IF(Scan2VK!P153&lt;&gt;"",Scan2VK!P153,"")</f>
        <v>_none_</v>
      </c>
      <c r="B2287" t="str">
        <f>IF(ISERROR(MATCH(0,INDEX(COUNTIF($B$1:B2286,$A$2:$A$4629),0,0),0)),"",INDEX($A$2:$A$4629,MATCH(0,INDEX(COUNTIF($B$1:B2286,$A$2:$A$4629),0,0),0)))</f>
        <v/>
      </c>
      <c r="C2287" t="str">
        <f t="shared" si="35"/>
        <v/>
      </c>
    </row>
    <row r="2288" spans="1:3" x14ac:dyDescent="0.25">
      <c r="A2288" t="str">
        <f>IF(Scan2VK!P154&lt;&gt;"",Scan2VK!P154,"")</f>
        <v>CANCEL</v>
      </c>
      <c r="B2288" t="str">
        <f>IF(ISERROR(MATCH(0,INDEX(COUNTIF($B$1:B2287,$A$2:$A$4629),0,0),0)),"",INDEX($A$2:$A$4629,MATCH(0,INDEX(COUNTIF($B$1:B2287,$A$2:$A$4629),0,0),0)))</f>
        <v/>
      </c>
      <c r="C2288" t="str">
        <f t="shared" si="35"/>
        <v/>
      </c>
    </row>
    <row r="2289" spans="1:3" x14ac:dyDescent="0.25">
      <c r="A2289" t="str">
        <f>IF(Scan2VK!P155&lt;&gt;"",Scan2VK!P155,"")</f>
        <v>HOME</v>
      </c>
      <c r="B2289" t="str">
        <f>IF(ISERROR(MATCH(0,INDEX(COUNTIF($B$1:B2288,$A$2:$A$4629),0,0),0)),"",INDEX($A$2:$A$4629,MATCH(0,INDEX(COUNTIF($B$1:B2288,$A$2:$A$4629),0,0),0)))</f>
        <v/>
      </c>
      <c r="C2289" t="str">
        <f t="shared" si="35"/>
        <v/>
      </c>
    </row>
    <row r="2290" spans="1:3" x14ac:dyDescent="0.25">
      <c r="A2290" t="str">
        <f>IF(Scan2VK!P156&lt;&gt;"",Scan2VK!P156,"")</f>
        <v>UP</v>
      </c>
      <c r="B2290" t="str">
        <f>IF(ISERROR(MATCH(0,INDEX(COUNTIF($B$1:B2289,$A$2:$A$4629),0,0),0)),"",INDEX($A$2:$A$4629,MATCH(0,INDEX(COUNTIF($B$1:B2289,$A$2:$A$4629),0,0),0)))</f>
        <v/>
      </c>
      <c r="C2290" t="str">
        <f t="shared" si="35"/>
        <v/>
      </c>
    </row>
    <row r="2291" spans="1:3" x14ac:dyDescent="0.25">
      <c r="A2291" t="str">
        <f>IF(Scan2VK!P157&lt;&gt;"",Scan2VK!P157,"")</f>
        <v>PRIOR</v>
      </c>
      <c r="B2291" t="str">
        <f>IF(ISERROR(MATCH(0,INDEX(COUNTIF($B$1:B2290,$A$2:$A$4629),0,0),0)),"",INDEX($A$2:$A$4629,MATCH(0,INDEX(COUNTIF($B$1:B2290,$A$2:$A$4629),0,0),0)))</f>
        <v/>
      </c>
      <c r="C2291" t="str">
        <f t="shared" si="35"/>
        <v/>
      </c>
    </row>
    <row r="2292" spans="1:3" x14ac:dyDescent="0.25">
      <c r="A2292" t="str">
        <f>IF(Scan2VK!P158&lt;&gt;"",Scan2VK!P158,"")</f>
        <v>LEFT</v>
      </c>
      <c r="B2292" t="str">
        <f>IF(ISERROR(MATCH(0,INDEX(COUNTIF($B$1:B2291,$A$2:$A$4629),0,0),0)),"",INDEX($A$2:$A$4629,MATCH(0,INDEX(COUNTIF($B$1:B2291,$A$2:$A$4629),0,0),0)))</f>
        <v/>
      </c>
      <c r="C2292" t="str">
        <f t="shared" si="35"/>
        <v/>
      </c>
    </row>
    <row r="2293" spans="1:3" x14ac:dyDescent="0.25">
      <c r="A2293" t="str">
        <f>IF(Scan2VK!P159&lt;&gt;"",Scan2VK!P159,"")</f>
        <v>RIGHT</v>
      </c>
      <c r="B2293" t="str">
        <f>IF(ISERROR(MATCH(0,INDEX(COUNTIF($B$1:B2292,$A$2:$A$4629),0,0),0)),"",INDEX($A$2:$A$4629,MATCH(0,INDEX(COUNTIF($B$1:B2292,$A$2:$A$4629),0,0),0)))</f>
        <v/>
      </c>
      <c r="C2293" t="str">
        <f t="shared" si="35"/>
        <v/>
      </c>
    </row>
    <row r="2294" spans="1:3" x14ac:dyDescent="0.25">
      <c r="A2294" t="str">
        <f>IF(Scan2VK!P160&lt;&gt;"",Scan2VK!P160,"")</f>
        <v>END</v>
      </c>
      <c r="B2294" t="str">
        <f>IF(ISERROR(MATCH(0,INDEX(COUNTIF($B$1:B2293,$A$2:$A$4629),0,0),0)),"",INDEX($A$2:$A$4629,MATCH(0,INDEX(COUNTIF($B$1:B2293,$A$2:$A$4629),0,0),0)))</f>
        <v/>
      </c>
      <c r="C2294" t="str">
        <f t="shared" si="35"/>
        <v/>
      </c>
    </row>
    <row r="2295" spans="1:3" x14ac:dyDescent="0.25">
      <c r="A2295" t="str">
        <f>IF(Scan2VK!P161&lt;&gt;"",Scan2VK!P161,"")</f>
        <v>DOWN</v>
      </c>
      <c r="B2295" t="str">
        <f>IF(ISERROR(MATCH(0,INDEX(COUNTIF($B$1:B2294,$A$2:$A$4629),0,0),0)),"",INDEX($A$2:$A$4629,MATCH(0,INDEX(COUNTIF($B$1:B2294,$A$2:$A$4629),0,0),0)))</f>
        <v/>
      </c>
      <c r="C2295" t="str">
        <f t="shared" si="35"/>
        <v/>
      </c>
    </row>
    <row r="2296" spans="1:3" x14ac:dyDescent="0.25">
      <c r="A2296" t="str">
        <f>IF(Scan2VK!P162&lt;&gt;"",Scan2VK!P162,"")</f>
        <v>NEXT</v>
      </c>
      <c r="B2296" t="str">
        <f>IF(ISERROR(MATCH(0,INDEX(COUNTIF($B$1:B2295,$A$2:$A$4629),0,0),0)),"",INDEX($A$2:$A$4629,MATCH(0,INDEX(COUNTIF($B$1:B2295,$A$2:$A$4629),0,0),0)))</f>
        <v/>
      </c>
      <c r="C2296" t="str">
        <f t="shared" si="35"/>
        <v/>
      </c>
    </row>
    <row r="2297" spans="1:3" x14ac:dyDescent="0.25">
      <c r="A2297" t="str">
        <f>IF(Scan2VK!P163&lt;&gt;"",Scan2VK!P163,"")</f>
        <v>INSERT</v>
      </c>
      <c r="B2297" t="str">
        <f>IF(ISERROR(MATCH(0,INDEX(COUNTIF($B$1:B2296,$A$2:$A$4629),0,0),0)),"",INDEX($A$2:$A$4629,MATCH(0,INDEX(COUNTIF($B$1:B2296,$A$2:$A$4629),0,0),0)))</f>
        <v/>
      </c>
      <c r="C2297" t="str">
        <f t="shared" si="35"/>
        <v/>
      </c>
    </row>
    <row r="2298" spans="1:3" x14ac:dyDescent="0.25">
      <c r="A2298" t="str">
        <f>IF(Scan2VK!P164&lt;&gt;"",Scan2VK!P164,"")</f>
        <v>DELETE</v>
      </c>
      <c r="B2298" t="str">
        <f>IF(ISERROR(MATCH(0,INDEX(COUNTIF($B$1:B2297,$A$2:$A$4629),0,0),0)),"",INDEX($A$2:$A$4629,MATCH(0,INDEX(COUNTIF($B$1:B2297,$A$2:$A$4629),0,0),0)))</f>
        <v/>
      </c>
      <c r="C2298" t="str">
        <f t="shared" si="35"/>
        <v/>
      </c>
    </row>
    <row r="2299" spans="1:3" x14ac:dyDescent="0.25">
      <c r="A2299" t="str">
        <f>IF(Scan2VK!P165&lt;&gt;"",Scan2VK!P165,"")</f>
        <v>LWIN</v>
      </c>
      <c r="B2299" t="str">
        <f>IF(ISERROR(MATCH(0,INDEX(COUNTIF($B$1:B2298,$A$2:$A$4629),0,0),0)),"",INDEX($A$2:$A$4629,MATCH(0,INDEX(COUNTIF($B$1:B2298,$A$2:$A$4629),0,0),0)))</f>
        <v/>
      </c>
      <c r="C2299" t="str">
        <f t="shared" si="35"/>
        <v/>
      </c>
    </row>
    <row r="2300" spans="1:3" x14ac:dyDescent="0.25">
      <c r="A2300" t="str">
        <f>IF(Scan2VK!P166&lt;&gt;"",Scan2VK!P166,"")</f>
        <v>RWIN</v>
      </c>
      <c r="B2300" t="str">
        <f>IF(ISERROR(MATCH(0,INDEX(COUNTIF($B$1:B2299,$A$2:$A$4629),0,0),0)),"",INDEX($A$2:$A$4629,MATCH(0,INDEX(COUNTIF($B$1:B2299,$A$2:$A$4629),0,0),0)))</f>
        <v/>
      </c>
      <c r="C2300" t="str">
        <f t="shared" si="35"/>
        <v/>
      </c>
    </row>
    <row r="2301" spans="1:3" x14ac:dyDescent="0.25">
      <c r="A2301" t="str">
        <f>IF(Scan2VK!P167&lt;&gt;"",Scan2VK!P167,"")</f>
        <v>APPS</v>
      </c>
      <c r="B2301" t="str">
        <f>IF(ISERROR(MATCH(0,INDEX(COUNTIF($B$1:B2300,$A$2:$A$4629),0,0),0)),"",INDEX($A$2:$A$4629,MATCH(0,INDEX(COUNTIF($B$1:B2300,$A$2:$A$4629),0,0),0)))</f>
        <v/>
      </c>
      <c r="C2301" t="str">
        <f t="shared" si="35"/>
        <v/>
      </c>
    </row>
    <row r="2302" spans="1:3" x14ac:dyDescent="0.25">
      <c r="A2302" t="str">
        <f>IF(Scan2VK!P168&lt;&gt;"",Scan2VK!P168,"")</f>
        <v>POWER</v>
      </c>
      <c r="B2302" t="str">
        <f>IF(ISERROR(MATCH(0,INDEX(COUNTIF($B$1:B2301,$A$2:$A$4629),0,0),0)),"",INDEX($A$2:$A$4629,MATCH(0,INDEX(COUNTIF($B$1:B2301,$A$2:$A$4629),0,0),0)))</f>
        <v/>
      </c>
      <c r="C2302" t="str">
        <f t="shared" si="35"/>
        <v/>
      </c>
    </row>
    <row r="2303" spans="1:3" x14ac:dyDescent="0.25">
      <c r="A2303" t="str">
        <f>IF(Scan2VK!P169&lt;&gt;"",Scan2VK!P169,"")</f>
        <v>SLEEP</v>
      </c>
      <c r="B2303" t="str">
        <f>IF(ISERROR(MATCH(0,INDEX(COUNTIF($B$1:B2302,$A$2:$A$4629),0,0),0)),"",INDEX($A$2:$A$4629,MATCH(0,INDEX(COUNTIF($B$1:B2302,$A$2:$A$4629),0,0),0)))</f>
        <v/>
      </c>
      <c r="C2303" t="str">
        <f t="shared" si="35"/>
        <v/>
      </c>
    </row>
    <row r="2304" spans="1:3" x14ac:dyDescent="0.25">
      <c r="A2304" t="str">
        <f>IF(Scan2VK!P170&lt;&gt;"",Scan2VK!P170,"")</f>
        <v/>
      </c>
      <c r="B2304" t="str">
        <f>IF(ISERROR(MATCH(0,INDEX(COUNTIF($B$1:B2303,$A$2:$A$4629),0,0),0)),"",INDEX($A$2:$A$4629,MATCH(0,INDEX(COUNTIF($B$1:B2303,$A$2:$A$4629),0,0),0)))</f>
        <v/>
      </c>
      <c r="C2304" t="str">
        <f t="shared" si="35"/>
        <v/>
      </c>
    </row>
    <row r="2305" spans="1:3" x14ac:dyDescent="0.25">
      <c r="A2305" t="str">
        <f>IF(Scan2VK!P171&lt;&gt;"",Scan2VK!P171,"")</f>
        <v/>
      </c>
      <c r="B2305" t="str">
        <f>IF(ISERROR(MATCH(0,INDEX(COUNTIF($B$1:B2304,$A$2:$A$4629),0,0),0)),"",INDEX($A$2:$A$4629,MATCH(0,INDEX(COUNTIF($B$1:B2304,$A$2:$A$4629),0,0),0)))</f>
        <v/>
      </c>
      <c r="C2305" t="str">
        <f t="shared" si="35"/>
        <v/>
      </c>
    </row>
    <row r="2306" spans="1:3" x14ac:dyDescent="0.25">
      <c r="A2306" t="str">
        <f>IF(Scan2VK!P172&lt;&gt;"",Scan2VK!P172,"")</f>
        <v/>
      </c>
      <c r="B2306" t="str">
        <f>IF(ISERROR(MATCH(0,INDEX(COUNTIF($B$1:B2305,$A$2:$A$4629),0,0),0)),"",INDEX($A$2:$A$4629,MATCH(0,INDEX(COUNTIF($B$1:B2305,$A$2:$A$4629),0,0),0)))</f>
        <v/>
      </c>
      <c r="C2306" t="str">
        <f t="shared" si="35"/>
        <v/>
      </c>
    </row>
    <row r="2307" spans="1:3" x14ac:dyDescent="0.25">
      <c r="A2307" t="str">
        <f>IF(Scan2VK!P173&lt;&gt;"",Scan2VK!P173,"")</f>
        <v/>
      </c>
      <c r="B2307" t="str">
        <f>IF(ISERROR(MATCH(0,INDEX(COUNTIF($B$1:B2306,$A$2:$A$4629),0,0),0)),"",INDEX($A$2:$A$4629,MATCH(0,INDEX(COUNTIF($B$1:B2306,$A$2:$A$4629),0,0),0)))</f>
        <v/>
      </c>
      <c r="C2307" t="str">
        <f t="shared" ref="C2307:C2370" si="36">IF(B2307&lt;&gt;"","&lt;xs:enumeration value="""&amp;B2307&amp;"""/&gt;","")</f>
        <v/>
      </c>
    </row>
    <row r="2308" spans="1:3" x14ac:dyDescent="0.25">
      <c r="A2308" t="str">
        <f>IF(Scan2VK!P174&lt;&gt;"",Scan2VK!P174,"")</f>
        <v/>
      </c>
      <c r="B2308" t="str">
        <f>IF(ISERROR(MATCH(0,INDEX(COUNTIF($B$1:B2307,$A$2:$A$4629),0,0),0)),"",INDEX($A$2:$A$4629,MATCH(0,INDEX(COUNTIF($B$1:B2307,$A$2:$A$4629),0,0),0)))</f>
        <v/>
      </c>
      <c r="C2308" t="str">
        <f t="shared" si="36"/>
        <v/>
      </c>
    </row>
    <row r="2309" spans="1:3" x14ac:dyDescent="0.25">
      <c r="A2309" t="str">
        <f>IF(Scan2VK!P175&lt;&gt;"",Scan2VK!P175,"")</f>
        <v>BROWSER_SEARCH</v>
      </c>
      <c r="B2309" t="str">
        <f>IF(ISERROR(MATCH(0,INDEX(COUNTIF($B$1:B2308,$A$2:$A$4629),0,0),0)),"",INDEX($A$2:$A$4629,MATCH(0,INDEX(COUNTIF($B$1:B2308,$A$2:$A$4629),0,0),0)))</f>
        <v/>
      </c>
      <c r="C2309" t="str">
        <f t="shared" si="36"/>
        <v/>
      </c>
    </row>
    <row r="2310" spans="1:3" x14ac:dyDescent="0.25">
      <c r="A2310" t="str">
        <f>IF(Scan2VK!P176&lt;&gt;"",Scan2VK!P176,"")</f>
        <v>BROWSER_FAVORITES</v>
      </c>
      <c r="B2310" t="str">
        <f>IF(ISERROR(MATCH(0,INDEX(COUNTIF($B$1:B2309,$A$2:$A$4629),0,0),0)),"",INDEX($A$2:$A$4629,MATCH(0,INDEX(COUNTIF($B$1:B2309,$A$2:$A$4629),0,0),0)))</f>
        <v/>
      </c>
      <c r="C2310" t="str">
        <f t="shared" si="36"/>
        <v/>
      </c>
    </row>
    <row r="2311" spans="1:3" x14ac:dyDescent="0.25">
      <c r="A2311" t="str">
        <f>IF(Scan2VK!P177&lt;&gt;"",Scan2VK!P177,"")</f>
        <v>BROWSER_REFRESH</v>
      </c>
      <c r="B2311" t="str">
        <f>IF(ISERROR(MATCH(0,INDEX(COUNTIF($B$1:B2310,$A$2:$A$4629),0,0),0)),"",INDEX($A$2:$A$4629,MATCH(0,INDEX(COUNTIF($B$1:B2310,$A$2:$A$4629),0,0),0)))</f>
        <v/>
      </c>
      <c r="C2311" t="str">
        <f t="shared" si="36"/>
        <v/>
      </c>
    </row>
    <row r="2312" spans="1:3" x14ac:dyDescent="0.25">
      <c r="A2312" t="str">
        <f>IF(Scan2VK!P178&lt;&gt;"",Scan2VK!P178,"")</f>
        <v>BROWSER_STOP</v>
      </c>
      <c r="B2312" t="str">
        <f>IF(ISERROR(MATCH(0,INDEX(COUNTIF($B$1:B2311,$A$2:$A$4629),0,0),0)),"",INDEX($A$2:$A$4629,MATCH(0,INDEX(COUNTIF($B$1:B2311,$A$2:$A$4629),0,0),0)))</f>
        <v/>
      </c>
      <c r="C2312" t="str">
        <f t="shared" si="36"/>
        <v/>
      </c>
    </row>
    <row r="2313" spans="1:3" x14ac:dyDescent="0.25">
      <c r="A2313" t="str">
        <f>IF(Scan2VK!P179&lt;&gt;"",Scan2VK!P179,"")</f>
        <v>BROWSER_FORWARD</v>
      </c>
      <c r="B2313" t="str">
        <f>IF(ISERROR(MATCH(0,INDEX(COUNTIF($B$1:B2312,$A$2:$A$4629),0,0),0)),"",INDEX($A$2:$A$4629,MATCH(0,INDEX(COUNTIF($B$1:B2312,$A$2:$A$4629),0,0),0)))</f>
        <v/>
      </c>
      <c r="C2313" t="str">
        <f t="shared" si="36"/>
        <v/>
      </c>
    </row>
    <row r="2314" spans="1:3" x14ac:dyDescent="0.25">
      <c r="A2314" t="str">
        <f>IF(Scan2VK!P180&lt;&gt;"",Scan2VK!P180,"")</f>
        <v>BROWSER_BACK</v>
      </c>
      <c r="B2314" t="str">
        <f>IF(ISERROR(MATCH(0,INDEX(COUNTIF($B$1:B2313,$A$2:$A$4629),0,0),0)),"",INDEX($A$2:$A$4629,MATCH(0,INDEX(COUNTIF($B$1:B2313,$A$2:$A$4629),0,0),0)))</f>
        <v/>
      </c>
      <c r="C2314" t="str">
        <f t="shared" si="36"/>
        <v/>
      </c>
    </row>
    <row r="2315" spans="1:3" x14ac:dyDescent="0.25">
      <c r="A2315" t="str">
        <f>IF(Scan2VK!P181&lt;&gt;"",Scan2VK!P181,"")</f>
        <v>LAUNCH_APP1</v>
      </c>
      <c r="B2315" t="str">
        <f>IF(ISERROR(MATCH(0,INDEX(COUNTIF($B$1:B2314,$A$2:$A$4629),0,0),0)),"",INDEX($A$2:$A$4629,MATCH(0,INDEX(COUNTIF($B$1:B2314,$A$2:$A$4629),0,0),0)))</f>
        <v/>
      </c>
      <c r="C2315" t="str">
        <f t="shared" si="36"/>
        <v/>
      </c>
    </row>
    <row r="2316" spans="1:3" x14ac:dyDescent="0.25">
      <c r="A2316" t="str">
        <f>IF(Scan2VK!P182&lt;&gt;"",Scan2VK!P182,"")</f>
        <v>LAUNCH_MAIL</v>
      </c>
      <c r="B2316" t="str">
        <f>IF(ISERROR(MATCH(0,INDEX(COUNTIF($B$1:B2315,$A$2:$A$4629),0,0),0)),"",INDEX($A$2:$A$4629,MATCH(0,INDEX(COUNTIF($B$1:B2315,$A$2:$A$4629),0,0),0)))</f>
        <v/>
      </c>
      <c r="C2316" t="str">
        <f t="shared" si="36"/>
        <v/>
      </c>
    </row>
    <row r="2317" spans="1:3" x14ac:dyDescent="0.25">
      <c r="A2317" t="str">
        <f>IF(Scan2VK!P183&lt;&gt;"",Scan2VK!P183,"")</f>
        <v>LAUNCH_MEDIA_SELECT</v>
      </c>
      <c r="B2317" t="str">
        <f>IF(ISERROR(MATCH(0,INDEX(COUNTIF($B$1:B2316,$A$2:$A$4629),0,0),0)),"",INDEX($A$2:$A$4629,MATCH(0,INDEX(COUNTIF($B$1:B2316,$A$2:$A$4629),0,0),0)))</f>
        <v/>
      </c>
      <c r="C2317" t="str">
        <f t="shared" si="36"/>
        <v/>
      </c>
    </row>
    <row r="2318" spans="1:3" x14ac:dyDescent="0.25">
      <c r="A2318" t="str">
        <f>IF(Scan2VK!P184&lt;&gt;"",Scan2VK!P184,"")</f>
        <v/>
      </c>
      <c r="B2318" t="str">
        <f>IF(ISERROR(MATCH(0,INDEX(COUNTIF($B$1:B2317,$A$2:$A$4629),0,0),0)),"",INDEX($A$2:$A$4629,MATCH(0,INDEX(COUNTIF($B$1:B2317,$A$2:$A$4629),0,0),0)))</f>
        <v/>
      </c>
      <c r="C2318" t="str">
        <f t="shared" si="36"/>
        <v/>
      </c>
    </row>
    <row r="2319" spans="1:3" x14ac:dyDescent="0.25">
      <c r="A2319" t="str">
        <f>IF(Scan2VK!P185&lt;&gt;"",Scan2VK!P185,"")</f>
        <v/>
      </c>
      <c r="B2319" t="str">
        <f>IF(ISERROR(MATCH(0,INDEX(COUNTIF($B$1:B2318,$A$2:$A$4629),0,0),0)),"",INDEX($A$2:$A$4629,MATCH(0,INDEX(COUNTIF($B$1:B2318,$A$2:$A$4629),0,0),0)))</f>
        <v/>
      </c>
      <c r="C2319" t="str">
        <f t="shared" si="36"/>
        <v/>
      </c>
    </row>
    <row r="2320" spans="1:3" x14ac:dyDescent="0.25">
      <c r="A2320" t="str">
        <f>IF(Scan2VK!P186&lt;&gt;"",Scan2VK!P186,"")</f>
        <v/>
      </c>
      <c r="B2320" t="str">
        <f>IF(ISERROR(MATCH(0,INDEX(COUNTIF($B$1:B2319,$A$2:$A$4629),0,0),0)),"",INDEX($A$2:$A$4629,MATCH(0,INDEX(COUNTIF($B$1:B2319,$A$2:$A$4629),0,0),0)))</f>
        <v/>
      </c>
      <c r="C2320" t="str">
        <f t="shared" si="36"/>
        <v/>
      </c>
    </row>
    <row r="2321" spans="1:3" x14ac:dyDescent="0.25">
      <c r="A2321" t="str">
        <f>IF(Scan2VK!P187&lt;&gt;"",Scan2VK!P187,"")</f>
        <v/>
      </c>
      <c r="B2321" t="str">
        <f>IF(ISERROR(MATCH(0,INDEX(COUNTIF($B$1:B2320,$A$2:$A$4629),0,0),0)),"",INDEX($A$2:$A$4629,MATCH(0,INDEX(COUNTIF($B$1:B2320,$A$2:$A$4629),0,0),0)))</f>
        <v/>
      </c>
      <c r="C2321" t="str">
        <f t="shared" si="36"/>
        <v/>
      </c>
    </row>
    <row r="2322" spans="1:3" x14ac:dyDescent="0.25">
      <c r="A2322" t="str">
        <f>IF(Scan2VK!P188&lt;&gt;"",Scan2VK!P188,"")</f>
        <v/>
      </c>
      <c r="B2322" t="str">
        <f>IF(ISERROR(MATCH(0,INDEX(COUNTIF($B$1:B2321,$A$2:$A$4629),0,0),0)),"",INDEX($A$2:$A$4629,MATCH(0,INDEX(COUNTIF($B$1:B2321,$A$2:$A$4629),0,0),0)))</f>
        <v/>
      </c>
      <c r="C2322" t="str">
        <f t="shared" si="36"/>
        <v/>
      </c>
    </row>
    <row r="2323" spans="1:3" x14ac:dyDescent="0.25">
      <c r="A2323" t="str">
        <f>IF(Scan2VK!P189&lt;&gt;"",Scan2VK!P189,"")</f>
        <v/>
      </c>
      <c r="B2323" t="str">
        <f>IF(ISERROR(MATCH(0,INDEX(COUNTIF($B$1:B2322,$A$2:$A$4629),0,0),0)),"",INDEX($A$2:$A$4629,MATCH(0,INDEX(COUNTIF($B$1:B2322,$A$2:$A$4629),0,0),0)))</f>
        <v/>
      </c>
      <c r="C2323" t="str">
        <f t="shared" si="36"/>
        <v/>
      </c>
    </row>
    <row r="2324" spans="1:3" x14ac:dyDescent="0.25">
      <c r="A2324" t="str">
        <f>IF(Scan2VK!P190&lt;&gt;"",Scan2VK!P190,"")</f>
        <v/>
      </c>
      <c r="B2324" t="str">
        <f>IF(ISERROR(MATCH(0,INDEX(COUNTIF($B$1:B2323,$A$2:$A$4629),0,0),0)),"",INDEX($A$2:$A$4629,MATCH(0,INDEX(COUNTIF($B$1:B2323,$A$2:$A$4629),0,0),0)))</f>
        <v/>
      </c>
      <c r="C2324" t="str">
        <f t="shared" si="36"/>
        <v/>
      </c>
    </row>
    <row r="2325" spans="1:3" x14ac:dyDescent="0.25">
      <c r="A2325" t="str">
        <f>IF(Scan2VK!P191&lt;&gt;"",Scan2VK!P191,"")</f>
        <v/>
      </c>
      <c r="B2325" t="str">
        <f>IF(ISERROR(MATCH(0,INDEX(COUNTIF($B$1:B2324,$A$2:$A$4629),0,0),0)),"",INDEX($A$2:$A$4629,MATCH(0,INDEX(COUNTIF($B$1:B2324,$A$2:$A$4629),0,0),0)))</f>
        <v/>
      </c>
      <c r="C2325" t="str">
        <f t="shared" si="36"/>
        <v/>
      </c>
    </row>
    <row r="2326" spans="1:3" x14ac:dyDescent="0.25">
      <c r="A2326" t="str">
        <f>IF(Scan2VK!P192&lt;&gt;"",Scan2VK!P192,"")</f>
        <v/>
      </c>
      <c r="B2326" t="str">
        <f>IF(ISERROR(MATCH(0,INDEX(COUNTIF($B$1:B2325,$A$2:$A$4629),0,0),0)),"",INDEX($A$2:$A$4629,MATCH(0,INDEX(COUNTIF($B$1:B2325,$A$2:$A$4629),0,0),0)))</f>
        <v/>
      </c>
      <c r="C2326" t="str">
        <f t="shared" si="36"/>
        <v/>
      </c>
    </row>
    <row r="2327" spans="1:3" x14ac:dyDescent="0.25">
      <c r="A2327" t="str">
        <f>IF(Scan2VK!P193&lt;&gt;"",Scan2VK!P193,"")</f>
        <v>HANJA</v>
      </c>
      <c r="B2327" t="str">
        <f>IF(ISERROR(MATCH(0,INDEX(COUNTIF($B$1:B2326,$A$2:$A$4629),0,0),0)),"",INDEX($A$2:$A$4629,MATCH(0,INDEX(COUNTIF($B$1:B2326,$A$2:$A$4629),0,0),0)))</f>
        <v/>
      </c>
      <c r="C2327" t="str">
        <f t="shared" si="36"/>
        <v/>
      </c>
    </row>
    <row r="2328" spans="1:3" x14ac:dyDescent="0.25">
      <c r="A2328" t="str">
        <f>IF(Scan2VK!P194&lt;&gt;"",Scan2VK!P194,"")</f>
        <v>HANGEUL</v>
      </c>
      <c r="B2328" t="str">
        <f>IF(ISERROR(MATCH(0,INDEX(COUNTIF($B$1:B2327,$A$2:$A$4629),0,0),0)),"",INDEX($A$2:$A$4629,MATCH(0,INDEX(COUNTIF($B$1:B2327,$A$2:$A$4629),0,0),0)))</f>
        <v/>
      </c>
      <c r="C2328" t="str">
        <f t="shared" si="36"/>
        <v/>
      </c>
    </row>
    <row r="2329" spans="1:3" x14ac:dyDescent="0.25">
      <c r="A2329" t="str">
        <f>IF(Scan2VK!P195&lt;&gt;"",Scan2VK!P195,"")</f>
        <v>PAUSE</v>
      </c>
      <c r="B2329" t="str">
        <f>IF(ISERROR(MATCH(0,INDEX(COUNTIF($B$1:B2328,$A$2:$A$4629),0,0),0)),"",INDEX($A$2:$A$4629,MATCH(0,INDEX(COUNTIF($B$1:B2328,$A$2:$A$4629),0,0),0)))</f>
        <v/>
      </c>
      <c r="C2329" t="str">
        <f t="shared" si="36"/>
        <v/>
      </c>
    </row>
    <row r="2330" spans="1:3" x14ac:dyDescent="0.25">
      <c r="A2330" t="str">
        <f>IF(Scan2VK!Q2&lt;&gt;"",Scan2VK!Q2,"")</f>
        <v>_none_</v>
      </c>
      <c r="B2330" t="str">
        <f>IF(ISERROR(MATCH(0,INDEX(COUNTIF($B$1:B2329,$A$2:$A$4629),0,0),0)),"",INDEX($A$2:$A$4629,MATCH(0,INDEX(COUNTIF($B$1:B2329,$A$2:$A$4629),0,0),0)))</f>
        <v/>
      </c>
      <c r="C2330" t="str">
        <f t="shared" si="36"/>
        <v/>
      </c>
    </row>
    <row r="2331" spans="1:3" x14ac:dyDescent="0.25">
      <c r="A2331" t="str">
        <f>IF(Scan2VK!Q3&lt;&gt;"",Scan2VK!Q3,"")</f>
        <v>ESCAPE</v>
      </c>
      <c r="B2331" t="str">
        <f>IF(ISERROR(MATCH(0,INDEX(COUNTIF($B$1:B2330,$A$2:$A$4629),0,0),0)),"",INDEX($A$2:$A$4629,MATCH(0,INDEX(COUNTIF($B$1:B2330,$A$2:$A$4629),0,0),0)))</f>
        <v/>
      </c>
      <c r="C2331" t="str">
        <f t="shared" si="36"/>
        <v/>
      </c>
    </row>
    <row r="2332" spans="1:3" x14ac:dyDescent="0.25">
      <c r="A2332" t="str">
        <f>IF(Scan2VK!Q4&lt;&gt;"",Scan2VK!Q4,"")</f>
        <v>'1'</v>
      </c>
      <c r="B2332" t="str">
        <f>IF(ISERROR(MATCH(0,INDEX(COUNTIF($B$1:B2331,$A$2:$A$4629),0,0),0)),"",INDEX($A$2:$A$4629,MATCH(0,INDEX(COUNTIF($B$1:B2331,$A$2:$A$4629),0,0),0)))</f>
        <v/>
      </c>
      <c r="C2332" t="str">
        <f t="shared" si="36"/>
        <v/>
      </c>
    </row>
    <row r="2333" spans="1:3" x14ac:dyDescent="0.25">
      <c r="A2333" t="str">
        <f>IF(Scan2VK!Q5&lt;&gt;"",Scan2VK!Q5,"")</f>
        <v>'2'</v>
      </c>
      <c r="B2333" t="str">
        <f>IF(ISERROR(MATCH(0,INDEX(COUNTIF($B$1:B2332,$A$2:$A$4629),0,0),0)),"",INDEX($A$2:$A$4629,MATCH(0,INDEX(COUNTIF($B$1:B2332,$A$2:$A$4629),0,0),0)))</f>
        <v/>
      </c>
      <c r="C2333" t="str">
        <f t="shared" si="36"/>
        <v/>
      </c>
    </row>
    <row r="2334" spans="1:3" x14ac:dyDescent="0.25">
      <c r="A2334" t="str">
        <f>IF(Scan2VK!Q6&lt;&gt;"",Scan2VK!Q6,"")</f>
        <v>'3'</v>
      </c>
      <c r="B2334" t="str">
        <f>IF(ISERROR(MATCH(0,INDEX(COUNTIF($B$1:B2333,$A$2:$A$4629),0,0),0)),"",INDEX($A$2:$A$4629,MATCH(0,INDEX(COUNTIF($B$1:B2333,$A$2:$A$4629),0,0),0)))</f>
        <v/>
      </c>
      <c r="C2334" t="str">
        <f t="shared" si="36"/>
        <v/>
      </c>
    </row>
    <row r="2335" spans="1:3" x14ac:dyDescent="0.25">
      <c r="A2335" t="str">
        <f>IF(Scan2VK!Q7&lt;&gt;"",Scan2VK!Q7,"")</f>
        <v>'4'</v>
      </c>
      <c r="B2335" t="str">
        <f>IF(ISERROR(MATCH(0,INDEX(COUNTIF($B$1:B2334,$A$2:$A$4629),0,0),0)),"",INDEX($A$2:$A$4629,MATCH(0,INDEX(COUNTIF($B$1:B2334,$A$2:$A$4629),0,0),0)))</f>
        <v/>
      </c>
      <c r="C2335" t="str">
        <f t="shared" si="36"/>
        <v/>
      </c>
    </row>
    <row r="2336" spans="1:3" x14ac:dyDescent="0.25">
      <c r="A2336" t="str">
        <f>IF(Scan2VK!Q8&lt;&gt;"",Scan2VK!Q8,"")</f>
        <v>'5'</v>
      </c>
      <c r="B2336" t="str">
        <f>IF(ISERROR(MATCH(0,INDEX(COUNTIF($B$1:B2335,$A$2:$A$4629),0,0),0)),"",INDEX($A$2:$A$4629,MATCH(0,INDEX(COUNTIF($B$1:B2335,$A$2:$A$4629),0,0),0)))</f>
        <v/>
      </c>
      <c r="C2336" t="str">
        <f t="shared" si="36"/>
        <v/>
      </c>
    </row>
    <row r="2337" spans="1:3" x14ac:dyDescent="0.25">
      <c r="A2337" t="str">
        <f>IF(Scan2VK!Q9&lt;&gt;"",Scan2VK!Q9,"")</f>
        <v>'6'</v>
      </c>
      <c r="B2337" t="str">
        <f>IF(ISERROR(MATCH(0,INDEX(COUNTIF($B$1:B2336,$A$2:$A$4629),0,0),0)),"",INDEX($A$2:$A$4629,MATCH(0,INDEX(COUNTIF($B$1:B2336,$A$2:$A$4629),0,0),0)))</f>
        <v/>
      </c>
      <c r="C2337" t="str">
        <f t="shared" si="36"/>
        <v/>
      </c>
    </row>
    <row r="2338" spans="1:3" x14ac:dyDescent="0.25">
      <c r="A2338" t="str">
        <f>IF(Scan2VK!Q10&lt;&gt;"",Scan2VK!Q10,"")</f>
        <v>'7'</v>
      </c>
      <c r="B2338" t="str">
        <f>IF(ISERROR(MATCH(0,INDEX(COUNTIF($B$1:B2337,$A$2:$A$4629),0,0),0)),"",INDEX($A$2:$A$4629,MATCH(0,INDEX(COUNTIF($B$1:B2337,$A$2:$A$4629),0,0),0)))</f>
        <v/>
      </c>
      <c r="C2338" t="str">
        <f t="shared" si="36"/>
        <v/>
      </c>
    </row>
    <row r="2339" spans="1:3" x14ac:dyDescent="0.25">
      <c r="A2339" t="str">
        <f>IF(Scan2VK!Q11&lt;&gt;"",Scan2VK!Q11,"")</f>
        <v>'8'</v>
      </c>
      <c r="B2339" t="str">
        <f>IF(ISERROR(MATCH(0,INDEX(COUNTIF($B$1:B2338,$A$2:$A$4629),0,0),0)),"",INDEX($A$2:$A$4629,MATCH(0,INDEX(COUNTIF($B$1:B2338,$A$2:$A$4629),0,0),0)))</f>
        <v/>
      </c>
      <c r="C2339" t="str">
        <f t="shared" si="36"/>
        <v/>
      </c>
    </row>
    <row r="2340" spans="1:3" x14ac:dyDescent="0.25">
      <c r="A2340" t="str">
        <f>IF(Scan2VK!Q12&lt;&gt;"",Scan2VK!Q12,"")</f>
        <v>'9'</v>
      </c>
      <c r="B2340" t="str">
        <f>IF(ISERROR(MATCH(0,INDEX(COUNTIF($B$1:B2339,$A$2:$A$4629),0,0),0)),"",INDEX($A$2:$A$4629,MATCH(0,INDEX(COUNTIF($B$1:B2339,$A$2:$A$4629),0,0),0)))</f>
        <v/>
      </c>
      <c r="C2340" t="str">
        <f t="shared" si="36"/>
        <v/>
      </c>
    </row>
    <row r="2341" spans="1:3" x14ac:dyDescent="0.25">
      <c r="A2341" t="str">
        <f>IF(Scan2VK!Q13&lt;&gt;"",Scan2VK!Q13,"")</f>
        <v>'0'</v>
      </c>
      <c r="B2341" t="str">
        <f>IF(ISERROR(MATCH(0,INDEX(COUNTIF($B$1:B2340,$A$2:$A$4629),0,0),0)),"",INDEX($A$2:$A$4629,MATCH(0,INDEX(COUNTIF($B$1:B2340,$A$2:$A$4629),0,0),0)))</f>
        <v/>
      </c>
      <c r="C2341" t="str">
        <f t="shared" si="36"/>
        <v/>
      </c>
    </row>
    <row r="2342" spans="1:3" x14ac:dyDescent="0.25">
      <c r="A2342" t="str">
        <f>IF(Scan2VK!Q14&lt;&gt;"",Scan2VK!Q14,"")</f>
        <v>OEM_MINUS</v>
      </c>
      <c r="B2342" t="str">
        <f>IF(ISERROR(MATCH(0,INDEX(COUNTIF($B$1:B2341,$A$2:$A$4629),0,0),0)),"",INDEX($A$2:$A$4629,MATCH(0,INDEX(COUNTIF($B$1:B2341,$A$2:$A$4629),0,0),0)))</f>
        <v/>
      </c>
      <c r="C2342" t="str">
        <f t="shared" si="36"/>
        <v/>
      </c>
    </row>
    <row r="2343" spans="1:3" x14ac:dyDescent="0.25">
      <c r="A2343" t="str">
        <f>IF(Scan2VK!Q15&lt;&gt;"",Scan2VK!Q15,"")</f>
        <v>OEM_PLUS</v>
      </c>
      <c r="B2343" t="str">
        <f>IF(ISERROR(MATCH(0,INDEX(COUNTIF($B$1:B2342,$A$2:$A$4629),0,0),0)),"",INDEX($A$2:$A$4629,MATCH(0,INDEX(COUNTIF($B$1:B2342,$A$2:$A$4629),0,0),0)))</f>
        <v/>
      </c>
      <c r="C2343" t="str">
        <f t="shared" si="36"/>
        <v/>
      </c>
    </row>
    <row r="2344" spans="1:3" x14ac:dyDescent="0.25">
      <c r="A2344" t="str">
        <f>IF(Scan2VK!Q16&lt;&gt;"",Scan2VK!Q16,"")</f>
        <v>BACK</v>
      </c>
      <c r="B2344" t="str">
        <f>IF(ISERROR(MATCH(0,INDEX(COUNTIF($B$1:B2343,$A$2:$A$4629),0,0),0)),"",INDEX($A$2:$A$4629,MATCH(0,INDEX(COUNTIF($B$1:B2343,$A$2:$A$4629),0,0),0)))</f>
        <v/>
      </c>
      <c r="C2344" t="str">
        <f t="shared" si="36"/>
        <v/>
      </c>
    </row>
    <row r="2345" spans="1:3" x14ac:dyDescent="0.25">
      <c r="A2345" t="str">
        <f>IF(Scan2VK!Q17&lt;&gt;"",Scan2VK!Q17,"")</f>
        <v>TAB</v>
      </c>
      <c r="B2345" t="str">
        <f>IF(ISERROR(MATCH(0,INDEX(COUNTIF($B$1:B2344,$A$2:$A$4629),0,0),0)),"",INDEX($A$2:$A$4629,MATCH(0,INDEX(COUNTIF($B$1:B2344,$A$2:$A$4629),0,0),0)))</f>
        <v/>
      </c>
      <c r="C2345" t="str">
        <f t="shared" si="36"/>
        <v/>
      </c>
    </row>
    <row r="2346" spans="1:3" x14ac:dyDescent="0.25">
      <c r="A2346" t="str">
        <f>IF(Scan2VK!Q18&lt;&gt;"",Scan2VK!Q18,"")</f>
        <v>'Q'</v>
      </c>
      <c r="B2346" t="str">
        <f>IF(ISERROR(MATCH(0,INDEX(COUNTIF($B$1:B2345,$A$2:$A$4629),0,0),0)),"",INDEX($A$2:$A$4629,MATCH(0,INDEX(COUNTIF($B$1:B2345,$A$2:$A$4629),0,0),0)))</f>
        <v/>
      </c>
      <c r="C2346" t="str">
        <f t="shared" si="36"/>
        <v/>
      </c>
    </row>
    <row r="2347" spans="1:3" x14ac:dyDescent="0.25">
      <c r="A2347" t="str">
        <f>IF(Scan2VK!Q19&lt;&gt;"",Scan2VK!Q19,"")</f>
        <v>'W'</v>
      </c>
      <c r="B2347" t="str">
        <f>IF(ISERROR(MATCH(0,INDEX(COUNTIF($B$1:B2346,$A$2:$A$4629),0,0),0)),"",INDEX($A$2:$A$4629,MATCH(0,INDEX(COUNTIF($B$1:B2346,$A$2:$A$4629),0,0),0)))</f>
        <v/>
      </c>
      <c r="C2347" t="str">
        <f t="shared" si="36"/>
        <v/>
      </c>
    </row>
    <row r="2348" spans="1:3" x14ac:dyDescent="0.25">
      <c r="A2348" t="str">
        <f>IF(Scan2VK!Q20&lt;&gt;"",Scan2VK!Q20,"")</f>
        <v>'E'</v>
      </c>
      <c r="B2348" t="str">
        <f>IF(ISERROR(MATCH(0,INDEX(COUNTIF($B$1:B2347,$A$2:$A$4629),0,0),0)),"",INDEX($A$2:$A$4629,MATCH(0,INDEX(COUNTIF($B$1:B2347,$A$2:$A$4629),0,0),0)))</f>
        <v/>
      </c>
      <c r="C2348" t="str">
        <f t="shared" si="36"/>
        <v/>
      </c>
    </row>
    <row r="2349" spans="1:3" x14ac:dyDescent="0.25">
      <c r="A2349" t="str">
        <f>IF(Scan2VK!Q21&lt;&gt;"",Scan2VK!Q21,"")</f>
        <v>'R'</v>
      </c>
      <c r="B2349" t="str">
        <f>IF(ISERROR(MATCH(0,INDEX(COUNTIF($B$1:B2348,$A$2:$A$4629),0,0),0)),"",INDEX($A$2:$A$4629,MATCH(0,INDEX(COUNTIF($B$1:B2348,$A$2:$A$4629),0,0),0)))</f>
        <v/>
      </c>
      <c r="C2349" t="str">
        <f t="shared" si="36"/>
        <v/>
      </c>
    </row>
    <row r="2350" spans="1:3" x14ac:dyDescent="0.25">
      <c r="A2350" t="str">
        <f>IF(Scan2VK!Q22&lt;&gt;"",Scan2VK!Q22,"")</f>
        <v>'T'</v>
      </c>
      <c r="B2350" t="str">
        <f>IF(ISERROR(MATCH(0,INDEX(COUNTIF($B$1:B2349,$A$2:$A$4629),0,0),0)),"",INDEX($A$2:$A$4629,MATCH(0,INDEX(COUNTIF($B$1:B2349,$A$2:$A$4629),0,0),0)))</f>
        <v/>
      </c>
      <c r="C2350" t="str">
        <f t="shared" si="36"/>
        <v/>
      </c>
    </row>
    <row r="2351" spans="1:3" x14ac:dyDescent="0.25">
      <c r="A2351" t="str">
        <f>IF(Scan2VK!Q23&lt;&gt;"",Scan2VK!Q23,"")</f>
        <v>'Y'</v>
      </c>
      <c r="B2351" t="str">
        <f>IF(ISERROR(MATCH(0,INDEX(COUNTIF($B$1:B2350,$A$2:$A$4629),0,0),0)),"",INDEX($A$2:$A$4629,MATCH(0,INDEX(COUNTIF($B$1:B2350,$A$2:$A$4629),0,0),0)))</f>
        <v/>
      </c>
      <c r="C2351" t="str">
        <f t="shared" si="36"/>
        <v/>
      </c>
    </row>
    <row r="2352" spans="1:3" x14ac:dyDescent="0.25">
      <c r="A2352" t="str">
        <f>IF(Scan2VK!Q24&lt;&gt;"",Scan2VK!Q24,"")</f>
        <v>'U'</v>
      </c>
      <c r="B2352" t="str">
        <f>IF(ISERROR(MATCH(0,INDEX(COUNTIF($B$1:B2351,$A$2:$A$4629),0,0),0)),"",INDEX($A$2:$A$4629,MATCH(0,INDEX(COUNTIF($B$1:B2351,$A$2:$A$4629),0,0),0)))</f>
        <v/>
      </c>
      <c r="C2352" t="str">
        <f t="shared" si="36"/>
        <v/>
      </c>
    </row>
    <row r="2353" spans="1:3" x14ac:dyDescent="0.25">
      <c r="A2353" t="str">
        <f>IF(Scan2VK!Q25&lt;&gt;"",Scan2VK!Q25,"")</f>
        <v>'I'</v>
      </c>
      <c r="B2353" t="str">
        <f>IF(ISERROR(MATCH(0,INDEX(COUNTIF($B$1:B2352,$A$2:$A$4629),0,0),0)),"",INDEX($A$2:$A$4629,MATCH(0,INDEX(COUNTIF($B$1:B2352,$A$2:$A$4629),0,0),0)))</f>
        <v/>
      </c>
      <c r="C2353" t="str">
        <f t="shared" si="36"/>
        <v/>
      </c>
    </row>
    <row r="2354" spans="1:3" x14ac:dyDescent="0.25">
      <c r="A2354" t="str">
        <f>IF(Scan2VK!Q26&lt;&gt;"",Scan2VK!Q26,"")</f>
        <v>'O'</v>
      </c>
      <c r="B2354" t="str">
        <f>IF(ISERROR(MATCH(0,INDEX(COUNTIF($B$1:B2353,$A$2:$A$4629),0,0),0)),"",INDEX($A$2:$A$4629,MATCH(0,INDEX(COUNTIF($B$1:B2353,$A$2:$A$4629),0,0),0)))</f>
        <v/>
      </c>
      <c r="C2354" t="str">
        <f t="shared" si="36"/>
        <v/>
      </c>
    </row>
    <row r="2355" spans="1:3" x14ac:dyDescent="0.25">
      <c r="A2355" t="str">
        <f>IF(Scan2VK!Q27&lt;&gt;"",Scan2VK!Q27,"")</f>
        <v>'P'</v>
      </c>
      <c r="B2355" t="str">
        <f>IF(ISERROR(MATCH(0,INDEX(COUNTIF($B$1:B2354,$A$2:$A$4629),0,0),0)),"",INDEX($A$2:$A$4629,MATCH(0,INDEX(COUNTIF($B$1:B2354,$A$2:$A$4629),0,0),0)))</f>
        <v/>
      </c>
      <c r="C2355" t="str">
        <f t="shared" si="36"/>
        <v/>
      </c>
    </row>
    <row r="2356" spans="1:3" x14ac:dyDescent="0.25">
      <c r="A2356" t="str">
        <f>IF(Scan2VK!Q28&lt;&gt;"",Scan2VK!Q28,"")</f>
        <v>OEM_4</v>
      </c>
      <c r="B2356" t="str">
        <f>IF(ISERROR(MATCH(0,INDEX(COUNTIF($B$1:B2355,$A$2:$A$4629),0,0),0)),"",INDEX($A$2:$A$4629,MATCH(0,INDEX(COUNTIF($B$1:B2355,$A$2:$A$4629),0,0),0)))</f>
        <v/>
      </c>
      <c r="C2356" t="str">
        <f t="shared" si="36"/>
        <v/>
      </c>
    </row>
    <row r="2357" spans="1:3" x14ac:dyDescent="0.25">
      <c r="A2357" t="str">
        <f>IF(Scan2VK!Q29&lt;&gt;"",Scan2VK!Q29,"")</f>
        <v>OEM_6</v>
      </c>
      <c r="B2357" t="str">
        <f>IF(ISERROR(MATCH(0,INDEX(COUNTIF($B$1:B2356,$A$2:$A$4629),0,0),0)),"",INDEX($A$2:$A$4629,MATCH(0,INDEX(COUNTIF($B$1:B2356,$A$2:$A$4629),0,0),0)))</f>
        <v/>
      </c>
      <c r="C2357" t="str">
        <f t="shared" si="36"/>
        <v/>
      </c>
    </row>
    <row r="2358" spans="1:3" x14ac:dyDescent="0.25">
      <c r="A2358" t="str">
        <f>IF(Scan2VK!Q30&lt;&gt;"",Scan2VK!Q30,"")</f>
        <v>RETURN</v>
      </c>
      <c r="B2358" t="str">
        <f>IF(ISERROR(MATCH(0,INDEX(COUNTIF($B$1:B2357,$A$2:$A$4629),0,0),0)),"",INDEX($A$2:$A$4629,MATCH(0,INDEX(COUNTIF($B$1:B2357,$A$2:$A$4629),0,0),0)))</f>
        <v/>
      </c>
      <c r="C2358" t="str">
        <f t="shared" si="36"/>
        <v/>
      </c>
    </row>
    <row r="2359" spans="1:3" x14ac:dyDescent="0.25">
      <c r="A2359" t="str">
        <f>IF(Scan2VK!Q31&lt;&gt;"",Scan2VK!Q31,"")</f>
        <v>LCONTROL</v>
      </c>
      <c r="B2359" t="str">
        <f>IF(ISERROR(MATCH(0,INDEX(COUNTIF($B$1:B2358,$A$2:$A$4629),0,0),0)),"",INDEX($A$2:$A$4629,MATCH(0,INDEX(COUNTIF($B$1:B2358,$A$2:$A$4629),0,0),0)))</f>
        <v/>
      </c>
      <c r="C2359" t="str">
        <f t="shared" si="36"/>
        <v/>
      </c>
    </row>
    <row r="2360" spans="1:3" x14ac:dyDescent="0.25">
      <c r="A2360" t="str">
        <f>IF(Scan2VK!Q32&lt;&gt;"",Scan2VK!Q32,"")</f>
        <v>'A'</v>
      </c>
      <c r="B2360" t="str">
        <f>IF(ISERROR(MATCH(0,INDEX(COUNTIF($B$1:B2359,$A$2:$A$4629),0,0),0)),"",INDEX($A$2:$A$4629,MATCH(0,INDEX(COUNTIF($B$1:B2359,$A$2:$A$4629),0,0),0)))</f>
        <v/>
      </c>
      <c r="C2360" t="str">
        <f t="shared" si="36"/>
        <v/>
      </c>
    </row>
    <row r="2361" spans="1:3" x14ac:dyDescent="0.25">
      <c r="A2361" t="str">
        <f>IF(Scan2VK!Q33&lt;&gt;"",Scan2VK!Q33,"")</f>
        <v>'S'</v>
      </c>
      <c r="B2361" t="str">
        <f>IF(ISERROR(MATCH(0,INDEX(COUNTIF($B$1:B2360,$A$2:$A$4629),0,0),0)),"",INDEX($A$2:$A$4629,MATCH(0,INDEX(COUNTIF($B$1:B2360,$A$2:$A$4629),0,0),0)))</f>
        <v/>
      </c>
      <c r="C2361" t="str">
        <f t="shared" si="36"/>
        <v/>
      </c>
    </row>
    <row r="2362" spans="1:3" x14ac:dyDescent="0.25">
      <c r="A2362" t="str">
        <f>IF(Scan2VK!Q34&lt;&gt;"",Scan2VK!Q34,"")</f>
        <v>'D'</v>
      </c>
      <c r="B2362" t="str">
        <f>IF(ISERROR(MATCH(0,INDEX(COUNTIF($B$1:B2361,$A$2:$A$4629),0,0),0)),"",INDEX($A$2:$A$4629,MATCH(0,INDEX(COUNTIF($B$1:B2361,$A$2:$A$4629),0,0),0)))</f>
        <v/>
      </c>
      <c r="C2362" t="str">
        <f t="shared" si="36"/>
        <v/>
      </c>
    </row>
    <row r="2363" spans="1:3" x14ac:dyDescent="0.25">
      <c r="A2363" t="str">
        <f>IF(Scan2VK!Q35&lt;&gt;"",Scan2VK!Q35,"")</f>
        <v>'F'</v>
      </c>
      <c r="B2363" t="str">
        <f>IF(ISERROR(MATCH(0,INDEX(COUNTIF($B$1:B2362,$A$2:$A$4629),0,0),0)),"",INDEX($A$2:$A$4629,MATCH(0,INDEX(COUNTIF($B$1:B2362,$A$2:$A$4629),0,0),0)))</f>
        <v/>
      </c>
      <c r="C2363" t="str">
        <f t="shared" si="36"/>
        <v/>
      </c>
    </row>
    <row r="2364" spans="1:3" x14ac:dyDescent="0.25">
      <c r="A2364" t="str">
        <f>IF(Scan2VK!Q36&lt;&gt;"",Scan2VK!Q36,"")</f>
        <v>'G'</v>
      </c>
      <c r="B2364" t="str">
        <f>IF(ISERROR(MATCH(0,INDEX(COUNTIF($B$1:B2363,$A$2:$A$4629),0,0),0)),"",INDEX($A$2:$A$4629,MATCH(0,INDEX(COUNTIF($B$1:B2363,$A$2:$A$4629),0,0),0)))</f>
        <v/>
      </c>
      <c r="C2364" t="str">
        <f t="shared" si="36"/>
        <v/>
      </c>
    </row>
    <row r="2365" spans="1:3" x14ac:dyDescent="0.25">
      <c r="A2365" t="str">
        <f>IF(Scan2VK!Q37&lt;&gt;"",Scan2VK!Q37,"")</f>
        <v>'H'</v>
      </c>
      <c r="B2365" t="str">
        <f>IF(ISERROR(MATCH(0,INDEX(COUNTIF($B$1:B2364,$A$2:$A$4629),0,0),0)),"",INDEX($A$2:$A$4629,MATCH(0,INDEX(COUNTIF($B$1:B2364,$A$2:$A$4629),0,0),0)))</f>
        <v/>
      </c>
      <c r="C2365" t="str">
        <f t="shared" si="36"/>
        <v/>
      </c>
    </row>
    <row r="2366" spans="1:3" x14ac:dyDescent="0.25">
      <c r="A2366" t="str">
        <f>IF(Scan2VK!Q38&lt;&gt;"",Scan2VK!Q38,"")</f>
        <v>'J'</v>
      </c>
      <c r="B2366" t="str">
        <f>IF(ISERROR(MATCH(0,INDEX(COUNTIF($B$1:B2365,$A$2:$A$4629),0,0),0)),"",INDEX($A$2:$A$4629,MATCH(0,INDEX(COUNTIF($B$1:B2365,$A$2:$A$4629),0,0),0)))</f>
        <v/>
      </c>
      <c r="C2366" t="str">
        <f t="shared" si="36"/>
        <v/>
      </c>
    </row>
    <row r="2367" spans="1:3" x14ac:dyDescent="0.25">
      <c r="A2367" t="str">
        <f>IF(Scan2VK!Q39&lt;&gt;"",Scan2VK!Q39,"")</f>
        <v>'K'</v>
      </c>
      <c r="B2367" t="str">
        <f>IF(ISERROR(MATCH(0,INDEX(COUNTIF($B$1:B2366,$A$2:$A$4629),0,0),0)),"",INDEX($A$2:$A$4629,MATCH(0,INDEX(COUNTIF($B$1:B2366,$A$2:$A$4629),0,0),0)))</f>
        <v/>
      </c>
      <c r="C2367" t="str">
        <f t="shared" si="36"/>
        <v/>
      </c>
    </row>
    <row r="2368" spans="1:3" x14ac:dyDescent="0.25">
      <c r="A2368" t="str">
        <f>IF(Scan2VK!Q40&lt;&gt;"",Scan2VK!Q40,"")</f>
        <v>'L'</v>
      </c>
      <c r="B2368" t="str">
        <f>IF(ISERROR(MATCH(0,INDEX(COUNTIF($B$1:B2367,$A$2:$A$4629),0,0),0)),"",INDEX($A$2:$A$4629,MATCH(0,INDEX(COUNTIF($B$1:B2367,$A$2:$A$4629),0,0),0)))</f>
        <v/>
      </c>
      <c r="C2368" t="str">
        <f t="shared" si="36"/>
        <v/>
      </c>
    </row>
    <row r="2369" spans="1:3" x14ac:dyDescent="0.25">
      <c r="A2369" t="str">
        <f>IF(Scan2VK!Q41&lt;&gt;"",Scan2VK!Q41,"")</f>
        <v>OEM_1</v>
      </c>
      <c r="B2369" t="str">
        <f>IF(ISERROR(MATCH(0,INDEX(COUNTIF($B$1:B2368,$A$2:$A$4629),0,0),0)),"",INDEX($A$2:$A$4629,MATCH(0,INDEX(COUNTIF($B$1:B2368,$A$2:$A$4629),0,0),0)))</f>
        <v/>
      </c>
      <c r="C2369" t="str">
        <f t="shared" si="36"/>
        <v/>
      </c>
    </row>
    <row r="2370" spans="1:3" x14ac:dyDescent="0.25">
      <c r="A2370" t="str">
        <f>IF(Scan2VK!Q42&lt;&gt;"",Scan2VK!Q42,"")</f>
        <v>OEM_7</v>
      </c>
      <c r="B2370" t="str">
        <f>IF(ISERROR(MATCH(0,INDEX(COUNTIF($B$1:B2369,$A$2:$A$4629),0,0),0)),"",INDEX($A$2:$A$4629,MATCH(0,INDEX(COUNTIF($B$1:B2369,$A$2:$A$4629),0,0),0)))</f>
        <v/>
      </c>
      <c r="C2370" t="str">
        <f t="shared" si="36"/>
        <v/>
      </c>
    </row>
    <row r="2371" spans="1:3" x14ac:dyDescent="0.25">
      <c r="A2371" t="str">
        <f>IF(Scan2VK!Q43&lt;&gt;"",Scan2VK!Q43,"")</f>
        <v>OEM_3</v>
      </c>
      <c r="B2371" t="str">
        <f>IF(ISERROR(MATCH(0,INDEX(COUNTIF($B$1:B2370,$A$2:$A$4629),0,0),0)),"",INDEX($A$2:$A$4629,MATCH(0,INDEX(COUNTIF($B$1:B2370,$A$2:$A$4629),0,0),0)))</f>
        <v/>
      </c>
      <c r="C2371" t="str">
        <f t="shared" ref="C2371:C2434" si="37">IF(B2371&lt;&gt;"","&lt;xs:enumeration value="""&amp;B2371&amp;"""/&gt;","")</f>
        <v/>
      </c>
    </row>
    <row r="2372" spans="1:3" x14ac:dyDescent="0.25">
      <c r="A2372" t="str">
        <f>IF(Scan2VK!Q44&lt;&gt;"",Scan2VK!Q44,"")</f>
        <v>LSHIFT</v>
      </c>
      <c r="B2372" t="str">
        <f>IF(ISERROR(MATCH(0,INDEX(COUNTIF($B$1:B2371,$A$2:$A$4629),0,0),0)),"",INDEX($A$2:$A$4629,MATCH(0,INDEX(COUNTIF($B$1:B2371,$A$2:$A$4629),0,0),0)))</f>
        <v/>
      </c>
      <c r="C2372" t="str">
        <f t="shared" si="37"/>
        <v/>
      </c>
    </row>
    <row r="2373" spans="1:3" x14ac:dyDescent="0.25">
      <c r="A2373" t="str">
        <f>IF(Scan2VK!Q45&lt;&gt;"",Scan2VK!Q45,"")</f>
        <v>OEM_5</v>
      </c>
      <c r="B2373" t="str">
        <f>IF(ISERROR(MATCH(0,INDEX(COUNTIF($B$1:B2372,$A$2:$A$4629),0,0),0)),"",INDEX($A$2:$A$4629,MATCH(0,INDEX(COUNTIF($B$1:B2372,$A$2:$A$4629),0,0),0)))</f>
        <v/>
      </c>
      <c r="C2373" t="str">
        <f t="shared" si="37"/>
        <v/>
      </c>
    </row>
    <row r="2374" spans="1:3" x14ac:dyDescent="0.25">
      <c r="A2374" t="str">
        <f>IF(Scan2VK!Q46&lt;&gt;"",Scan2VK!Q46,"")</f>
        <v>'Z'</v>
      </c>
      <c r="B2374" t="str">
        <f>IF(ISERROR(MATCH(0,INDEX(COUNTIF($B$1:B2373,$A$2:$A$4629),0,0),0)),"",INDEX($A$2:$A$4629,MATCH(0,INDEX(COUNTIF($B$1:B2373,$A$2:$A$4629),0,0),0)))</f>
        <v/>
      </c>
      <c r="C2374" t="str">
        <f t="shared" si="37"/>
        <v/>
      </c>
    </row>
    <row r="2375" spans="1:3" x14ac:dyDescent="0.25">
      <c r="A2375" t="str">
        <f>IF(Scan2VK!Q47&lt;&gt;"",Scan2VK!Q47,"")</f>
        <v>'X'</v>
      </c>
      <c r="B2375" t="str">
        <f>IF(ISERROR(MATCH(0,INDEX(COUNTIF($B$1:B2374,$A$2:$A$4629),0,0),0)),"",INDEX($A$2:$A$4629,MATCH(0,INDEX(COUNTIF($B$1:B2374,$A$2:$A$4629),0,0),0)))</f>
        <v/>
      </c>
      <c r="C2375" t="str">
        <f t="shared" si="37"/>
        <v/>
      </c>
    </row>
    <row r="2376" spans="1:3" x14ac:dyDescent="0.25">
      <c r="A2376" t="str">
        <f>IF(Scan2VK!Q48&lt;&gt;"",Scan2VK!Q48,"")</f>
        <v>'C'</v>
      </c>
      <c r="B2376" t="str">
        <f>IF(ISERROR(MATCH(0,INDEX(COUNTIF($B$1:B2375,$A$2:$A$4629),0,0),0)),"",INDEX($A$2:$A$4629,MATCH(0,INDEX(COUNTIF($B$1:B2375,$A$2:$A$4629),0,0),0)))</f>
        <v/>
      </c>
      <c r="C2376" t="str">
        <f t="shared" si="37"/>
        <v/>
      </c>
    </row>
    <row r="2377" spans="1:3" x14ac:dyDescent="0.25">
      <c r="A2377" t="str">
        <f>IF(Scan2VK!Q49&lt;&gt;"",Scan2VK!Q49,"")</f>
        <v>'V'</v>
      </c>
      <c r="B2377" t="str">
        <f>IF(ISERROR(MATCH(0,INDEX(COUNTIF($B$1:B2376,$A$2:$A$4629),0,0),0)),"",INDEX($A$2:$A$4629,MATCH(0,INDEX(COUNTIF($B$1:B2376,$A$2:$A$4629),0,0),0)))</f>
        <v/>
      </c>
      <c r="C2377" t="str">
        <f t="shared" si="37"/>
        <v/>
      </c>
    </row>
    <row r="2378" spans="1:3" x14ac:dyDescent="0.25">
      <c r="A2378" t="str">
        <f>IF(Scan2VK!Q50&lt;&gt;"",Scan2VK!Q50,"")</f>
        <v>'B'</v>
      </c>
      <c r="B2378" t="str">
        <f>IF(ISERROR(MATCH(0,INDEX(COUNTIF($B$1:B2377,$A$2:$A$4629),0,0),0)),"",INDEX($A$2:$A$4629,MATCH(0,INDEX(COUNTIF($B$1:B2377,$A$2:$A$4629),0,0),0)))</f>
        <v/>
      </c>
      <c r="C2378" t="str">
        <f t="shared" si="37"/>
        <v/>
      </c>
    </row>
    <row r="2379" spans="1:3" x14ac:dyDescent="0.25">
      <c r="A2379" t="str">
        <f>IF(Scan2VK!Q51&lt;&gt;"",Scan2VK!Q51,"")</f>
        <v>'N'</v>
      </c>
      <c r="B2379" t="str">
        <f>IF(ISERROR(MATCH(0,INDEX(COUNTIF($B$1:B2378,$A$2:$A$4629),0,0),0)),"",INDEX($A$2:$A$4629,MATCH(0,INDEX(COUNTIF($B$1:B2378,$A$2:$A$4629),0,0),0)))</f>
        <v/>
      </c>
      <c r="C2379" t="str">
        <f t="shared" si="37"/>
        <v/>
      </c>
    </row>
    <row r="2380" spans="1:3" x14ac:dyDescent="0.25">
      <c r="A2380" t="str">
        <f>IF(Scan2VK!Q52&lt;&gt;"",Scan2VK!Q52,"")</f>
        <v>'M'</v>
      </c>
      <c r="B2380" t="str">
        <f>IF(ISERROR(MATCH(0,INDEX(COUNTIF($B$1:B2379,$A$2:$A$4629),0,0),0)),"",INDEX($A$2:$A$4629,MATCH(0,INDEX(COUNTIF($B$1:B2379,$A$2:$A$4629),0,0),0)))</f>
        <v/>
      </c>
      <c r="C2380" t="str">
        <f t="shared" si="37"/>
        <v/>
      </c>
    </row>
    <row r="2381" spans="1:3" x14ac:dyDescent="0.25">
      <c r="A2381" t="str">
        <f>IF(Scan2VK!Q53&lt;&gt;"",Scan2VK!Q53,"")</f>
        <v>OEM_COMMA</v>
      </c>
      <c r="B2381" t="str">
        <f>IF(ISERROR(MATCH(0,INDEX(COUNTIF($B$1:B2380,$A$2:$A$4629),0,0),0)),"",INDEX($A$2:$A$4629,MATCH(0,INDEX(COUNTIF($B$1:B2380,$A$2:$A$4629),0,0),0)))</f>
        <v/>
      </c>
      <c r="C2381" t="str">
        <f t="shared" si="37"/>
        <v/>
      </c>
    </row>
    <row r="2382" spans="1:3" x14ac:dyDescent="0.25">
      <c r="A2382" t="str">
        <f>IF(Scan2VK!Q54&lt;&gt;"",Scan2VK!Q54,"")</f>
        <v>OEM_PERIOD</v>
      </c>
      <c r="B2382" t="str">
        <f>IF(ISERROR(MATCH(0,INDEX(COUNTIF($B$1:B2381,$A$2:$A$4629),0,0),0)),"",INDEX($A$2:$A$4629,MATCH(0,INDEX(COUNTIF($B$1:B2381,$A$2:$A$4629),0,0),0)))</f>
        <v/>
      </c>
      <c r="C2382" t="str">
        <f t="shared" si="37"/>
        <v/>
      </c>
    </row>
    <row r="2383" spans="1:3" x14ac:dyDescent="0.25">
      <c r="A2383" t="str">
        <f>IF(Scan2VK!Q55&lt;&gt;"",Scan2VK!Q55,"")</f>
        <v>OEM_2</v>
      </c>
      <c r="B2383" t="str">
        <f>IF(ISERROR(MATCH(0,INDEX(COUNTIF($B$1:B2382,$A$2:$A$4629),0,0),0)),"",INDEX($A$2:$A$4629,MATCH(0,INDEX(COUNTIF($B$1:B2382,$A$2:$A$4629),0,0),0)))</f>
        <v/>
      </c>
      <c r="C2383" t="str">
        <f t="shared" si="37"/>
        <v/>
      </c>
    </row>
    <row r="2384" spans="1:3" x14ac:dyDescent="0.25">
      <c r="A2384" t="str">
        <f>IF(Scan2VK!Q56&lt;&gt;"",Scan2VK!Q56,"")</f>
        <v>RSHIFT</v>
      </c>
      <c r="B2384" t="str">
        <f>IF(ISERROR(MATCH(0,INDEX(COUNTIF($B$1:B2383,$A$2:$A$4629),0,0),0)),"",INDEX($A$2:$A$4629,MATCH(0,INDEX(COUNTIF($B$1:B2383,$A$2:$A$4629),0,0),0)))</f>
        <v/>
      </c>
      <c r="C2384" t="str">
        <f t="shared" si="37"/>
        <v/>
      </c>
    </row>
    <row r="2385" spans="1:3" x14ac:dyDescent="0.25">
      <c r="A2385" t="str">
        <f>IF(Scan2VK!Q57&lt;&gt;"",Scan2VK!Q57,"")</f>
        <v>MULTIPLY</v>
      </c>
      <c r="B2385" t="str">
        <f>IF(ISERROR(MATCH(0,INDEX(COUNTIF($B$1:B2384,$A$2:$A$4629),0,0),0)),"",INDEX($A$2:$A$4629,MATCH(0,INDEX(COUNTIF($B$1:B2384,$A$2:$A$4629),0,0),0)))</f>
        <v/>
      </c>
      <c r="C2385" t="str">
        <f t="shared" si="37"/>
        <v/>
      </c>
    </row>
    <row r="2386" spans="1:3" x14ac:dyDescent="0.25">
      <c r="A2386" t="str">
        <f>IF(Scan2VK!Q58&lt;&gt;"",Scan2VK!Q58,"")</f>
        <v>LMENU</v>
      </c>
      <c r="B2386" t="str">
        <f>IF(ISERROR(MATCH(0,INDEX(COUNTIF($B$1:B2385,$A$2:$A$4629),0,0),0)),"",INDEX($A$2:$A$4629,MATCH(0,INDEX(COUNTIF($B$1:B2385,$A$2:$A$4629),0,0),0)))</f>
        <v/>
      </c>
      <c r="C2386" t="str">
        <f t="shared" si="37"/>
        <v/>
      </c>
    </row>
    <row r="2387" spans="1:3" x14ac:dyDescent="0.25">
      <c r="A2387" t="str">
        <f>IF(Scan2VK!Q59&lt;&gt;"",Scan2VK!Q59,"")</f>
        <v>''</v>
      </c>
      <c r="B2387" t="str">
        <f>IF(ISERROR(MATCH(0,INDEX(COUNTIF($B$1:B2386,$A$2:$A$4629),0,0),0)),"",INDEX($A$2:$A$4629,MATCH(0,INDEX(COUNTIF($B$1:B2386,$A$2:$A$4629),0,0),0)))</f>
        <v/>
      </c>
      <c r="C2387" t="str">
        <f t="shared" si="37"/>
        <v/>
      </c>
    </row>
    <row r="2388" spans="1:3" x14ac:dyDescent="0.25">
      <c r="A2388" t="str">
        <f>IF(Scan2VK!Q60&lt;&gt;"",Scan2VK!Q60,"")</f>
        <v>CAPITAL</v>
      </c>
      <c r="B2388" t="str">
        <f>IF(ISERROR(MATCH(0,INDEX(COUNTIF($B$1:B2387,$A$2:$A$4629),0,0),0)),"",INDEX($A$2:$A$4629,MATCH(0,INDEX(COUNTIF($B$1:B2387,$A$2:$A$4629),0,0),0)))</f>
        <v/>
      </c>
      <c r="C2388" t="str">
        <f t="shared" si="37"/>
        <v/>
      </c>
    </row>
    <row r="2389" spans="1:3" x14ac:dyDescent="0.25">
      <c r="A2389" t="str">
        <f>IF(Scan2VK!Q61&lt;&gt;"",Scan2VK!Q61,"")</f>
        <v>F1</v>
      </c>
      <c r="B2389" t="str">
        <f>IF(ISERROR(MATCH(0,INDEX(COUNTIF($B$1:B2388,$A$2:$A$4629),0,0),0)),"",INDEX($A$2:$A$4629,MATCH(0,INDEX(COUNTIF($B$1:B2388,$A$2:$A$4629),0,0),0)))</f>
        <v/>
      </c>
      <c r="C2389" t="str">
        <f t="shared" si="37"/>
        <v/>
      </c>
    </row>
    <row r="2390" spans="1:3" x14ac:dyDescent="0.25">
      <c r="A2390" t="str">
        <f>IF(Scan2VK!Q62&lt;&gt;"",Scan2VK!Q62,"")</f>
        <v>F2</v>
      </c>
      <c r="B2390" t="str">
        <f>IF(ISERROR(MATCH(0,INDEX(COUNTIF($B$1:B2389,$A$2:$A$4629),0,0),0)),"",INDEX($A$2:$A$4629,MATCH(0,INDEX(COUNTIF($B$1:B2389,$A$2:$A$4629),0,0),0)))</f>
        <v/>
      </c>
      <c r="C2390" t="str">
        <f t="shared" si="37"/>
        <v/>
      </c>
    </row>
    <row r="2391" spans="1:3" x14ac:dyDescent="0.25">
      <c r="A2391" t="str">
        <f>IF(Scan2VK!Q63&lt;&gt;"",Scan2VK!Q63,"")</f>
        <v>F3</v>
      </c>
      <c r="B2391" t="str">
        <f>IF(ISERROR(MATCH(0,INDEX(COUNTIF($B$1:B2390,$A$2:$A$4629),0,0),0)),"",INDEX($A$2:$A$4629,MATCH(0,INDEX(COUNTIF($B$1:B2390,$A$2:$A$4629),0,0),0)))</f>
        <v/>
      </c>
      <c r="C2391" t="str">
        <f t="shared" si="37"/>
        <v/>
      </c>
    </row>
    <row r="2392" spans="1:3" x14ac:dyDescent="0.25">
      <c r="A2392" t="str">
        <f>IF(Scan2VK!Q64&lt;&gt;"",Scan2VK!Q64,"")</f>
        <v>F4</v>
      </c>
      <c r="B2392" t="str">
        <f>IF(ISERROR(MATCH(0,INDEX(COUNTIF($B$1:B2391,$A$2:$A$4629),0,0),0)),"",INDEX($A$2:$A$4629,MATCH(0,INDEX(COUNTIF($B$1:B2391,$A$2:$A$4629),0,0),0)))</f>
        <v/>
      </c>
      <c r="C2392" t="str">
        <f t="shared" si="37"/>
        <v/>
      </c>
    </row>
    <row r="2393" spans="1:3" x14ac:dyDescent="0.25">
      <c r="A2393" t="str">
        <f>IF(Scan2VK!Q65&lt;&gt;"",Scan2VK!Q65,"")</f>
        <v>F5</v>
      </c>
      <c r="B2393" t="str">
        <f>IF(ISERROR(MATCH(0,INDEX(COUNTIF($B$1:B2392,$A$2:$A$4629),0,0),0)),"",INDEX($A$2:$A$4629,MATCH(0,INDEX(COUNTIF($B$1:B2392,$A$2:$A$4629),0,0),0)))</f>
        <v/>
      </c>
      <c r="C2393" t="str">
        <f t="shared" si="37"/>
        <v/>
      </c>
    </row>
    <row r="2394" spans="1:3" x14ac:dyDescent="0.25">
      <c r="A2394" t="str">
        <f>IF(Scan2VK!Q66&lt;&gt;"",Scan2VK!Q66,"")</f>
        <v>F6</v>
      </c>
      <c r="B2394" t="str">
        <f>IF(ISERROR(MATCH(0,INDEX(COUNTIF($B$1:B2393,$A$2:$A$4629),0,0),0)),"",INDEX($A$2:$A$4629,MATCH(0,INDEX(COUNTIF($B$1:B2393,$A$2:$A$4629),0,0),0)))</f>
        <v/>
      </c>
      <c r="C2394" t="str">
        <f t="shared" si="37"/>
        <v/>
      </c>
    </row>
    <row r="2395" spans="1:3" x14ac:dyDescent="0.25">
      <c r="A2395" t="str">
        <f>IF(Scan2VK!Q67&lt;&gt;"",Scan2VK!Q67,"")</f>
        <v>F7</v>
      </c>
      <c r="B2395" t="str">
        <f>IF(ISERROR(MATCH(0,INDEX(COUNTIF($B$1:B2394,$A$2:$A$4629),0,0),0)),"",INDEX($A$2:$A$4629,MATCH(0,INDEX(COUNTIF($B$1:B2394,$A$2:$A$4629),0,0),0)))</f>
        <v/>
      </c>
      <c r="C2395" t="str">
        <f t="shared" si="37"/>
        <v/>
      </c>
    </row>
    <row r="2396" spans="1:3" x14ac:dyDescent="0.25">
      <c r="A2396" t="str">
        <f>IF(Scan2VK!Q68&lt;&gt;"",Scan2VK!Q68,"")</f>
        <v>F8</v>
      </c>
      <c r="B2396" t="str">
        <f>IF(ISERROR(MATCH(0,INDEX(COUNTIF($B$1:B2395,$A$2:$A$4629),0,0),0)),"",INDEX($A$2:$A$4629,MATCH(0,INDEX(COUNTIF($B$1:B2395,$A$2:$A$4629),0,0),0)))</f>
        <v/>
      </c>
      <c r="C2396" t="str">
        <f t="shared" si="37"/>
        <v/>
      </c>
    </row>
    <row r="2397" spans="1:3" x14ac:dyDescent="0.25">
      <c r="A2397" t="str">
        <f>IF(Scan2VK!Q69&lt;&gt;"",Scan2VK!Q69,"")</f>
        <v>F9</v>
      </c>
      <c r="B2397" t="str">
        <f>IF(ISERROR(MATCH(0,INDEX(COUNTIF($B$1:B2396,$A$2:$A$4629),0,0),0)),"",INDEX($A$2:$A$4629,MATCH(0,INDEX(COUNTIF($B$1:B2396,$A$2:$A$4629),0,0),0)))</f>
        <v/>
      </c>
      <c r="C2397" t="str">
        <f t="shared" si="37"/>
        <v/>
      </c>
    </row>
    <row r="2398" spans="1:3" x14ac:dyDescent="0.25">
      <c r="A2398" t="str">
        <f>IF(Scan2VK!Q70&lt;&gt;"",Scan2VK!Q70,"")</f>
        <v>F10</v>
      </c>
      <c r="B2398" t="str">
        <f>IF(ISERROR(MATCH(0,INDEX(COUNTIF($B$1:B2397,$A$2:$A$4629),0,0),0)),"",INDEX($A$2:$A$4629,MATCH(0,INDEX(COUNTIF($B$1:B2397,$A$2:$A$4629),0,0),0)))</f>
        <v/>
      </c>
      <c r="C2398" t="str">
        <f t="shared" si="37"/>
        <v/>
      </c>
    </row>
    <row r="2399" spans="1:3" x14ac:dyDescent="0.25">
      <c r="A2399" t="str">
        <f>IF(Scan2VK!Q71&lt;&gt;"",Scan2VK!Q71,"")</f>
        <v>NUMLOCK</v>
      </c>
      <c r="B2399" t="str">
        <f>IF(ISERROR(MATCH(0,INDEX(COUNTIF($B$1:B2398,$A$2:$A$4629),0,0),0)),"",INDEX($A$2:$A$4629,MATCH(0,INDEX(COUNTIF($B$1:B2398,$A$2:$A$4629),0,0),0)))</f>
        <v/>
      </c>
      <c r="C2399" t="str">
        <f t="shared" si="37"/>
        <v/>
      </c>
    </row>
    <row r="2400" spans="1:3" x14ac:dyDescent="0.25">
      <c r="A2400" t="str">
        <f>IF(Scan2VK!Q72&lt;&gt;"",Scan2VK!Q72,"")</f>
        <v>SCROLL</v>
      </c>
      <c r="B2400" t="str">
        <f>IF(ISERROR(MATCH(0,INDEX(COUNTIF($B$1:B2399,$A$2:$A$4629),0,0),0)),"",INDEX($A$2:$A$4629,MATCH(0,INDEX(COUNTIF($B$1:B2399,$A$2:$A$4629),0,0),0)))</f>
        <v/>
      </c>
      <c r="C2400" t="str">
        <f t="shared" si="37"/>
        <v/>
      </c>
    </row>
    <row r="2401" spans="1:3" x14ac:dyDescent="0.25">
      <c r="A2401" t="str">
        <f>IF(Scan2VK!Q73&lt;&gt;"",Scan2VK!Q73,"")</f>
        <v>HOME</v>
      </c>
      <c r="B2401" t="str">
        <f>IF(ISERROR(MATCH(0,INDEX(COUNTIF($B$1:B2400,$A$2:$A$4629),0,0),0)),"",INDEX($A$2:$A$4629,MATCH(0,INDEX(COUNTIF($B$1:B2400,$A$2:$A$4629),0,0),0)))</f>
        <v/>
      </c>
      <c r="C2401" t="str">
        <f t="shared" si="37"/>
        <v/>
      </c>
    </row>
    <row r="2402" spans="1:3" x14ac:dyDescent="0.25">
      <c r="A2402" t="str">
        <f>IF(Scan2VK!Q74&lt;&gt;"",Scan2VK!Q74,"")</f>
        <v>UP</v>
      </c>
      <c r="B2402" t="str">
        <f>IF(ISERROR(MATCH(0,INDEX(COUNTIF($B$1:B2401,$A$2:$A$4629),0,0),0)),"",INDEX($A$2:$A$4629,MATCH(0,INDEX(COUNTIF($B$1:B2401,$A$2:$A$4629),0,0),0)))</f>
        <v/>
      </c>
      <c r="C2402" t="str">
        <f t="shared" si="37"/>
        <v/>
      </c>
    </row>
    <row r="2403" spans="1:3" x14ac:dyDescent="0.25">
      <c r="A2403" t="str">
        <f>IF(Scan2VK!Q75&lt;&gt;"",Scan2VK!Q75,"")</f>
        <v>PRIOR</v>
      </c>
      <c r="B2403" t="str">
        <f>IF(ISERROR(MATCH(0,INDEX(COUNTIF($B$1:B2402,$A$2:$A$4629),0,0),0)),"",INDEX($A$2:$A$4629,MATCH(0,INDEX(COUNTIF($B$1:B2402,$A$2:$A$4629),0,0),0)))</f>
        <v/>
      </c>
      <c r="C2403" t="str">
        <f t="shared" si="37"/>
        <v/>
      </c>
    </row>
    <row r="2404" spans="1:3" x14ac:dyDescent="0.25">
      <c r="A2404" t="str">
        <f>IF(Scan2VK!Q76&lt;&gt;"",Scan2VK!Q76,"")</f>
        <v>SUBTRACT</v>
      </c>
      <c r="B2404" t="str">
        <f>IF(ISERROR(MATCH(0,INDEX(COUNTIF($B$1:B2403,$A$2:$A$4629),0,0),0)),"",INDEX($A$2:$A$4629,MATCH(0,INDEX(COUNTIF($B$1:B2403,$A$2:$A$4629),0,0),0)))</f>
        <v/>
      </c>
      <c r="C2404" t="str">
        <f t="shared" si="37"/>
        <v/>
      </c>
    </row>
    <row r="2405" spans="1:3" x14ac:dyDescent="0.25">
      <c r="A2405" t="str">
        <f>IF(Scan2VK!Q77&lt;&gt;"",Scan2VK!Q77,"")</f>
        <v>LEFT</v>
      </c>
      <c r="B2405" t="str">
        <f>IF(ISERROR(MATCH(0,INDEX(COUNTIF($B$1:B2404,$A$2:$A$4629),0,0),0)),"",INDEX($A$2:$A$4629,MATCH(0,INDEX(COUNTIF($B$1:B2404,$A$2:$A$4629),0,0),0)))</f>
        <v/>
      </c>
      <c r="C2405" t="str">
        <f t="shared" si="37"/>
        <v/>
      </c>
    </row>
    <row r="2406" spans="1:3" x14ac:dyDescent="0.25">
      <c r="A2406" t="str">
        <f>IF(Scan2VK!Q78&lt;&gt;"",Scan2VK!Q78,"")</f>
        <v>CLEAR</v>
      </c>
      <c r="B2406" t="str">
        <f>IF(ISERROR(MATCH(0,INDEX(COUNTIF($B$1:B2405,$A$2:$A$4629),0,0),0)),"",INDEX($A$2:$A$4629,MATCH(0,INDEX(COUNTIF($B$1:B2405,$A$2:$A$4629),0,0),0)))</f>
        <v/>
      </c>
      <c r="C2406" t="str">
        <f t="shared" si="37"/>
        <v/>
      </c>
    </row>
    <row r="2407" spans="1:3" x14ac:dyDescent="0.25">
      <c r="A2407" t="str">
        <f>IF(Scan2VK!Q79&lt;&gt;"",Scan2VK!Q79,"")</f>
        <v>RIGHT</v>
      </c>
      <c r="B2407" t="str">
        <f>IF(ISERROR(MATCH(0,INDEX(COUNTIF($B$1:B2406,$A$2:$A$4629),0,0),0)),"",INDEX($A$2:$A$4629,MATCH(0,INDEX(COUNTIF($B$1:B2406,$A$2:$A$4629),0,0),0)))</f>
        <v/>
      </c>
      <c r="C2407" t="str">
        <f t="shared" si="37"/>
        <v/>
      </c>
    </row>
    <row r="2408" spans="1:3" x14ac:dyDescent="0.25">
      <c r="A2408" t="str">
        <f>IF(Scan2VK!Q80&lt;&gt;"",Scan2VK!Q80,"")</f>
        <v>ADD</v>
      </c>
      <c r="B2408" t="str">
        <f>IF(ISERROR(MATCH(0,INDEX(COUNTIF($B$1:B2407,$A$2:$A$4629),0,0),0)),"",INDEX($A$2:$A$4629,MATCH(0,INDEX(COUNTIF($B$1:B2407,$A$2:$A$4629),0,0),0)))</f>
        <v/>
      </c>
      <c r="C2408" t="str">
        <f t="shared" si="37"/>
        <v/>
      </c>
    </row>
    <row r="2409" spans="1:3" x14ac:dyDescent="0.25">
      <c r="A2409" t="str">
        <f>IF(Scan2VK!Q81&lt;&gt;"",Scan2VK!Q81,"")</f>
        <v>END</v>
      </c>
      <c r="B2409" t="str">
        <f>IF(ISERROR(MATCH(0,INDEX(COUNTIF($B$1:B2408,$A$2:$A$4629),0,0),0)),"",INDEX($A$2:$A$4629,MATCH(0,INDEX(COUNTIF($B$1:B2408,$A$2:$A$4629),0,0),0)))</f>
        <v/>
      </c>
      <c r="C2409" t="str">
        <f t="shared" si="37"/>
        <v/>
      </c>
    </row>
    <row r="2410" spans="1:3" x14ac:dyDescent="0.25">
      <c r="A2410" t="str">
        <f>IF(Scan2VK!Q82&lt;&gt;"",Scan2VK!Q82,"")</f>
        <v>DOWN</v>
      </c>
      <c r="B2410" t="str">
        <f>IF(ISERROR(MATCH(0,INDEX(COUNTIF($B$1:B2409,$A$2:$A$4629),0,0),0)),"",INDEX($A$2:$A$4629,MATCH(0,INDEX(COUNTIF($B$1:B2409,$A$2:$A$4629),0,0),0)))</f>
        <v/>
      </c>
      <c r="C2410" t="str">
        <f t="shared" si="37"/>
        <v/>
      </c>
    </row>
    <row r="2411" spans="1:3" x14ac:dyDescent="0.25">
      <c r="A2411" t="str">
        <f>IF(Scan2VK!Q83&lt;&gt;"",Scan2VK!Q83,"")</f>
        <v>NEXT</v>
      </c>
      <c r="B2411" t="str">
        <f>IF(ISERROR(MATCH(0,INDEX(COUNTIF($B$1:B2410,$A$2:$A$4629),0,0),0)),"",INDEX($A$2:$A$4629,MATCH(0,INDEX(COUNTIF($B$1:B2410,$A$2:$A$4629),0,0),0)))</f>
        <v/>
      </c>
      <c r="C2411" t="str">
        <f t="shared" si="37"/>
        <v/>
      </c>
    </row>
    <row r="2412" spans="1:3" x14ac:dyDescent="0.25">
      <c r="A2412" t="str">
        <f>IF(Scan2VK!Q84&lt;&gt;"",Scan2VK!Q84,"")</f>
        <v>INSERT</v>
      </c>
      <c r="B2412" t="str">
        <f>IF(ISERROR(MATCH(0,INDEX(COUNTIF($B$1:B2411,$A$2:$A$4629),0,0),0)),"",INDEX($A$2:$A$4629,MATCH(0,INDEX(COUNTIF($B$1:B2411,$A$2:$A$4629),0,0),0)))</f>
        <v/>
      </c>
      <c r="C2412" t="str">
        <f t="shared" si="37"/>
        <v/>
      </c>
    </row>
    <row r="2413" spans="1:3" x14ac:dyDescent="0.25">
      <c r="A2413" t="str">
        <f>IF(Scan2VK!Q85&lt;&gt;"",Scan2VK!Q85,"")</f>
        <v>DELETE</v>
      </c>
      <c r="B2413" t="str">
        <f>IF(ISERROR(MATCH(0,INDEX(COUNTIF($B$1:B2412,$A$2:$A$4629),0,0),0)),"",INDEX($A$2:$A$4629,MATCH(0,INDEX(COUNTIF($B$1:B2412,$A$2:$A$4629),0,0),0)))</f>
        <v/>
      </c>
      <c r="C2413" t="str">
        <f t="shared" si="37"/>
        <v/>
      </c>
    </row>
    <row r="2414" spans="1:3" x14ac:dyDescent="0.25">
      <c r="A2414" t="str">
        <f>IF(Scan2VK!Q86&lt;&gt;"",Scan2VK!Q86,"")</f>
        <v>SNAPSHOT</v>
      </c>
      <c r="B2414" t="str">
        <f>IF(ISERROR(MATCH(0,INDEX(COUNTIF($B$1:B2413,$A$2:$A$4629),0,0),0)),"",INDEX($A$2:$A$4629,MATCH(0,INDEX(COUNTIF($B$1:B2413,$A$2:$A$4629),0,0),0)))</f>
        <v/>
      </c>
      <c r="C2414" t="str">
        <f t="shared" si="37"/>
        <v/>
      </c>
    </row>
    <row r="2415" spans="1:3" x14ac:dyDescent="0.25">
      <c r="A2415" t="str">
        <f>IF(Scan2VK!Q87&lt;&gt;"",Scan2VK!Q87,"")</f>
        <v>_none_</v>
      </c>
      <c r="B2415" t="str">
        <f>IF(ISERROR(MATCH(0,INDEX(COUNTIF($B$1:B2414,$A$2:$A$4629),0,0),0)),"",INDEX($A$2:$A$4629,MATCH(0,INDEX(COUNTIF($B$1:B2414,$A$2:$A$4629),0,0),0)))</f>
        <v/>
      </c>
      <c r="C2415" t="str">
        <f t="shared" si="37"/>
        <v/>
      </c>
    </row>
    <row r="2416" spans="1:3" x14ac:dyDescent="0.25">
      <c r="A2416" t="str">
        <f>IF(Scan2VK!Q88&lt;&gt;"",Scan2VK!Q88,"")</f>
        <v>OEM_102</v>
      </c>
      <c r="B2416" t="str">
        <f>IF(ISERROR(MATCH(0,INDEX(COUNTIF($B$1:B2415,$A$2:$A$4629),0,0),0)),"",INDEX($A$2:$A$4629,MATCH(0,INDEX(COUNTIF($B$1:B2415,$A$2:$A$4629),0,0),0)))</f>
        <v/>
      </c>
      <c r="C2416" t="str">
        <f t="shared" si="37"/>
        <v/>
      </c>
    </row>
    <row r="2417" spans="1:3" x14ac:dyDescent="0.25">
      <c r="A2417" t="str">
        <f>IF(Scan2VK!Q89&lt;&gt;"",Scan2VK!Q89,"")</f>
        <v>F11</v>
      </c>
      <c r="B2417" t="str">
        <f>IF(ISERROR(MATCH(0,INDEX(COUNTIF($B$1:B2416,$A$2:$A$4629),0,0),0)),"",INDEX($A$2:$A$4629,MATCH(0,INDEX(COUNTIF($B$1:B2416,$A$2:$A$4629),0,0),0)))</f>
        <v/>
      </c>
      <c r="C2417" t="str">
        <f t="shared" si="37"/>
        <v/>
      </c>
    </row>
    <row r="2418" spans="1:3" x14ac:dyDescent="0.25">
      <c r="A2418" t="str">
        <f>IF(Scan2VK!Q90&lt;&gt;"",Scan2VK!Q90,"")</f>
        <v>F12</v>
      </c>
      <c r="B2418" t="str">
        <f>IF(ISERROR(MATCH(0,INDEX(COUNTIF($B$1:B2417,$A$2:$A$4629),0,0),0)),"",INDEX($A$2:$A$4629,MATCH(0,INDEX(COUNTIF($B$1:B2417,$A$2:$A$4629),0,0),0)))</f>
        <v/>
      </c>
      <c r="C2418" t="str">
        <f t="shared" si="37"/>
        <v/>
      </c>
    </row>
    <row r="2419" spans="1:3" x14ac:dyDescent="0.25">
      <c r="A2419" t="str">
        <f>IF(Scan2VK!Q91&lt;&gt;"",Scan2VK!Q91,"")</f>
        <v>CLEAR</v>
      </c>
      <c r="B2419" t="str">
        <f>IF(ISERROR(MATCH(0,INDEX(COUNTIF($B$1:B2418,$A$2:$A$4629),0,0),0)),"",INDEX($A$2:$A$4629,MATCH(0,INDEX(COUNTIF($B$1:B2418,$A$2:$A$4629),0,0),0)))</f>
        <v/>
      </c>
      <c r="C2419" t="str">
        <f t="shared" si="37"/>
        <v/>
      </c>
    </row>
    <row r="2420" spans="1:3" x14ac:dyDescent="0.25">
      <c r="A2420" t="str">
        <f>IF(Scan2VK!Q92&lt;&gt;"",Scan2VK!Q92,"")</f>
        <v>OEM_WSCTRL</v>
      </c>
      <c r="B2420" t="str">
        <f>IF(ISERROR(MATCH(0,INDEX(COUNTIF($B$1:B2419,$A$2:$A$4629),0,0),0)),"",INDEX($A$2:$A$4629,MATCH(0,INDEX(COUNTIF($B$1:B2419,$A$2:$A$4629),0,0),0)))</f>
        <v/>
      </c>
      <c r="C2420" t="str">
        <f t="shared" si="37"/>
        <v/>
      </c>
    </row>
    <row r="2421" spans="1:3" x14ac:dyDescent="0.25">
      <c r="A2421" t="str">
        <f>IF(Scan2VK!Q93&lt;&gt;"",Scan2VK!Q93,"")</f>
        <v>OEM_FINISH</v>
      </c>
      <c r="B2421" t="str">
        <f>IF(ISERROR(MATCH(0,INDEX(COUNTIF($B$1:B2420,$A$2:$A$4629),0,0),0)),"",INDEX($A$2:$A$4629,MATCH(0,INDEX(COUNTIF($B$1:B2420,$A$2:$A$4629),0,0),0)))</f>
        <v/>
      </c>
      <c r="C2421" t="str">
        <f t="shared" si="37"/>
        <v/>
      </c>
    </row>
    <row r="2422" spans="1:3" x14ac:dyDescent="0.25">
      <c r="A2422" t="str">
        <f>IF(Scan2VK!Q94&lt;&gt;"",Scan2VK!Q94,"")</f>
        <v>OEM_JUMP</v>
      </c>
      <c r="B2422" t="str">
        <f>IF(ISERROR(MATCH(0,INDEX(COUNTIF($B$1:B2421,$A$2:$A$4629),0,0),0)),"",INDEX($A$2:$A$4629,MATCH(0,INDEX(COUNTIF($B$1:B2421,$A$2:$A$4629),0,0),0)))</f>
        <v/>
      </c>
      <c r="C2422" t="str">
        <f t="shared" si="37"/>
        <v/>
      </c>
    </row>
    <row r="2423" spans="1:3" x14ac:dyDescent="0.25">
      <c r="A2423" t="str">
        <f>IF(Scan2VK!Q95&lt;&gt;"",Scan2VK!Q95,"")</f>
        <v>EREOF</v>
      </c>
      <c r="B2423" t="str">
        <f>IF(ISERROR(MATCH(0,INDEX(COUNTIF($B$1:B2422,$A$2:$A$4629),0,0),0)),"",INDEX($A$2:$A$4629,MATCH(0,INDEX(COUNTIF($B$1:B2422,$A$2:$A$4629),0,0),0)))</f>
        <v/>
      </c>
      <c r="C2423" t="str">
        <f t="shared" si="37"/>
        <v/>
      </c>
    </row>
    <row r="2424" spans="1:3" x14ac:dyDescent="0.25">
      <c r="A2424" t="str">
        <f>IF(Scan2VK!Q96&lt;&gt;"",Scan2VK!Q96,"")</f>
        <v>OEM_BAC</v>
      </c>
      <c r="B2424" t="str">
        <f>IF(ISERROR(MATCH(0,INDEX(COUNTIF($B$1:B2423,$A$2:$A$4629),0,0),0)),"",INDEX($A$2:$A$4629,MATCH(0,INDEX(COUNTIF($B$1:B2423,$A$2:$A$4629),0,0),0)))</f>
        <v/>
      </c>
      <c r="C2424" t="str">
        <f t="shared" si="37"/>
        <v/>
      </c>
    </row>
    <row r="2425" spans="1:3" x14ac:dyDescent="0.25">
      <c r="A2425" t="str">
        <f>IF(Scan2VK!Q97&lt;&gt;"",Scan2VK!Q97,"")</f>
        <v>OEM_AUTO</v>
      </c>
      <c r="B2425" t="str">
        <f>IF(ISERROR(MATCH(0,INDEX(COUNTIF($B$1:B2424,$A$2:$A$4629),0,0),0)),"",INDEX($A$2:$A$4629,MATCH(0,INDEX(COUNTIF($B$1:B2424,$A$2:$A$4629),0,0),0)))</f>
        <v/>
      </c>
      <c r="C2425" t="str">
        <f t="shared" si="37"/>
        <v/>
      </c>
    </row>
    <row r="2426" spans="1:3" x14ac:dyDescent="0.25">
      <c r="A2426" t="str">
        <f>IF(Scan2VK!Q98&lt;&gt;"",Scan2VK!Q98,"")</f>
        <v>_none_</v>
      </c>
      <c r="B2426" t="str">
        <f>IF(ISERROR(MATCH(0,INDEX(COUNTIF($B$1:B2425,$A$2:$A$4629),0,0),0)),"",INDEX($A$2:$A$4629,MATCH(0,INDEX(COUNTIF($B$1:B2425,$A$2:$A$4629),0,0),0)))</f>
        <v/>
      </c>
      <c r="C2426" t="str">
        <f t="shared" si="37"/>
        <v/>
      </c>
    </row>
    <row r="2427" spans="1:3" x14ac:dyDescent="0.25">
      <c r="A2427" t="str">
        <f>IF(Scan2VK!Q99&lt;&gt;"",Scan2VK!Q99,"")</f>
        <v>ZOOM</v>
      </c>
      <c r="B2427" t="str">
        <f>IF(ISERROR(MATCH(0,INDEX(COUNTIF($B$1:B2426,$A$2:$A$4629),0,0),0)),"",INDEX($A$2:$A$4629,MATCH(0,INDEX(COUNTIF($B$1:B2426,$A$2:$A$4629),0,0),0)))</f>
        <v/>
      </c>
      <c r="C2427" t="str">
        <f t="shared" si="37"/>
        <v/>
      </c>
    </row>
    <row r="2428" spans="1:3" x14ac:dyDescent="0.25">
      <c r="A2428" t="str">
        <f>IF(Scan2VK!Q100&lt;&gt;"",Scan2VK!Q100,"")</f>
        <v>HELP</v>
      </c>
      <c r="B2428" t="str">
        <f>IF(ISERROR(MATCH(0,INDEX(COUNTIF($B$1:B2427,$A$2:$A$4629),0,0),0)),"",INDEX($A$2:$A$4629,MATCH(0,INDEX(COUNTIF($B$1:B2427,$A$2:$A$4629),0,0),0)))</f>
        <v/>
      </c>
      <c r="C2428" t="str">
        <f t="shared" si="37"/>
        <v/>
      </c>
    </row>
    <row r="2429" spans="1:3" x14ac:dyDescent="0.25">
      <c r="A2429" t="str">
        <f>IF(Scan2VK!Q101&lt;&gt;"",Scan2VK!Q101,"")</f>
        <v>_none_</v>
      </c>
      <c r="B2429" t="str">
        <f>IF(ISERROR(MATCH(0,INDEX(COUNTIF($B$1:B2428,$A$2:$A$4629),0,0),0)),"",INDEX($A$2:$A$4629,MATCH(0,INDEX(COUNTIF($B$1:B2428,$A$2:$A$4629),0,0),0)))</f>
        <v/>
      </c>
      <c r="C2429" t="str">
        <f t="shared" si="37"/>
        <v/>
      </c>
    </row>
    <row r="2430" spans="1:3" x14ac:dyDescent="0.25">
      <c r="A2430" t="str">
        <f>IF(Scan2VK!Q102&lt;&gt;"",Scan2VK!Q102,"")</f>
        <v>F13</v>
      </c>
      <c r="B2430" t="str">
        <f>IF(ISERROR(MATCH(0,INDEX(COUNTIF($B$1:B2429,$A$2:$A$4629),0,0),0)),"",INDEX($A$2:$A$4629,MATCH(0,INDEX(COUNTIF($B$1:B2429,$A$2:$A$4629),0,0),0)))</f>
        <v/>
      </c>
      <c r="C2430" t="str">
        <f t="shared" si="37"/>
        <v/>
      </c>
    </row>
    <row r="2431" spans="1:3" x14ac:dyDescent="0.25">
      <c r="A2431" t="str">
        <f>IF(Scan2VK!Q103&lt;&gt;"",Scan2VK!Q103,"")</f>
        <v>F14</v>
      </c>
      <c r="B2431" t="str">
        <f>IF(ISERROR(MATCH(0,INDEX(COUNTIF($B$1:B2430,$A$2:$A$4629),0,0),0)),"",INDEX($A$2:$A$4629,MATCH(0,INDEX(COUNTIF($B$1:B2430,$A$2:$A$4629),0,0),0)))</f>
        <v/>
      </c>
      <c r="C2431" t="str">
        <f t="shared" si="37"/>
        <v/>
      </c>
    </row>
    <row r="2432" spans="1:3" x14ac:dyDescent="0.25">
      <c r="A2432" t="str">
        <f>IF(Scan2VK!Q104&lt;&gt;"",Scan2VK!Q104,"")</f>
        <v>F15</v>
      </c>
      <c r="B2432" t="str">
        <f>IF(ISERROR(MATCH(0,INDEX(COUNTIF($B$1:B2431,$A$2:$A$4629),0,0),0)),"",INDEX($A$2:$A$4629,MATCH(0,INDEX(COUNTIF($B$1:B2431,$A$2:$A$4629),0,0),0)))</f>
        <v/>
      </c>
      <c r="C2432" t="str">
        <f t="shared" si="37"/>
        <v/>
      </c>
    </row>
    <row r="2433" spans="1:3" x14ac:dyDescent="0.25">
      <c r="A2433" t="str">
        <f>IF(Scan2VK!Q105&lt;&gt;"",Scan2VK!Q105,"")</f>
        <v>F16</v>
      </c>
      <c r="B2433" t="str">
        <f>IF(ISERROR(MATCH(0,INDEX(COUNTIF($B$1:B2432,$A$2:$A$4629),0,0),0)),"",INDEX($A$2:$A$4629,MATCH(0,INDEX(COUNTIF($B$1:B2432,$A$2:$A$4629),0,0),0)))</f>
        <v/>
      </c>
      <c r="C2433" t="str">
        <f t="shared" si="37"/>
        <v/>
      </c>
    </row>
    <row r="2434" spans="1:3" x14ac:dyDescent="0.25">
      <c r="A2434" t="str">
        <f>IF(Scan2VK!Q106&lt;&gt;"",Scan2VK!Q106,"")</f>
        <v>F17</v>
      </c>
      <c r="B2434" t="str">
        <f>IF(ISERROR(MATCH(0,INDEX(COUNTIF($B$1:B2433,$A$2:$A$4629),0,0),0)),"",INDEX($A$2:$A$4629,MATCH(0,INDEX(COUNTIF($B$1:B2433,$A$2:$A$4629),0,0),0)))</f>
        <v/>
      </c>
      <c r="C2434" t="str">
        <f t="shared" si="37"/>
        <v/>
      </c>
    </row>
    <row r="2435" spans="1:3" x14ac:dyDescent="0.25">
      <c r="A2435" t="str">
        <f>IF(Scan2VK!Q107&lt;&gt;"",Scan2VK!Q107,"")</f>
        <v>F18</v>
      </c>
      <c r="B2435" t="str">
        <f>IF(ISERROR(MATCH(0,INDEX(COUNTIF($B$1:B2434,$A$2:$A$4629),0,0),0)),"",INDEX($A$2:$A$4629,MATCH(0,INDEX(COUNTIF($B$1:B2434,$A$2:$A$4629),0,0),0)))</f>
        <v/>
      </c>
      <c r="C2435" t="str">
        <f t="shared" ref="C2435:C2498" si="38">IF(B2435&lt;&gt;"","&lt;xs:enumeration value="""&amp;B2435&amp;"""/&gt;","")</f>
        <v/>
      </c>
    </row>
    <row r="2436" spans="1:3" x14ac:dyDescent="0.25">
      <c r="A2436" t="str">
        <f>IF(Scan2VK!Q108&lt;&gt;"",Scan2VK!Q108,"")</f>
        <v>F19</v>
      </c>
      <c r="B2436" t="str">
        <f>IF(ISERROR(MATCH(0,INDEX(COUNTIF($B$1:B2435,$A$2:$A$4629),0,0),0)),"",INDEX($A$2:$A$4629,MATCH(0,INDEX(COUNTIF($B$1:B2435,$A$2:$A$4629),0,0),0)))</f>
        <v/>
      </c>
      <c r="C2436" t="str">
        <f t="shared" si="38"/>
        <v/>
      </c>
    </row>
    <row r="2437" spans="1:3" x14ac:dyDescent="0.25">
      <c r="A2437" t="str">
        <f>IF(Scan2VK!Q109&lt;&gt;"",Scan2VK!Q109,"")</f>
        <v>F20</v>
      </c>
      <c r="B2437" t="str">
        <f>IF(ISERROR(MATCH(0,INDEX(COUNTIF($B$1:B2436,$A$2:$A$4629),0,0),0)),"",INDEX($A$2:$A$4629,MATCH(0,INDEX(COUNTIF($B$1:B2436,$A$2:$A$4629),0,0),0)))</f>
        <v/>
      </c>
      <c r="C2437" t="str">
        <f t="shared" si="38"/>
        <v/>
      </c>
    </row>
    <row r="2438" spans="1:3" x14ac:dyDescent="0.25">
      <c r="A2438" t="str">
        <f>IF(Scan2VK!Q110&lt;&gt;"",Scan2VK!Q110,"")</f>
        <v>F21</v>
      </c>
      <c r="B2438" t="str">
        <f>IF(ISERROR(MATCH(0,INDEX(COUNTIF($B$1:B2437,$A$2:$A$4629),0,0),0)),"",INDEX($A$2:$A$4629,MATCH(0,INDEX(COUNTIF($B$1:B2437,$A$2:$A$4629),0,0),0)))</f>
        <v/>
      </c>
      <c r="C2438" t="str">
        <f t="shared" si="38"/>
        <v/>
      </c>
    </row>
    <row r="2439" spans="1:3" x14ac:dyDescent="0.25">
      <c r="A2439" t="str">
        <f>IF(Scan2VK!Q111&lt;&gt;"",Scan2VK!Q111,"")</f>
        <v>F22</v>
      </c>
      <c r="B2439" t="str">
        <f>IF(ISERROR(MATCH(0,INDEX(COUNTIF($B$1:B2438,$A$2:$A$4629),0,0),0)),"",INDEX($A$2:$A$4629,MATCH(0,INDEX(COUNTIF($B$1:B2438,$A$2:$A$4629),0,0),0)))</f>
        <v/>
      </c>
      <c r="C2439" t="str">
        <f t="shared" si="38"/>
        <v/>
      </c>
    </row>
    <row r="2440" spans="1:3" x14ac:dyDescent="0.25">
      <c r="A2440" t="str">
        <f>IF(Scan2VK!Q112&lt;&gt;"",Scan2VK!Q112,"")</f>
        <v>F23</v>
      </c>
      <c r="B2440" t="str">
        <f>IF(ISERROR(MATCH(0,INDEX(COUNTIF($B$1:B2439,$A$2:$A$4629),0,0),0)),"",INDEX($A$2:$A$4629,MATCH(0,INDEX(COUNTIF($B$1:B2439,$A$2:$A$4629),0,0),0)))</f>
        <v/>
      </c>
      <c r="C2440" t="str">
        <f t="shared" si="38"/>
        <v/>
      </c>
    </row>
    <row r="2441" spans="1:3" x14ac:dyDescent="0.25">
      <c r="A2441" t="str">
        <f>IF(Scan2VK!Q113&lt;&gt;"",Scan2VK!Q113,"")</f>
        <v>OEM_PA3</v>
      </c>
      <c r="B2441" t="str">
        <f>IF(ISERROR(MATCH(0,INDEX(COUNTIF($B$1:B2440,$A$2:$A$4629),0,0),0)),"",INDEX($A$2:$A$4629,MATCH(0,INDEX(COUNTIF($B$1:B2440,$A$2:$A$4629),0,0),0)))</f>
        <v/>
      </c>
      <c r="C2441" t="str">
        <f t="shared" si="38"/>
        <v/>
      </c>
    </row>
    <row r="2442" spans="1:3" x14ac:dyDescent="0.25">
      <c r="A2442" t="str">
        <f>IF(Scan2VK!Q114&lt;&gt;"",Scan2VK!Q114,"")</f>
        <v>_none_</v>
      </c>
      <c r="B2442" t="str">
        <f>IF(ISERROR(MATCH(0,INDEX(COUNTIF($B$1:B2441,$A$2:$A$4629),0,0),0)),"",INDEX($A$2:$A$4629,MATCH(0,INDEX(COUNTIF($B$1:B2441,$A$2:$A$4629),0,0),0)))</f>
        <v/>
      </c>
      <c r="C2442" t="str">
        <f t="shared" si="38"/>
        <v/>
      </c>
    </row>
    <row r="2443" spans="1:3" x14ac:dyDescent="0.25">
      <c r="A2443" t="str">
        <f>IF(Scan2VK!Q115&lt;&gt;"",Scan2VK!Q115,"")</f>
        <v>OEM_RESET</v>
      </c>
      <c r="B2443" t="str">
        <f>IF(ISERROR(MATCH(0,INDEX(COUNTIF($B$1:B2442,$A$2:$A$4629),0,0),0)),"",INDEX($A$2:$A$4629,MATCH(0,INDEX(COUNTIF($B$1:B2442,$A$2:$A$4629),0,0),0)))</f>
        <v/>
      </c>
      <c r="C2443" t="str">
        <f t="shared" si="38"/>
        <v/>
      </c>
    </row>
    <row r="2444" spans="1:3" x14ac:dyDescent="0.25">
      <c r="A2444" t="str">
        <f>IF(Scan2VK!Q116&lt;&gt;"",Scan2VK!Q116,"")</f>
        <v>_none_</v>
      </c>
      <c r="B2444" t="str">
        <f>IF(ISERROR(MATCH(0,INDEX(COUNTIF($B$1:B2443,$A$2:$A$4629),0,0),0)),"",INDEX($A$2:$A$4629,MATCH(0,INDEX(COUNTIF($B$1:B2443,$A$2:$A$4629),0,0),0)))</f>
        <v/>
      </c>
      <c r="C2444" t="str">
        <f t="shared" si="38"/>
        <v/>
      </c>
    </row>
    <row r="2445" spans="1:3" x14ac:dyDescent="0.25">
      <c r="A2445" t="str">
        <f>IF(Scan2VK!Q117&lt;&gt;"",Scan2VK!Q117,"")</f>
        <v>ABNT_C1</v>
      </c>
      <c r="B2445" t="str">
        <f>IF(ISERROR(MATCH(0,INDEX(COUNTIF($B$1:B2444,$A$2:$A$4629),0,0),0)),"",INDEX($A$2:$A$4629,MATCH(0,INDEX(COUNTIF($B$1:B2444,$A$2:$A$4629),0,0),0)))</f>
        <v/>
      </c>
      <c r="C2445" t="str">
        <f t="shared" si="38"/>
        <v/>
      </c>
    </row>
    <row r="2446" spans="1:3" x14ac:dyDescent="0.25">
      <c r="A2446" t="str">
        <f>IF(Scan2VK!Q118&lt;&gt;"",Scan2VK!Q118,"")</f>
        <v>_none_</v>
      </c>
      <c r="B2446" t="str">
        <f>IF(ISERROR(MATCH(0,INDEX(COUNTIF($B$1:B2445,$A$2:$A$4629),0,0),0)),"",INDEX($A$2:$A$4629,MATCH(0,INDEX(COUNTIF($B$1:B2445,$A$2:$A$4629),0,0),0)))</f>
        <v/>
      </c>
      <c r="C2446" t="str">
        <f t="shared" si="38"/>
        <v/>
      </c>
    </row>
    <row r="2447" spans="1:3" x14ac:dyDescent="0.25">
      <c r="A2447" t="str">
        <f>IF(Scan2VK!Q119&lt;&gt;"",Scan2VK!Q119,"")</f>
        <v>_none_</v>
      </c>
      <c r="B2447" t="str">
        <f>IF(ISERROR(MATCH(0,INDEX(COUNTIF($B$1:B2446,$A$2:$A$4629),0,0),0)),"",INDEX($A$2:$A$4629,MATCH(0,INDEX(COUNTIF($B$1:B2446,$A$2:$A$4629),0,0),0)))</f>
        <v/>
      </c>
      <c r="C2447" t="str">
        <f t="shared" si="38"/>
        <v/>
      </c>
    </row>
    <row r="2448" spans="1:3" x14ac:dyDescent="0.25">
      <c r="A2448" t="str">
        <f>IF(Scan2VK!Q120&lt;&gt;"",Scan2VK!Q120,"")</f>
        <v>F24</v>
      </c>
      <c r="B2448" t="str">
        <f>IF(ISERROR(MATCH(0,INDEX(COUNTIF($B$1:B2447,$A$2:$A$4629),0,0),0)),"",INDEX($A$2:$A$4629,MATCH(0,INDEX(COUNTIF($B$1:B2447,$A$2:$A$4629),0,0),0)))</f>
        <v/>
      </c>
      <c r="C2448" t="str">
        <f t="shared" si="38"/>
        <v/>
      </c>
    </row>
    <row r="2449" spans="1:3" x14ac:dyDescent="0.25">
      <c r="A2449" t="str">
        <f>IF(Scan2VK!Q121&lt;&gt;"",Scan2VK!Q121,"")</f>
        <v>_none_</v>
      </c>
      <c r="B2449" t="str">
        <f>IF(ISERROR(MATCH(0,INDEX(COUNTIF($B$1:B2448,$A$2:$A$4629),0,0),0)),"",INDEX($A$2:$A$4629,MATCH(0,INDEX(COUNTIF($B$1:B2448,$A$2:$A$4629),0,0),0)))</f>
        <v/>
      </c>
      <c r="C2449" t="str">
        <f t="shared" si="38"/>
        <v/>
      </c>
    </row>
    <row r="2450" spans="1:3" x14ac:dyDescent="0.25">
      <c r="A2450" t="str">
        <f>IF(Scan2VK!Q122&lt;&gt;"",Scan2VK!Q122,"")</f>
        <v>_none_</v>
      </c>
      <c r="B2450" t="str">
        <f>IF(ISERROR(MATCH(0,INDEX(COUNTIF($B$1:B2449,$A$2:$A$4629),0,0),0)),"",INDEX($A$2:$A$4629,MATCH(0,INDEX(COUNTIF($B$1:B2449,$A$2:$A$4629),0,0),0)))</f>
        <v/>
      </c>
      <c r="C2450" t="str">
        <f t="shared" si="38"/>
        <v/>
      </c>
    </row>
    <row r="2451" spans="1:3" x14ac:dyDescent="0.25">
      <c r="A2451" t="str">
        <f>IF(Scan2VK!Q123&lt;&gt;"",Scan2VK!Q123,"")</f>
        <v>_none_</v>
      </c>
      <c r="B2451" t="str">
        <f>IF(ISERROR(MATCH(0,INDEX(COUNTIF($B$1:B2450,$A$2:$A$4629),0,0),0)),"",INDEX($A$2:$A$4629,MATCH(0,INDEX(COUNTIF($B$1:B2450,$A$2:$A$4629),0,0),0)))</f>
        <v/>
      </c>
      <c r="C2451" t="str">
        <f t="shared" si="38"/>
        <v/>
      </c>
    </row>
    <row r="2452" spans="1:3" x14ac:dyDescent="0.25">
      <c r="A2452" t="str">
        <f>IF(Scan2VK!Q124&lt;&gt;"",Scan2VK!Q124,"")</f>
        <v>_none_</v>
      </c>
      <c r="B2452" t="str">
        <f>IF(ISERROR(MATCH(0,INDEX(COUNTIF($B$1:B2451,$A$2:$A$4629),0,0),0)),"",INDEX($A$2:$A$4629,MATCH(0,INDEX(COUNTIF($B$1:B2451,$A$2:$A$4629),0,0),0)))</f>
        <v/>
      </c>
      <c r="C2452" t="str">
        <f t="shared" si="38"/>
        <v/>
      </c>
    </row>
    <row r="2453" spans="1:3" x14ac:dyDescent="0.25">
      <c r="A2453" t="str">
        <f>IF(Scan2VK!Q125&lt;&gt;"",Scan2VK!Q125,"")</f>
        <v>OEM_PA1</v>
      </c>
      <c r="B2453" t="str">
        <f>IF(ISERROR(MATCH(0,INDEX(COUNTIF($B$1:B2452,$A$2:$A$4629),0,0),0)),"",INDEX($A$2:$A$4629,MATCH(0,INDEX(COUNTIF($B$1:B2452,$A$2:$A$4629),0,0),0)))</f>
        <v/>
      </c>
      <c r="C2453" t="str">
        <f t="shared" si="38"/>
        <v/>
      </c>
    </row>
    <row r="2454" spans="1:3" x14ac:dyDescent="0.25">
      <c r="A2454" t="str">
        <f>IF(Scan2VK!Q126&lt;&gt;"",Scan2VK!Q126,"")</f>
        <v>TAB</v>
      </c>
      <c r="B2454" t="str">
        <f>IF(ISERROR(MATCH(0,INDEX(COUNTIF($B$1:B2453,$A$2:$A$4629),0,0),0)),"",INDEX($A$2:$A$4629,MATCH(0,INDEX(COUNTIF($B$1:B2453,$A$2:$A$4629),0,0),0)))</f>
        <v/>
      </c>
      <c r="C2454" t="str">
        <f t="shared" si="38"/>
        <v/>
      </c>
    </row>
    <row r="2455" spans="1:3" x14ac:dyDescent="0.25">
      <c r="A2455" t="str">
        <f>IF(Scan2VK!Q127&lt;&gt;"",Scan2VK!Q127,"")</f>
        <v>_none_</v>
      </c>
      <c r="B2455" t="str">
        <f>IF(ISERROR(MATCH(0,INDEX(COUNTIF($B$1:B2454,$A$2:$A$4629),0,0),0)),"",INDEX($A$2:$A$4629,MATCH(0,INDEX(COUNTIF($B$1:B2454,$A$2:$A$4629),0,0),0)))</f>
        <v/>
      </c>
      <c r="C2455" t="str">
        <f t="shared" si="38"/>
        <v/>
      </c>
    </row>
    <row r="2456" spans="1:3" x14ac:dyDescent="0.25">
      <c r="A2456" t="str">
        <f>IF(Scan2VK!Q128&lt;&gt;"",Scan2VK!Q128,"")</f>
        <v>ABNT_C2</v>
      </c>
      <c r="B2456" t="str">
        <f>IF(ISERROR(MATCH(0,INDEX(COUNTIF($B$1:B2455,$A$2:$A$4629),0,0),0)),"",INDEX($A$2:$A$4629,MATCH(0,INDEX(COUNTIF($B$1:B2455,$A$2:$A$4629),0,0),0)))</f>
        <v/>
      </c>
      <c r="C2456" t="str">
        <f t="shared" si="38"/>
        <v/>
      </c>
    </row>
    <row r="2457" spans="1:3" x14ac:dyDescent="0.25">
      <c r="A2457" t="str">
        <f>IF(Scan2VK!Q129&lt;&gt;"",Scan2VK!Q129,"")</f>
        <v>OEM_PA2</v>
      </c>
      <c r="B2457" t="str">
        <f>IF(ISERROR(MATCH(0,INDEX(COUNTIF($B$1:B2456,$A$2:$A$4629),0,0),0)),"",INDEX($A$2:$A$4629,MATCH(0,INDEX(COUNTIF($B$1:B2456,$A$2:$A$4629),0,0),0)))</f>
        <v/>
      </c>
      <c r="C2457" t="str">
        <f t="shared" si="38"/>
        <v/>
      </c>
    </row>
    <row r="2458" spans="1:3" x14ac:dyDescent="0.25">
      <c r="A2458" t="str">
        <f>IF(Scan2VK!Q130&lt;&gt;"",Scan2VK!Q130,"")</f>
        <v/>
      </c>
      <c r="B2458" t="str">
        <f>IF(ISERROR(MATCH(0,INDEX(COUNTIF($B$1:B2457,$A$2:$A$4629),0,0),0)),"",INDEX($A$2:$A$4629,MATCH(0,INDEX(COUNTIF($B$1:B2457,$A$2:$A$4629),0,0),0)))</f>
        <v/>
      </c>
      <c r="C2458" t="str">
        <f t="shared" si="38"/>
        <v/>
      </c>
    </row>
    <row r="2459" spans="1:3" x14ac:dyDescent="0.25">
      <c r="A2459" t="str">
        <f>IF(Scan2VK!Q131&lt;&gt;"",Scan2VK!Q131,"")</f>
        <v>MEDIA_PREV_TRACK</v>
      </c>
      <c r="B2459" t="str">
        <f>IF(ISERROR(MATCH(0,INDEX(COUNTIF($B$1:B2458,$A$2:$A$4629),0,0),0)),"",INDEX($A$2:$A$4629,MATCH(0,INDEX(COUNTIF($B$1:B2458,$A$2:$A$4629),0,0),0)))</f>
        <v/>
      </c>
      <c r="C2459" t="str">
        <f t="shared" si="38"/>
        <v/>
      </c>
    </row>
    <row r="2460" spans="1:3" x14ac:dyDescent="0.25">
      <c r="A2460" t="str">
        <f>IF(Scan2VK!Q132&lt;&gt;"",Scan2VK!Q132,"")</f>
        <v>MEDIA_NEXT_TRACK</v>
      </c>
      <c r="B2460" t="str">
        <f>IF(ISERROR(MATCH(0,INDEX(COUNTIF($B$1:B2459,$A$2:$A$4629),0,0),0)),"",INDEX($A$2:$A$4629,MATCH(0,INDEX(COUNTIF($B$1:B2459,$A$2:$A$4629),0,0),0)))</f>
        <v/>
      </c>
      <c r="C2460" t="str">
        <f t="shared" si="38"/>
        <v/>
      </c>
    </row>
    <row r="2461" spans="1:3" x14ac:dyDescent="0.25">
      <c r="A2461" t="str">
        <f>IF(Scan2VK!Q133&lt;&gt;"",Scan2VK!Q133,"")</f>
        <v>RETURN</v>
      </c>
      <c r="B2461" t="str">
        <f>IF(ISERROR(MATCH(0,INDEX(COUNTIF($B$1:B2460,$A$2:$A$4629),0,0),0)),"",INDEX($A$2:$A$4629,MATCH(0,INDEX(COUNTIF($B$1:B2460,$A$2:$A$4629),0,0),0)))</f>
        <v/>
      </c>
      <c r="C2461" t="str">
        <f t="shared" si="38"/>
        <v/>
      </c>
    </row>
    <row r="2462" spans="1:3" x14ac:dyDescent="0.25">
      <c r="A2462" t="str">
        <f>IF(Scan2VK!Q134&lt;&gt;"",Scan2VK!Q134,"")</f>
        <v>RCONTROL</v>
      </c>
      <c r="B2462" t="str">
        <f>IF(ISERROR(MATCH(0,INDEX(COUNTIF($B$1:B2461,$A$2:$A$4629),0,0),0)),"",INDEX($A$2:$A$4629,MATCH(0,INDEX(COUNTIF($B$1:B2461,$A$2:$A$4629),0,0),0)))</f>
        <v/>
      </c>
      <c r="C2462" t="str">
        <f t="shared" si="38"/>
        <v/>
      </c>
    </row>
    <row r="2463" spans="1:3" x14ac:dyDescent="0.25">
      <c r="A2463" t="str">
        <f>IF(Scan2VK!Q135&lt;&gt;"",Scan2VK!Q135,"")</f>
        <v>VOLUME_MUTE</v>
      </c>
      <c r="B2463" t="str">
        <f>IF(ISERROR(MATCH(0,INDEX(COUNTIF($B$1:B2462,$A$2:$A$4629),0,0),0)),"",INDEX($A$2:$A$4629,MATCH(0,INDEX(COUNTIF($B$1:B2462,$A$2:$A$4629),0,0),0)))</f>
        <v/>
      </c>
      <c r="C2463" t="str">
        <f t="shared" si="38"/>
        <v/>
      </c>
    </row>
    <row r="2464" spans="1:3" x14ac:dyDescent="0.25">
      <c r="A2464" t="str">
        <f>IF(Scan2VK!Q136&lt;&gt;"",Scan2VK!Q136,"")</f>
        <v>LAUNCH_APP2</v>
      </c>
      <c r="B2464" t="str">
        <f>IF(ISERROR(MATCH(0,INDEX(COUNTIF($B$1:B2463,$A$2:$A$4629),0,0),0)),"",INDEX($A$2:$A$4629,MATCH(0,INDEX(COUNTIF($B$1:B2463,$A$2:$A$4629),0,0),0)))</f>
        <v/>
      </c>
      <c r="C2464" t="str">
        <f t="shared" si="38"/>
        <v/>
      </c>
    </row>
    <row r="2465" spans="1:3" x14ac:dyDescent="0.25">
      <c r="A2465" t="str">
        <f>IF(Scan2VK!Q137&lt;&gt;"",Scan2VK!Q137,"")</f>
        <v>MEDIA_PLAY_PAUSE</v>
      </c>
      <c r="B2465" t="str">
        <f>IF(ISERROR(MATCH(0,INDEX(COUNTIF($B$1:B2464,$A$2:$A$4629),0,0),0)),"",INDEX($A$2:$A$4629,MATCH(0,INDEX(COUNTIF($B$1:B2464,$A$2:$A$4629),0,0),0)))</f>
        <v/>
      </c>
      <c r="C2465" t="str">
        <f t="shared" si="38"/>
        <v/>
      </c>
    </row>
    <row r="2466" spans="1:3" x14ac:dyDescent="0.25">
      <c r="A2466" t="str">
        <f>IF(Scan2VK!Q138&lt;&gt;"",Scan2VK!Q138,"")</f>
        <v>MEDIA_STOP</v>
      </c>
      <c r="B2466" t="str">
        <f>IF(ISERROR(MATCH(0,INDEX(COUNTIF($B$1:B2465,$A$2:$A$4629),0,0),0)),"",INDEX($A$2:$A$4629,MATCH(0,INDEX(COUNTIF($B$1:B2465,$A$2:$A$4629),0,0),0)))</f>
        <v/>
      </c>
      <c r="C2466" t="str">
        <f t="shared" si="38"/>
        <v/>
      </c>
    </row>
    <row r="2467" spans="1:3" x14ac:dyDescent="0.25">
      <c r="A2467" t="str">
        <f>IF(Scan2VK!Q139&lt;&gt;"",Scan2VK!Q139,"")</f>
        <v>VOLUME_DOWN</v>
      </c>
      <c r="B2467" t="str">
        <f>IF(ISERROR(MATCH(0,INDEX(COUNTIF($B$1:B2466,$A$2:$A$4629),0,0),0)),"",INDEX($A$2:$A$4629,MATCH(0,INDEX(COUNTIF($B$1:B2466,$A$2:$A$4629),0,0),0)))</f>
        <v/>
      </c>
      <c r="C2467" t="str">
        <f t="shared" si="38"/>
        <v/>
      </c>
    </row>
    <row r="2468" spans="1:3" x14ac:dyDescent="0.25">
      <c r="A2468" t="str">
        <f>IF(Scan2VK!Q140&lt;&gt;"",Scan2VK!Q140,"")</f>
        <v>VOLUME_UP</v>
      </c>
      <c r="B2468" t="str">
        <f>IF(ISERROR(MATCH(0,INDEX(COUNTIF($B$1:B2467,$A$2:$A$4629),0,0),0)),"",INDEX($A$2:$A$4629,MATCH(0,INDEX(COUNTIF($B$1:B2467,$A$2:$A$4629),0,0),0)))</f>
        <v/>
      </c>
      <c r="C2468" t="str">
        <f t="shared" si="38"/>
        <v/>
      </c>
    </row>
    <row r="2469" spans="1:3" x14ac:dyDescent="0.25">
      <c r="A2469" t="str">
        <f>IF(Scan2VK!Q141&lt;&gt;"",Scan2VK!Q141,"")</f>
        <v>BROWSER_HOME</v>
      </c>
      <c r="B2469" t="str">
        <f>IF(ISERROR(MATCH(0,INDEX(COUNTIF($B$1:B2468,$A$2:$A$4629),0,0),0)),"",INDEX($A$2:$A$4629,MATCH(0,INDEX(COUNTIF($B$1:B2468,$A$2:$A$4629),0,0),0)))</f>
        <v/>
      </c>
      <c r="C2469" t="str">
        <f t="shared" si="38"/>
        <v/>
      </c>
    </row>
    <row r="2470" spans="1:3" x14ac:dyDescent="0.25">
      <c r="A2470" t="str">
        <f>IF(Scan2VK!Q142&lt;&gt;"",Scan2VK!Q142,"")</f>
        <v>_none_</v>
      </c>
      <c r="B2470" t="str">
        <f>IF(ISERROR(MATCH(0,INDEX(COUNTIF($B$1:B2469,$A$2:$A$4629),0,0),0)),"",INDEX($A$2:$A$4629,MATCH(0,INDEX(COUNTIF($B$1:B2469,$A$2:$A$4629),0,0),0)))</f>
        <v/>
      </c>
      <c r="C2470" t="str">
        <f t="shared" si="38"/>
        <v/>
      </c>
    </row>
    <row r="2471" spans="1:3" x14ac:dyDescent="0.25">
      <c r="A2471" t="str">
        <f>IF(Scan2VK!Q143&lt;&gt;"",Scan2VK!Q143,"")</f>
        <v>DIVIDE</v>
      </c>
      <c r="B2471" t="str">
        <f>IF(ISERROR(MATCH(0,INDEX(COUNTIF($B$1:B2470,$A$2:$A$4629),0,0),0)),"",INDEX($A$2:$A$4629,MATCH(0,INDEX(COUNTIF($B$1:B2470,$A$2:$A$4629),0,0),0)))</f>
        <v/>
      </c>
      <c r="C2471" t="str">
        <f t="shared" si="38"/>
        <v/>
      </c>
    </row>
    <row r="2472" spans="1:3" x14ac:dyDescent="0.25">
      <c r="A2472" t="str">
        <f>IF(Scan2VK!Q144&lt;&gt;"",Scan2VK!Q144,"")</f>
        <v>SNAPSHOT</v>
      </c>
      <c r="B2472" t="str">
        <f>IF(ISERROR(MATCH(0,INDEX(COUNTIF($B$1:B2471,$A$2:$A$4629),0,0),0)),"",INDEX($A$2:$A$4629,MATCH(0,INDEX(COUNTIF($B$1:B2471,$A$2:$A$4629),0,0),0)))</f>
        <v/>
      </c>
      <c r="C2472" t="str">
        <f t="shared" si="38"/>
        <v/>
      </c>
    </row>
    <row r="2473" spans="1:3" x14ac:dyDescent="0.25">
      <c r="A2473" t="str">
        <f>IF(Scan2VK!Q145&lt;&gt;"",Scan2VK!Q145,"")</f>
        <v>RMENU</v>
      </c>
      <c r="B2473" t="str">
        <f>IF(ISERROR(MATCH(0,INDEX(COUNTIF($B$1:B2472,$A$2:$A$4629),0,0),0)),"",INDEX($A$2:$A$4629,MATCH(0,INDEX(COUNTIF($B$1:B2472,$A$2:$A$4629),0,0),0)))</f>
        <v/>
      </c>
      <c r="C2473" t="str">
        <f t="shared" si="38"/>
        <v/>
      </c>
    </row>
    <row r="2474" spans="1:3" x14ac:dyDescent="0.25">
      <c r="A2474" t="str">
        <f>IF(Scan2VK!Q146&lt;&gt;"",Scan2VK!Q146,"")</f>
        <v/>
      </c>
      <c r="B2474" t="str">
        <f>IF(ISERROR(MATCH(0,INDEX(COUNTIF($B$1:B2473,$A$2:$A$4629),0,0),0)),"",INDEX($A$2:$A$4629,MATCH(0,INDEX(COUNTIF($B$1:B2473,$A$2:$A$4629),0,0),0)))</f>
        <v/>
      </c>
      <c r="C2474" t="str">
        <f t="shared" si="38"/>
        <v/>
      </c>
    </row>
    <row r="2475" spans="1:3" x14ac:dyDescent="0.25">
      <c r="A2475" t="str">
        <f>IF(Scan2VK!Q147&lt;&gt;"",Scan2VK!Q147,"")</f>
        <v/>
      </c>
      <c r="B2475" t="str">
        <f>IF(ISERROR(MATCH(0,INDEX(COUNTIF($B$1:B2474,$A$2:$A$4629),0,0),0)),"",INDEX($A$2:$A$4629,MATCH(0,INDEX(COUNTIF($B$1:B2474,$A$2:$A$4629),0,0),0)))</f>
        <v/>
      </c>
      <c r="C2475" t="str">
        <f t="shared" si="38"/>
        <v/>
      </c>
    </row>
    <row r="2476" spans="1:3" x14ac:dyDescent="0.25">
      <c r="A2476" t="str">
        <f>IF(Scan2VK!Q148&lt;&gt;"",Scan2VK!Q148,"")</f>
        <v/>
      </c>
      <c r="B2476" t="str">
        <f>IF(ISERROR(MATCH(0,INDEX(COUNTIF($B$1:B2475,$A$2:$A$4629),0,0),0)),"",INDEX($A$2:$A$4629,MATCH(0,INDEX(COUNTIF($B$1:B2475,$A$2:$A$4629),0,0),0)))</f>
        <v/>
      </c>
      <c r="C2476" t="str">
        <f t="shared" si="38"/>
        <v/>
      </c>
    </row>
    <row r="2477" spans="1:3" x14ac:dyDescent="0.25">
      <c r="A2477" t="str">
        <f>IF(Scan2VK!Q149&lt;&gt;"",Scan2VK!Q149,"")</f>
        <v/>
      </c>
      <c r="B2477" t="str">
        <f>IF(ISERROR(MATCH(0,INDEX(COUNTIF($B$1:B2476,$A$2:$A$4629),0,0),0)),"",INDEX($A$2:$A$4629,MATCH(0,INDEX(COUNTIF($B$1:B2476,$A$2:$A$4629),0,0),0)))</f>
        <v/>
      </c>
      <c r="C2477" t="str">
        <f t="shared" si="38"/>
        <v/>
      </c>
    </row>
    <row r="2478" spans="1:3" x14ac:dyDescent="0.25">
      <c r="A2478" t="str">
        <f>IF(Scan2VK!Q150&lt;&gt;"",Scan2VK!Q150,"")</f>
        <v/>
      </c>
      <c r="B2478" t="str">
        <f>IF(ISERROR(MATCH(0,INDEX(COUNTIF($B$1:B2477,$A$2:$A$4629),0,0),0)),"",INDEX($A$2:$A$4629,MATCH(0,INDEX(COUNTIF($B$1:B2477,$A$2:$A$4629),0,0),0)))</f>
        <v/>
      </c>
      <c r="C2478" t="str">
        <f t="shared" si="38"/>
        <v/>
      </c>
    </row>
    <row r="2479" spans="1:3" x14ac:dyDescent="0.25">
      <c r="A2479" t="str">
        <f>IF(Scan2VK!Q151&lt;&gt;"",Scan2VK!Q151,"")</f>
        <v>_none_</v>
      </c>
      <c r="B2479" t="str">
        <f>IF(ISERROR(MATCH(0,INDEX(COUNTIF($B$1:B2478,$A$2:$A$4629),0,0),0)),"",INDEX($A$2:$A$4629,MATCH(0,INDEX(COUNTIF($B$1:B2478,$A$2:$A$4629),0,0),0)))</f>
        <v/>
      </c>
      <c r="C2479" t="str">
        <f t="shared" si="38"/>
        <v/>
      </c>
    </row>
    <row r="2480" spans="1:3" x14ac:dyDescent="0.25">
      <c r="A2480" t="str">
        <f>IF(Scan2VK!Q152&lt;&gt;"",Scan2VK!Q152,"")</f>
        <v>_none_</v>
      </c>
      <c r="B2480" t="str">
        <f>IF(ISERROR(MATCH(0,INDEX(COUNTIF($B$1:B2479,$A$2:$A$4629),0,0),0)),"",INDEX($A$2:$A$4629,MATCH(0,INDEX(COUNTIF($B$1:B2479,$A$2:$A$4629),0,0),0)))</f>
        <v/>
      </c>
      <c r="C2480" t="str">
        <f t="shared" si="38"/>
        <v/>
      </c>
    </row>
    <row r="2481" spans="1:3" x14ac:dyDescent="0.25">
      <c r="A2481" t="str">
        <f>IF(Scan2VK!Q153&lt;&gt;"",Scan2VK!Q153,"")</f>
        <v>_none_</v>
      </c>
      <c r="B2481" t="str">
        <f>IF(ISERROR(MATCH(0,INDEX(COUNTIF($B$1:B2480,$A$2:$A$4629),0,0),0)),"",INDEX($A$2:$A$4629,MATCH(0,INDEX(COUNTIF($B$1:B2480,$A$2:$A$4629),0,0),0)))</f>
        <v/>
      </c>
      <c r="C2481" t="str">
        <f t="shared" si="38"/>
        <v/>
      </c>
    </row>
    <row r="2482" spans="1:3" x14ac:dyDescent="0.25">
      <c r="A2482" t="str">
        <f>IF(Scan2VK!Q154&lt;&gt;"",Scan2VK!Q154,"")</f>
        <v>CANCEL</v>
      </c>
      <c r="B2482" t="str">
        <f>IF(ISERROR(MATCH(0,INDEX(COUNTIF($B$1:B2481,$A$2:$A$4629),0,0),0)),"",INDEX($A$2:$A$4629,MATCH(0,INDEX(COUNTIF($B$1:B2481,$A$2:$A$4629),0,0),0)))</f>
        <v/>
      </c>
      <c r="C2482" t="str">
        <f t="shared" si="38"/>
        <v/>
      </c>
    </row>
    <row r="2483" spans="1:3" x14ac:dyDescent="0.25">
      <c r="A2483" t="str">
        <f>IF(Scan2VK!Q155&lt;&gt;"",Scan2VK!Q155,"")</f>
        <v>HOME</v>
      </c>
      <c r="B2483" t="str">
        <f>IF(ISERROR(MATCH(0,INDEX(COUNTIF($B$1:B2482,$A$2:$A$4629),0,0),0)),"",INDEX($A$2:$A$4629,MATCH(0,INDEX(COUNTIF($B$1:B2482,$A$2:$A$4629),0,0),0)))</f>
        <v/>
      </c>
      <c r="C2483" t="str">
        <f t="shared" si="38"/>
        <v/>
      </c>
    </row>
    <row r="2484" spans="1:3" x14ac:dyDescent="0.25">
      <c r="A2484" t="str">
        <f>IF(Scan2VK!Q156&lt;&gt;"",Scan2VK!Q156,"")</f>
        <v>UP</v>
      </c>
      <c r="B2484" t="str">
        <f>IF(ISERROR(MATCH(0,INDEX(COUNTIF($B$1:B2483,$A$2:$A$4629),0,0),0)),"",INDEX($A$2:$A$4629,MATCH(0,INDEX(COUNTIF($B$1:B2483,$A$2:$A$4629),0,0),0)))</f>
        <v/>
      </c>
      <c r="C2484" t="str">
        <f t="shared" si="38"/>
        <v/>
      </c>
    </row>
    <row r="2485" spans="1:3" x14ac:dyDescent="0.25">
      <c r="A2485" t="str">
        <f>IF(Scan2VK!Q157&lt;&gt;"",Scan2VK!Q157,"")</f>
        <v>PRIOR</v>
      </c>
      <c r="B2485" t="str">
        <f>IF(ISERROR(MATCH(0,INDEX(COUNTIF($B$1:B2484,$A$2:$A$4629),0,0),0)),"",INDEX($A$2:$A$4629,MATCH(0,INDEX(COUNTIF($B$1:B2484,$A$2:$A$4629),0,0),0)))</f>
        <v/>
      </c>
      <c r="C2485" t="str">
        <f t="shared" si="38"/>
        <v/>
      </c>
    </row>
    <row r="2486" spans="1:3" x14ac:dyDescent="0.25">
      <c r="A2486" t="str">
        <f>IF(Scan2VK!Q158&lt;&gt;"",Scan2VK!Q158,"")</f>
        <v>LEFT</v>
      </c>
      <c r="B2486" t="str">
        <f>IF(ISERROR(MATCH(0,INDEX(COUNTIF($B$1:B2485,$A$2:$A$4629),0,0),0)),"",INDEX($A$2:$A$4629,MATCH(0,INDEX(COUNTIF($B$1:B2485,$A$2:$A$4629),0,0),0)))</f>
        <v/>
      </c>
      <c r="C2486" t="str">
        <f t="shared" si="38"/>
        <v/>
      </c>
    </row>
    <row r="2487" spans="1:3" x14ac:dyDescent="0.25">
      <c r="A2487" t="str">
        <f>IF(Scan2VK!Q159&lt;&gt;"",Scan2VK!Q159,"")</f>
        <v>RIGHT</v>
      </c>
      <c r="B2487" t="str">
        <f>IF(ISERROR(MATCH(0,INDEX(COUNTIF($B$1:B2486,$A$2:$A$4629),0,0),0)),"",INDEX($A$2:$A$4629,MATCH(0,INDEX(COUNTIF($B$1:B2486,$A$2:$A$4629),0,0),0)))</f>
        <v/>
      </c>
      <c r="C2487" t="str">
        <f t="shared" si="38"/>
        <v/>
      </c>
    </row>
    <row r="2488" spans="1:3" x14ac:dyDescent="0.25">
      <c r="A2488" t="str">
        <f>IF(Scan2VK!Q160&lt;&gt;"",Scan2VK!Q160,"")</f>
        <v>END</v>
      </c>
      <c r="B2488" t="str">
        <f>IF(ISERROR(MATCH(0,INDEX(COUNTIF($B$1:B2487,$A$2:$A$4629),0,0),0)),"",INDEX($A$2:$A$4629,MATCH(0,INDEX(COUNTIF($B$1:B2487,$A$2:$A$4629),0,0),0)))</f>
        <v/>
      </c>
      <c r="C2488" t="str">
        <f t="shared" si="38"/>
        <v/>
      </c>
    </row>
    <row r="2489" spans="1:3" x14ac:dyDescent="0.25">
      <c r="A2489" t="str">
        <f>IF(Scan2VK!Q161&lt;&gt;"",Scan2VK!Q161,"")</f>
        <v>DOWN</v>
      </c>
      <c r="B2489" t="str">
        <f>IF(ISERROR(MATCH(0,INDEX(COUNTIF($B$1:B2488,$A$2:$A$4629),0,0),0)),"",INDEX($A$2:$A$4629,MATCH(0,INDEX(COUNTIF($B$1:B2488,$A$2:$A$4629),0,0),0)))</f>
        <v/>
      </c>
      <c r="C2489" t="str">
        <f t="shared" si="38"/>
        <v/>
      </c>
    </row>
    <row r="2490" spans="1:3" x14ac:dyDescent="0.25">
      <c r="A2490" t="str">
        <f>IF(Scan2VK!Q162&lt;&gt;"",Scan2VK!Q162,"")</f>
        <v>NEXT</v>
      </c>
      <c r="B2490" t="str">
        <f>IF(ISERROR(MATCH(0,INDEX(COUNTIF($B$1:B2489,$A$2:$A$4629),0,0),0)),"",INDEX($A$2:$A$4629,MATCH(0,INDEX(COUNTIF($B$1:B2489,$A$2:$A$4629),0,0),0)))</f>
        <v/>
      </c>
      <c r="C2490" t="str">
        <f t="shared" si="38"/>
        <v/>
      </c>
    </row>
    <row r="2491" spans="1:3" x14ac:dyDescent="0.25">
      <c r="A2491" t="str">
        <f>IF(Scan2VK!Q163&lt;&gt;"",Scan2VK!Q163,"")</f>
        <v>INSERT</v>
      </c>
      <c r="B2491" t="str">
        <f>IF(ISERROR(MATCH(0,INDEX(COUNTIF($B$1:B2490,$A$2:$A$4629),0,0),0)),"",INDEX($A$2:$A$4629,MATCH(0,INDEX(COUNTIF($B$1:B2490,$A$2:$A$4629),0,0),0)))</f>
        <v/>
      </c>
      <c r="C2491" t="str">
        <f t="shared" si="38"/>
        <v/>
      </c>
    </row>
    <row r="2492" spans="1:3" x14ac:dyDescent="0.25">
      <c r="A2492" t="str">
        <f>IF(Scan2VK!Q164&lt;&gt;"",Scan2VK!Q164,"")</f>
        <v>DELETE</v>
      </c>
      <c r="B2492" t="str">
        <f>IF(ISERROR(MATCH(0,INDEX(COUNTIF($B$1:B2491,$A$2:$A$4629),0,0),0)),"",INDEX($A$2:$A$4629,MATCH(0,INDEX(COUNTIF($B$1:B2491,$A$2:$A$4629),0,0),0)))</f>
        <v/>
      </c>
      <c r="C2492" t="str">
        <f t="shared" si="38"/>
        <v/>
      </c>
    </row>
    <row r="2493" spans="1:3" x14ac:dyDescent="0.25">
      <c r="A2493" t="str">
        <f>IF(Scan2VK!Q165&lt;&gt;"",Scan2VK!Q165,"")</f>
        <v>LWIN</v>
      </c>
      <c r="B2493" t="str">
        <f>IF(ISERROR(MATCH(0,INDEX(COUNTIF($B$1:B2492,$A$2:$A$4629),0,0),0)),"",INDEX($A$2:$A$4629,MATCH(0,INDEX(COUNTIF($B$1:B2492,$A$2:$A$4629),0,0),0)))</f>
        <v/>
      </c>
      <c r="C2493" t="str">
        <f t="shared" si="38"/>
        <v/>
      </c>
    </row>
    <row r="2494" spans="1:3" x14ac:dyDescent="0.25">
      <c r="A2494" t="str">
        <f>IF(Scan2VK!Q166&lt;&gt;"",Scan2VK!Q166,"")</f>
        <v>RWIN</v>
      </c>
      <c r="B2494" t="str">
        <f>IF(ISERROR(MATCH(0,INDEX(COUNTIF($B$1:B2493,$A$2:$A$4629),0,0),0)),"",INDEX($A$2:$A$4629,MATCH(0,INDEX(COUNTIF($B$1:B2493,$A$2:$A$4629),0,0),0)))</f>
        <v/>
      </c>
      <c r="C2494" t="str">
        <f t="shared" si="38"/>
        <v/>
      </c>
    </row>
    <row r="2495" spans="1:3" x14ac:dyDescent="0.25">
      <c r="A2495" t="str">
        <f>IF(Scan2VK!Q167&lt;&gt;"",Scan2VK!Q167,"")</f>
        <v>APPS</v>
      </c>
      <c r="B2495" t="str">
        <f>IF(ISERROR(MATCH(0,INDEX(COUNTIF($B$1:B2494,$A$2:$A$4629),0,0),0)),"",INDEX($A$2:$A$4629,MATCH(0,INDEX(COUNTIF($B$1:B2494,$A$2:$A$4629),0,0),0)))</f>
        <v/>
      </c>
      <c r="C2495" t="str">
        <f t="shared" si="38"/>
        <v/>
      </c>
    </row>
    <row r="2496" spans="1:3" x14ac:dyDescent="0.25">
      <c r="A2496" t="str">
        <f>IF(Scan2VK!Q168&lt;&gt;"",Scan2VK!Q168,"")</f>
        <v>POWER</v>
      </c>
      <c r="B2496" t="str">
        <f>IF(ISERROR(MATCH(0,INDEX(COUNTIF($B$1:B2495,$A$2:$A$4629),0,0),0)),"",INDEX($A$2:$A$4629,MATCH(0,INDEX(COUNTIF($B$1:B2495,$A$2:$A$4629),0,0),0)))</f>
        <v/>
      </c>
      <c r="C2496" t="str">
        <f t="shared" si="38"/>
        <v/>
      </c>
    </row>
    <row r="2497" spans="1:3" x14ac:dyDescent="0.25">
      <c r="A2497" t="str">
        <f>IF(Scan2VK!Q169&lt;&gt;"",Scan2VK!Q169,"")</f>
        <v>SLEEP</v>
      </c>
      <c r="B2497" t="str">
        <f>IF(ISERROR(MATCH(0,INDEX(COUNTIF($B$1:B2496,$A$2:$A$4629),0,0),0)),"",INDEX($A$2:$A$4629,MATCH(0,INDEX(COUNTIF($B$1:B2496,$A$2:$A$4629),0,0),0)))</f>
        <v/>
      </c>
      <c r="C2497" t="str">
        <f t="shared" si="38"/>
        <v/>
      </c>
    </row>
    <row r="2498" spans="1:3" x14ac:dyDescent="0.25">
      <c r="A2498" t="str">
        <f>IF(Scan2VK!Q170&lt;&gt;"",Scan2VK!Q170,"")</f>
        <v/>
      </c>
      <c r="B2498" t="str">
        <f>IF(ISERROR(MATCH(0,INDEX(COUNTIF($B$1:B2497,$A$2:$A$4629),0,0),0)),"",INDEX($A$2:$A$4629,MATCH(0,INDEX(COUNTIF($B$1:B2497,$A$2:$A$4629),0,0),0)))</f>
        <v/>
      </c>
      <c r="C2498" t="str">
        <f t="shared" si="38"/>
        <v/>
      </c>
    </row>
    <row r="2499" spans="1:3" x14ac:dyDescent="0.25">
      <c r="A2499" t="str">
        <f>IF(Scan2VK!Q171&lt;&gt;"",Scan2VK!Q171,"")</f>
        <v/>
      </c>
      <c r="B2499" t="str">
        <f>IF(ISERROR(MATCH(0,INDEX(COUNTIF($B$1:B2498,$A$2:$A$4629),0,0),0)),"",INDEX($A$2:$A$4629,MATCH(0,INDEX(COUNTIF($B$1:B2498,$A$2:$A$4629),0,0),0)))</f>
        <v/>
      </c>
      <c r="C2499" t="str">
        <f t="shared" ref="C2499:C2562" si="39">IF(B2499&lt;&gt;"","&lt;xs:enumeration value="""&amp;B2499&amp;"""/&gt;","")</f>
        <v/>
      </c>
    </row>
    <row r="2500" spans="1:3" x14ac:dyDescent="0.25">
      <c r="A2500" t="str">
        <f>IF(Scan2VK!Q172&lt;&gt;"",Scan2VK!Q172,"")</f>
        <v/>
      </c>
      <c r="B2500" t="str">
        <f>IF(ISERROR(MATCH(0,INDEX(COUNTIF($B$1:B2499,$A$2:$A$4629),0,0),0)),"",INDEX($A$2:$A$4629,MATCH(0,INDEX(COUNTIF($B$1:B2499,$A$2:$A$4629),0,0),0)))</f>
        <v/>
      </c>
      <c r="C2500" t="str">
        <f t="shared" si="39"/>
        <v/>
      </c>
    </row>
    <row r="2501" spans="1:3" x14ac:dyDescent="0.25">
      <c r="A2501" t="str">
        <f>IF(Scan2VK!Q173&lt;&gt;"",Scan2VK!Q173,"")</f>
        <v/>
      </c>
      <c r="B2501" t="str">
        <f>IF(ISERROR(MATCH(0,INDEX(COUNTIF($B$1:B2500,$A$2:$A$4629),0,0),0)),"",INDEX($A$2:$A$4629,MATCH(0,INDEX(COUNTIF($B$1:B2500,$A$2:$A$4629),0,0),0)))</f>
        <v/>
      </c>
      <c r="C2501" t="str">
        <f t="shared" si="39"/>
        <v/>
      </c>
    </row>
    <row r="2502" spans="1:3" x14ac:dyDescent="0.25">
      <c r="A2502" t="str">
        <f>IF(Scan2VK!Q174&lt;&gt;"",Scan2VK!Q174,"")</f>
        <v/>
      </c>
      <c r="B2502" t="str">
        <f>IF(ISERROR(MATCH(0,INDEX(COUNTIF($B$1:B2501,$A$2:$A$4629),0,0),0)),"",INDEX($A$2:$A$4629,MATCH(0,INDEX(COUNTIF($B$1:B2501,$A$2:$A$4629),0,0),0)))</f>
        <v/>
      </c>
      <c r="C2502" t="str">
        <f t="shared" si="39"/>
        <v/>
      </c>
    </row>
    <row r="2503" spans="1:3" x14ac:dyDescent="0.25">
      <c r="A2503" t="str">
        <f>IF(Scan2VK!Q175&lt;&gt;"",Scan2VK!Q175,"")</f>
        <v>BROWSER_SEARCH</v>
      </c>
      <c r="B2503" t="str">
        <f>IF(ISERROR(MATCH(0,INDEX(COUNTIF($B$1:B2502,$A$2:$A$4629),0,0),0)),"",INDEX($A$2:$A$4629,MATCH(0,INDEX(COUNTIF($B$1:B2502,$A$2:$A$4629),0,0),0)))</f>
        <v/>
      </c>
      <c r="C2503" t="str">
        <f t="shared" si="39"/>
        <v/>
      </c>
    </row>
    <row r="2504" spans="1:3" x14ac:dyDescent="0.25">
      <c r="A2504" t="str">
        <f>IF(Scan2VK!Q176&lt;&gt;"",Scan2VK!Q176,"")</f>
        <v>BROWSER_FAVORITES</v>
      </c>
      <c r="B2504" t="str">
        <f>IF(ISERROR(MATCH(0,INDEX(COUNTIF($B$1:B2503,$A$2:$A$4629),0,0),0)),"",INDEX($A$2:$A$4629,MATCH(0,INDEX(COUNTIF($B$1:B2503,$A$2:$A$4629),0,0),0)))</f>
        <v/>
      </c>
      <c r="C2504" t="str">
        <f t="shared" si="39"/>
        <v/>
      </c>
    </row>
    <row r="2505" spans="1:3" x14ac:dyDescent="0.25">
      <c r="A2505" t="str">
        <f>IF(Scan2VK!Q177&lt;&gt;"",Scan2VK!Q177,"")</f>
        <v>BROWSER_REFRESH</v>
      </c>
      <c r="B2505" t="str">
        <f>IF(ISERROR(MATCH(0,INDEX(COUNTIF($B$1:B2504,$A$2:$A$4629),0,0),0)),"",INDEX($A$2:$A$4629,MATCH(0,INDEX(COUNTIF($B$1:B2504,$A$2:$A$4629),0,0),0)))</f>
        <v/>
      </c>
      <c r="C2505" t="str">
        <f t="shared" si="39"/>
        <v/>
      </c>
    </row>
    <row r="2506" spans="1:3" x14ac:dyDescent="0.25">
      <c r="A2506" t="str">
        <f>IF(Scan2VK!Q178&lt;&gt;"",Scan2VK!Q178,"")</f>
        <v>BROWSER_STOP</v>
      </c>
      <c r="B2506" t="str">
        <f>IF(ISERROR(MATCH(0,INDEX(COUNTIF($B$1:B2505,$A$2:$A$4629),0,0),0)),"",INDEX($A$2:$A$4629,MATCH(0,INDEX(COUNTIF($B$1:B2505,$A$2:$A$4629),0,0),0)))</f>
        <v/>
      </c>
      <c r="C2506" t="str">
        <f t="shared" si="39"/>
        <v/>
      </c>
    </row>
    <row r="2507" spans="1:3" x14ac:dyDescent="0.25">
      <c r="A2507" t="str">
        <f>IF(Scan2VK!Q179&lt;&gt;"",Scan2VK!Q179,"")</f>
        <v>BROWSER_FORWARD</v>
      </c>
      <c r="B2507" t="str">
        <f>IF(ISERROR(MATCH(0,INDEX(COUNTIF($B$1:B2506,$A$2:$A$4629),0,0),0)),"",INDEX($A$2:$A$4629,MATCH(0,INDEX(COUNTIF($B$1:B2506,$A$2:$A$4629),0,0),0)))</f>
        <v/>
      </c>
      <c r="C2507" t="str">
        <f t="shared" si="39"/>
        <v/>
      </c>
    </row>
    <row r="2508" spans="1:3" x14ac:dyDescent="0.25">
      <c r="A2508" t="str">
        <f>IF(Scan2VK!Q180&lt;&gt;"",Scan2VK!Q180,"")</f>
        <v>BROWSER_BACK</v>
      </c>
      <c r="B2508" t="str">
        <f>IF(ISERROR(MATCH(0,INDEX(COUNTIF($B$1:B2507,$A$2:$A$4629),0,0),0)),"",INDEX($A$2:$A$4629,MATCH(0,INDEX(COUNTIF($B$1:B2507,$A$2:$A$4629),0,0),0)))</f>
        <v/>
      </c>
      <c r="C2508" t="str">
        <f t="shared" si="39"/>
        <v/>
      </c>
    </row>
    <row r="2509" spans="1:3" x14ac:dyDescent="0.25">
      <c r="A2509" t="str">
        <f>IF(Scan2VK!Q181&lt;&gt;"",Scan2VK!Q181,"")</f>
        <v>LAUNCH_APP1</v>
      </c>
      <c r="B2509" t="str">
        <f>IF(ISERROR(MATCH(0,INDEX(COUNTIF($B$1:B2508,$A$2:$A$4629),0,0),0)),"",INDEX($A$2:$A$4629,MATCH(0,INDEX(COUNTIF($B$1:B2508,$A$2:$A$4629),0,0),0)))</f>
        <v/>
      </c>
      <c r="C2509" t="str">
        <f t="shared" si="39"/>
        <v/>
      </c>
    </row>
    <row r="2510" spans="1:3" x14ac:dyDescent="0.25">
      <c r="A2510" t="str">
        <f>IF(Scan2VK!Q182&lt;&gt;"",Scan2VK!Q182,"")</f>
        <v>LAUNCH_MAIL</v>
      </c>
      <c r="B2510" t="str">
        <f>IF(ISERROR(MATCH(0,INDEX(COUNTIF($B$1:B2509,$A$2:$A$4629),0,0),0)),"",INDEX($A$2:$A$4629,MATCH(0,INDEX(COUNTIF($B$1:B2509,$A$2:$A$4629),0,0),0)))</f>
        <v/>
      </c>
      <c r="C2510" t="str">
        <f t="shared" si="39"/>
        <v/>
      </c>
    </row>
    <row r="2511" spans="1:3" x14ac:dyDescent="0.25">
      <c r="A2511" t="str">
        <f>IF(Scan2VK!Q183&lt;&gt;"",Scan2VK!Q183,"")</f>
        <v>LAUNCH_MEDIA_SELECT</v>
      </c>
      <c r="B2511" t="str">
        <f>IF(ISERROR(MATCH(0,INDEX(COUNTIF($B$1:B2510,$A$2:$A$4629),0,0),0)),"",INDEX($A$2:$A$4629,MATCH(0,INDEX(COUNTIF($B$1:B2510,$A$2:$A$4629),0,0),0)))</f>
        <v/>
      </c>
      <c r="C2511" t="str">
        <f t="shared" si="39"/>
        <v/>
      </c>
    </row>
    <row r="2512" spans="1:3" x14ac:dyDescent="0.25">
      <c r="A2512" t="str">
        <f>IF(Scan2VK!Q184&lt;&gt;"",Scan2VK!Q184,"")</f>
        <v/>
      </c>
      <c r="B2512" t="str">
        <f>IF(ISERROR(MATCH(0,INDEX(COUNTIF($B$1:B2511,$A$2:$A$4629),0,0),0)),"",INDEX($A$2:$A$4629,MATCH(0,INDEX(COUNTIF($B$1:B2511,$A$2:$A$4629),0,0),0)))</f>
        <v/>
      </c>
      <c r="C2512" t="str">
        <f t="shared" si="39"/>
        <v/>
      </c>
    </row>
    <row r="2513" spans="1:3" x14ac:dyDescent="0.25">
      <c r="A2513" t="str">
        <f>IF(Scan2VK!Q185&lt;&gt;"",Scan2VK!Q185,"")</f>
        <v/>
      </c>
      <c r="B2513" t="str">
        <f>IF(ISERROR(MATCH(0,INDEX(COUNTIF($B$1:B2512,$A$2:$A$4629),0,0),0)),"",INDEX($A$2:$A$4629,MATCH(0,INDEX(COUNTIF($B$1:B2512,$A$2:$A$4629),0,0),0)))</f>
        <v/>
      </c>
      <c r="C2513" t="str">
        <f t="shared" si="39"/>
        <v/>
      </c>
    </row>
    <row r="2514" spans="1:3" x14ac:dyDescent="0.25">
      <c r="A2514" t="str">
        <f>IF(Scan2VK!Q186&lt;&gt;"",Scan2VK!Q186,"")</f>
        <v/>
      </c>
      <c r="B2514" t="str">
        <f>IF(ISERROR(MATCH(0,INDEX(COUNTIF($B$1:B2513,$A$2:$A$4629),0,0),0)),"",INDEX($A$2:$A$4629,MATCH(0,INDEX(COUNTIF($B$1:B2513,$A$2:$A$4629),0,0),0)))</f>
        <v/>
      </c>
      <c r="C2514" t="str">
        <f t="shared" si="39"/>
        <v/>
      </c>
    </row>
    <row r="2515" spans="1:3" x14ac:dyDescent="0.25">
      <c r="A2515" t="str">
        <f>IF(Scan2VK!Q187&lt;&gt;"",Scan2VK!Q187,"")</f>
        <v/>
      </c>
      <c r="B2515" t="str">
        <f>IF(ISERROR(MATCH(0,INDEX(COUNTIF($B$1:B2514,$A$2:$A$4629),0,0),0)),"",INDEX($A$2:$A$4629,MATCH(0,INDEX(COUNTIF($B$1:B2514,$A$2:$A$4629),0,0),0)))</f>
        <v/>
      </c>
      <c r="C2515" t="str">
        <f t="shared" si="39"/>
        <v/>
      </c>
    </row>
    <row r="2516" spans="1:3" x14ac:dyDescent="0.25">
      <c r="A2516" t="str">
        <f>IF(Scan2VK!Q188&lt;&gt;"",Scan2VK!Q188,"")</f>
        <v/>
      </c>
      <c r="B2516" t="str">
        <f>IF(ISERROR(MATCH(0,INDEX(COUNTIF($B$1:B2515,$A$2:$A$4629),0,0),0)),"",INDEX($A$2:$A$4629,MATCH(0,INDEX(COUNTIF($B$1:B2515,$A$2:$A$4629),0,0),0)))</f>
        <v/>
      </c>
      <c r="C2516" t="str">
        <f t="shared" si="39"/>
        <v/>
      </c>
    </row>
    <row r="2517" spans="1:3" x14ac:dyDescent="0.25">
      <c r="A2517" t="str">
        <f>IF(Scan2VK!Q189&lt;&gt;"",Scan2VK!Q189,"")</f>
        <v/>
      </c>
      <c r="B2517" t="str">
        <f>IF(ISERROR(MATCH(0,INDEX(COUNTIF($B$1:B2516,$A$2:$A$4629),0,0),0)),"",INDEX($A$2:$A$4629,MATCH(0,INDEX(COUNTIF($B$1:B2516,$A$2:$A$4629),0,0),0)))</f>
        <v/>
      </c>
      <c r="C2517" t="str">
        <f t="shared" si="39"/>
        <v/>
      </c>
    </row>
    <row r="2518" spans="1:3" x14ac:dyDescent="0.25">
      <c r="A2518" t="str">
        <f>IF(Scan2VK!Q190&lt;&gt;"",Scan2VK!Q190,"")</f>
        <v/>
      </c>
      <c r="B2518" t="str">
        <f>IF(ISERROR(MATCH(0,INDEX(COUNTIF($B$1:B2517,$A$2:$A$4629),0,0),0)),"",INDEX($A$2:$A$4629,MATCH(0,INDEX(COUNTIF($B$1:B2517,$A$2:$A$4629),0,0),0)))</f>
        <v/>
      </c>
      <c r="C2518" t="str">
        <f t="shared" si="39"/>
        <v/>
      </c>
    </row>
    <row r="2519" spans="1:3" x14ac:dyDescent="0.25">
      <c r="A2519" t="str">
        <f>IF(Scan2VK!Q191&lt;&gt;"",Scan2VK!Q191,"")</f>
        <v/>
      </c>
      <c r="B2519" t="str">
        <f>IF(ISERROR(MATCH(0,INDEX(COUNTIF($B$1:B2518,$A$2:$A$4629),0,0),0)),"",INDEX($A$2:$A$4629,MATCH(0,INDEX(COUNTIF($B$1:B2518,$A$2:$A$4629),0,0),0)))</f>
        <v/>
      </c>
      <c r="C2519" t="str">
        <f t="shared" si="39"/>
        <v/>
      </c>
    </row>
    <row r="2520" spans="1:3" x14ac:dyDescent="0.25">
      <c r="A2520" t="str">
        <f>IF(Scan2VK!Q192&lt;&gt;"",Scan2VK!Q192,"")</f>
        <v/>
      </c>
      <c r="B2520" t="str">
        <f>IF(ISERROR(MATCH(0,INDEX(COUNTIF($B$1:B2519,$A$2:$A$4629),0,0),0)),"",INDEX($A$2:$A$4629,MATCH(0,INDEX(COUNTIF($B$1:B2519,$A$2:$A$4629),0,0),0)))</f>
        <v/>
      </c>
      <c r="C2520" t="str">
        <f t="shared" si="39"/>
        <v/>
      </c>
    </row>
    <row r="2521" spans="1:3" x14ac:dyDescent="0.25">
      <c r="A2521" t="str">
        <f>IF(Scan2VK!Q193&lt;&gt;"",Scan2VK!Q193,"")</f>
        <v>HANJA</v>
      </c>
      <c r="B2521" t="str">
        <f>IF(ISERROR(MATCH(0,INDEX(COUNTIF($B$1:B2520,$A$2:$A$4629),0,0),0)),"",INDEX($A$2:$A$4629,MATCH(0,INDEX(COUNTIF($B$1:B2520,$A$2:$A$4629),0,0),0)))</f>
        <v/>
      </c>
      <c r="C2521" t="str">
        <f t="shared" si="39"/>
        <v/>
      </c>
    </row>
    <row r="2522" spans="1:3" x14ac:dyDescent="0.25">
      <c r="A2522" t="str">
        <f>IF(Scan2VK!Q194&lt;&gt;"",Scan2VK!Q194,"")</f>
        <v>HANGEUL</v>
      </c>
      <c r="B2522" t="str">
        <f>IF(ISERROR(MATCH(0,INDEX(COUNTIF($B$1:B2521,$A$2:$A$4629),0,0),0)),"",INDEX($A$2:$A$4629,MATCH(0,INDEX(COUNTIF($B$1:B2521,$A$2:$A$4629),0,0),0)))</f>
        <v/>
      </c>
      <c r="C2522" t="str">
        <f t="shared" si="39"/>
        <v/>
      </c>
    </row>
    <row r="2523" spans="1:3" x14ac:dyDescent="0.25">
      <c r="A2523" t="str">
        <f>IF(Scan2VK!Q195&lt;&gt;"",Scan2VK!Q195,"")</f>
        <v>PAUSE</v>
      </c>
      <c r="B2523" t="str">
        <f>IF(ISERROR(MATCH(0,INDEX(COUNTIF($B$1:B2522,$A$2:$A$4629),0,0),0)),"",INDEX($A$2:$A$4629,MATCH(0,INDEX(COUNTIF($B$1:B2522,$A$2:$A$4629),0,0),0)))</f>
        <v/>
      </c>
      <c r="C2523" t="str">
        <f t="shared" si="39"/>
        <v/>
      </c>
    </row>
    <row r="2524" spans="1:3" x14ac:dyDescent="0.25">
      <c r="A2524" t="str">
        <f>IF(Scan2VK!S2&lt;&gt;"",Scan2VK!S2,"")</f>
        <v>_none_</v>
      </c>
      <c r="B2524" t="str">
        <f>IF(ISERROR(MATCH(0,INDEX(COUNTIF($B$1:B2523,$A$2:$A$4629),0,0),0)),"",INDEX($A$2:$A$4629,MATCH(0,INDEX(COUNTIF($B$1:B2523,$A$2:$A$4629),0,0),0)))</f>
        <v/>
      </c>
      <c r="C2524" t="str">
        <f t="shared" si="39"/>
        <v/>
      </c>
    </row>
    <row r="2525" spans="1:3" x14ac:dyDescent="0.25">
      <c r="A2525" t="str">
        <f>IF(Scan2VK!S3&lt;&gt;"",Scan2VK!S3,"")</f>
        <v>ESCAPE</v>
      </c>
      <c r="B2525" t="str">
        <f>IF(ISERROR(MATCH(0,INDEX(COUNTIF($B$1:B2524,$A$2:$A$4629),0,0),0)),"",INDEX($A$2:$A$4629,MATCH(0,INDEX(COUNTIF($B$1:B2524,$A$2:$A$4629),0,0),0)))</f>
        <v/>
      </c>
      <c r="C2525" t="str">
        <f t="shared" si="39"/>
        <v/>
      </c>
    </row>
    <row r="2526" spans="1:3" x14ac:dyDescent="0.25">
      <c r="A2526" t="str">
        <f>IF(Scan2VK!S4&lt;&gt;"",Scan2VK!S4,"")</f>
        <v>'1'</v>
      </c>
      <c r="B2526" t="str">
        <f>IF(ISERROR(MATCH(0,INDEX(COUNTIF($B$1:B2525,$A$2:$A$4629),0,0),0)),"",INDEX($A$2:$A$4629,MATCH(0,INDEX(COUNTIF($B$1:B2525,$A$2:$A$4629),0,0),0)))</f>
        <v/>
      </c>
      <c r="C2526" t="str">
        <f t="shared" si="39"/>
        <v/>
      </c>
    </row>
    <row r="2527" spans="1:3" x14ac:dyDescent="0.25">
      <c r="A2527" t="str">
        <f>IF(Scan2VK!S5&lt;&gt;"",Scan2VK!S5,"")</f>
        <v>'2'</v>
      </c>
      <c r="B2527" t="str">
        <f>IF(ISERROR(MATCH(0,INDEX(COUNTIF($B$1:B2526,$A$2:$A$4629),0,0),0)),"",INDEX($A$2:$A$4629,MATCH(0,INDEX(COUNTIF($B$1:B2526,$A$2:$A$4629),0,0),0)))</f>
        <v/>
      </c>
      <c r="C2527" t="str">
        <f t="shared" si="39"/>
        <v/>
      </c>
    </row>
    <row r="2528" spans="1:3" x14ac:dyDescent="0.25">
      <c r="A2528" t="str">
        <f>IF(Scan2VK!S6&lt;&gt;"",Scan2VK!S6,"")</f>
        <v>'3'</v>
      </c>
      <c r="B2528" t="str">
        <f>IF(ISERROR(MATCH(0,INDEX(COUNTIF($B$1:B2527,$A$2:$A$4629),0,0),0)),"",INDEX($A$2:$A$4629,MATCH(0,INDEX(COUNTIF($B$1:B2527,$A$2:$A$4629),0,0),0)))</f>
        <v/>
      </c>
      <c r="C2528" t="str">
        <f t="shared" si="39"/>
        <v/>
      </c>
    </row>
    <row r="2529" spans="1:3" x14ac:dyDescent="0.25">
      <c r="A2529" t="str">
        <f>IF(Scan2VK!S7&lt;&gt;"",Scan2VK!S7,"")</f>
        <v>'4'</v>
      </c>
      <c r="B2529" t="str">
        <f>IF(ISERROR(MATCH(0,INDEX(COUNTIF($B$1:B2528,$A$2:$A$4629),0,0),0)),"",INDEX($A$2:$A$4629,MATCH(0,INDEX(COUNTIF($B$1:B2528,$A$2:$A$4629),0,0),0)))</f>
        <v/>
      </c>
      <c r="C2529" t="str">
        <f t="shared" si="39"/>
        <v/>
      </c>
    </row>
    <row r="2530" spans="1:3" x14ac:dyDescent="0.25">
      <c r="A2530" t="str">
        <f>IF(Scan2VK!S8&lt;&gt;"",Scan2VK!S8,"")</f>
        <v>'5'</v>
      </c>
      <c r="B2530" t="str">
        <f>IF(ISERROR(MATCH(0,INDEX(COUNTIF($B$1:B2529,$A$2:$A$4629),0,0),0)),"",INDEX($A$2:$A$4629,MATCH(0,INDEX(COUNTIF($B$1:B2529,$A$2:$A$4629),0,0),0)))</f>
        <v/>
      </c>
      <c r="C2530" t="str">
        <f t="shared" si="39"/>
        <v/>
      </c>
    </row>
    <row r="2531" spans="1:3" x14ac:dyDescent="0.25">
      <c r="A2531" t="str">
        <f>IF(Scan2VK!S9&lt;&gt;"",Scan2VK!S9,"")</f>
        <v>'6'</v>
      </c>
      <c r="B2531" t="str">
        <f>IF(ISERROR(MATCH(0,INDEX(COUNTIF($B$1:B2530,$A$2:$A$4629),0,0),0)),"",INDEX($A$2:$A$4629,MATCH(0,INDEX(COUNTIF($B$1:B2530,$A$2:$A$4629),0,0),0)))</f>
        <v/>
      </c>
      <c r="C2531" t="str">
        <f t="shared" si="39"/>
        <v/>
      </c>
    </row>
    <row r="2532" spans="1:3" x14ac:dyDescent="0.25">
      <c r="A2532" t="str">
        <f>IF(Scan2VK!S10&lt;&gt;"",Scan2VK!S10,"")</f>
        <v>'7'</v>
      </c>
      <c r="B2532" t="str">
        <f>IF(ISERROR(MATCH(0,INDEX(COUNTIF($B$1:B2531,$A$2:$A$4629),0,0),0)),"",INDEX($A$2:$A$4629,MATCH(0,INDEX(COUNTIF($B$1:B2531,$A$2:$A$4629),0,0),0)))</f>
        <v/>
      </c>
      <c r="C2532" t="str">
        <f t="shared" si="39"/>
        <v/>
      </c>
    </row>
    <row r="2533" spans="1:3" x14ac:dyDescent="0.25">
      <c r="A2533" t="str">
        <f>IF(Scan2VK!S11&lt;&gt;"",Scan2VK!S11,"")</f>
        <v>'8'</v>
      </c>
      <c r="B2533" t="str">
        <f>IF(ISERROR(MATCH(0,INDEX(COUNTIF($B$1:B2532,$A$2:$A$4629),0,0),0)),"",INDEX($A$2:$A$4629,MATCH(0,INDEX(COUNTIF($B$1:B2532,$A$2:$A$4629),0,0),0)))</f>
        <v/>
      </c>
      <c r="C2533" t="str">
        <f t="shared" si="39"/>
        <v/>
      </c>
    </row>
    <row r="2534" spans="1:3" x14ac:dyDescent="0.25">
      <c r="A2534" t="str">
        <f>IF(Scan2VK!S12&lt;&gt;"",Scan2VK!S12,"")</f>
        <v>'9'</v>
      </c>
      <c r="B2534" t="str">
        <f>IF(ISERROR(MATCH(0,INDEX(COUNTIF($B$1:B2533,$A$2:$A$4629),0,0),0)),"",INDEX($A$2:$A$4629,MATCH(0,INDEX(COUNTIF($B$1:B2533,$A$2:$A$4629),0,0),0)))</f>
        <v/>
      </c>
      <c r="C2534" t="str">
        <f t="shared" si="39"/>
        <v/>
      </c>
    </row>
    <row r="2535" spans="1:3" x14ac:dyDescent="0.25">
      <c r="A2535" t="str">
        <f>IF(Scan2VK!S13&lt;&gt;"",Scan2VK!S13,"")</f>
        <v>'0'</v>
      </c>
      <c r="B2535" t="str">
        <f>IF(ISERROR(MATCH(0,INDEX(COUNTIF($B$1:B2534,$A$2:$A$4629),0,0),0)),"",INDEX($A$2:$A$4629,MATCH(0,INDEX(COUNTIF($B$1:B2534,$A$2:$A$4629),0,0),0)))</f>
        <v/>
      </c>
      <c r="C2535" t="str">
        <f t="shared" si="39"/>
        <v/>
      </c>
    </row>
    <row r="2536" spans="1:3" x14ac:dyDescent="0.25">
      <c r="A2536" t="str">
        <f>IF(Scan2VK!S14&lt;&gt;"",Scan2VK!S14,"")</f>
        <v>OEM_MINUS</v>
      </c>
      <c r="B2536" t="str">
        <f>IF(ISERROR(MATCH(0,INDEX(COUNTIF($B$1:B2535,$A$2:$A$4629),0,0),0)),"",INDEX($A$2:$A$4629,MATCH(0,INDEX(COUNTIF($B$1:B2535,$A$2:$A$4629),0,0),0)))</f>
        <v/>
      </c>
      <c r="C2536" t="str">
        <f t="shared" si="39"/>
        <v/>
      </c>
    </row>
    <row r="2537" spans="1:3" x14ac:dyDescent="0.25">
      <c r="A2537" t="str">
        <f>IF(Scan2VK!S15&lt;&gt;"",Scan2VK!S15,"")</f>
        <v>OEM_7</v>
      </c>
      <c r="B2537" t="str">
        <f>IF(ISERROR(MATCH(0,INDEX(COUNTIF($B$1:B2536,$A$2:$A$4629),0,0),0)),"",INDEX($A$2:$A$4629,MATCH(0,INDEX(COUNTIF($B$1:B2536,$A$2:$A$4629),0,0),0)))</f>
        <v/>
      </c>
      <c r="C2537" t="str">
        <f t="shared" si="39"/>
        <v/>
      </c>
    </row>
    <row r="2538" spans="1:3" x14ac:dyDescent="0.25">
      <c r="A2538" t="str">
        <f>IF(Scan2VK!S16&lt;&gt;"",Scan2VK!S16,"")</f>
        <v>OEM_5</v>
      </c>
      <c r="B2538" t="str">
        <f>IF(ISERROR(MATCH(0,INDEX(COUNTIF($B$1:B2537,$A$2:$A$4629),0,0),0)),"",INDEX($A$2:$A$4629,MATCH(0,INDEX(COUNTIF($B$1:B2537,$A$2:$A$4629),0,0),0)))</f>
        <v/>
      </c>
      <c r="C2538" t="str">
        <f t="shared" si="39"/>
        <v/>
      </c>
    </row>
    <row r="2539" spans="1:3" x14ac:dyDescent="0.25">
      <c r="A2539" t="str">
        <f>IF(Scan2VK!S17&lt;&gt;"",Scan2VK!S17,"")</f>
        <v>BACK</v>
      </c>
      <c r="B2539" t="str">
        <f>IF(ISERROR(MATCH(0,INDEX(COUNTIF($B$1:B2538,$A$2:$A$4629),0,0),0)),"",INDEX($A$2:$A$4629,MATCH(0,INDEX(COUNTIF($B$1:B2538,$A$2:$A$4629),0,0),0)))</f>
        <v/>
      </c>
      <c r="C2539" t="str">
        <f t="shared" si="39"/>
        <v/>
      </c>
    </row>
    <row r="2540" spans="1:3" x14ac:dyDescent="0.25">
      <c r="A2540" t="str">
        <f>IF(Scan2VK!S18&lt;&gt;"",Scan2VK!S18,"")</f>
        <v>TAB</v>
      </c>
      <c r="B2540" t="str">
        <f>IF(ISERROR(MATCH(0,INDEX(COUNTIF($B$1:B2539,$A$2:$A$4629),0,0),0)),"",INDEX($A$2:$A$4629,MATCH(0,INDEX(COUNTIF($B$1:B2539,$A$2:$A$4629),0,0),0)))</f>
        <v/>
      </c>
      <c r="C2540" t="str">
        <f t="shared" si="39"/>
        <v/>
      </c>
    </row>
    <row r="2541" spans="1:3" x14ac:dyDescent="0.25">
      <c r="A2541" t="str">
        <f>IF(Scan2VK!S19&lt;&gt;"",Scan2VK!S19,"")</f>
        <v>'Q'</v>
      </c>
      <c r="B2541" t="str">
        <f>IF(ISERROR(MATCH(0,INDEX(COUNTIF($B$1:B2540,$A$2:$A$4629),0,0),0)),"",INDEX($A$2:$A$4629,MATCH(0,INDEX(COUNTIF($B$1:B2540,$A$2:$A$4629),0,0),0)))</f>
        <v/>
      </c>
      <c r="C2541" t="str">
        <f t="shared" si="39"/>
        <v/>
      </c>
    </row>
    <row r="2542" spans="1:3" x14ac:dyDescent="0.25">
      <c r="A2542" t="str">
        <f>IF(Scan2VK!S20&lt;&gt;"",Scan2VK!S20,"")</f>
        <v>'W'</v>
      </c>
      <c r="B2542" t="str">
        <f>IF(ISERROR(MATCH(0,INDEX(COUNTIF($B$1:B2541,$A$2:$A$4629),0,0),0)),"",INDEX($A$2:$A$4629,MATCH(0,INDEX(COUNTIF($B$1:B2541,$A$2:$A$4629),0,0),0)))</f>
        <v/>
      </c>
      <c r="C2542" t="str">
        <f t="shared" si="39"/>
        <v/>
      </c>
    </row>
    <row r="2543" spans="1:3" x14ac:dyDescent="0.25">
      <c r="A2543" t="str">
        <f>IF(Scan2VK!S21&lt;&gt;"",Scan2VK!S21,"")</f>
        <v>'E'</v>
      </c>
      <c r="B2543" t="str">
        <f>IF(ISERROR(MATCH(0,INDEX(COUNTIF($B$1:B2542,$A$2:$A$4629),0,0),0)),"",INDEX($A$2:$A$4629,MATCH(0,INDEX(COUNTIF($B$1:B2542,$A$2:$A$4629),0,0),0)))</f>
        <v/>
      </c>
      <c r="C2543" t="str">
        <f t="shared" si="39"/>
        <v/>
      </c>
    </row>
    <row r="2544" spans="1:3" x14ac:dyDescent="0.25">
      <c r="A2544" t="str">
        <f>IF(Scan2VK!S22&lt;&gt;"",Scan2VK!S22,"")</f>
        <v>'R'</v>
      </c>
      <c r="B2544" t="str">
        <f>IF(ISERROR(MATCH(0,INDEX(COUNTIF($B$1:B2543,$A$2:$A$4629),0,0),0)),"",INDEX($A$2:$A$4629,MATCH(0,INDEX(COUNTIF($B$1:B2543,$A$2:$A$4629),0,0),0)))</f>
        <v/>
      </c>
      <c r="C2544" t="str">
        <f t="shared" si="39"/>
        <v/>
      </c>
    </row>
    <row r="2545" spans="1:3" x14ac:dyDescent="0.25">
      <c r="A2545" t="str">
        <f>IF(Scan2VK!S23&lt;&gt;"",Scan2VK!S23,"")</f>
        <v>'T'</v>
      </c>
      <c r="B2545" t="str">
        <f>IF(ISERROR(MATCH(0,INDEX(COUNTIF($B$1:B2544,$A$2:$A$4629),0,0),0)),"",INDEX($A$2:$A$4629,MATCH(0,INDEX(COUNTIF($B$1:B2544,$A$2:$A$4629),0,0),0)))</f>
        <v/>
      </c>
      <c r="C2545" t="str">
        <f t="shared" si="39"/>
        <v/>
      </c>
    </row>
    <row r="2546" spans="1:3" x14ac:dyDescent="0.25">
      <c r="A2546" t="str">
        <f>IF(Scan2VK!S24&lt;&gt;"",Scan2VK!S24,"")</f>
        <v>'Y'</v>
      </c>
      <c r="B2546" t="str">
        <f>IF(ISERROR(MATCH(0,INDEX(COUNTIF($B$1:B2545,$A$2:$A$4629),0,0),0)),"",INDEX($A$2:$A$4629,MATCH(0,INDEX(COUNTIF($B$1:B2545,$A$2:$A$4629),0,0),0)))</f>
        <v/>
      </c>
      <c r="C2546" t="str">
        <f t="shared" si="39"/>
        <v/>
      </c>
    </row>
    <row r="2547" spans="1:3" x14ac:dyDescent="0.25">
      <c r="A2547" t="str">
        <f>IF(Scan2VK!S25&lt;&gt;"",Scan2VK!S25,"")</f>
        <v>'U'</v>
      </c>
      <c r="B2547" t="str">
        <f>IF(ISERROR(MATCH(0,INDEX(COUNTIF($B$1:B2546,$A$2:$A$4629),0,0),0)),"",INDEX($A$2:$A$4629,MATCH(0,INDEX(COUNTIF($B$1:B2546,$A$2:$A$4629),0,0),0)))</f>
        <v/>
      </c>
      <c r="C2547" t="str">
        <f t="shared" si="39"/>
        <v/>
      </c>
    </row>
    <row r="2548" spans="1:3" x14ac:dyDescent="0.25">
      <c r="A2548" t="str">
        <f>IF(Scan2VK!S26&lt;&gt;"",Scan2VK!S26,"")</f>
        <v>'I'</v>
      </c>
      <c r="B2548" t="str">
        <f>IF(ISERROR(MATCH(0,INDEX(COUNTIF($B$1:B2547,$A$2:$A$4629),0,0),0)),"",INDEX($A$2:$A$4629,MATCH(0,INDEX(COUNTIF($B$1:B2547,$A$2:$A$4629),0,0),0)))</f>
        <v/>
      </c>
      <c r="C2548" t="str">
        <f t="shared" si="39"/>
        <v/>
      </c>
    </row>
    <row r="2549" spans="1:3" x14ac:dyDescent="0.25">
      <c r="A2549" t="str">
        <f>IF(Scan2VK!S27&lt;&gt;"",Scan2VK!S27,"")</f>
        <v>'O'</v>
      </c>
      <c r="B2549" t="str">
        <f>IF(ISERROR(MATCH(0,INDEX(COUNTIF($B$1:B2548,$A$2:$A$4629),0,0),0)),"",INDEX($A$2:$A$4629,MATCH(0,INDEX(COUNTIF($B$1:B2548,$A$2:$A$4629),0,0),0)))</f>
        <v/>
      </c>
      <c r="C2549" t="str">
        <f t="shared" si="39"/>
        <v/>
      </c>
    </row>
    <row r="2550" spans="1:3" x14ac:dyDescent="0.25">
      <c r="A2550" t="str">
        <f>IF(Scan2VK!S28&lt;&gt;"",Scan2VK!S28,"")</f>
        <v>'P'</v>
      </c>
      <c r="B2550" t="str">
        <f>IF(ISERROR(MATCH(0,INDEX(COUNTIF($B$1:B2549,$A$2:$A$4629),0,0),0)),"",INDEX($A$2:$A$4629,MATCH(0,INDEX(COUNTIF($B$1:B2549,$A$2:$A$4629),0,0),0)))</f>
        <v/>
      </c>
      <c r="C2550" t="str">
        <f t="shared" si="39"/>
        <v/>
      </c>
    </row>
    <row r="2551" spans="1:3" x14ac:dyDescent="0.25">
      <c r="A2551" t="str">
        <f>IF(Scan2VK!S29&lt;&gt;"",Scan2VK!S29,"")</f>
        <v>OEM_3</v>
      </c>
      <c r="B2551" t="str">
        <f>IF(ISERROR(MATCH(0,INDEX(COUNTIF($B$1:B2550,$A$2:$A$4629),0,0),0)),"",INDEX($A$2:$A$4629,MATCH(0,INDEX(COUNTIF($B$1:B2550,$A$2:$A$4629),0,0),0)))</f>
        <v/>
      </c>
      <c r="C2551" t="str">
        <f t="shared" si="39"/>
        <v/>
      </c>
    </row>
    <row r="2552" spans="1:3" x14ac:dyDescent="0.25">
      <c r="A2552" t="str">
        <f>IF(Scan2VK!S30&lt;&gt;"",Scan2VK!S30,"")</f>
        <v>OEM_4</v>
      </c>
      <c r="B2552" t="str">
        <f>IF(ISERROR(MATCH(0,INDEX(COUNTIF($B$1:B2551,$A$2:$A$4629),0,0),0)),"",INDEX($A$2:$A$4629,MATCH(0,INDEX(COUNTIF($B$1:B2551,$A$2:$A$4629),0,0),0)))</f>
        <v/>
      </c>
      <c r="C2552" t="str">
        <f t="shared" si="39"/>
        <v/>
      </c>
    </row>
    <row r="2553" spans="1:3" x14ac:dyDescent="0.25">
      <c r="A2553" t="str">
        <f>IF(Scan2VK!S31&lt;&gt;"",Scan2VK!S31,"")</f>
        <v>RETURN</v>
      </c>
      <c r="B2553" t="str">
        <f>IF(ISERROR(MATCH(0,INDEX(COUNTIF($B$1:B2552,$A$2:$A$4629),0,0),0)),"",INDEX($A$2:$A$4629,MATCH(0,INDEX(COUNTIF($B$1:B2552,$A$2:$A$4629),0,0),0)))</f>
        <v/>
      </c>
      <c r="C2553" t="str">
        <f t="shared" si="39"/>
        <v/>
      </c>
    </row>
    <row r="2554" spans="1:3" x14ac:dyDescent="0.25">
      <c r="A2554" t="str">
        <f>IF(Scan2VK!S32&lt;&gt;"",Scan2VK!S32,"")</f>
        <v>'A'</v>
      </c>
      <c r="B2554" t="str">
        <f>IF(ISERROR(MATCH(0,INDEX(COUNTIF($B$1:B2553,$A$2:$A$4629),0,0),0)),"",INDEX($A$2:$A$4629,MATCH(0,INDEX(COUNTIF($B$1:B2553,$A$2:$A$4629),0,0),0)))</f>
        <v/>
      </c>
      <c r="C2554" t="str">
        <f t="shared" si="39"/>
        <v/>
      </c>
    </row>
    <row r="2555" spans="1:3" x14ac:dyDescent="0.25">
      <c r="A2555" t="str">
        <f>IF(Scan2VK!S33&lt;&gt;"",Scan2VK!S33,"")</f>
        <v>'S'</v>
      </c>
      <c r="B2555" t="str">
        <f>IF(ISERROR(MATCH(0,INDEX(COUNTIF($B$1:B2554,$A$2:$A$4629),0,0),0)),"",INDEX($A$2:$A$4629,MATCH(0,INDEX(COUNTIF($B$1:B2554,$A$2:$A$4629),0,0),0)))</f>
        <v/>
      </c>
      <c r="C2555" t="str">
        <f t="shared" si="39"/>
        <v/>
      </c>
    </row>
    <row r="2556" spans="1:3" x14ac:dyDescent="0.25">
      <c r="A2556" t="str">
        <f>IF(Scan2VK!S34&lt;&gt;"",Scan2VK!S34,"")</f>
        <v>'D'</v>
      </c>
      <c r="B2556" t="str">
        <f>IF(ISERROR(MATCH(0,INDEX(COUNTIF($B$1:B2555,$A$2:$A$4629),0,0),0)),"",INDEX($A$2:$A$4629,MATCH(0,INDEX(COUNTIF($B$1:B2555,$A$2:$A$4629),0,0),0)))</f>
        <v/>
      </c>
      <c r="C2556" t="str">
        <f t="shared" si="39"/>
        <v/>
      </c>
    </row>
    <row r="2557" spans="1:3" x14ac:dyDescent="0.25">
      <c r="A2557" t="str">
        <f>IF(Scan2VK!S35&lt;&gt;"",Scan2VK!S35,"")</f>
        <v>'F'</v>
      </c>
      <c r="B2557" t="str">
        <f>IF(ISERROR(MATCH(0,INDEX(COUNTIF($B$1:B2556,$A$2:$A$4629),0,0),0)),"",INDEX($A$2:$A$4629,MATCH(0,INDEX(COUNTIF($B$1:B2556,$A$2:$A$4629),0,0),0)))</f>
        <v/>
      </c>
      <c r="C2557" t="str">
        <f t="shared" si="39"/>
        <v/>
      </c>
    </row>
    <row r="2558" spans="1:3" x14ac:dyDescent="0.25">
      <c r="A2558" t="str">
        <f>IF(Scan2VK!S36&lt;&gt;"",Scan2VK!S36,"")</f>
        <v>'G'</v>
      </c>
      <c r="B2558" t="str">
        <f>IF(ISERROR(MATCH(0,INDEX(COUNTIF($B$1:B2557,$A$2:$A$4629),0,0),0)),"",INDEX($A$2:$A$4629,MATCH(0,INDEX(COUNTIF($B$1:B2557,$A$2:$A$4629),0,0),0)))</f>
        <v/>
      </c>
      <c r="C2558" t="str">
        <f t="shared" si="39"/>
        <v/>
      </c>
    </row>
    <row r="2559" spans="1:3" x14ac:dyDescent="0.25">
      <c r="A2559" t="str">
        <f>IF(Scan2VK!S37&lt;&gt;"",Scan2VK!S37,"")</f>
        <v>'H'</v>
      </c>
      <c r="B2559" t="str">
        <f>IF(ISERROR(MATCH(0,INDEX(COUNTIF($B$1:B2558,$A$2:$A$4629),0,0),0)),"",INDEX($A$2:$A$4629,MATCH(0,INDEX(COUNTIF($B$1:B2558,$A$2:$A$4629),0,0),0)))</f>
        <v/>
      </c>
      <c r="C2559" t="str">
        <f t="shared" si="39"/>
        <v/>
      </c>
    </row>
    <row r="2560" spans="1:3" x14ac:dyDescent="0.25">
      <c r="A2560" t="str">
        <f>IF(Scan2VK!S38&lt;&gt;"",Scan2VK!S38,"")</f>
        <v>'J'</v>
      </c>
      <c r="B2560" t="str">
        <f>IF(ISERROR(MATCH(0,INDEX(COUNTIF($B$1:B2559,$A$2:$A$4629),0,0),0)),"",INDEX($A$2:$A$4629,MATCH(0,INDEX(COUNTIF($B$1:B2559,$A$2:$A$4629),0,0),0)))</f>
        <v/>
      </c>
      <c r="C2560" t="str">
        <f t="shared" si="39"/>
        <v/>
      </c>
    </row>
    <row r="2561" spans="1:3" x14ac:dyDescent="0.25">
      <c r="A2561" t="str">
        <f>IF(Scan2VK!S39&lt;&gt;"",Scan2VK!S39,"")</f>
        <v>'K'</v>
      </c>
      <c r="B2561" t="str">
        <f>IF(ISERROR(MATCH(0,INDEX(COUNTIF($B$1:B2560,$A$2:$A$4629),0,0),0)),"",INDEX($A$2:$A$4629,MATCH(0,INDEX(COUNTIF($B$1:B2560,$A$2:$A$4629),0,0),0)))</f>
        <v/>
      </c>
      <c r="C2561" t="str">
        <f t="shared" si="39"/>
        <v/>
      </c>
    </row>
    <row r="2562" spans="1:3" x14ac:dyDescent="0.25">
      <c r="A2562" t="str">
        <f>IF(Scan2VK!S40&lt;&gt;"",Scan2VK!S40,"")</f>
        <v>'L'</v>
      </c>
      <c r="B2562" t="str">
        <f>IF(ISERROR(MATCH(0,INDEX(COUNTIF($B$1:B2561,$A$2:$A$4629),0,0),0)),"",INDEX($A$2:$A$4629,MATCH(0,INDEX(COUNTIF($B$1:B2561,$A$2:$A$4629),0,0),0)))</f>
        <v/>
      </c>
      <c r="C2562" t="str">
        <f t="shared" si="39"/>
        <v/>
      </c>
    </row>
    <row r="2563" spans="1:3" x14ac:dyDescent="0.25">
      <c r="A2563" t="str">
        <f>IF(Scan2VK!S41&lt;&gt;"",Scan2VK!S41,"")</f>
        <v>OEM_PLUS</v>
      </c>
      <c r="B2563" t="str">
        <f>IF(ISERROR(MATCH(0,INDEX(COUNTIF($B$1:B2562,$A$2:$A$4629),0,0),0)),"",INDEX($A$2:$A$4629,MATCH(0,INDEX(COUNTIF($B$1:B2562,$A$2:$A$4629),0,0),0)))</f>
        <v/>
      </c>
      <c r="C2563" t="str">
        <f t="shared" ref="C2563:C2626" si="40">IF(B2563&lt;&gt;"","&lt;xs:enumeration value="""&amp;B2563&amp;"""/&gt;","")</f>
        <v/>
      </c>
    </row>
    <row r="2564" spans="1:3" x14ac:dyDescent="0.25">
      <c r="A2564" t="str">
        <f>IF(Scan2VK!S42&lt;&gt;"",Scan2VK!S42,"")</f>
        <v>OEM_1</v>
      </c>
      <c r="B2564" t="str">
        <f>IF(ISERROR(MATCH(0,INDEX(COUNTIF($B$1:B2563,$A$2:$A$4629),0,0),0)),"",INDEX($A$2:$A$4629,MATCH(0,INDEX(COUNTIF($B$1:B2563,$A$2:$A$4629),0,0),0)))</f>
        <v/>
      </c>
      <c r="C2564" t="str">
        <f t="shared" si="40"/>
        <v/>
      </c>
    </row>
    <row r="2565" spans="1:3" x14ac:dyDescent="0.25">
      <c r="A2565" t="str">
        <f>IF(Scan2VK!S43&lt;&gt;"",Scan2VK!S43,"")</f>
        <v>OEM_6</v>
      </c>
      <c r="B2565" t="str">
        <f>IF(ISERROR(MATCH(0,INDEX(COUNTIF($B$1:B2564,$A$2:$A$4629),0,0),0)),"",INDEX($A$2:$A$4629,MATCH(0,INDEX(COUNTIF($B$1:B2564,$A$2:$A$4629),0,0),0)))</f>
        <v/>
      </c>
      <c r="C2565" t="str">
        <f t="shared" si="40"/>
        <v/>
      </c>
    </row>
    <row r="2566" spans="1:3" x14ac:dyDescent="0.25">
      <c r="A2566" t="str">
        <f>IF(Scan2VK!S44&lt;&gt;"",Scan2VK!S44,"")</f>
        <v>'Z'</v>
      </c>
      <c r="B2566" t="str">
        <f>IF(ISERROR(MATCH(0,INDEX(COUNTIF($B$1:B2565,$A$2:$A$4629),0,0),0)),"",INDEX($A$2:$A$4629,MATCH(0,INDEX(COUNTIF($B$1:B2565,$A$2:$A$4629),0,0),0)))</f>
        <v/>
      </c>
      <c r="C2566" t="str">
        <f t="shared" si="40"/>
        <v/>
      </c>
    </row>
    <row r="2567" spans="1:3" x14ac:dyDescent="0.25">
      <c r="A2567" t="str">
        <f>IF(Scan2VK!S45&lt;&gt;"",Scan2VK!S45,"")</f>
        <v>'X'</v>
      </c>
      <c r="B2567" t="str">
        <f>IF(ISERROR(MATCH(0,INDEX(COUNTIF($B$1:B2566,$A$2:$A$4629),0,0),0)),"",INDEX($A$2:$A$4629,MATCH(0,INDEX(COUNTIF($B$1:B2566,$A$2:$A$4629),0,0),0)))</f>
        <v/>
      </c>
      <c r="C2567" t="str">
        <f t="shared" si="40"/>
        <v/>
      </c>
    </row>
    <row r="2568" spans="1:3" x14ac:dyDescent="0.25">
      <c r="A2568" t="str">
        <f>IF(Scan2VK!S46&lt;&gt;"",Scan2VK!S46,"")</f>
        <v>'C'</v>
      </c>
      <c r="B2568" t="str">
        <f>IF(ISERROR(MATCH(0,INDEX(COUNTIF($B$1:B2567,$A$2:$A$4629),0,0),0)),"",INDEX($A$2:$A$4629,MATCH(0,INDEX(COUNTIF($B$1:B2567,$A$2:$A$4629),0,0),0)))</f>
        <v/>
      </c>
      <c r="C2568" t="str">
        <f t="shared" si="40"/>
        <v/>
      </c>
    </row>
    <row r="2569" spans="1:3" x14ac:dyDescent="0.25">
      <c r="A2569" t="str">
        <f>IF(Scan2VK!S47&lt;&gt;"",Scan2VK!S47,"")</f>
        <v>'V'</v>
      </c>
      <c r="B2569" t="str">
        <f>IF(ISERROR(MATCH(0,INDEX(COUNTIF($B$1:B2568,$A$2:$A$4629),0,0),0)),"",INDEX($A$2:$A$4629,MATCH(0,INDEX(COUNTIF($B$1:B2568,$A$2:$A$4629),0,0),0)))</f>
        <v/>
      </c>
      <c r="C2569" t="str">
        <f t="shared" si="40"/>
        <v/>
      </c>
    </row>
    <row r="2570" spans="1:3" x14ac:dyDescent="0.25">
      <c r="A2570" t="str">
        <f>IF(Scan2VK!S48&lt;&gt;"",Scan2VK!S48,"")</f>
        <v>'B'</v>
      </c>
      <c r="B2570" t="str">
        <f>IF(ISERROR(MATCH(0,INDEX(COUNTIF($B$1:B2569,$A$2:$A$4629),0,0),0)),"",INDEX($A$2:$A$4629,MATCH(0,INDEX(COUNTIF($B$1:B2569,$A$2:$A$4629),0,0),0)))</f>
        <v/>
      </c>
      <c r="C2570" t="str">
        <f t="shared" si="40"/>
        <v/>
      </c>
    </row>
    <row r="2571" spans="1:3" x14ac:dyDescent="0.25">
      <c r="A2571" t="str">
        <f>IF(Scan2VK!S49&lt;&gt;"",Scan2VK!S49,"")</f>
        <v>'N'</v>
      </c>
      <c r="B2571" t="str">
        <f>IF(ISERROR(MATCH(0,INDEX(COUNTIF($B$1:B2570,$A$2:$A$4629),0,0),0)),"",INDEX($A$2:$A$4629,MATCH(0,INDEX(COUNTIF($B$1:B2570,$A$2:$A$4629),0,0),0)))</f>
        <v/>
      </c>
      <c r="C2571" t="str">
        <f t="shared" si="40"/>
        <v/>
      </c>
    </row>
    <row r="2572" spans="1:3" x14ac:dyDescent="0.25">
      <c r="A2572" t="str">
        <f>IF(Scan2VK!S50&lt;&gt;"",Scan2VK!S50,"")</f>
        <v>'M'</v>
      </c>
      <c r="B2572" t="str">
        <f>IF(ISERROR(MATCH(0,INDEX(COUNTIF($B$1:B2571,$A$2:$A$4629),0,0),0)),"",INDEX($A$2:$A$4629,MATCH(0,INDEX(COUNTIF($B$1:B2571,$A$2:$A$4629),0,0),0)))</f>
        <v/>
      </c>
      <c r="C2572" t="str">
        <f t="shared" si="40"/>
        <v/>
      </c>
    </row>
    <row r="2573" spans="1:3" x14ac:dyDescent="0.25">
      <c r="A2573" t="str">
        <f>IF(Scan2VK!S51&lt;&gt;"",Scan2VK!S51,"")</f>
        <v>OEM_COMMA</v>
      </c>
      <c r="B2573" t="str">
        <f>IF(ISERROR(MATCH(0,INDEX(COUNTIF($B$1:B2572,$A$2:$A$4629),0,0),0)),"",INDEX($A$2:$A$4629,MATCH(0,INDEX(COUNTIF($B$1:B2572,$A$2:$A$4629),0,0),0)))</f>
        <v/>
      </c>
      <c r="C2573" t="str">
        <f t="shared" si="40"/>
        <v/>
      </c>
    </row>
    <row r="2574" spans="1:3" x14ac:dyDescent="0.25">
      <c r="A2574" t="str">
        <f>IF(Scan2VK!S52&lt;&gt;"",Scan2VK!S52,"")</f>
        <v>OEM_PERIOD</v>
      </c>
      <c r="B2574" t="str">
        <f>IF(ISERROR(MATCH(0,INDEX(COUNTIF($B$1:B2573,$A$2:$A$4629),0,0),0)),"",INDEX($A$2:$A$4629,MATCH(0,INDEX(COUNTIF($B$1:B2573,$A$2:$A$4629),0,0),0)))</f>
        <v/>
      </c>
      <c r="C2574" t="str">
        <f t="shared" si="40"/>
        <v/>
      </c>
    </row>
    <row r="2575" spans="1:3" x14ac:dyDescent="0.25">
      <c r="A2575" t="str">
        <f>IF(Scan2VK!S53&lt;&gt;"",Scan2VK!S53,"")</f>
        <v>OEM_2</v>
      </c>
      <c r="B2575" t="str">
        <f>IF(ISERROR(MATCH(0,INDEX(COUNTIF($B$1:B2574,$A$2:$A$4629),0,0),0)),"",INDEX($A$2:$A$4629,MATCH(0,INDEX(COUNTIF($B$1:B2574,$A$2:$A$4629),0,0),0)))</f>
        <v/>
      </c>
      <c r="C2575" t="str">
        <f t="shared" si="40"/>
        <v/>
      </c>
    </row>
    <row r="2576" spans="1:3" x14ac:dyDescent="0.25">
      <c r="A2576" t="str">
        <f>IF(Scan2VK!S54&lt;&gt;"",Scan2VK!S54,"")</f>
        <v>OEM_8</v>
      </c>
      <c r="B2576" t="str">
        <f>IF(ISERROR(MATCH(0,INDEX(COUNTIF($B$1:B2575,$A$2:$A$4629),0,0),0)),"",INDEX($A$2:$A$4629,MATCH(0,INDEX(COUNTIF($B$1:B2575,$A$2:$A$4629),0,0),0)))</f>
        <v/>
      </c>
      <c r="C2576" t="str">
        <f t="shared" si="40"/>
        <v/>
      </c>
    </row>
    <row r="2577" spans="1:3" x14ac:dyDescent="0.25">
      <c r="A2577" t="str">
        <f>IF(Scan2VK!S55&lt;&gt;"",Scan2VK!S55,"")</f>
        <v>''</v>
      </c>
      <c r="B2577" t="str">
        <f>IF(ISERROR(MATCH(0,INDEX(COUNTIF($B$1:B2576,$A$2:$A$4629),0,0),0)),"",INDEX($A$2:$A$4629,MATCH(0,INDEX(COUNTIF($B$1:B2576,$A$2:$A$4629),0,0),0)))</f>
        <v/>
      </c>
      <c r="C2577" t="str">
        <f t="shared" si="40"/>
        <v/>
      </c>
    </row>
    <row r="2578" spans="1:3" x14ac:dyDescent="0.25">
      <c r="A2578" t="str">
        <f>IF(Scan2VK!S56&lt;&gt;"",Scan2VK!S56,"")</f>
        <v>MULTIPLY</v>
      </c>
      <c r="B2578" t="str">
        <f>IF(ISERROR(MATCH(0,INDEX(COUNTIF($B$1:B2577,$A$2:$A$4629),0,0),0)),"",INDEX($A$2:$A$4629,MATCH(0,INDEX(COUNTIF($B$1:B2577,$A$2:$A$4629),0,0),0)))</f>
        <v/>
      </c>
      <c r="C2578" t="str">
        <f t="shared" si="40"/>
        <v/>
      </c>
    </row>
    <row r="2579" spans="1:3" x14ac:dyDescent="0.25">
      <c r="A2579" t="str">
        <f>IF(Scan2VK!S57&lt;&gt;"",Scan2VK!S57,"")</f>
        <v>DIVIDE</v>
      </c>
      <c r="B2579" t="str">
        <f>IF(ISERROR(MATCH(0,INDEX(COUNTIF($B$1:B2578,$A$2:$A$4629),0,0),0)),"",INDEX($A$2:$A$4629,MATCH(0,INDEX(COUNTIF($B$1:B2578,$A$2:$A$4629),0,0),0)))</f>
        <v/>
      </c>
      <c r="C2579" t="str">
        <f t="shared" si="40"/>
        <v/>
      </c>
    </row>
    <row r="2580" spans="1:3" x14ac:dyDescent="0.25">
      <c r="A2580" t="str">
        <f>IF(Scan2VK!S58&lt;&gt;"",Scan2VK!S58,"")</f>
        <v>ADD</v>
      </c>
      <c r="B2580" t="str">
        <f>IF(ISERROR(MATCH(0,INDEX(COUNTIF($B$1:B2579,$A$2:$A$4629),0,0),0)),"",INDEX($A$2:$A$4629,MATCH(0,INDEX(COUNTIF($B$1:B2579,$A$2:$A$4629),0,0),0)))</f>
        <v/>
      </c>
      <c r="C2580" t="str">
        <f t="shared" si="40"/>
        <v/>
      </c>
    </row>
    <row r="2581" spans="1:3" x14ac:dyDescent="0.25">
      <c r="A2581" t="str">
        <f>IF(Scan2VK!S59&lt;&gt;"",Scan2VK!S59,"")</f>
        <v>SUBTRACT</v>
      </c>
      <c r="B2581" t="str">
        <f>IF(ISERROR(MATCH(0,INDEX(COUNTIF($B$1:B2580,$A$2:$A$4629),0,0),0)),"",INDEX($A$2:$A$4629,MATCH(0,INDEX(COUNTIF($B$1:B2580,$A$2:$A$4629),0,0),0)))</f>
        <v/>
      </c>
      <c r="C2581" t="str">
        <f t="shared" si="40"/>
        <v/>
      </c>
    </row>
    <row r="2582" spans="1:3" x14ac:dyDescent="0.25">
      <c r="A2582" t="str">
        <f>IF(Scan2VK!S60&lt;&gt;"",Scan2VK!S60,"")</f>
        <v>NUMPAD7</v>
      </c>
      <c r="B2582" t="str">
        <f>IF(ISERROR(MATCH(0,INDEX(COUNTIF($B$1:B2581,$A$2:$A$4629),0,0),0)),"",INDEX($A$2:$A$4629,MATCH(0,INDEX(COUNTIF($B$1:B2581,$A$2:$A$4629),0,0),0)))</f>
        <v/>
      </c>
      <c r="C2582" t="str">
        <f t="shared" si="40"/>
        <v/>
      </c>
    </row>
    <row r="2583" spans="1:3" x14ac:dyDescent="0.25">
      <c r="A2583" t="str">
        <f>IF(Scan2VK!S61&lt;&gt;"",Scan2VK!S61,"")</f>
        <v>NUMPAD8</v>
      </c>
      <c r="B2583" t="str">
        <f>IF(ISERROR(MATCH(0,INDEX(COUNTIF($B$1:B2582,$A$2:$A$4629),0,0),0)),"",INDEX($A$2:$A$4629,MATCH(0,INDEX(COUNTIF($B$1:B2582,$A$2:$A$4629),0,0),0)))</f>
        <v/>
      </c>
      <c r="C2583" t="str">
        <f t="shared" si="40"/>
        <v/>
      </c>
    </row>
    <row r="2584" spans="1:3" x14ac:dyDescent="0.25">
      <c r="A2584" t="str">
        <f>IF(Scan2VK!S62&lt;&gt;"",Scan2VK!S62,"")</f>
        <v>NUMPAD9</v>
      </c>
      <c r="B2584" t="str">
        <f>IF(ISERROR(MATCH(0,INDEX(COUNTIF($B$1:B2583,$A$2:$A$4629),0,0),0)),"",INDEX($A$2:$A$4629,MATCH(0,INDEX(COUNTIF($B$1:B2583,$A$2:$A$4629),0,0),0)))</f>
        <v/>
      </c>
      <c r="C2584" t="str">
        <f t="shared" si="40"/>
        <v/>
      </c>
    </row>
    <row r="2585" spans="1:3" x14ac:dyDescent="0.25">
      <c r="A2585" t="str">
        <f>IF(Scan2VK!S63&lt;&gt;"",Scan2VK!S63,"")</f>
        <v>EQUAL</v>
      </c>
      <c r="B2585" t="str">
        <f>IF(ISERROR(MATCH(0,INDEX(COUNTIF($B$1:B2584,$A$2:$A$4629),0,0),0)),"",INDEX($A$2:$A$4629,MATCH(0,INDEX(COUNTIF($B$1:B2584,$A$2:$A$4629),0,0),0)))</f>
        <v/>
      </c>
      <c r="C2585" t="str">
        <f t="shared" si="40"/>
        <v/>
      </c>
    </row>
    <row r="2586" spans="1:3" x14ac:dyDescent="0.25">
      <c r="A2586" t="str">
        <f>IF(Scan2VK!S64&lt;&gt;"",Scan2VK!S64,"")</f>
        <v>NUMPAD4</v>
      </c>
      <c r="B2586" t="str">
        <f>IF(ISERROR(MATCH(0,INDEX(COUNTIF($B$1:B2585,$A$2:$A$4629),0,0),0)),"",INDEX($A$2:$A$4629,MATCH(0,INDEX(COUNTIF($B$1:B2585,$A$2:$A$4629),0,0),0)))</f>
        <v/>
      </c>
      <c r="C2586" t="str">
        <f t="shared" si="40"/>
        <v/>
      </c>
    </row>
    <row r="2587" spans="1:3" x14ac:dyDescent="0.25">
      <c r="A2587" t="str">
        <f>IF(Scan2VK!S65&lt;&gt;"",Scan2VK!S65,"")</f>
        <v>NUMPAD5</v>
      </c>
      <c r="B2587" t="str">
        <f>IF(ISERROR(MATCH(0,INDEX(COUNTIF($B$1:B2586,$A$2:$A$4629),0,0),0)),"",INDEX($A$2:$A$4629,MATCH(0,INDEX(COUNTIF($B$1:B2586,$A$2:$A$4629),0,0),0)))</f>
        <v/>
      </c>
      <c r="C2587" t="str">
        <f t="shared" si="40"/>
        <v/>
      </c>
    </row>
    <row r="2588" spans="1:3" x14ac:dyDescent="0.25">
      <c r="A2588" t="str">
        <f>IF(Scan2VK!S66&lt;&gt;"",Scan2VK!S66,"")</f>
        <v>NUMPAD6</v>
      </c>
      <c r="B2588" t="str">
        <f>IF(ISERROR(MATCH(0,INDEX(COUNTIF($B$1:B2587,$A$2:$A$4629),0,0),0)),"",INDEX($A$2:$A$4629,MATCH(0,INDEX(COUNTIF($B$1:B2587,$A$2:$A$4629),0,0),0)))</f>
        <v/>
      </c>
      <c r="C2588" t="str">
        <f t="shared" si="40"/>
        <v/>
      </c>
    </row>
    <row r="2589" spans="1:3" x14ac:dyDescent="0.25">
      <c r="A2589" t="str">
        <f>IF(Scan2VK!S67&lt;&gt;"",Scan2VK!S67,"")</f>
        <v>SEPARATOR</v>
      </c>
      <c r="B2589" t="str">
        <f>IF(ISERROR(MATCH(0,INDEX(COUNTIF($B$1:B2588,$A$2:$A$4629),0,0),0)),"",INDEX($A$2:$A$4629,MATCH(0,INDEX(COUNTIF($B$1:B2588,$A$2:$A$4629),0,0),0)))</f>
        <v/>
      </c>
      <c r="C2589" t="str">
        <f t="shared" si="40"/>
        <v/>
      </c>
    </row>
    <row r="2590" spans="1:3" x14ac:dyDescent="0.25">
      <c r="A2590" t="str">
        <f>IF(Scan2VK!S68&lt;&gt;"",Scan2VK!S68,"")</f>
        <v>NUMPAD1</v>
      </c>
      <c r="B2590" t="str">
        <f>IF(ISERROR(MATCH(0,INDEX(COUNTIF($B$1:B2589,$A$2:$A$4629),0,0),0)),"",INDEX($A$2:$A$4629,MATCH(0,INDEX(COUNTIF($B$1:B2589,$A$2:$A$4629),0,0),0)))</f>
        <v/>
      </c>
      <c r="C2590" t="str">
        <f t="shared" si="40"/>
        <v/>
      </c>
    </row>
    <row r="2591" spans="1:3" x14ac:dyDescent="0.25">
      <c r="A2591" t="str">
        <f>IF(Scan2VK!S69&lt;&gt;"",Scan2VK!S69,"")</f>
        <v>NUMPAD2</v>
      </c>
      <c r="B2591" t="str">
        <f>IF(ISERROR(MATCH(0,INDEX(COUNTIF($B$1:B2590,$A$2:$A$4629),0,0),0)),"",INDEX($A$2:$A$4629,MATCH(0,INDEX(COUNTIF($B$1:B2590,$A$2:$A$4629),0,0),0)))</f>
        <v/>
      </c>
      <c r="C2591" t="str">
        <f t="shared" si="40"/>
        <v/>
      </c>
    </row>
    <row r="2592" spans="1:3" x14ac:dyDescent="0.25">
      <c r="A2592" t="str">
        <f>IF(Scan2VK!S70&lt;&gt;"",Scan2VK!S70,"")</f>
        <v>NUMPAD3</v>
      </c>
      <c r="B2592" t="str">
        <f>IF(ISERROR(MATCH(0,INDEX(COUNTIF($B$1:B2591,$A$2:$A$4629),0,0),0)),"",INDEX($A$2:$A$4629,MATCH(0,INDEX(COUNTIF($B$1:B2591,$A$2:$A$4629),0,0),0)))</f>
        <v/>
      </c>
      <c r="C2592" t="str">
        <f t="shared" si="40"/>
        <v/>
      </c>
    </row>
    <row r="2593" spans="1:3" x14ac:dyDescent="0.25">
      <c r="A2593" t="str">
        <f>IF(Scan2VK!S71&lt;&gt;"",Scan2VK!S71,"")</f>
        <v>RETURN</v>
      </c>
      <c r="B2593" t="str">
        <f>IF(ISERROR(MATCH(0,INDEX(COUNTIF($B$1:B2592,$A$2:$A$4629),0,0),0)),"",INDEX($A$2:$A$4629,MATCH(0,INDEX(COUNTIF($B$1:B2592,$A$2:$A$4629),0,0),0)))</f>
        <v/>
      </c>
      <c r="C2593" t="str">
        <f t="shared" si="40"/>
        <v/>
      </c>
    </row>
    <row r="2594" spans="1:3" x14ac:dyDescent="0.25">
      <c r="A2594" t="str">
        <f>IF(Scan2VK!S72&lt;&gt;"",Scan2VK!S72,"")</f>
        <v>NUMPAD0</v>
      </c>
      <c r="B2594" t="str">
        <f>IF(ISERROR(MATCH(0,INDEX(COUNTIF($B$1:B2593,$A$2:$A$4629),0,0),0)),"",INDEX($A$2:$A$4629,MATCH(0,INDEX(COUNTIF($B$1:B2593,$A$2:$A$4629),0,0),0)))</f>
        <v/>
      </c>
      <c r="C2594" t="str">
        <f t="shared" si="40"/>
        <v/>
      </c>
    </row>
    <row r="2595" spans="1:3" x14ac:dyDescent="0.25">
      <c r="A2595" t="str">
        <f>IF(Scan2VK!S73&lt;&gt;"",Scan2VK!S73,"")</f>
        <v>DECIMAL</v>
      </c>
      <c r="B2595" t="str">
        <f>IF(ISERROR(MATCH(0,INDEX(COUNTIF($B$1:B2594,$A$2:$A$4629),0,0),0)),"",INDEX($A$2:$A$4629,MATCH(0,INDEX(COUNTIF($B$1:B2594,$A$2:$A$4629),0,0),0)))</f>
        <v/>
      </c>
      <c r="C2595" t="str">
        <f t="shared" si="40"/>
        <v/>
      </c>
    </row>
    <row r="2596" spans="1:3" x14ac:dyDescent="0.25">
      <c r="A2596" t="str">
        <f>IF(Scan2VK!S74&lt;&gt;"",Scan2VK!S74,"")</f>
        <v>INSERT</v>
      </c>
      <c r="B2596" t="str">
        <f>IF(ISERROR(MATCH(0,INDEX(COUNTIF($B$1:B2595,$A$2:$A$4629),0,0),0)),"",INDEX($A$2:$A$4629,MATCH(0,INDEX(COUNTIF($B$1:B2595,$A$2:$A$4629),0,0),0)))</f>
        <v/>
      </c>
      <c r="C2596" t="str">
        <f t="shared" si="40"/>
        <v/>
      </c>
    </row>
    <row r="2597" spans="1:3" x14ac:dyDescent="0.25">
      <c r="A2597" t="str">
        <f>IF(Scan2VK!S75&lt;&gt;"",Scan2VK!S75,"")</f>
        <v>OEM_00</v>
      </c>
      <c r="B2597" t="str">
        <f>IF(ISERROR(MATCH(0,INDEX(COUNTIF($B$1:B2596,$A$2:$A$4629),0,0),0)),"",INDEX($A$2:$A$4629,MATCH(0,INDEX(COUNTIF($B$1:B2596,$A$2:$A$4629),0,0),0)))</f>
        <v/>
      </c>
      <c r="C2597" t="str">
        <f t="shared" si="40"/>
        <v/>
      </c>
    </row>
    <row r="2598" spans="1:3" x14ac:dyDescent="0.25">
      <c r="A2598" t="str">
        <f>IF(Scan2VK!S76&lt;&gt;"",Scan2VK!S76,"")</f>
        <v>OEM_000</v>
      </c>
      <c r="B2598" t="str">
        <f>IF(ISERROR(MATCH(0,INDEX(COUNTIF($B$1:B2597,$A$2:$A$4629),0,0),0)),"",INDEX($A$2:$A$4629,MATCH(0,INDEX(COUNTIF($B$1:B2597,$A$2:$A$4629),0,0),0)))</f>
        <v/>
      </c>
      <c r="C2598" t="str">
        <f t="shared" si="40"/>
        <v/>
      </c>
    </row>
    <row r="2599" spans="1:3" x14ac:dyDescent="0.25">
      <c r="A2599" t="str">
        <f>IF(Scan2VK!S77&lt;&gt;"",Scan2VK!S77,"")</f>
        <v>DELETE</v>
      </c>
      <c r="B2599" t="str">
        <f>IF(ISERROR(MATCH(0,INDEX(COUNTIF($B$1:B2598,$A$2:$A$4629),0,0),0)),"",INDEX($A$2:$A$4629,MATCH(0,INDEX(COUNTIF($B$1:B2598,$A$2:$A$4629),0,0),0)))</f>
        <v/>
      </c>
      <c r="C2599" t="str">
        <f t="shared" si="40"/>
        <v/>
      </c>
    </row>
    <row r="2600" spans="1:3" x14ac:dyDescent="0.25">
      <c r="A2600" t="str">
        <f>IF(Scan2VK!S78&lt;&gt;"",Scan2VK!S78,"")</f>
        <v>_none_</v>
      </c>
      <c r="B2600" t="str">
        <f>IF(ISERROR(MATCH(0,INDEX(COUNTIF($B$1:B2599,$A$2:$A$4629),0,0),0)),"",INDEX($A$2:$A$4629,MATCH(0,INDEX(COUNTIF($B$1:B2599,$A$2:$A$4629),0,0),0)))</f>
        <v/>
      </c>
      <c r="C2600" t="str">
        <f t="shared" si="40"/>
        <v/>
      </c>
    </row>
    <row r="2601" spans="1:3" x14ac:dyDescent="0.25">
      <c r="A2601" t="str">
        <f>IF(Scan2VK!S79&lt;&gt;"",Scan2VK!S79,"")</f>
        <v>UP</v>
      </c>
      <c r="B2601" t="str">
        <f>IF(ISERROR(MATCH(0,INDEX(COUNTIF($B$1:B2600,$A$2:$A$4629),0,0),0)),"",INDEX($A$2:$A$4629,MATCH(0,INDEX(COUNTIF($B$1:B2600,$A$2:$A$4629),0,0),0)))</f>
        <v/>
      </c>
      <c r="C2601" t="str">
        <f t="shared" si="40"/>
        <v/>
      </c>
    </row>
    <row r="2602" spans="1:3" x14ac:dyDescent="0.25">
      <c r="A2602" t="str">
        <f>IF(Scan2VK!S80&lt;&gt;"",Scan2VK!S80,"")</f>
        <v>HOME</v>
      </c>
      <c r="B2602" t="str">
        <f>IF(ISERROR(MATCH(0,INDEX(COUNTIF($B$1:B2601,$A$2:$A$4629),0,0),0)),"",INDEX($A$2:$A$4629,MATCH(0,INDEX(COUNTIF($B$1:B2601,$A$2:$A$4629),0,0),0)))</f>
        <v/>
      </c>
      <c r="C2602" t="str">
        <f t="shared" si="40"/>
        <v/>
      </c>
    </row>
    <row r="2603" spans="1:3" x14ac:dyDescent="0.25">
      <c r="A2603" t="str">
        <f>IF(Scan2VK!S81&lt;&gt;"",Scan2VK!S81,"")</f>
        <v>LEFT</v>
      </c>
      <c r="B2603" t="str">
        <f>IF(ISERROR(MATCH(0,INDEX(COUNTIF($B$1:B2602,$A$2:$A$4629),0,0),0)),"",INDEX($A$2:$A$4629,MATCH(0,INDEX(COUNTIF($B$1:B2602,$A$2:$A$4629),0,0),0)))</f>
        <v/>
      </c>
      <c r="C2603" t="str">
        <f t="shared" si="40"/>
        <v/>
      </c>
    </row>
    <row r="2604" spans="1:3" x14ac:dyDescent="0.25">
      <c r="A2604" t="str">
        <f>IF(Scan2VK!S82&lt;&gt;"",Scan2VK!S82,"")</f>
        <v>DOWN</v>
      </c>
      <c r="B2604" t="str">
        <f>IF(ISERROR(MATCH(0,INDEX(COUNTIF($B$1:B2603,$A$2:$A$4629),0,0),0)),"",INDEX($A$2:$A$4629,MATCH(0,INDEX(COUNTIF($B$1:B2603,$A$2:$A$4629),0,0),0)))</f>
        <v/>
      </c>
      <c r="C2604" t="str">
        <f t="shared" si="40"/>
        <v/>
      </c>
    </row>
    <row r="2605" spans="1:3" x14ac:dyDescent="0.25">
      <c r="A2605" t="str">
        <f>IF(Scan2VK!S83&lt;&gt;"",Scan2VK!S83,"")</f>
        <v>RIGHT</v>
      </c>
      <c r="B2605" t="str">
        <f>IF(ISERROR(MATCH(0,INDEX(COUNTIF($B$1:B2604,$A$2:$A$4629),0,0),0)),"",INDEX($A$2:$A$4629,MATCH(0,INDEX(COUNTIF($B$1:B2604,$A$2:$A$4629),0,0),0)))</f>
        <v/>
      </c>
      <c r="C2605" t="str">
        <f t="shared" si="40"/>
        <v/>
      </c>
    </row>
    <row r="2606" spans="1:3" x14ac:dyDescent="0.25">
      <c r="A2606" t="str">
        <f>IF(Scan2VK!S84&lt;&gt;"",Scan2VK!S84,"")</f>
        <v>LCONTROL</v>
      </c>
      <c r="B2606" t="str">
        <f>IF(ISERROR(MATCH(0,INDEX(COUNTIF($B$1:B2605,$A$2:$A$4629),0,0),0)),"",INDEX($A$2:$A$4629,MATCH(0,INDEX(COUNTIF($B$1:B2605,$A$2:$A$4629),0,0),0)))</f>
        <v/>
      </c>
      <c r="C2606" t="str">
        <f t="shared" si="40"/>
        <v/>
      </c>
    </row>
    <row r="2607" spans="1:3" x14ac:dyDescent="0.25">
      <c r="A2607" t="str">
        <f>IF(Scan2VK!S85&lt;&gt;"",Scan2VK!S85,"")</f>
        <v>LSHIFT</v>
      </c>
      <c r="B2607" t="str">
        <f>IF(ISERROR(MATCH(0,INDEX(COUNTIF($B$1:B2606,$A$2:$A$4629),0,0),0)),"",INDEX($A$2:$A$4629,MATCH(0,INDEX(COUNTIF($B$1:B2606,$A$2:$A$4629),0,0),0)))</f>
        <v/>
      </c>
      <c r="C2607" t="str">
        <f t="shared" si="40"/>
        <v/>
      </c>
    </row>
    <row r="2608" spans="1:3" x14ac:dyDescent="0.25">
      <c r="A2608" t="str">
        <f>IF(Scan2VK!S86&lt;&gt;"",Scan2VK!S86,"")</f>
        <v>_none_</v>
      </c>
      <c r="B2608" t="str">
        <f>IF(ISERROR(MATCH(0,INDEX(COUNTIF($B$1:B2607,$A$2:$A$4629),0,0),0)),"",INDEX($A$2:$A$4629,MATCH(0,INDEX(COUNTIF($B$1:B2607,$A$2:$A$4629),0,0),0)))</f>
        <v/>
      </c>
      <c r="C2608" t="str">
        <f t="shared" si="40"/>
        <v/>
      </c>
    </row>
    <row r="2609" spans="1:3" x14ac:dyDescent="0.25">
      <c r="A2609" t="str">
        <f>IF(Scan2VK!S87&lt;&gt;"",Scan2VK!S87,"")</f>
        <v>CAPITAL</v>
      </c>
      <c r="B2609" t="str">
        <f>IF(ISERROR(MATCH(0,INDEX(COUNTIF($B$1:B2608,$A$2:$A$4629),0,0),0)),"",INDEX($A$2:$A$4629,MATCH(0,INDEX(COUNTIF($B$1:B2608,$A$2:$A$4629),0,0),0)))</f>
        <v/>
      </c>
      <c r="C2609" t="str">
        <f t="shared" si="40"/>
        <v/>
      </c>
    </row>
    <row r="2610" spans="1:3" x14ac:dyDescent="0.25">
      <c r="A2610" t="str">
        <f>IF(Scan2VK!S88&lt;&gt;"",Scan2VK!S88,"")</f>
        <v>DBE_HIRAGANA</v>
      </c>
      <c r="B2610" t="str">
        <f>IF(ISERROR(MATCH(0,INDEX(COUNTIF($B$1:B2609,$A$2:$A$4629),0,0),0)),"",INDEX($A$2:$A$4629,MATCH(0,INDEX(COUNTIF($B$1:B2609,$A$2:$A$4629),0,0),0)))</f>
        <v/>
      </c>
      <c r="C2610" t="str">
        <f t="shared" si="40"/>
        <v/>
      </c>
    </row>
    <row r="2611" spans="1:3" x14ac:dyDescent="0.25">
      <c r="A2611" t="str">
        <f>IF(Scan2VK!S89&lt;&gt;"",Scan2VK!S89,"")</f>
        <v>NONCONVERT</v>
      </c>
      <c r="B2611" t="str">
        <f>IF(ISERROR(MATCH(0,INDEX(COUNTIF($B$1:B2610,$A$2:$A$4629),0,0),0)),"",INDEX($A$2:$A$4629,MATCH(0,INDEX(COUNTIF($B$1:B2610,$A$2:$A$4629),0,0),0)))</f>
        <v/>
      </c>
      <c r="C2611" t="str">
        <f t="shared" si="40"/>
        <v/>
      </c>
    </row>
    <row r="2612" spans="1:3" x14ac:dyDescent="0.25">
      <c r="A2612" t="str">
        <f>IF(Scan2VK!S90&lt;&gt;"",Scan2VK!S90,"")</f>
        <v>CONVERT</v>
      </c>
      <c r="B2612" t="str">
        <f>IF(ISERROR(MATCH(0,INDEX(COUNTIF($B$1:B2611,$A$2:$A$4629),0,0),0)),"",INDEX($A$2:$A$4629,MATCH(0,INDEX(COUNTIF($B$1:B2611,$A$2:$A$4629),0,0),0)))</f>
        <v/>
      </c>
      <c r="C2612" t="str">
        <f t="shared" si="40"/>
        <v/>
      </c>
    </row>
    <row r="2613" spans="1:3" x14ac:dyDescent="0.25">
      <c r="A2613" t="str">
        <f>IF(Scan2VK!S91&lt;&gt;"",Scan2VK!S91,"")</f>
        <v>KANJI</v>
      </c>
      <c r="B2613" t="str">
        <f>IF(ISERROR(MATCH(0,INDEX(COUNTIF($B$1:B2612,$A$2:$A$4629),0,0),0)),"",INDEX($A$2:$A$4629,MATCH(0,INDEX(COUNTIF($B$1:B2612,$A$2:$A$4629),0,0),0)))</f>
        <v/>
      </c>
      <c r="C2613" t="str">
        <f t="shared" si="40"/>
        <v/>
      </c>
    </row>
    <row r="2614" spans="1:3" x14ac:dyDescent="0.25">
      <c r="A2614" t="str">
        <f>IF(Scan2VK!S92&lt;&gt;"",Scan2VK!S92,"")</f>
        <v>DBE_KATAKANA</v>
      </c>
      <c r="B2614" t="str">
        <f>IF(ISERROR(MATCH(0,INDEX(COUNTIF($B$1:B2613,$A$2:$A$4629),0,0),0)),"",INDEX($A$2:$A$4629,MATCH(0,INDEX(COUNTIF($B$1:B2613,$A$2:$A$4629),0,0),0)))</f>
        <v/>
      </c>
      <c r="C2614" t="str">
        <f t="shared" si="40"/>
        <v/>
      </c>
    </row>
    <row r="2615" spans="1:3" x14ac:dyDescent="0.25">
      <c r="A2615" t="str">
        <f>IF(Scan2VK!S93&lt;&gt;"",Scan2VK!S93,"")</f>
        <v>F12</v>
      </c>
      <c r="B2615" t="str">
        <f>IF(ISERROR(MATCH(0,INDEX(COUNTIF($B$1:B2614,$A$2:$A$4629),0,0),0)),"",INDEX($A$2:$A$4629,MATCH(0,INDEX(COUNTIF($B$1:B2614,$A$2:$A$4629),0,0),0)))</f>
        <v/>
      </c>
      <c r="C2615" t="str">
        <f t="shared" si="40"/>
        <v/>
      </c>
    </row>
    <row r="2616" spans="1:3" x14ac:dyDescent="0.25">
      <c r="A2616" t="str">
        <f>IF(Scan2VK!S94&lt;&gt;"",Scan2VK!S94,"")</f>
        <v>LMENU</v>
      </c>
      <c r="B2616" t="str">
        <f>IF(ISERROR(MATCH(0,INDEX(COUNTIF($B$1:B2615,$A$2:$A$4629),0,0),0)),"",INDEX($A$2:$A$4629,MATCH(0,INDEX(COUNTIF($B$1:B2615,$A$2:$A$4629),0,0),0)))</f>
        <v/>
      </c>
      <c r="C2616" t="str">
        <f t="shared" si="40"/>
        <v/>
      </c>
    </row>
    <row r="2617" spans="1:3" x14ac:dyDescent="0.25">
      <c r="A2617" t="str">
        <f>IF(Scan2VK!S95&lt;&gt;"",Scan2VK!S95,"")</f>
        <v>F1</v>
      </c>
      <c r="B2617" t="str">
        <f>IF(ISERROR(MATCH(0,INDEX(COUNTIF($B$1:B2616,$A$2:$A$4629),0,0),0)),"",INDEX($A$2:$A$4629,MATCH(0,INDEX(COUNTIF($B$1:B2616,$A$2:$A$4629),0,0),0)))</f>
        <v/>
      </c>
      <c r="C2617" t="str">
        <f t="shared" si="40"/>
        <v/>
      </c>
    </row>
    <row r="2618" spans="1:3" x14ac:dyDescent="0.25">
      <c r="A2618" t="str">
        <f>IF(Scan2VK!S96&lt;&gt;"",Scan2VK!S96,"")</f>
        <v>F2</v>
      </c>
      <c r="B2618" t="str">
        <f>IF(ISERROR(MATCH(0,INDEX(COUNTIF($B$1:B2617,$A$2:$A$4629),0,0),0)),"",INDEX($A$2:$A$4629,MATCH(0,INDEX(COUNTIF($B$1:B2617,$A$2:$A$4629),0,0),0)))</f>
        <v/>
      </c>
      <c r="C2618" t="str">
        <f t="shared" si="40"/>
        <v/>
      </c>
    </row>
    <row r="2619" spans="1:3" x14ac:dyDescent="0.25">
      <c r="A2619" t="str">
        <f>IF(Scan2VK!S97&lt;&gt;"",Scan2VK!S97,"")</f>
        <v>F3</v>
      </c>
      <c r="B2619" t="str">
        <f>IF(ISERROR(MATCH(0,INDEX(COUNTIF($B$1:B2618,$A$2:$A$4629),0,0),0)),"",INDEX($A$2:$A$4629,MATCH(0,INDEX(COUNTIF($B$1:B2618,$A$2:$A$4629),0,0),0)))</f>
        <v/>
      </c>
      <c r="C2619" t="str">
        <f t="shared" si="40"/>
        <v/>
      </c>
    </row>
    <row r="2620" spans="1:3" x14ac:dyDescent="0.25">
      <c r="A2620" t="str">
        <f>IF(Scan2VK!S98&lt;&gt;"",Scan2VK!S98,"")</f>
        <v>F4</v>
      </c>
      <c r="B2620" t="str">
        <f>IF(ISERROR(MATCH(0,INDEX(COUNTIF($B$1:B2619,$A$2:$A$4629),0,0),0)),"",INDEX($A$2:$A$4629,MATCH(0,INDEX(COUNTIF($B$1:B2619,$A$2:$A$4629),0,0),0)))</f>
        <v/>
      </c>
      <c r="C2620" t="str">
        <f t="shared" si="40"/>
        <v/>
      </c>
    </row>
    <row r="2621" spans="1:3" x14ac:dyDescent="0.25">
      <c r="A2621" t="str">
        <f>IF(Scan2VK!S99&lt;&gt;"",Scan2VK!S99,"")</f>
        <v>F5</v>
      </c>
      <c r="B2621" t="str">
        <f>IF(ISERROR(MATCH(0,INDEX(COUNTIF($B$1:B2620,$A$2:$A$4629),0,0),0)),"",INDEX($A$2:$A$4629,MATCH(0,INDEX(COUNTIF($B$1:B2620,$A$2:$A$4629),0,0),0)))</f>
        <v/>
      </c>
      <c r="C2621" t="str">
        <f t="shared" si="40"/>
        <v/>
      </c>
    </row>
    <row r="2622" spans="1:3" x14ac:dyDescent="0.25">
      <c r="A2622" t="str">
        <f>IF(Scan2VK!S100&lt;&gt;"",Scan2VK!S100,"")</f>
        <v>F6</v>
      </c>
      <c r="B2622" t="str">
        <f>IF(ISERROR(MATCH(0,INDEX(COUNTIF($B$1:B2621,$A$2:$A$4629),0,0),0)),"",INDEX($A$2:$A$4629,MATCH(0,INDEX(COUNTIF($B$1:B2621,$A$2:$A$4629),0,0),0)))</f>
        <v/>
      </c>
      <c r="C2622" t="str">
        <f t="shared" si="40"/>
        <v/>
      </c>
    </row>
    <row r="2623" spans="1:3" x14ac:dyDescent="0.25">
      <c r="A2623" t="str">
        <f>IF(Scan2VK!S101&lt;&gt;"",Scan2VK!S101,"")</f>
        <v>F7</v>
      </c>
      <c r="B2623" t="str">
        <f>IF(ISERROR(MATCH(0,INDEX(COUNTIF($B$1:B2622,$A$2:$A$4629),0,0),0)),"",INDEX($A$2:$A$4629,MATCH(0,INDEX(COUNTIF($B$1:B2622,$A$2:$A$4629),0,0),0)))</f>
        <v/>
      </c>
      <c r="C2623" t="str">
        <f t="shared" si="40"/>
        <v/>
      </c>
    </row>
    <row r="2624" spans="1:3" x14ac:dyDescent="0.25">
      <c r="A2624" t="str">
        <f>IF(Scan2VK!S102&lt;&gt;"",Scan2VK!S102,"")</f>
        <v>F8</v>
      </c>
      <c r="B2624" t="str">
        <f>IF(ISERROR(MATCH(0,INDEX(COUNTIF($B$1:B2623,$A$2:$A$4629),0,0),0)),"",INDEX($A$2:$A$4629,MATCH(0,INDEX(COUNTIF($B$1:B2623,$A$2:$A$4629),0,0),0)))</f>
        <v/>
      </c>
      <c r="C2624" t="str">
        <f t="shared" si="40"/>
        <v/>
      </c>
    </row>
    <row r="2625" spans="1:3" x14ac:dyDescent="0.25">
      <c r="A2625" t="str">
        <f>IF(Scan2VK!S103&lt;&gt;"",Scan2VK!S103,"")</f>
        <v>F9</v>
      </c>
      <c r="B2625" t="str">
        <f>IF(ISERROR(MATCH(0,INDEX(COUNTIF($B$1:B2624,$A$2:$A$4629),0,0),0)),"",INDEX($A$2:$A$4629,MATCH(0,INDEX(COUNTIF($B$1:B2624,$A$2:$A$4629),0,0),0)))</f>
        <v/>
      </c>
      <c r="C2625" t="str">
        <f t="shared" si="40"/>
        <v/>
      </c>
    </row>
    <row r="2626" spans="1:3" x14ac:dyDescent="0.25">
      <c r="A2626" t="str">
        <f>IF(Scan2VK!S104&lt;&gt;"",Scan2VK!S104,"")</f>
        <v>F10</v>
      </c>
      <c r="B2626" t="str">
        <f>IF(ISERROR(MATCH(0,INDEX(COUNTIF($B$1:B2625,$A$2:$A$4629),0,0),0)),"",INDEX($A$2:$A$4629,MATCH(0,INDEX(COUNTIF($B$1:B2625,$A$2:$A$4629),0,0),0)))</f>
        <v/>
      </c>
      <c r="C2626" t="str">
        <f t="shared" si="40"/>
        <v/>
      </c>
    </row>
    <row r="2627" spans="1:3" x14ac:dyDescent="0.25">
      <c r="A2627" t="str">
        <f>IF(Scan2VK!S105&lt;&gt;"",Scan2VK!S105,"")</f>
        <v>_none_</v>
      </c>
      <c r="B2627" t="str">
        <f>IF(ISERROR(MATCH(0,INDEX(COUNTIF($B$1:B2626,$A$2:$A$4629),0,0),0)),"",INDEX($A$2:$A$4629,MATCH(0,INDEX(COUNTIF($B$1:B2626,$A$2:$A$4629),0,0),0)))</f>
        <v/>
      </c>
      <c r="C2627" t="str">
        <f t="shared" ref="C2627:C2690" si="41">IF(B2627&lt;&gt;"","&lt;xs:enumeration value="""&amp;B2627&amp;"""/&gt;","")</f>
        <v/>
      </c>
    </row>
    <row r="2628" spans="1:3" x14ac:dyDescent="0.25">
      <c r="A2628" t="str">
        <f>IF(Scan2VK!S106&lt;&gt;"",Scan2VK!S106,"")</f>
        <v>_none_</v>
      </c>
      <c r="B2628" t="str">
        <f>IF(ISERROR(MATCH(0,INDEX(COUNTIF($B$1:B2627,$A$2:$A$4629),0,0),0)),"",INDEX($A$2:$A$4629,MATCH(0,INDEX(COUNTIF($B$1:B2627,$A$2:$A$4629),0,0),0)))</f>
        <v/>
      </c>
      <c r="C2628" t="str">
        <f t="shared" si="41"/>
        <v/>
      </c>
    </row>
    <row r="2629" spans="1:3" x14ac:dyDescent="0.25">
      <c r="A2629" t="str">
        <f>IF(Scan2VK!S107&lt;&gt;"",Scan2VK!S107,"")</f>
        <v>F11</v>
      </c>
      <c r="B2629" t="str">
        <f>IF(ISERROR(MATCH(0,INDEX(COUNTIF($B$1:B2628,$A$2:$A$4629),0,0),0)),"",INDEX($A$2:$A$4629,MATCH(0,INDEX(COUNTIF($B$1:B2628,$A$2:$A$4629),0,0),0)))</f>
        <v/>
      </c>
      <c r="C2629" t="str">
        <f t="shared" si="41"/>
        <v/>
      </c>
    </row>
    <row r="2630" spans="1:3" x14ac:dyDescent="0.25">
      <c r="A2630" t="str">
        <f>IF(Scan2VK!S108&lt;&gt;"",Scan2VK!S108,"")</f>
        <v>_none_</v>
      </c>
      <c r="B2630" t="str">
        <f>IF(ISERROR(MATCH(0,INDEX(COUNTIF($B$1:B2629,$A$2:$A$4629),0,0),0)),"",INDEX($A$2:$A$4629,MATCH(0,INDEX(COUNTIF($B$1:B2629,$A$2:$A$4629),0,0),0)))</f>
        <v/>
      </c>
      <c r="C2630" t="str">
        <f t="shared" si="41"/>
        <v/>
      </c>
    </row>
    <row r="2631" spans="1:3" x14ac:dyDescent="0.25">
      <c r="A2631" t="str">
        <f>IF(Scan2VK!S109&lt;&gt;"",Scan2VK!S109,"")</f>
        <v>OEM_JISHO</v>
      </c>
      <c r="B2631" t="str">
        <f>IF(ISERROR(MATCH(0,INDEX(COUNTIF($B$1:B2630,$A$2:$A$4629),0,0),0)),"",INDEX($A$2:$A$4629,MATCH(0,INDEX(COUNTIF($B$1:B2630,$A$2:$A$4629),0,0),0)))</f>
        <v/>
      </c>
      <c r="C2631" t="str">
        <f t="shared" si="41"/>
        <v/>
      </c>
    </row>
    <row r="2632" spans="1:3" x14ac:dyDescent="0.25">
      <c r="A2632" t="str">
        <f>IF(Scan2VK!S110&lt;&gt;"",Scan2VK!S110,"")</f>
        <v>OEM_MASSHOU</v>
      </c>
      <c r="B2632" t="str">
        <f>IF(ISERROR(MATCH(0,INDEX(COUNTIF($B$1:B2631,$A$2:$A$4629),0,0),0)),"",INDEX($A$2:$A$4629,MATCH(0,INDEX(COUNTIF($B$1:B2631,$A$2:$A$4629),0,0),0)))</f>
        <v/>
      </c>
      <c r="C2632" t="str">
        <f t="shared" si="41"/>
        <v/>
      </c>
    </row>
    <row r="2633" spans="1:3" x14ac:dyDescent="0.25">
      <c r="A2633" t="str">
        <f>IF(Scan2VK!S111&lt;&gt;"",Scan2VK!S111,"")</f>
        <v>_none_</v>
      </c>
      <c r="B2633" t="str">
        <f>IF(ISERROR(MATCH(0,INDEX(COUNTIF($B$1:B2632,$A$2:$A$4629),0,0),0)),"",INDEX($A$2:$A$4629,MATCH(0,INDEX(COUNTIF($B$1:B2632,$A$2:$A$4629),0,0),0)))</f>
        <v/>
      </c>
      <c r="C2633" t="str">
        <f t="shared" si="41"/>
        <v/>
      </c>
    </row>
    <row r="2634" spans="1:3" x14ac:dyDescent="0.25">
      <c r="A2634" t="str">
        <f>IF(Scan2VK!S112&lt;&gt;"",Scan2VK!S112,"")</f>
        <v>PRIOR</v>
      </c>
      <c r="B2634" t="str">
        <f>IF(ISERROR(MATCH(0,INDEX(COUNTIF($B$1:B2633,$A$2:$A$4629),0,0),0)),"",INDEX($A$2:$A$4629,MATCH(0,INDEX(COUNTIF($B$1:B2633,$A$2:$A$4629),0,0),0)))</f>
        <v/>
      </c>
      <c r="C2634" t="str">
        <f t="shared" si="41"/>
        <v/>
      </c>
    </row>
    <row r="2635" spans="1:3" x14ac:dyDescent="0.25">
      <c r="A2635" t="str">
        <f>IF(Scan2VK!S113&lt;&gt;"",Scan2VK!S113,"")</f>
        <v>_none_</v>
      </c>
      <c r="B2635" t="str">
        <f>IF(ISERROR(MATCH(0,INDEX(COUNTIF($B$1:B2634,$A$2:$A$4629),0,0),0)),"",INDEX($A$2:$A$4629,MATCH(0,INDEX(COUNTIF($B$1:B2634,$A$2:$A$4629),0,0),0)))</f>
        <v/>
      </c>
      <c r="C2635" t="str">
        <f t="shared" si="41"/>
        <v/>
      </c>
    </row>
    <row r="2636" spans="1:3" x14ac:dyDescent="0.25">
      <c r="A2636" t="str">
        <f>IF(Scan2VK!S114&lt;&gt;"",Scan2VK!S114,"")</f>
        <v>NEXT</v>
      </c>
      <c r="B2636" t="str">
        <f>IF(ISERROR(MATCH(0,INDEX(COUNTIF($B$1:B2635,$A$2:$A$4629),0,0),0)),"",INDEX($A$2:$A$4629,MATCH(0,INDEX(COUNTIF($B$1:B2635,$A$2:$A$4629),0,0),0)))</f>
        <v/>
      </c>
      <c r="C2636" t="str">
        <f t="shared" si="41"/>
        <v/>
      </c>
    </row>
    <row r="2637" spans="1:3" x14ac:dyDescent="0.25">
      <c r="A2637" t="str">
        <f>IF(Scan2VK!S115&lt;&gt;"",Scan2VK!S115,"")</f>
        <v>_none_</v>
      </c>
      <c r="B2637" t="str">
        <f>IF(ISERROR(MATCH(0,INDEX(COUNTIF($B$1:B2636,$A$2:$A$4629),0,0),0)),"",INDEX($A$2:$A$4629,MATCH(0,INDEX(COUNTIF($B$1:B2636,$A$2:$A$4629),0,0),0)))</f>
        <v/>
      </c>
      <c r="C2637" t="str">
        <f t="shared" si="41"/>
        <v/>
      </c>
    </row>
    <row r="2638" spans="1:3" x14ac:dyDescent="0.25">
      <c r="A2638" t="str">
        <f>IF(Scan2VK!S116&lt;&gt;"",Scan2VK!S116,"")</f>
        <v>CANCEL</v>
      </c>
      <c r="B2638" t="str">
        <f>IF(ISERROR(MATCH(0,INDEX(COUNTIF($B$1:B2637,$A$2:$A$4629),0,0),0)),"",INDEX($A$2:$A$4629,MATCH(0,INDEX(COUNTIF($B$1:B2637,$A$2:$A$4629),0,0),0)))</f>
        <v/>
      </c>
      <c r="C2638" t="str">
        <f t="shared" si="41"/>
        <v/>
      </c>
    </row>
    <row r="2639" spans="1:3" x14ac:dyDescent="0.25">
      <c r="A2639" t="str">
        <f>IF(Scan2VK!S117&lt;&gt;"",Scan2VK!S117,"")</f>
        <v>EXECUTE</v>
      </c>
      <c r="B2639" t="str">
        <f>IF(ISERROR(MATCH(0,INDEX(COUNTIF($B$1:B2638,$A$2:$A$4629),0,0),0)),"",INDEX($A$2:$A$4629,MATCH(0,INDEX(COUNTIF($B$1:B2638,$A$2:$A$4629),0,0),0)))</f>
        <v/>
      </c>
      <c r="C2639" t="str">
        <f t="shared" si="41"/>
        <v/>
      </c>
    </row>
    <row r="2640" spans="1:3" x14ac:dyDescent="0.25">
      <c r="A2640" t="str">
        <f>IF(Scan2VK!S118&lt;&gt;"",Scan2VK!S118,"")</f>
        <v>F13</v>
      </c>
      <c r="B2640" t="str">
        <f>IF(ISERROR(MATCH(0,INDEX(COUNTIF($B$1:B2639,$A$2:$A$4629),0,0),0)),"",INDEX($A$2:$A$4629,MATCH(0,INDEX(COUNTIF($B$1:B2639,$A$2:$A$4629),0,0),0)))</f>
        <v/>
      </c>
      <c r="C2640" t="str">
        <f t="shared" si="41"/>
        <v/>
      </c>
    </row>
    <row r="2641" spans="1:3" x14ac:dyDescent="0.25">
      <c r="A2641" t="str">
        <f>IF(Scan2VK!S119&lt;&gt;"",Scan2VK!S119,"")</f>
        <v>F14</v>
      </c>
      <c r="B2641" t="str">
        <f>IF(ISERROR(MATCH(0,INDEX(COUNTIF($B$1:B2640,$A$2:$A$4629),0,0),0)),"",INDEX($A$2:$A$4629,MATCH(0,INDEX(COUNTIF($B$1:B2640,$A$2:$A$4629),0,0),0)))</f>
        <v/>
      </c>
      <c r="C2641" t="str">
        <f t="shared" si="41"/>
        <v/>
      </c>
    </row>
    <row r="2642" spans="1:3" x14ac:dyDescent="0.25">
      <c r="A2642" t="str">
        <f>IF(Scan2VK!S120&lt;&gt;"",Scan2VK!S120,"")</f>
        <v>F15</v>
      </c>
      <c r="B2642" t="str">
        <f>IF(ISERROR(MATCH(0,INDEX(COUNTIF($B$1:B2641,$A$2:$A$4629),0,0),0)),"",INDEX($A$2:$A$4629,MATCH(0,INDEX(COUNTIF($B$1:B2641,$A$2:$A$4629),0,0),0)))</f>
        <v/>
      </c>
      <c r="C2642" t="str">
        <f t="shared" si="41"/>
        <v/>
      </c>
    </row>
    <row r="2643" spans="1:3" x14ac:dyDescent="0.25">
      <c r="A2643" t="str">
        <f>IF(Scan2VK!S121&lt;&gt;"",Scan2VK!S121,"")</f>
        <v>F16</v>
      </c>
      <c r="B2643" t="str">
        <f>IF(ISERROR(MATCH(0,INDEX(COUNTIF($B$1:B2642,$A$2:$A$4629),0,0),0)),"",INDEX($A$2:$A$4629,MATCH(0,INDEX(COUNTIF($B$1:B2642,$A$2:$A$4629),0,0),0)))</f>
        <v/>
      </c>
      <c r="C2643" t="str">
        <f t="shared" si="41"/>
        <v/>
      </c>
    </row>
    <row r="2644" spans="1:3" x14ac:dyDescent="0.25">
      <c r="A2644" t="str">
        <f>IF(Scan2VK!S122&lt;&gt;"",Scan2VK!S122,"")</f>
        <v>CLEAR</v>
      </c>
      <c r="B2644" t="str">
        <f>IF(ISERROR(MATCH(0,INDEX(COUNTIF($B$1:B2643,$A$2:$A$4629),0,0),0)),"",INDEX($A$2:$A$4629,MATCH(0,INDEX(COUNTIF($B$1:B2643,$A$2:$A$4629),0,0),0)))</f>
        <v/>
      </c>
      <c r="C2644" t="str">
        <f t="shared" si="41"/>
        <v/>
      </c>
    </row>
    <row r="2645" spans="1:3" x14ac:dyDescent="0.25">
      <c r="A2645" t="str">
        <f>IF(Scan2VK!S123&lt;&gt;"",Scan2VK!S123,"")</f>
        <v>HELP</v>
      </c>
      <c r="B2645" t="str">
        <f>IF(ISERROR(MATCH(0,INDEX(COUNTIF($B$1:B2644,$A$2:$A$4629),0,0),0)),"",INDEX($A$2:$A$4629,MATCH(0,INDEX(COUNTIF($B$1:B2644,$A$2:$A$4629),0,0),0)))</f>
        <v/>
      </c>
      <c r="C2645" t="str">
        <f t="shared" si="41"/>
        <v/>
      </c>
    </row>
    <row r="2646" spans="1:3" x14ac:dyDescent="0.25">
      <c r="A2646" t="str">
        <f>IF(Scan2VK!S124&lt;&gt;"",Scan2VK!S124,"")</f>
        <v>END</v>
      </c>
      <c r="B2646" t="str">
        <f>IF(ISERROR(MATCH(0,INDEX(COUNTIF($B$1:B2645,$A$2:$A$4629),0,0),0)),"",INDEX($A$2:$A$4629,MATCH(0,INDEX(COUNTIF($B$1:B2645,$A$2:$A$4629),0,0),0)))</f>
        <v/>
      </c>
      <c r="C2646" t="str">
        <f t="shared" si="41"/>
        <v/>
      </c>
    </row>
    <row r="2647" spans="1:3" x14ac:dyDescent="0.25">
      <c r="A2647" t="str">
        <f>IF(Scan2VK!S125&lt;&gt;"",Scan2VK!S125,"")</f>
        <v>SCROLL</v>
      </c>
      <c r="B2647" t="str">
        <f>IF(ISERROR(MATCH(0,INDEX(COUNTIF($B$1:B2646,$A$2:$A$4629),0,0),0)),"",INDEX($A$2:$A$4629,MATCH(0,INDEX(COUNTIF($B$1:B2646,$A$2:$A$4629),0,0),0)))</f>
        <v/>
      </c>
      <c r="C2647" t="str">
        <f t="shared" si="41"/>
        <v/>
      </c>
    </row>
    <row r="2648" spans="1:3" x14ac:dyDescent="0.25">
      <c r="A2648" t="str">
        <f>IF(Scan2VK!S126&lt;&gt;"",Scan2VK!S126,"")</f>
        <v>PAUSE</v>
      </c>
      <c r="B2648" t="str">
        <f>IF(ISERROR(MATCH(0,INDEX(COUNTIF($B$1:B2647,$A$2:$A$4629),0,0),0)),"",INDEX($A$2:$A$4629,MATCH(0,INDEX(COUNTIF($B$1:B2647,$A$2:$A$4629),0,0),0)))</f>
        <v/>
      </c>
      <c r="C2648" t="str">
        <f t="shared" si="41"/>
        <v/>
      </c>
    </row>
    <row r="2649" spans="1:3" x14ac:dyDescent="0.25">
      <c r="A2649" t="str">
        <f>IF(Scan2VK!S127&lt;&gt;"",Scan2VK!S127,"")</f>
        <v>SNAPSHOT</v>
      </c>
      <c r="B2649" t="str">
        <f>IF(ISERROR(MATCH(0,INDEX(COUNTIF($B$1:B2648,$A$2:$A$4629),0,0),0)),"",INDEX($A$2:$A$4629,MATCH(0,INDEX(COUNTIF($B$1:B2648,$A$2:$A$4629),0,0),0)))</f>
        <v/>
      </c>
      <c r="C2649" t="str">
        <f t="shared" si="41"/>
        <v/>
      </c>
    </row>
    <row r="2650" spans="1:3" x14ac:dyDescent="0.25">
      <c r="A2650" t="str">
        <f>IF(Scan2VK!S128&lt;&gt;"",Scan2VK!S128,"")</f>
        <v>_none_</v>
      </c>
      <c r="B2650" t="str">
        <f>IF(ISERROR(MATCH(0,INDEX(COUNTIF($B$1:B2649,$A$2:$A$4629),0,0),0)),"",INDEX($A$2:$A$4629,MATCH(0,INDEX(COUNTIF($B$1:B2649,$A$2:$A$4629),0,0),0)))</f>
        <v/>
      </c>
      <c r="C2650" t="str">
        <f t="shared" si="41"/>
        <v/>
      </c>
    </row>
    <row r="2651" spans="1:3" x14ac:dyDescent="0.25">
      <c r="A2651" t="str">
        <f>IF(Scan2VK!S129&lt;&gt;"",Scan2VK!S129,"")</f>
        <v>_none_</v>
      </c>
      <c r="B2651" t="str">
        <f>IF(ISERROR(MATCH(0,INDEX(COUNTIF($B$1:B2650,$A$2:$A$4629),0,0),0)),"",INDEX($A$2:$A$4629,MATCH(0,INDEX(COUNTIF($B$1:B2650,$A$2:$A$4629),0,0),0)))</f>
        <v/>
      </c>
      <c r="C2651" t="str">
        <f t="shared" si="41"/>
        <v/>
      </c>
    </row>
    <row r="2652" spans="1:3" x14ac:dyDescent="0.25">
      <c r="A2652" t="str">
        <f>IF(Scan2VK!S130&lt;&gt;"",Scan2VK!S130,"")</f>
        <v/>
      </c>
      <c r="B2652" t="str">
        <f>IF(ISERROR(MATCH(0,INDEX(COUNTIF($B$1:B2651,$A$2:$A$4629),0,0),0)),"",INDEX($A$2:$A$4629,MATCH(0,INDEX(COUNTIF($B$1:B2651,$A$2:$A$4629),0,0),0)))</f>
        <v/>
      </c>
      <c r="C2652" t="str">
        <f t="shared" si="41"/>
        <v/>
      </c>
    </row>
    <row r="2653" spans="1:3" x14ac:dyDescent="0.25">
      <c r="A2653" t="str">
        <f>IF(Scan2VK!S131&lt;&gt;"",Scan2VK!S131,"")</f>
        <v/>
      </c>
      <c r="B2653" t="str">
        <f>IF(ISERROR(MATCH(0,INDEX(COUNTIF($B$1:B2652,$A$2:$A$4629),0,0),0)),"",INDEX($A$2:$A$4629,MATCH(0,INDEX(COUNTIF($B$1:B2652,$A$2:$A$4629),0,0),0)))</f>
        <v/>
      </c>
      <c r="C2653" t="str">
        <f t="shared" si="41"/>
        <v/>
      </c>
    </row>
    <row r="2654" spans="1:3" x14ac:dyDescent="0.25">
      <c r="A2654" t="str">
        <f>IF(Scan2VK!S132&lt;&gt;"",Scan2VK!S132,"")</f>
        <v/>
      </c>
      <c r="B2654" t="str">
        <f>IF(ISERROR(MATCH(0,INDEX(COUNTIF($B$1:B2653,$A$2:$A$4629),0,0),0)),"",INDEX($A$2:$A$4629,MATCH(0,INDEX(COUNTIF($B$1:B2653,$A$2:$A$4629),0,0),0)))</f>
        <v/>
      </c>
      <c r="C2654" t="str">
        <f t="shared" si="41"/>
        <v/>
      </c>
    </row>
    <row r="2655" spans="1:3" x14ac:dyDescent="0.25">
      <c r="A2655" t="str">
        <f>IF(Scan2VK!S133&lt;&gt;"",Scan2VK!S133,"")</f>
        <v>_none_</v>
      </c>
      <c r="B2655" t="str">
        <f>IF(ISERROR(MATCH(0,INDEX(COUNTIF($B$1:B2654,$A$2:$A$4629),0,0),0)),"",INDEX($A$2:$A$4629,MATCH(0,INDEX(COUNTIF($B$1:B2654,$A$2:$A$4629),0,0),0)))</f>
        <v/>
      </c>
      <c r="C2655" t="str">
        <f t="shared" si="41"/>
        <v/>
      </c>
    </row>
    <row r="2656" spans="1:3" x14ac:dyDescent="0.25">
      <c r="A2656" t="str">
        <f>IF(Scan2VK!S134&lt;&gt;"",Scan2VK!S134,"")</f>
        <v>_none_</v>
      </c>
      <c r="B2656" t="str">
        <f>IF(ISERROR(MATCH(0,INDEX(COUNTIF($B$1:B2655,$A$2:$A$4629),0,0),0)),"",INDEX($A$2:$A$4629,MATCH(0,INDEX(COUNTIF($B$1:B2655,$A$2:$A$4629),0,0),0)))</f>
        <v/>
      </c>
      <c r="C2656" t="str">
        <f t="shared" si="41"/>
        <v/>
      </c>
    </row>
    <row r="2657" spans="1:3" x14ac:dyDescent="0.25">
      <c r="A2657" t="str">
        <f>IF(Scan2VK!S135&lt;&gt;"",Scan2VK!S135,"")</f>
        <v/>
      </c>
      <c r="B2657" t="str">
        <f>IF(ISERROR(MATCH(0,INDEX(COUNTIF($B$1:B2656,$A$2:$A$4629),0,0),0)),"",INDEX($A$2:$A$4629,MATCH(0,INDEX(COUNTIF($B$1:B2656,$A$2:$A$4629),0,0),0)))</f>
        <v/>
      </c>
      <c r="C2657" t="str">
        <f t="shared" si="41"/>
        <v/>
      </c>
    </row>
    <row r="2658" spans="1:3" x14ac:dyDescent="0.25">
      <c r="A2658" t="str">
        <f>IF(Scan2VK!S136&lt;&gt;"",Scan2VK!S136,"")</f>
        <v/>
      </c>
      <c r="B2658" t="str">
        <f>IF(ISERROR(MATCH(0,INDEX(COUNTIF($B$1:B2657,$A$2:$A$4629),0,0),0)),"",INDEX($A$2:$A$4629,MATCH(0,INDEX(COUNTIF($B$1:B2657,$A$2:$A$4629),0,0),0)))</f>
        <v/>
      </c>
      <c r="C2658" t="str">
        <f t="shared" si="41"/>
        <v/>
      </c>
    </row>
    <row r="2659" spans="1:3" x14ac:dyDescent="0.25">
      <c r="A2659" t="str">
        <f>IF(Scan2VK!S137&lt;&gt;"",Scan2VK!S137,"")</f>
        <v/>
      </c>
      <c r="B2659" t="str">
        <f>IF(ISERROR(MATCH(0,INDEX(COUNTIF($B$1:B2658,$A$2:$A$4629),0,0),0)),"",INDEX($A$2:$A$4629,MATCH(0,INDEX(COUNTIF($B$1:B2658,$A$2:$A$4629),0,0),0)))</f>
        <v/>
      </c>
      <c r="C2659" t="str">
        <f t="shared" si="41"/>
        <v/>
      </c>
    </row>
    <row r="2660" spans="1:3" x14ac:dyDescent="0.25">
      <c r="A2660" t="str">
        <f>IF(Scan2VK!S138&lt;&gt;"",Scan2VK!S138,"")</f>
        <v/>
      </c>
      <c r="B2660" t="str">
        <f>IF(ISERROR(MATCH(0,INDEX(COUNTIF($B$1:B2659,$A$2:$A$4629),0,0),0)),"",INDEX($A$2:$A$4629,MATCH(0,INDEX(COUNTIF($B$1:B2659,$A$2:$A$4629),0,0),0)))</f>
        <v/>
      </c>
      <c r="C2660" t="str">
        <f t="shared" si="41"/>
        <v/>
      </c>
    </row>
    <row r="2661" spans="1:3" x14ac:dyDescent="0.25">
      <c r="A2661" t="str">
        <f>IF(Scan2VK!S139&lt;&gt;"",Scan2VK!S139,"")</f>
        <v/>
      </c>
      <c r="B2661" t="str">
        <f>IF(ISERROR(MATCH(0,INDEX(COUNTIF($B$1:B2660,$A$2:$A$4629),0,0),0)),"",INDEX($A$2:$A$4629,MATCH(0,INDEX(COUNTIF($B$1:B2660,$A$2:$A$4629),0,0),0)))</f>
        <v/>
      </c>
      <c r="C2661" t="str">
        <f t="shared" si="41"/>
        <v/>
      </c>
    </row>
    <row r="2662" spans="1:3" x14ac:dyDescent="0.25">
      <c r="A2662" t="str">
        <f>IF(Scan2VK!S140&lt;&gt;"",Scan2VK!S140,"")</f>
        <v/>
      </c>
      <c r="B2662" t="str">
        <f>IF(ISERROR(MATCH(0,INDEX(COUNTIF($B$1:B2661,$A$2:$A$4629),0,0),0)),"",INDEX($A$2:$A$4629,MATCH(0,INDEX(COUNTIF($B$1:B2661,$A$2:$A$4629),0,0),0)))</f>
        <v/>
      </c>
      <c r="C2662" t="str">
        <f t="shared" si="41"/>
        <v/>
      </c>
    </row>
    <row r="2663" spans="1:3" x14ac:dyDescent="0.25">
      <c r="A2663" t="str">
        <f>IF(Scan2VK!S141&lt;&gt;"",Scan2VK!S141,"")</f>
        <v/>
      </c>
      <c r="B2663" t="str">
        <f>IF(ISERROR(MATCH(0,INDEX(COUNTIF($B$1:B2662,$A$2:$A$4629),0,0),0)),"",INDEX($A$2:$A$4629,MATCH(0,INDEX(COUNTIF($B$1:B2662,$A$2:$A$4629),0,0),0)))</f>
        <v/>
      </c>
      <c r="C2663" t="str">
        <f t="shared" si="41"/>
        <v/>
      </c>
    </row>
    <row r="2664" spans="1:3" x14ac:dyDescent="0.25">
      <c r="A2664" t="str">
        <f>IF(Scan2VK!S142&lt;&gt;"",Scan2VK!S142,"")</f>
        <v>_none_</v>
      </c>
      <c r="B2664" t="str">
        <f>IF(ISERROR(MATCH(0,INDEX(COUNTIF($B$1:B2663,$A$2:$A$4629),0,0),0)),"",INDEX($A$2:$A$4629,MATCH(0,INDEX(COUNTIF($B$1:B2663,$A$2:$A$4629),0,0),0)))</f>
        <v/>
      </c>
      <c r="C2664" t="str">
        <f t="shared" si="41"/>
        <v/>
      </c>
    </row>
    <row r="2665" spans="1:3" x14ac:dyDescent="0.25">
      <c r="A2665" t="str">
        <f>IF(Scan2VK!S143&lt;&gt;"",Scan2VK!S143,"")</f>
        <v>_none_</v>
      </c>
      <c r="B2665" t="str">
        <f>IF(ISERROR(MATCH(0,INDEX(COUNTIF($B$1:B2664,$A$2:$A$4629),0,0),0)),"",INDEX($A$2:$A$4629,MATCH(0,INDEX(COUNTIF($B$1:B2664,$A$2:$A$4629),0,0),0)))</f>
        <v/>
      </c>
      <c r="C2665" t="str">
        <f t="shared" si="41"/>
        <v/>
      </c>
    </row>
    <row r="2666" spans="1:3" x14ac:dyDescent="0.25">
      <c r="A2666" t="str">
        <f>IF(Scan2VK!S144&lt;&gt;"",Scan2VK!S144,"")</f>
        <v>_none_</v>
      </c>
      <c r="B2666" t="str">
        <f>IF(ISERROR(MATCH(0,INDEX(COUNTIF($B$1:B2665,$A$2:$A$4629),0,0),0)),"",INDEX($A$2:$A$4629,MATCH(0,INDEX(COUNTIF($B$1:B2665,$A$2:$A$4629),0,0),0)))</f>
        <v/>
      </c>
      <c r="C2666" t="str">
        <f t="shared" si="41"/>
        <v/>
      </c>
    </row>
    <row r="2667" spans="1:3" x14ac:dyDescent="0.25">
      <c r="A2667" t="str">
        <f>IF(Scan2VK!S145&lt;&gt;"",Scan2VK!S145,"")</f>
        <v>_none_</v>
      </c>
      <c r="B2667" t="str">
        <f>IF(ISERROR(MATCH(0,INDEX(COUNTIF($B$1:B2666,$A$2:$A$4629),0,0),0)),"",INDEX($A$2:$A$4629,MATCH(0,INDEX(COUNTIF($B$1:B2666,$A$2:$A$4629),0,0),0)))</f>
        <v/>
      </c>
      <c r="C2667" t="str">
        <f t="shared" si="41"/>
        <v/>
      </c>
    </row>
    <row r="2668" spans="1:3" x14ac:dyDescent="0.25">
      <c r="A2668" t="str">
        <f>IF(Scan2VK!S146&lt;&gt;"",Scan2VK!S146,"")</f>
        <v/>
      </c>
      <c r="B2668" t="str">
        <f>IF(ISERROR(MATCH(0,INDEX(COUNTIF($B$1:B2667,$A$2:$A$4629),0,0),0)),"",INDEX($A$2:$A$4629,MATCH(0,INDEX(COUNTIF($B$1:B2667,$A$2:$A$4629),0,0),0)))</f>
        <v/>
      </c>
      <c r="C2668" t="str">
        <f t="shared" si="41"/>
        <v/>
      </c>
    </row>
    <row r="2669" spans="1:3" x14ac:dyDescent="0.25">
      <c r="A2669" t="str">
        <f>IF(Scan2VK!S147&lt;&gt;"",Scan2VK!S147,"")</f>
        <v/>
      </c>
      <c r="B2669" t="str">
        <f>IF(ISERROR(MATCH(0,INDEX(COUNTIF($B$1:B2668,$A$2:$A$4629),0,0),0)),"",INDEX($A$2:$A$4629,MATCH(0,INDEX(COUNTIF($B$1:B2668,$A$2:$A$4629),0,0),0)))</f>
        <v/>
      </c>
      <c r="C2669" t="str">
        <f t="shared" si="41"/>
        <v/>
      </c>
    </row>
    <row r="2670" spans="1:3" x14ac:dyDescent="0.25">
      <c r="A2670" t="str">
        <f>IF(Scan2VK!S148&lt;&gt;"",Scan2VK!S148,"")</f>
        <v/>
      </c>
      <c r="B2670" t="str">
        <f>IF(ISERROR(MATCH(0,INDEX(COUNTIF($B$1:B2669,$A$2:$A$4629),0,0),0)),"",INDEX($A$2:$A$4629,MATCH(0,INDEX(COUNTIF($B$1:B2669,$A$2:$A$4629),0,0),0)))</f>
        <v/>
      </c>
      <c r="C2670" t="str">
        <f t="shared" si="41"/>
        <v/>
      </c>
    </row>
    <row r="2671" spans="1:3" x14ac:dyDescent="0.25">
      <c r="A2671" t="str">
        <f>IF(Scan2VK!S149&lt;&gt;"",Scan2VK!S149,"")</f>
        <v/>
      </c>
      <c r="B2671" t="str">
        <f>IF(ISERROR(MATCH(0,INDEX(COUNTIF($B$1:B2670,$A$2:$A$4629),0,0),0)),"",INDEX($A$2:$A$4629,MATCH(0,INDEX(COUNTIF($B$1:B2670,$A$2:$A$4629),0,0),0)))</f>
        <v/>
      </c>
      <c r="C2671" t="str">
        <f t="shared" si="41"/>
        <v/>
      </c>
    </row>
    <row r="2672" spans="1:3" x14ac:dyDescent="0.25">
      <c r="A2672" t="str">
        <f>IF(Scan2VK!S150&lt;&gt;"",Scan2VK!S150,"")</f>
        <v/>
      </c>
      <c r="B2672" t="str">
        <f>IF(ISERROR(MATCH(0,INDEX(COUNTIF($B$1:B2671,$A$2:$A$4629),0,0),0)),"",INDEX($A$2:$A$4629,MATCH(0,INDEX(COUNTIF($B$1:B2671,$A$2:$A$4629),0,0),0)))</f>
        <v/>
      </c>
      <c r="C2672" t="str">
        <f t="shared" si="41"/>
        <v/>
      </c>
    </row>
    <row r="2673" spans="1:3" x14ac:dyDescent="0.25">
      <c r="A2673" t="str">
        <f>IF(Scan2VK!S151&lt;&gt;"",Scan2VK!S151,"")</f>
        <v>_none_</v>
      </c>
      <c r="B2673" t="str">
        <f>IF(ISERROR(MATCH(0,INDEX(COUNTIF($B$1:B2672,$A$2:$A$4629),0,0),0)),"",INDEX($A$2:$A$4629,MATCH(0,INDEX(COUNTIF($B$1:B2672,$A$2:$A$4629),0,0),0)))</f>
        <v/>
      </c>
      <c r="C2673" t="str">
        <f t="shared" si="41"/>
        <v/>
      </c>
    </row>
    <row r="2674" spans="1:3" x14ac:dyDescent="0.25">
      <c r="A2674" t="str">
        <f>IF(Scan2VK!S152&lt;&gt;"",Scan2VK!S152,"")</f>
        <v>_none_</v>
      </c>
      <c r="B2674" t="str">
        <f>IF(ISERROR(MATCH(0,INDEX(COUNTIF($B$1:B2673,$A$2:$A$4629),0,0),0)),"",INDEX($A$2:$A$4629,MATCH(0,INDEX(COUNTIF($B$1:B2673,$A$2:$A$4629),0,0),0)))</f>
        <v/>
      </c>
      <c r="C2674" t="str">
        <f t="shared" si="41"/>
        <v/>
      </c>
    </row>
    <row r="2675" spans="1:3" x14ac:dyDescent="0.25">
      <c r="A2675" t="str">
        <f>IF(Scan2VK!S153&lt;&gt;"",Scan2VK!S153,"")</f>
        <v>_none_</v>
      </c>
      <c r="B2675" t="str">
        <f>IF(ISERROR(MATCH(0,INDEX(COUNTIF($B$1:B2674,$A$2:$A$4629),0,0),0)),"",INDEX($A$2:$A$4629,MATCH(0,INDEX(COUNTIF($B$1:B2674,$A$2:$A$4629),0,0),0)))</f>
        <v/>
      </c>
      <c r="C2675" t="str">
        <f t="shared" si="41"/>
        <v/>
      </c>
    </row>
    <row r="2676" spans="1:3" x14ac:dyDescent="0.25">
      <c r="A2676" t="str">
        <f>IF(Scan2VK!S154&lt;&gt;"",Scan2VK!S154,"")</f>
        <v>_none_</v>
      </c>
      <c r="B2676" t="str">
        <f>IF(ISERROR(MATCH(0,INDEX(COUNTIF($B$1:B2675,$A$2:$A$4629),0,0),0)),"",INDEX($A$2:$A$4629,MATCH(0,INDEX(COUNTIF($B$1:B2675,$A$2:$A$4629),0,0),0)))</f>
        <v/>
      </c>
      <c r="C2676" t="str">
        <f t="shared" si="41"/>
        <v/>
      </c>
    </row>
    <row r="2677" spans="1:3" x14ac:dyDescent="0.25">
      <c r="A2677" t="str">
        <f>IF(Scan2VK!S155&lt;&gt;"",Scan2VK!S155,"")</f>
        <v>_none_</v>
      </c>
      <c r="B2677" t="str">
        <f>IF(ISERROR(MATCH(0,INDEX(COUNTIF($B$1:B2676,$A$2:$A$4629),0,0),0)),"",INDEX($A$2:$A$4629,MATCH(0,INDEX(COUNTIF($B$1:B2676,$A$2:$A$4629),0,0),0)))</f>
        <v/>
      </c>
      <c r="C2677" t="str">
        <f t="shared" si="41"/>
        <v/>
      </c>
    </row>
    <row r="2678" spans="1:3" x14ac:dyDescent="0.25">
      <c r="A2678" t="str">
        <f>IF(Scan2VK!S156&lt;&gt;"",Scan2VK!S156,"")</f>
        <v>_none_</v>
      </c>
      <c r="B2678" t="str">
        <f>IF(ISERROR(MATCH(0,INDEX(COUNTIF($B$1:B2677,$A$2:$A$4629),0,0),0)),"",INDEX($A$2:$A$4629,MATCH(0,INDEX(COUNTIF($B$1:B2677,$A$2:$A$4629),0,0),0)))</f>
        <v/>
      </c>
      <c r="C2678" t="str">
        <f t="shared" si="41"/>
        <v/>
      </c>
    </row>
    <row r="2679" spans="1:3" x14ac:dyDescent="0.25">
      <c r="A2679" t="str">
        <f>IF(Scan2VK!S157&lt;&gt;"",Scan2VK!S157,"")</f>
        <v>_none_</v>
      </c>
      <c r="B2679" t="str">
        <f>IF(ISERROR(MATCH(0,INDEX(COUNTIF($B$1:B2678,$A$2:$A$4629),0,0),0)),"",INDEX($A$2:$A$4629,MATCH(0,INDEX(COUNTIF($B$1:B2678,$A$2:$A$4629),0,0),0)))</f>
        <v/>
      </c>
      <c r="C2679" t="str">
        <f t="shared" si="41"/>
        <v/>
      </c>
    </row>
    <row r="2680" spans="1:3" x14ac:dyDescent="0.25">
      <c r="A2680" t="str">
        <f>IF(Scan2VK!S158&lt;&gt;"",Scan2VK!S158,"")</f>
        <v>_none_</v>
      </c>
      <c r="B2680" t="str">
        <f>IF(ISERROR(MATCH(0,INDEX(COUNTIF($B$1:B2679,$A$2:$A$4629),0,0),0)),"",INDEX($A$2:$A$4629,MATCH(0,INDEX(COUNTIF($B$1:B2679,$A$2:$A$4629),0,0),0)))</f>
        <v/>
      </c>
      <c r="C2680" t="str">
        <f t="shared" si="41"/>
        <v/>
      </c>
    </row>
    <row r="2681" spans="1:3" x14ac:dyDescent="0.25">
      <c r="A2681" t="str">
        <f>IF(Scan2VK!S159&lt;&gt;"",Scan2VK!S159,"")</f>
        <v>_none_</v>
      </c>
      <c r="B2681" t="str">
        <f>IF(ISERROR(MATCH(0,INDEX(COUNTIF($B$1:B2680,$A$2:$A$4629),0,0),0)),"",INDEX($A$2:$A$4629,MATCH(0,INDEX(COUNTIF($B$1:B2680,$A$2:$A$4629),0,0),0)))</f>
        <v/>
      </c>
      <c r="C2681" t="str">
        <f t="shared" si="41"/>
        <v/>
      </c>
    </row>
    <row r="2682" spans="1:3" x14ac:dyDescent="0.25">
      <c r="A2682" t="str">
        <f>IF(Scan2VK!S160&lt;&gt;"",Scan2VK!S160,"")</f>
        <v>_none_</v>
      </c>
      <c r="B2682" t="str">
        <f>IF(ISERROR(MATCH(0,INDEX(COUNTIF($B$1:B2681,$A$2:$A$4629),0,0),0)),"",INDEX($A$2:$A$4629,MATCH(0,INDEX(COUNTIF($B$1:B2681,$A$2:$A$4629),0,0),0)))</f>
        <v/>
      </c>
      <c r="C2682" t="str">
        <f t="shared" si="41"/>
        <v/>
      </c>
    </row>
    <row r="2683" spans="1:3" x14ac:dyDescent="0.25">
      <c r="A2683" t="str">
        <f>IF(Scan2VK!S161&lt;&gt;"",Scan2VK!S161,"")</f>
        <v>_none_</v>
      </c>
      <c r="B2683" t="str">
        <f>IF(ISERROR(MATCH(0,INDEX(COUNTIF($B$1:B2682,$A$2:$A$4629),0,0),0)),"",INDEX($A$2:$A$4629,MATCH(0,INDEX(COUNTIF($B$1:B2682,$A$2:$A$4629),0,0),0)))</f>
        <v/>
      </c>
      <c r="C2683" t="str">
        <f t="shared" si="41"/>
        <v/>
      </c>
    </row>
    <row r="2684" spans="1:3" x14ac:dyDescent="0.25">
      <c r="A2684" t="str">
        <f>IF(Scan2VK!S162&lt;&gt;"",Scan2VK!S162,"")</f>
        <v>_none_</v>
      </c>
      <c r="B2684" t="str">
        <f>IF(ISERROR(MATCH(0,INDEX(COUNTIF($B$1:B2683,$A$2:$A$4629),0,0),0)),"",INDEX($A$2:$A$4629,MATCH(0,INDEX(COUNTIF($B$1:B2683,$A$2:$A$4629),0,0),0)))</f>
        <v/>
      </c>
      <c r="C2684" t="str">
        <f t="shared" si="41"/>
        <v/>
      </c>
    </row>
    <row r="2685" spans="1:3" x14ac:dyDescent="0.25">
      <c r="A2685" t="str">
        <f>IF(Scan2VK!S163&lt;&gt;"",Scan2VK!S163,"")</f>
        <v>_none_</v>
      </c>
      <c r="B2685" t="str">
        <f>IF(ISERROR(MATCH(0,INDEX(COUNTIF($B$1:B2684,$A$2:$A$4629),0,0),0)),"",INDEX($A$2:$A$4629,MATCH(0,INDEX(COUNTIF($B$1:B2684,$A$2:$A$4629),0,0),0)))</f>
        <v/>
      </c>
      <c r="C2685" t="str">
        <f t="shared" si="41"/>
        <v/>
      </c>
    </row>
    <row r="2686" spans="1:3" x14ac:dyDescent="0.25">
      <c r="A2686" t="str">
        <f>IF(Scan2VK!S164&lt;&gt;"",Scan2VK!S164,"")</f>
        <v>_none_</v>
      </c>
      <c r="B2686" t="str">
        <f>IF(ISERROR(MATCH(0,INDEX(COUNTIF($B$1:B2685,$A$2:$A$4629),0,0),0)),"",INDEX($A$2:$A$4629,MATCH(0,INDEX(COUNTIF($B$1:B2685,$A$2:$A$4629),0,0),0)))</f>
        <v/>
      </c>
      <c r="C2686" t="str">
        <f t="shared" si="41"/>
        <v/>
      </c>
    </row>
    <row r="2687" spans="1:3" x14ac:dyDescent="0.25">
      <c r="A2687" t="str">
        <f>IF(Scan2VK!S165&lt;&gt;"",Scan2VK!S165,"")</f>
        <v>_none_</v>
      </c>
      <c r="B2687" t="str">
        <f>IF(ISERROR(MATCH(0,INDEX(COUNTIF($B$1:B2686,$A$2:$A$4629),0,0),0)),"",INDEX($A$2:$A$4629,MATCH(0,INDEX(COUNTIF($B$1:B2686,$A$2:$A$4629),0,0),0)))</f>
        <v/>
      </c>
      <c r="C2687" t="str">
        <f t="shared" si="41"/>
        <v/>
      </c>
    </row>
    <row r="2688" spans="1:3" x14ac:dyDescent="0.25">
      <c r="A2688" t="str">
        <f>IF(Scan2VK!S166&lt;&gt;"",Scan2VK!S166,"")</f>
        <v>_none_</v>
      </c>
      <c r="B2688" t="str">
        <f>IF(ISERROR(MATCH(0,INDEX(COUNTIF($B$1:B2687,$A$2:$A$4629),0,0),0)),"",INDEX($A$2:$A$4629,MATCH(0,INDEX(COUNTIF($B$1:B2687,$A$2:$A$4629),0,0),0)))</f>
        <v/>
      </c>
      <c r="C2688" t="str">
        <f t="shared" si="41"/>
        <v/>
      </c>
    </row>
    <row r="2689" spans="1:3" x14ac:dyDescent="0.25">
      <c r="A2689" t="str">
        <f>IF(Scan2VK!S167&lt;&gt;"",Scan2VK!S167,"")</f>
        <v>_none_</v>
      </c>
      <c r="B2689" t="str">
        <f>IF(ISERROR(MATCH(0,INDEX(COUNTIF($B$1:B2688,$A$2:$A$4629),0,0),0)),"",INDEX($A$2:$A$4629,MATCH(0,INDEX(COUNTIF($B$1:B2688,$A$2:$A$4629),0,0),0)))</f>
        <v/>
      </c>
      <c r="C2689" t="str">
        <f t="shared" si="41"/>
        <v/>
      </c>
    </row>
    <row r="2690" spans="1:3" x14ac:dyDescent="0.25">
      <c r="A2690" t="str">
        <f>IF(Scan2VK!S168&lt;&gt;"",Scan2VK!S168,"")</f>
        <v>POWER</v>
      </c>
      <c r="B2690" t="str">
        <f>IF(ISERROR(MATCH(0,INDEX(COUNTIF($B$1:B2689,$A$2:$A$4629),0,0),0)),"",INDEX($A$2:$A$4629,MATCH(0,INDEX(COUNTIF($B$1:B2689,$A$2:$A$4629),0,0),0)))</f>
        <v/>
      </c>
      <c r="C2690" t="str">
        <f t="shared" si="41"/>
        <v/>
      </c>
    </row>
    <row r="2691" spans="1:3" x14ac:dyDescent="0.25">
      <c r="A2691" t="str">
        <f>IF(Scan2VK!S169&lt;&gt;"",Scan2VK!S169,"")</f>
        <v>SLEEP</v>
      </c>
      <c r="B2691" t="str">
        <f>IF(ISERROR(MATCH(0,INDEX(COUNTIF($B$1:B2690,$A$2:$A$4629),0,0),0)),"",INDEX($A$2:$A$4629,MATCH(0,INDEX(COUNTIF($B$1:B2690,$A$2:$A$4629),0,0),0)))</f>
        <v/>
      </c>
      <c r="C2691" t="str">
        <f t="shared" ref="C2691:C2754" si="42">IF(B2691&lt;&gt;"","&lt;xs:enumeration value="""&amp;B2691&amp;"""/&gt;","")</f>
        <v/>
      </c>
    </row>
    <row r="2692" spans="1:3" x14ac:dyDescent="0.25">
      <c r="A2692" t="str">
        <f>IF(Scan2VK!S170&lt;&gt;"",Scan2VK!S170,"")</f>
        <v/>
      </c>
      <c r="B2692" t="str">
        <f>IF(ISERROR(MATCH(0,INDEX(COUNTIF($B$1:B2691,$A$2:$A$4629),0,0),0)),"",INDEX($A$2:$A$4629,MATCH(0,INDEX(COUNTIF($B$1:B2691,$A$2:$A$4629),0,0),0)))</f>
        <v/>
      </c>
      <c r="C2692" t="str">
        <f t="shared" si="42"/>
        <v/>
      </c>
    </row>
    <row r="2693" spans="1:3" x14ac:dyDescent="0.25">
      <c r="A2693" t="str">
        <f>IF(Scan2VK!S171&lt;&gt;"",Scan2VK!S171,"")</f>
        <v/>
      </c>
      <c r="B2693" t="str">
        <f>IF(ISERROR(MATCH(0,INDEX(COUNTIF($B$1:B2692,$A$2:$A$4629),0,0),0)),"",INDEX($A$2:$A$4629,MATCH(0,INDEX(COUNTIF($B$1:B2692,$A$2:$A$4629),0,0),0)))</f>
        <v/>
      </c>
      <c r="C2693" t="str">
        <f t="shared" si="42"/>
        <v/>
      </c>
    </row>
    <row r="2694" spans="1:3" x14ac:dyDescent="0.25">
      <c r="A2694" t="str">
        <f>IF(Scan2VK!S172&lt;&gt;"",Scan2VK!S172,"")</f>
        <v/>
      </c>
      <c r="B2694" t="str">
        <f>IF(ISERROR(MATCH(0,INDEX(COUNTIF($B$1:B2693,$A$2:$A$4629),0,0),0)),"",INDEX($A$2:$A$4629,MATCH(0,INDEX(COUNTIF($B$1:B2693,$A$2:$A$4629),0,0),0)))</f>
        <v/>
      </c>
      <c r="C2694" t="str">
        <f t="shared" si="42"/>
        <v/>
      </c>
    </row>
    <row r="2695" spans="1:3" x14ac:dyDescent="0.25">
      <c r="A2695" t="str">
        <f>IF(Scan2VK!S173&lt;&gt;"",Scan2VK!S173,"")</f>
        <v/>
      </c>
      <c r="B2695" t="str">
        <f>IF(ISERROR(MATCH(0,INDEX(COUNTIF($B$1:B2694,$A$2:$A$4629),0,0),0)),"",INDEX($A$2:$A$4629,MATCH(0,INDEX(COUNTIF($B$1:B2694,$A$2:$A$4629),0,0),0)))</f>
        <v/>
      </c>
      <c r="C2695" t="str">
        <f t="shared" si="42"/>
        <v/>
      </c>
    </row>
    <row r="2696" spans="1:3" x14ac:dyDescent="0.25">
      <c r="A2696" t="str">
        <f>IF(Scan2VK!S174&lt;&gt;"",Scan2VK!S174,"")</f>
        <v/>
      </c>
      <c r="B2696" t="str">
        <f>IF(ISERROR(MATCH(0,INDEX(COUNTIF($B$1:B2695,$A$2:$A$4629),0,0),0)),"",INDEX($A$2:$A$4629,MATCH(0,INDEX(COUNTIF($B$1:B2695,$A$2:$A$4629),0,0),0)))</f>
        <v/>
      </c>
      <c r="C2696" t="str">
        <f t="shared" si="42"/>
        <v/>
      </c>
    </row>
    <row r="2697" spans="1:3" x14ac:dyDescent="0.25">
      <c r="A2697" t="str">
        <f>IF(Scan2VK!S175&lt;&gt;"",Scan2VK!S175,"")</f>
        <v>_none_</v>
      </c>
      <c r="B2697" t="str">
        <f>IF(ISERROR(MATCH(0,INDEX(COUNTIF($B$1:B2696,$A$2:$A$4629),0,0),0)),"",INDEX($A$2:$A$4629,MATCH(0,INDEX(COUNTIF($B$1:B2696,$A$2:$A$4629),0,0),0)))</f>
        <v/>
      </c>
      <c r="C2697" t="str">
        <f t="shared" si="42"/>
        <v/>
      </c>
    </row>
    <row r="2698" spans="1:3" x14ac:dyDescent="0.25">
      <c r="A2698" t="str">
        <f>IF(Scan2VK!S176&lt;&gt;"",Scan2VK!S176,"")</f>
        <v>_none_</v>
      </c>
      <c r="B2698" t="str">
        <f>IF(ISERROR(MATCH(0,INDEX(COUNTIF($B$1:B2697,$A$2:$A$4629),0,0),0)),"",INDEX($A$2:$A$4629,MATCH(0,INDEX(COUNTIF($B$1:B2697,$A$2:$A$4629),0,0),0)))</f>
        <v/>
      </c>
      <c r="C2698" t="str">
        <f t="shared" si="42"/>
        <v/>
      </c>
    </row>
    <row r="2699" spans="1:3" x14ac:dyDescent="0.25">
      <c r="A2699" t="str">
        <f>IF(Scan2VK!S177&lt;&gt;"",Scan2VK!S177,"")</f>
        <v/>
      </c>
      <c r="B2699" t="str">
        <f>IF(ISERROR(MATCH(0,INDEX(COUNTIF($B$1:B2698,$A$2:$A$4629),0,0),0)),"",INDEX($A$2:$A$4629,MATCH(0,INDEX(COUNTIF($B$1:B2698,$A$2:$A$4629),0,0),0)))</f>
        <v/>
      </c>
      <c r="C2699" t="str">
        <f t="shared" si="42"/>
        <v/>
      </c>
    </row>
    <row r="2700" spans="1:3" x14ac:dyDescent="0.25">
      <c r="A2700" t="str">
        <f>IF(Scan2VK!S178&lt;&gt;"",Scan2VK!S178,"")</f>
        <v/>
      </c>
      <c r="B2700" t="str">
        <f>IF(ISERROR(MATCH(0,INDEX(COUNTIF($B$1:B2699,$A$2:$A$4629),0,0),0)),"",INDEX($A$2:$A$4629,MATCH(0,INDEX(COUNTIF($B$1:B2699,$A$2:$A$4629),0,0),0)))</f>
        <v/>
      </c>
      <c r="C2700" t="str">
        <f t="shared" si="42"/>
        <v/>
      </c>
    </row>
    <row r="2701" spans="1:3" x14ac:dyDescent="0.25">
      <c r="A2701" t="str">
        <f>IF(Scan2VK!S179&lt;&gt;"",Scan2VK!S179,"")</f>
        <v/>
      </c>
      <c r="B2701" t="str">
        <f>IF(ISERROR(MATCH(0,INDEX(COUNTIF($B$1:B2700,$A$2:$A$4629),0,0),0)),"",INDEX($A$2:$A$4629,MATCH(0,INDEX(COUNTIF($B$1:B2700,$A$2:$A$4629),0,0),0)))</f>
        <v/>
      </c>
      <c r="C2701" t="str">
        <f t="shared" si="42"/>
        <v/>
      </c>
    </row>
    <row r="2702" spans="1:3" x14ac:dyDescent="0.25">
      <c r="A2702" t="str">
        <f>IF(Scan2VK!S180&lt;&gt;"",Scan2VK!S180,"")</f>
        <v/>
      </c>
      <c r="B2702" t="str">
        <f>IF(ISERROR(MATCH(0,INDEX(COUNTIF($B$1:B2701,$A$2:$A$4629),0,0),0)),"",INDEX($A$2:$A$4629,MATCH(0,INDEX(COUNTIF($B$1:B2701,$A$2:$A$4629),0,0),0)))</f>
        <v/>
      </c>
      <c r="C2702" t="str">
        <f t="shared" si="42"/>
        <v/>
      </c>
    </row>
    <row r="2703" spans="1:3" x14ac:dyDescent="0.25">
      <c r="A2703" t="str">
        <f>IF(Scan2VK!S181&lt;&gt;"",Scan2VK!S181,"")</f>
        <v/>
      </c>
      <c r="B2703" t="str">
        <f>IF(ISERROR(MATCH(0,INDEX(COUNTIF($B$1:B2702,$A$2:$A$4629),0,0),0)),"",INDEX($A$2:$A$4629,MATCH(0,INDEX(COUNTIF($B$1:B2702,$A$2:$A$4629),0,0),0)))</f>
        <v/>
      </c>
      <c r="C2703" t="str">
        <f t="shared" si="42"/>
        <v/>
      </c>
    </row>
    <row r="2704" spans="1:3" x14ac:dyDescent="0.25">
      <c r="A2704" t="str">
        <f>IF(Scan2VK!S182&lt;&gt;"",Scan2VK!S182,"")</f>
        <v/>
      </c>
      <c r="B2704" t="str">
        <f>IF(ISERROR(MATCH(0,INDEX(COUNTIF($B$1:B2703,$A$2:$A$4629),0,0),0)),"",INDEX($A$2:$A$4629,MATCH(0,INDEX(COUNTIF($B$1:B2703,$A$2:$A$4629),0,0),0)))</f>
        <v/>
      </c>
      <c r="C2704" t="str">
        <f t="shared" si="42"/>
        <v/>
      </c>
    </row>
    <row r="2705" spans="1:3" x14ac:dyDescent="0.25">
      <c r="A2705" t="str">
        <f>IF(Scan2VK!S183&lt;&gt;"",Scan2VK!S183,"")</f>
        <v>OEM_TOUROKU</v>
      </c>
      <c r="B2705" t="str">
        <f>IF(ISERROR(MATCH(0,INDEX(COUNTIF($B$1:B2704,$A$2:$A$4629),0,0),0)),"",INDEX($A$2:$A$4629,MATCH(0,INDEX(COUNTIF($B$1:B2704,$A$2:$A$4629),0,0),0)))</f>
        <v/>
      </c>
      <c r="C2705" t="str">
        <f t="shared" si="42"/>
        <v/>
      </c>
    </row>
    <row r="2706" spans="1:3" x14ac:dyDescent="0.25">
      <c r="A2706" t="str">
        <f>IF(Scan2VK!S184&lt;&gt;"",Scan2VK!S184,"")</f>
        <v/>
      </c>
      <c r="B2706" t="str">
        <f>IF(ISERROR(MATCH(0,INDEX(COUNTIF($B$1:B2705,$A$2:$A$4629),0,0),0)),"",INDEX($A$2:$A$4629,MATCH(0,INDEX(COUNTIF($B$1:B2705,$A$2:$A$4629),0,0),0)))</f>
        <v/>
      </c>
      <c r="C2706" t="str">
        <f t="shared" si="42"/>
        <v/>
      </c>
    </row>
    <row r="2707" spans="1:3" x14ac:dyDescent="0.25">
      <c r="A2707" t="str">
        <f>IF(Scan2VK!S185&lt;&gt;"",Scan2VK!S185,"")</f>
        <v/>
      </c>
      <c r="B2707" t="str">
        <f>IF(ISERROR(MATCH(0,INDEX(COUNTIF($B$1:B2706,$A$2:$A$4629),0,0),0)),"",INDEX($A$2:$A$4629,MATCH(0,INDEX(COUNTIF($B$1:B2706,$A$2:$A$4629),0,0),0)))</f>
        <v/>
      </c>
      <c r="C2707" t="str">
        <f t="shared" si="42"/>
        <v/>
      </c>
    </row>
    <row r="2708" spans="1:3" x14ac:dyDescent="0.25">
      <c r="A2708" t="str">
        <f>IF(Scan2VK!S186&lt;&gt;"",Scan2VK!S186,"")</f>
        <v/>
      </c>
      <c r="B2708" t="str">
        <f>IF(ISERROR(MATCH(0,INDEX(COUNTIF($B$1:B2707,$A$2:$A$4629),0,0),0)),"",INDEX($A$2:$A$4629,MATCH(0,INDEX(COUNTIF($B$1:B2707,$A$2:$A$4629),0,0),0)))</f>
        <v/>
      </c>
      <c r="C2708" t="str">
        <f t="shared" si="42"/>
        <v/>
      </c>
    </row>
    <row r="2709" spans="1:3" x14ac:dyDescent="0.25">
      <c r="A2709" t="str">
        <f>IF(Scan2VK!S187&lt;&gt;"",Scan2VK!S187,"")</f>
        <v/>
      </c>
      <c r="B2709" t="str">
        <f>IF(ISERROR(MATCH(0,INDEX(COUNTIF($B$1:B2708,$A$2:$A$4629),0,0),0)),"",INDEX($A$2:$A$4629,MATCH(0,INDEX(COUNTIF($B$1:B2708,$A$2:$A$4629),0,0),0)))</f>
        <v/>
      </c>
      <c r="C2709" t="str">
        <f t="shared" si="42"/>
        <v/>
      </c>
    </row>
    <row r="2710" spans="1:3" x14ac:dyDescent="0.25">
      <c r="A2710" t="str">
        <f>IF(Scan2VK!S188&lt;&gt;"",Scan2VK!S188,"")</f>
        <v/>
      </c>
      <c r="B2710" t="str">
        <f>IF(ISERROR(MATCH(0,INDEX(COUNTIF($B$1:B2709,$A$2:$A$4629),0,0),0)),"",INDEX($A$2:$A$4629,MATCH(0,INDEX(COUNTIF($B$1:B2709,$A$2:$A$4629),0,0),0)))</f>
        <v/>
      </c>
      <c r="C2710" t="str">
        <f t="shared" si="42"/>
        <v/>
      </c>
    </row>
    <row r="2711" spans="1:3" x14ac:dyDescent="0.25">
      <c r="A2711" t="str">
        <f>IF(Scan2VK!S189&lt;&gt;"",Scan2VK!S189,"")</f>
        <v/>
      </c>
      <c r="B2711" t="str">
        <f>IF(ISERROR(MATCH(0,INDEX(COUNTIF($B$1:B2710,$A$2:$A$4629),0,0),0)),"",INDEX($A$2:$A$4629,MATCH(0,INDEX(COUNTIF($B$1:B2710,$A$2:$A$4629),0,0),0)))</f>
        <v/>
      </c>
      <c r="C2711" t="str">
        <f t="shared" si="42"/>
        <v/>
      </c>
    </row>
    <row r="2712" spans="1:3" x14ac:dyDescent="0.25">
      <c r="A2712" t="str">
        <f>IF(Scan2VK!S190&lt;&gt;"",Scan2VK!S190,"")</f>
        <v/>
      </c>
      <c r="B2712" t="str">
        <f>IF(ISERROR(MATCH(0,INDEX(COUNTIF($B$1:B2711,$A$2:$A$4629),0,0),0)),"",INDEX($A$2:$A$4629,MATCH(0,INDEX(COUNTIF($B$1:B2711,$A$2:$A$4629),0,0),0)))</f>
        <v/>
      </c>
      <c r="C2712" t="str">
        <f t="shared" si="42"/>
        <v/>
      </c>
    </row>
    <row r="2713" spans="1:3" x14ac:dyDescent="0.25">
      <c r="A2713" t="str">
        <f>IF(Scan2VK!S191&lt;&gt;"",Scan2VK!S191,"")</f>
        <v/>
      </c>
      <c r="B2713" t="str">
        <f>IF(ISERROR(MATCH(0,INDEX(COUNTIF($B$1:B2712,$A$2:$A$4629),0,0),0)),"",INDEX($A$2:$A$4629,MATCH(0,INDEX(COUNTIF($B$1:B2712,$A$2:$A$4629),0,0),0)))</f>
        <v/>
      </c>
      <c r="C2713" t="str">
        <f t="shared" si="42"/>
        <v/>
      </c>
    </row>
    <row r="2714" spans="1:3" x14ac:dyDescent="0.25">
      <c r="A2714" t="str">
        <f>IF(Scan2VK!S192&lt;&gt;"",Scan2VK!S192,"")</f>
        <v/>
      </c>
      <c r="B2714" t="str">
        <f>IF(ISERROR(MATCH(0,INDEX(COUNTIF($B$1:B2713,$A$2:$A$4629),0,0),0)),"",INDEX($A$2:$A$4629,MATCH(0,INDEX(COUNTIF($B$1:B2713,$A$2:$A$4629),0,0),0)))</f>
        <v/>
      </c>
      <c r="C2714" t="str">
        <f t="shared" si="42"/>
        <v/>
      </c>
    </row>
    <row r="2715" spans="1:3" x14ac:dyDescent="0.25">
      <c r="A2715" t="str">
        <f>IF(Scan2VK!S193&lt;&gt;"",Scan2VK!S193,"")</f>
        <v/>
      </c>
      <c r="B2715" t="str">
        <f>IF(ISERROR(MATCH(0,INDEX(COUNTIF($B$1:B2714,$A$2:$A$4629),0,0),0)),"",INDEX($A$2:$A$4629,MATCH(0,INDEX(COUNTIF($B$1:B2714,$A$2:$A$4629),0,0),0)))</f>
        <v/>
      </c>
      <c r="C2715" t="str">
        <f t="shared" si="42"/>
        <v/>
      </c>
    </row>
    <row r="2716" spans="1:3" x14ac:dyDescent="0.25">
      <c r="A2716" t="str">
        <f>IF(Scan2VK!S194&lt;&gt;"",Scan2VK!S194,"")</f>
        <v/>
      </c>
      <c r="B2716" t="str">
        <f>IF(ISERROR(MATCH(0,INDEX(COUNTIF($B$1:B2715,$A$2:$A$4629),0,0),0)),"",INDEX($A$2:$A$4629,MATCH(0,INDEX(COUNTIF($B$1:B2715,$A$2:$A$4629),0,0),0)))</f>
        <v/>
      </c>
      <c r="C2716" t="str">
        <f t="shared" si="42"/>
        <v/>
      </c>
    </row>
    <row r="2717" spans="1:3" x14ac:dyDescent="0.25">
      <c r="A2717" t="str">
        <f>IF(Scan2VK!S195&lt;&gt;"",Scan2VK!S195,"")</f>
        <v>PAUSE</v>
      </c>
      <c r="B2717" t="str">
        <f>IF(ISERROR(MATCH(0,INDEX(COUNTIF($B$1:B2716,$A$2:$A$4629),0,0),0)),"",INDEX($A$2:$A$4629,MATCH(0,INDEX(COUNTIF($B$1:B2716,$A$2:$A$4629),0,0),0)))</f>
        <v/>
      </c>
      <c r="C2717" t="str">
        <f t="shared" si="42"/>
        <v/>
      </c>
    </row>
    <row r="2718" spans="1:3" x14ac:dyDescent="0.25">
      <c r="A2718" t="str">
        <f>IF(Scan2VK!T2&lt;&gt;"",Scan2VK!T2,"")</f>
        <v>_none_</v>
      </c>
      <c r="B2718" t="str">
        <f>IF(ISERROR(MATCH(0,INDEX(COUNTIF($B$1:B2717,$A$2:$A$4629),0,0),0)),"",INDEX($A$2:$A$4629,MATCH(0,INDEX(COUNTIF($B$1:B2717,$A$2:$A$4629),0,0),0)))</f>
        <v/>
      </c>
      <c r="C2718" t="str">
        <f t="shared" si="42"/>
        <v/>
      </c>
    </row>
    <row r="2719" spans="1:3" x14ac:dyDescent="0.25">
      <c r="A2719" t="str">
        <f>IF(Scan2VK!T3&lt;&gt;"",Scan2VK!T3,"")</f>
        <v>ESCAPE</v>
      </c>
      <c r="B2719" t="str">
        <f>IF(ISERROR(MATCH(0,INDEX(COUNTIF($B$1:B2718,$A$2:$A$4629),0,0),0)),"",INDEX($A$2:$A$4629,MATCH(0,INDEX(COUNTIF($B$1:B2718,$A$2:$A$4629),0,0),0)))</f>
        <v/>
      </c>
      <c r="C2719" t="str">
        <f t="shared" si="42"/>
        <v/>
      </c>
    </row>
    <row r="2720" spans="1:3" x14ac:dyDescent="0.25">
      <c r="A2720" t="str">
        <f>IF(Scan2VK!T4&lt;&gt;"",Scan2VK!T4,"")</f>
        <v>'1'</v>
      </c>
      <c r="B2720" t="str">
        <f>IF(ISERROR(MATCH(0,INDEX(COUNTIF($B$1:B2719,$A$2:$A$4629),0,0),0)),"",INDEX($A$2:$A$4629,MATCH(0,INDEX(COUNTIF($B$1:B2719,$A$2:$A$4629),0,0),0)))</f>
        <v/>
      </c>
      <c r="C2720" t="str">
        <f t="shared" si="42"/>
        <v/>
      </c>
    </row>
    <row r="2721" spans="1:3" x14ac:dyDescent="0.25">
      <c r="A2721" t="str">
        <f>IF(Scan2VK!T5&lt;&gt;"",Scan2VK!T5,"")</f>
        <v>'2'</v>
      </c>
      <c r="B2721" t="str">
        <f>IF(ISERROR(MATCH(0,INDEX(COUNTIF($B$1:B2720,$A$2:$A$4629),0,0),0)),"",INDEX($A$2:$A$4629,MATCH(0,INDEX(COUNTIF($B$1:B2720,$A$2:$A$4629),0,0),0)))</f>
        <v/>
      </c>
      <c r="C2721" t="str">
        <f t="shared" si="42"/>
        <v/>
      </c>
    </row>
    <row r="2722" spans="1:3" x14ac:dyDescent="0.25">
      <c r="A2722" t="str">
        <f>IF(Scan2VK!T6&lt;&gt;"",Scan2VK!T6,"")</f>
        <v>'3'</v>
      </c>
      <c r="B2722" t="str">
        <f>IF(ISERROR(MATCH(0,INDEX(COUNTIF($B$1:B2721,$A$2:$A$4629),0,0),0)),"",INDEX($A$2:$A$4629,MATCH(0,INDEX(COUNTIF($B$1:B2721,$A$2:$A$4629),0,0),0)))</f>
        <v/>
      </c>
      <c r="C2722" t="str">
        <f t="shared" si="42"/>
        <v/>
      </c>
    </row>
    <row r="2723" spans="1:3" x14ac:dyDescent="0.25">
      <c r="A2723" t="str">
        <f>IF(Scan2VK!T7&lt;&gt;"",Scan2VK!T7,"")</f>
        <v>'4'</v>
      </c>
      <c r="B2723" t="str">
        <f>IF(ISERROR(MATCH(0,INDEX(COUNTIF($B$1:B2722,$A$2:$A$4629),0,0),0)),"",INDEX($A$2:$A$4629,MATCH(0,INDEX(COUNTIF($B$1:B2722,$A$2:$A$4629),0,0),0)))</f>
        <v/>
      </c>
      <c r="C2723" t="str">
        <f t="shared" si="42"/>
        <v/>
      </c>
    </row>
    <row r="2724" spans="1:3" x14ac:dyDescent="0.25">
      <c r="A2724" t="str">
        <f>IF(Scan2VK!T8&lt;&gt;"",Scan2VK!T8,"")</f>
        <v>'5'</v>
      </c>
      <c r="B2724" t="str">
        <f>IF(ISERROR(MATCH(0,INDEX(COUNTIF($B$1:B2723,$A$2:$A$4629),0,0),0)),"",INDEX($A$2:$A$4629,MATCH(0,INDEX(COUNTIF($B$1:B2723,$A$2:$A$4629),0,0),0)))</f>
        <v/>
      </c>
      <c r="C2724" t="str">
        <f t="shared" si="42"/>
        <v/>
      </c>
    </row>
    <row r="2725" spans="1:3" x14ac:dyDescent="0.25">
      <c r="A2725" t="str">
        <f>IF(Scan2VK!T9&lt;&gt;"",Scan2VK!T9,"")</f>
        <v>'6'</v>
      </c>
      <c r="B2725" t="str">
        <f>IF(ISERROR(MATCH(0,INDEX(COUNTIF($B$1:B2724,$A$2:$A$4629),0,0),0)),"",INDEX($A$2:$A$4629,MATCH(0,INDEX(COUNTIF($B$1:B2724,$A$2:$A$4629),0,0),0)))</f>
        <v/>
      </c>
      <c r="C2725" t="str">
        <f t="shared" si="42"/>
        <v/>
      </c>
    </row>
    <row r="2726" spans="1:3" x14ac:dyDescent="0.25">
      <c r="A2726" t="str">
        <f>IF(Scan2VK!T10&lt;&gt;"",Scan2VK!T10,"")</f>
        <v>'7'</v>
      </c>
      <c r="B2726" t="str">
        <f>IF(ISERROR(MATCH(0,INDEX(COUNTIF($B$1:B2725,$A$2:$A$4629),0,0),0)),"",INDEX($A$2:$A$4629,MATCH(0,INDEX(COUNTIF($B$1:B2725,$A$2:$A$4629),0,0),0)))</f>
        <v/>
      </c>
      <c r="C2726" t="str">
        <f t="shared" si="42"/>
        <v/>
      </c>
    </row>
    <row r="2727" spans="1:3" x14ac:dyDescent="0.25">
      <c r="A2727" t="str">
        <f>IF(Scan2VK!T11&lt;&gt;"",Scan2VK!T11,"")</f>
        <v>'8'</v>
      </c>
      <c r="B2727" t="str">
        <f>IF(ISERROR(MATCH(0,INDEX(COUNTIF($B$1:B2726,$A$2:$A$4629),0,0),0)),"",INDEX($A$2:$A$4629,MATCH(0,INDEX(COUNTIF($B$1:B2726,$A$2:$A$4629),0,0),0)))</f>
        <v/>
      </c>
      <c r="C2727" t="str">
        <f t="shared" si="42"/>
        <v/>
      </c>
    </row>
    <row r="2728" spans="1:3" x14ac:dyDescent="0.25">
      <c r="A2728" t="str">
        <f>IF(Scan2VK!T12&lt;&gt;"",Scan2VK!T12,"")</f>
        <v>'9'</v>
      </c>
      <c r="B2728" t="str">
        <f>IF(ISERROR(MATCH(0,INDEX(COUNTIF($B$1:B2727,$A$2:$A$4629),0,0),0)),"",INDEX($A$2:$A$4629,MATCH(0,INDEX(COUNTIF($B$1:B2727,$A$2:$A$4629),0,0),0)))</f>
        <v/>
      </c>
      <c r="C2728" t="str">
        <f t="shared" si="42"/>
        <v/>
      </c>
    </row>
    <row r="2729" spans="1:3" x14ac:dyDescent="0.25">
      <c r="A2729" t="str">
        <f>IF(Scan2VK!T13&lt;&gt;"",Scan2VK!T13,"")</f>
        <v>'0'</v>
      </c>
      <c r="B2729" t="str">
        <f>IF(ISERROR(MATCH(0,INDEX(COUNTIF($B$1:B2728,$A$2:$A$4629),0,0),0)),"",INDEX($A$2:$A$4629,MATCH(0,INDEX(COUNTIF($B$1:B2728,$A$2:$A$4629),0,0),0)))</f>
        <v/>
      </c>
      <c r="C2729" t="str">
        <f t="shared" si="42"/>
        <v/>
      </c>
    </row>
    <row r="2730" spans="1:3" x14ac:dyDescent="0.25">
      <c r="A2730" t="str">
        <f>IF(Scan2VK!T14&lt;&gt;"",Scan2VK!T14,"")</f>
        <v>OEM_MINUS</v>
      </c>
      <c r="B2730" t="str">
        <f>IF(ISERROR(MATCH(0,INDEX(COUNTIF($B$1:B2729,$A$2:$A$4629),0,0),0)),"",INDEX($A$2:$A$4629,MATCH(0,INDEX(COUNTIF($B$1:B2729,$A$2:$A$4629),0,0),0)))</f>
        <v/>
      </c>
      <c r="C2730" t="str">
        <f t="shared" si="42"/>
        <v/>
      </c>
    </row>
    <row r="2731" spans="1:3" x14ac:dyDescent="0.25">
      <c r="A2731" t="str">
        <f>IF(Scan2VK!T15&lt;&gt;"",Scan2VK!T15,"")</f>
        <v>OEM_7</v>
      </c>
      <c r="B2731" t="str">
        <f>IF(ISERROR(MATCH(0,INDEX(COUNTIF($B$1:B2730,$A$2:$A$4629),0,0),0)),"",INDEX($A$2:$A$4629,MATCH(0,INDEX(COUNTIF($B$1:B2730,$A$2:$A$4629),0,0),0)))</f>
        <v/>
      </c>
      <c r="C2731" t="str">
        <f t="shared" si="42"/>
        <v/>
      </c>
    </row>
    <row r="2732" spans="1:3" x14ac:dyDescent="0.25">
      <c r="A2732" t="str">
        <f>IF(Scan2VK!T16&lt;&gt;"",Scan2VK!T16,"")</f>
        <v>OEM_5</v>
      </c>
      <c r="B2732" t="str">
        <f>IF(ISERROR(MATCH(0,INDEX(COUNTIF($B$1:B2731,$A$2:$A$4629),0,0),0)),"",INDEX($A$2:$A$4629,MATCH(0,INDEX(COUNTIF($B$1:B2731,$A$2:$A$4629),0,0),0)))</f>
        <v/>
      </c>
      <c r="C2732" t="str">
        <f t="shared" si="42"/>
        <v/>
      </c>
    </row>
    <row r="2733" spans="1:3" x14ac:dyDescent="0.25">
      <c r="A2733" t="str">
        <f>IF(Scan2VK!T17&lt;&gt;"",Scan2VK!T17,"")</f>
        <v>BACK</v>
      </c>
      <c r="B2733" t="str">
        <f>IF(ISERROR(MATCH(0,INDEX(COUNTIF($B$1:B2732,$A$2:$A$4629),0,0),0)),"",INDEX($A$2:$A$4629,MATCH(0,INDEX(COUNTIF($B$1:B2732,$A$2:$A$4629),0,0),0)))</f>
        <v/>
      </c>
      <c r="C2733" t="str">
        <f t="shared" si="42"/>
        <v/>
      </c>
    </row>
    <row r="2734" spans="1:3" x14ac:dyDescent="0.25">
      <c r="A2734" t="str">
        <f>IF(Scan2VK!T18&lt;&gt;"",Scan2VK!T18,"")</f>
        <v>TAB</v>
      </c>
      <c r="B2734" t="str">
        <f>IF(ISERROR(MATCH(0,INDEX(COUNTIF($B$1:B2733,$A$2:$A$4629),0,0),0)),"",INDEX($A$2:$A$4629,MATCH(0,INDEX(COUNTIF($B$1:B2733,$A$2:$A$4629),0,0),0)))</f>
        <v/>
      </c>
      <c r="C2734" t="str">
        <f t="shared" si="42"/>
        <v/>
      </c>
    </row>
    <row r="2735" spans="1:3" x14ac:dyDescent="0.25">
      <c r="A2735" t="str">
        <f>IF(Scan2VK!T19&lt;&gt;"",Scan2VK!T19,"")</f>
        <v>'Q'</v>
      </c>
      <c r="B2735" t="str">
        <f>IF(ISERROR(MATCH(0,INDEX(COUNTIF($B$1:B2734,$A$2:$A$4629),0,0),0)),"",INDEX($A$2:$A$4629,MATCH(0,INDEX(COUNTIF($B$1:B2734,$A$2:$A$4629),0,0),0)))</f>
        <v/>
      </c>
      <c r="C2735" t="str">
        <f t="shared" si="42"/>
        <v/>
      </c>
    </row>
    <row r="2736" spans="1:3" x14ac:dyDescent="0.25">
      <c r="A2736" t="str">
        <f>IF(Scan2VK!T20&lt;&gt;"",Scan2VK!T20,"")</f>
        <v>'W'</v>
      </c>
      <c r="B2736" t="str">
        <f>IF(ISERROR(MATCH(0,INDEX(COUNTIF($B$1:B2735,$A$2:$A$4629),0,0),0)),"",INDEX($A$2:$A$4629,MATCH(0,INDEX(COUNTIF($B$1:B2735,$A$2:$A$4629),0,0),0)))</f>
        <v/>
      </c>
      <c r="C2736" t="str">
        <f t="shared" si="42"/>
        <v/>
      </c>
    </row>
    <row r="2737" spans="1:3" x14ac:dyDescent="0.25">
      <c r="A2737" t="str">
        <f>IF(Scan2VK!T21&lt;&gt;"",Scan2VK!T21,"")</f>
        <v>'E'</v>
      </c>
      <c r="B2737" t="str">
        <f>IF(ISERROR(MATCH(0,INDEX(COUNTIF($B$1:B2736,$A$2:$A$4629),0,0),0)),"",INDEX($A$2:$A$4629,MATCH(0,INDEX(COUNTIF($B$1:B2736,$A$2:$A$4629),0,0),0)))</f>
        <v/>
      </c>
      <c r="C2737" t="str">
        <f t="shared" si="42"/>
        <v/>
      </c>
    </row>
    <row r="2738" spans="1:3" x14ac:dyDescent="0.25">
      <c r="A2738" t="str">
        <f>IF(Scan2VK!T22&lt;&gt;"",Scan2VK!T22,"")</f>
        <v>'R'</v>
      </c>
      <c r="B2738" t="str">
        <f>IF(ISERROR(MATCH(0,INDEX(COUNTIF($B$1:B2737,$A$2:$A$4629),0,0),0)),"",INDEX($A$2:$A$4629,MATCH(0,INDEX(COUNTIF($B$1:B2737,$A$2:$A$4629),0,0),0)))</f>
        <v/>
      </c>
      <c r="C2738" t="str">
        <f t="shared" si="42"/>
        <v/>
      </c>
    </row>
    <row r="2739" spans="1:3" x14ac:dyDescent="0.25">
      <c r="A2739" t="str">
        <f>IF(Scan2VK!T23&lt;&gt;"",Scan2VK!T23,"")</f>
        <v>'T'</v>
      </c>
      <c r="B2739" t="str">
        <f>IF(ISERROR(MATCH(0,INDEX(COUNTIF($B$1:B2738,$A$2:$A$4629),0,0),0)),"",INDEX($A$2:$A$4629,MATCH(0,INDEX(COUNTIF($B$1:B2738,$A$2:$A$4629),0,0),0)))</f>
        <v/>
      </c>
      <c r="C2739" t="str">
        <f t="shared" si="42"/>
        <v/>
      </c>
    </row>
    <row r="2740" spans="1:3" x14ac:dyDescent="0.25">
      <c r="A2740" t="str">
        <f>IF(Scan2VK!T24&lt;&gt;"",Scan2VK!T24,"")</f>
        <v>'Y'</v>
      </c>
      <c r="B2740" t="str">
        <f>IF(ISERROR(MATCH(0,INDEX(COUNTIF($B$1:B2739,$A$2:$A$4629),0,0),0)),"",INDEX($A$2:$A$4629,MATCH(0,INDEX(COUNTIF($B$1:B2739,$A$2:$A$4629),0,0),0)))</f>
        <v/>
      </c>
      <c r="C2740" t="str">
        <f t="shared" si="42"/>
        <v/>
      </c>
    </row>
    <row r="2741" spans="1:3" x14ac:dyDescent="0.25">
      <c r="A2741" t="str">
        <f>IF(Scan2VK!T25&lt;&gt;"",Scan2VK!T25,"")</f>
        <v>'U'</v>
      </c>
      <c r="B2741" t="str">
        <f>IF(ISERROR(MATCH(0,INDEX(COUNTIF($B$1:B2740,$A$2:$A$4629),0,0),0)),"",INDEX($A$2:$A$4629,MATCH(0,INDEX(COUNTIF($B$1:B2740,$A$2:$A$4629),0,0),0)))</f>
        <v/>
      </c>
      <c r="C2741" t="str">
        <f t="shared" si="42"/>
        <v/>
      </c>
    </row>
    <row r="2742" spans="1:3" x14ac:dyDescent="0.25">
      <c r="A2742" t="str">
        <f>IF(Scan2VK!T26&lt;&gt;"",Scan2VK!T26,"")</f>
        <v>'I'</v>
      </c>
      <c r="B2742" t="str">
        <f>IF(ISERROR(MATCH(0,INDEX(COUNTIF($B$1:B2741,$A$2:$A$4629),0,0),0)),"",INDEX($A$2:$A$4629,MATCH(0,INDEX(COUNTIF($B$1:B2741,$A$2:$A$4629),0,0),0)))</f>
        <v/>
      </c>
      <c r="C2742" t="str">
        <f t="shared" si="42"/>
        <v/>
      </c>
    </row>
    <row r="2743" spans="1:3" x14ac:dyDescent="0.25">
      <c r="A2743" t="str">
        <f>IF(Scan2VK!T27&lt;&gt;"",Scan2VK!T27,"")</f>
        <v>'O'</v>
      </c>
      <c r="B2743" t="str">
        <f>IF(ISERROR(MATCH(0,INDEX(COUNTIF($B$1:B2742,$A$2:$A$4629),0,0),0)),"",INDEX($A$2:$A$4629,MATCH(0,INDEX(COUNTIF($B$1:B2742,$A$2:$A$4629),0,0),0)))</f>
        <v/>
      </c>
      <c r="C2743" t="str">
        <f t="shared" si="42"/>
        <v/>
      </c>
    </row>
    <row r="2744" spans="1:3" x14ac:dyDescent="0.25">
      <c r="A2744" t="str">
        <f>IF(Scan2VK!T28&lt;&gt;"",Scan2VK!T28,"")</f>
        <v>'P'</v>
      </c>
      <c r="B2744" t="str">
        <f>IF(ISERROR(MATCH(0,INDEX(COUNTIF($B$1:B2743,$A$2:$A$4629),0,0),0)),"",INDEX($A$2:$A$4629,MATCH(0,INDEX(COUNTIF($B$1:B2743,$A$2:$A$4629),0,0),0)))</f>
        <v/>
      </c>
      <c r="C2744" t="str">
        <f t="shared" si="42"/>
        <v/>
      </c>
    </row>
    <row r="2745" spans="1:3" x14ac:dyDescent="0.25">
      <c r="A2745" t="str">
        <f>IF(Scan2VK!T29&lt;&gt;"",Scan2VK!T29,"")</f>
        <v>OEM_3</v>
      </c>
      <c r="B2745" t="str">
        <f>IF(ISERROR(MATCH(0,INDEX(COUNTIF($B$1:B2744,$A$2:$A$4629),0,0),0)),"",INDEX($A$2:$A$4629,MATCH(0,INDEX(COUNTIF($B$1:B2744,$A$2:$A$4629),0,0),0)))</f>
        <v/>
      </c>
      <c r="C2745" t="str">
        <f t="shared" si="42"/>
        <v/>
      </c>
    </row>
    <row r="2746" spans="1:3" x14ac:dyDescent="0.25">
      <c r="A2746" t="str">
        <f>IF(Scan2VK!T30&lt;&gt;"",Scan2VK!T30,"")</f>
        <v>OEM_4</v>
      </c>
      <c r="B2746" t="str">
        <f>IF(ISERROR(MATCH(0,INDEX(COUNTIF($B$1:B2745,$A$2:$A$4629),0,0),0)),"",INDEX($A$2:$A$4629,MATCH(0,INDEX(COUNTIF($B$1:B2745,$A$2:$A$4629),0,0),0)))</f>
        <v/>
      </c>
      <c r="C2746" t="str">
        <f t="shared" si="42"/>
        <v/>
      </c>
    </row>
    <row r="2747" spans="1:3" x14ac:dyDescent="0.25">
      <c r="A2747" t="str">
        <f>IF(Scan2VK!T31&lt;&gt;"",Scan2VK!T31,"")</f>
        <v>RETURN</v>
      </c>
      <c r="B2747" t="str">
        <f>IF(ISERROR(MATCH(0,INDEX(COUNTIF($B$1:B2746,$A$2:$A$4629),0,0),0)),"",INDEX($A$2:$A$4629,MATCH(0,INDEX(COUNTIF($B$1:B2746,$A$2:$A$4629),0,0),0)))</f>
        <v/>
      </c>
      <c r="C2747" t="str">
        <f t="shared" si="42"/>
        <v/>
      </c>
    </row>
    <row r="2748" spans="1:3" x14ac:dyDescent="0.25">
      <c r="A2748" t="str">
        <f>IF(Scan2VK!T32&lt;&gt;"",Scan2VK!T32,"")</f>
        <v>'A'</v>
      </c>
      <c r="B2748" t="str">
        <f>IF(ISERROR(MATCH(0,INDEX(COUNTIF($B$1:B2747,$A$2:$A$4629),0,0),0)),"",INDEX($A$2:$A$4629,MATCH(0,INDEX(COUNTIF($B$1:B2747,$A$2:$A$4629),0,0),0)))</f>
        <v/>
      </c>
      <c r="C2748" t="str">
        <f t="shared" si="42"/>
        <v/>
      </c>
    </row>
    <row r="2749" spans="1:3" x14ac:dyDescent="0.25">
      <c r="A2749" t="str">
        <f>IF(Scan2VK!T33&lt;&gt;"",Scan2VK!T33,"")</f>
        <v>'S'</v>
      </c>
      <c r="B2749" t="str">
        <f>IF(ISERROR(MATCH(0,INDEX(COUNTIF($B$1:B2748,$A$2:$A$4629),0,0),0)),"",INDEX($A$2:$A$4629,MATCH(0,INDEX(COUNTIF($B$1:B2748,$A$2:$A$4629),0,0),0)))</f>
        <v/>
      </c>
      <c r="C2749" t="str">
        <f t="shared" si="42"/>
        <v/>
      </c>
    </row>
    <row r="2750" spans="1:3" x14ac:dyDescent="0.25">
      <c r="A2750" t="str">
        <f>IF(Scan2VK!T34&lt;&gt;"",Scan2VK!T34,"")</f>
        <v>'D'</v>
      </c>
      <c r="B2750" t="str">
        <f>IF(ISERROR(MATCH(0,INDEX(COUNTIF($B$1:B2749,$A$2:$A$4629),0,0),0)),"",INDEX($A$2:$A$4629,MATCH(0,INDEX(COUNTIF($B$1:B2749,$A$2:$A$4629),0,0),0)))</f>
        <v/>
      </c>
      <c r="C2750" t="str">
        <f t="shared" si="42"/>
        <v/>
      </c>
    </row>
    <row r="2751" spans="1:3" x14ac:dyDescent="0.25">
      <c r="A2751" t="str">
        <f>IF(Scan2VK!T35&lt;&gt;"",Scan2VK!T35,"")</f>
        <v>'F'</v>
      </c>
      <c r="B2751" t="str">
        <f>IF(ISERROR(MATCH(0,INDEX(COUNTIF($B$1:B2750,$A$2:$A$4629),0,0),0)),"",INDEX($A$2:$A$4629,MATCH(0,INDEX(COUNTIF($B$1:B2750,$A$2:$A$4629),0,0),0)))</f>
        <v/>
      </c>
      <c r="C2751" t="str">
        <f t="shared" si="42"/>
        <v/>
      </c>
    </row>
    <row r="2752" spans="1:3" x14ac:dyDescent="0.25">
      <c r="A2752" t="str">
        <f>IF(Scan2VK!T36&lt;&gt;"",Scan2VK!T36,"")</f>
        <v>'G'</v>
      </c>
      <c r="B2752" t="str">
        <f>IF(ISERROR(MATCH(0,INDEX(COUNTIF($B$1:B2751,$A$2:$A$4629),0,0),0)),"",INDEX($A$2:$A$4629,MATCH(0,INDEX(COUNTIF($B$1:B2751,$A$2:$A$4629),0,0),0)))</f>
        <v/>
      </c>
      <c r="C2752" t="str">
        <f t="shared" si="42"/>
        <v/>
      </c>
    </row>
    <row r="2753" spans="1:3" x14ac:dyDescent="0.25">
      <c r="A2753" t="str">
        <f>IF(Scan2VK!T37&lt;&gt;"",Scan2VK!T37,"")</f>
        <v>'H'</v>
      </c>
      <c r="B2753" t="str">
        <f>IF(ISERROR(MATCH(0,INDEX(COUNTIF($B$1:B2752,$A$2:$A$4629),0,0),0)),"",INDEX($A$2:$A$4629,MATCH(0,INDEX(COUNTIF($B$1:B2752,$A$2:$A$4629),0,0),0)))</f>
        <v/>
      </c>
      <c r="C2753" t="str">
        <f t="shared" si="42"/>
        <v/>
      </c>
    </row>
    <row r="2754" spans="1:3" x14ac:dyDescent="0.25">
      <c r="A2754" t="str">
        <f>IF(Scan2VK!T38&lt;&gt;"",Scan2VK!T38,"")</f>
        <v>'J'</v>
      </c>
      <c r="B2754" t="str">
        <f>IF(ISERROR(MATCH(0,INDEX(COUNTIF($B$1:B2753,$A$2:$A$4629),0,0),0)),"",INDEX($A$2:$A$4629,MATCH(0,INDEX(COUNTIF($B$1:B2753,$A$2:$A$4629),0,0),0)))</f>
        <v/>
      </c>
      <c r="C2754" t="str">
        <f t="shared" si="42"/>
        <v/>
      </c>
    </row>
    <row r="2755" spans="1:3" x14ac:dyDescent="0.25">
      <c r="A2755" t="str">
        <f>IF(Scan2VK!T39&lt;&gt;"",Scan2VK!T39,"")</f>
        <v>'K'</v>
      </c>
      <c r="B2755" t="str">
        <f>IF(ISERROR(MATCH(0,INDEX(COUNTIF($B$1:B2754,$A$2:$A$4629),0,0),0)),"",INDEX($A$2:$A$4629,MATCH(0,INDEX(COUNTIF($B$1:B2754,$A$2:$A$4629),0,0),0)))</f>
        <v/>
      </c>
      <c r="C2755" t="str">
        <f t="shared" ref="C2755:C2818" si="43">IF(B2755&lt;&gt;"","&lt;xs:enumeration value="""&amp;B2755&amp;"""/&gt;","")</f>
        <v/>
      </c>
    </row>
    <row r="2756" spans="1:3" x14ac:dyDescent="0.25">
      <c r="A2756" t="str">
        <f>IF(Scan2VK!T40&lt;&gt;"",Scan2VK!T40,"")</f>
        <v>'L'</v>
      </c>
      <c r="B2756" t="str">
        <f>IF(ISERROR(MATCH(0,INDEX(COUNTIF($B$1:B2755,$A$2:$A$4629),0,0),0)),"",INDEX($A$2:$A$4629,MATCH(0,INDEX(COUNTIF($B$1:B2755,$A$2:$A$4629),0,0),0)))</f>
        <v/>
      </c>
      <c r="C2756" t="str">
        <f t="shared" si="43"/>
        <v/>
      </c>
    </row>
    <row r="2757" spans="1:3" x14ac:dyDescent="0.25">
      <c r="A2757" t="str">
        <f>IF(Scan2VK!T41&lt;&gt;"",Scan2VK!T41,"")</f>
        <v>OEM_PLUS</v>
      </c>
      <c r="B2757" t="str">
        <f>IF(ISERROR(MATCH(0,INDEX(COUNTIF($B$1:B2756,$A$2:$A$4629),0,0),0)),"",INDEX($A$2:$A$4629,MATCH(0,INDEX(COUNTIF($B$1:B2756,$A$2:$A$4629),0,0),0)))</f>
        <v/>
      </c>
      <c r="C2757" t="str">
        <f t="shared" si="43"/>
        <v/>
      </c>
    </row>
    <row r="2758" spans="1:3" x14ac:dyDescent="0.25">
      <c r="A2758" t="str">
        <f>IF(Scan2VK!T42&lt;&gt;"",Scan2VK!T42,"")</f>
        <v>OEM_1</v>
      </c>
      <c r="B2758" t="str">
        <f>IF(ISERROR(MATCH(0,INDEX(COUNTIF($B$1:B2757,$A$2:$A$4629),0,0),0)),"",INDEX($A$2:$A$4629,MATCH(0,INDEX(COUNTIF($B$1:B2757,$A$2:$A$4629),0,0),0)))</f>
        <v/>
      </c>
      <c r="C2758" t="str">
        <f t="shared" si="43"/>
        <v/>
      </c>
    </row>
    <row r="2759" spans="1:3" x14ac:dyDescent="0.25">
      <c r="A2759" t="str">
        <f>IF(Scan2VK!T43&lt;&gt;"",Scan2VK!T43,"")</f>
        <v>OEM_6</v>
      </c>
      <c r="B2759" t="str">
        <f>IF(ISERROR(MATCH(0,INDEX(COUNTIF($B$1:B2758,$A$2:$A$4629),0,0),0)),"",INDEX($A$2:$A$4629,MATCH(0,INDEX(COUNTIF($B$1:B2758,$A$2:$A$4629),0,0),0)))</f>
        <v/>
      </c>
      <c r="C2759" t="str">
        <f t="shared" si="43"/>
        <v/>
      </c>
    </row>
    <row r="2760" spans="1:3" x14ac:dyDescent="0.25">
      <c r="A2760" t="str">
        <f>IF(Scan2VK!T44&lt;&gt;"",Scan2VK!T44,"")</f>
        <v>'Z'</v>
      </c>
      <c r="B2760" t="str">
        <f>IF(ISERROR(MATCH(0,INDEX(COUNTIF($B$1:B2759,$A$2:$A$4629),0,0),0)),"",INDEX($A$2:$A$4629,MATCH(0,INDEX(COUNTIF($B$1:B2759,$A$2:$A$4629),0,0),0)))</f>
        <v/>
      </c>
      <c r="C2760" t="str">
        <f t="shared" si="43"/>
        <v/>
      </c>
    </row>
    <row r="2761" spans="1:3" x14ac:dyDescent="0.25">
      <c r="A2761" t="str">
        <f>IF(Scan2VK!T45&lt;&gt;"",Scan2VK!T45,"")</f>
        <v>'X'</v>
      </c>
      <c r="B2761" t="str">
        <f>IF(ISERROR(MATCH(0,INDEX(COUNTIF($B$1:B2760,$A$2:$A$4629),0,0),0)),"",INDEX($A$2:$A$4629,MATCH(0,INDEX(COUNTIF($B$1:B2760,$A$2:$A$4629),0,0),0)))</f>
        <v/>
      </c>
      <c r="C2761" t="str">
        <f t="shared" si="43"/>
        <v/>
      </c>
    </row>
    <row r="2762" spans="1:3" x14ac:dyDescent="0.25">
      <c r="A2762" t="str">
        <f>IF(Scan2VK!T46&lt;&gt;"",Scan2VK!T46,"")</f>
        <v>'C'</v>
      </c>
      <c r="B2762" t="str">
        <f>IF(ISERROR(MATCH(0,INDEX(COUNTIF($B$1:B2761,$A$2:$A$4629),0,0),0)),"",INDEX($A$2:$A$4629,MATCH(0,INDEX(COUNTIF($B$1:B2761,$A$2:$A$4629),0,0),0)))</f>
        <v/>
      </c>
      <c r="C2762" t="str">
        <f t="shared" si="43"/>
        <v/>
      </c>
    </row>
    <row r="2763" spans="1:3" x14ac:dyDescent="0.25">
      <c r="A2763" t="str">
        <f>IF(Scan2VK!T47&lt;&gt;"",Scan2VK!T47,"")</f>
        <v>'V'</v>
      </c>
      <c r="B2763" t="str">
        <f>IF(ISERROR(MATCH(0,INDEX(COUNTIF($B$1:B2762,$A$2:$A$4629),0,0),0)),"",INDEX($A$2:$A$4629,MATCH(0,INDEX(COUNTIF($B$1:B2762,$A$2:$A$4629),0,0),0)))</f>
        <v/>
      </c>
      <c r="C2763" t="str">
        <f t="shared" si="43"/>
        <v/>
      </c>
    </row>
    <row r="2764" spans="1:3" x14ac:dyDescent="0.25">
      <c r="A2764" t="str">
        <f>IF(Scan2VK!T48&lt;&gt;"",Scan2VK!T48,"")</f>
        <v>'B'</v>
      </c>
      <c r="B2764" t="str">
        <f>IF(ISERROR(MATCH(0,INDEX(COUNTIF($B$1:B2763,$A$2:$A$4629),0,0),0)),"",INDEX($A$2:$A$4629,MATCH(0,INDEX(COUNTIF($B$1:B2763,$A$2:$A$4629),0,0),0)))</f>
        <v/>
      </c>
      <c r="C2764" t="str">
        <f t="shared" si="43"/>
        <v/>
      </c>
    </row>
    <row r="2765" spans="1:3" x14ac:dyDescent="0.25">
      <c r="A2765" t="str">
        <f>IF(Scan2VK!T49&lt;&gt;"",Scan2VK!T49,"")</f>
        <v>'N'</v>
      </c>
      <c r="B2765" t="str">
        <f>IF(ISERROR(MATCH(0,INDEX(COUNTIF($B$1:B2764,$A$2:$A$4629),0,0),0)),"",INDEX($A$2:$A$4629,MATCH(0,INDEX(COUNTIF($B$1:B2764,$A$2:$A$4629),0,0),0)))</f>
        <v/>
      </c>
      <c r="C2765" t="str">
        <f t="shared" si="43"/>
        <v/>
      </c>
    </row>
    <row r="2766" spans="1:3" x14ac:dyDescent="0.25">
      <c r="A2766" t="str">
        <f>IF(Scan2VK!T50&lt;&gt;"",Scan2VK!T50,"")</f>
        <v>'M'</v>
      </c>
      <c r="B2766" t="str">
        <f>IF(ISERROR(MATCH(0,INDEX(COUNTIF($B$1:B2765,$A$2:$A$4629),0,0),0)),"",INDEX($A$2:$A$4629,MATCH(0,INDEX(COUNTIF($B$1:B2765,$A$2:$A$4629),0,0),0)))</f>
        <v/>
      </c>
      <c r="C2766" t="str">
        <f t="shared" si="43"/>
        <v/>
      </c>
    </row>
    <row r="2767" spans="1:3" x14ac:dyDescent="0.25">
      <c r="A2767" t="str">
        <f>IF(Scan2VK!T51&lt;&gt;"",Scan2VK!T51,"")</f>
        <v>OEM_COMMA</v>
      </c>
      <c r="B2767" t="str">
        <f>IF(ISERROR(MATCH(0,INDEX(COUNTIF($B$1:B2766,$A$2:$A$4629),0,0),0)),"",INDEX($A$2:$A$4629,MATCH(0,INDEX(COUNTIF($B$1:B2766,$A$2:$A$4629),0,0),0)))</f>
        <v/>
      </c>
      <c r="C2767" t="str">
        <f t="shared" si="43"/>
        <v/>
      </c>
    </row>
    <row r="2768" spans="1:3" x14ac:dyDescent="0.25">
      <c r="A2768" t="str">
        <f>IF(Scan2VK!T52&lt;&gt;"",Scan2VK!T52,"")</f>
        <v>OEM_PERIOD</v>
      </c>
      <c r="B2768" t="str">
        <f>IF(ISERROR(MATCH(0,INDEX(COUNTIF($B$1:B2767,$A$2:$A$4629),0,0),0)),"",INDEX($A$2:$A$4629,MATCH(0,INDEX(COUNTIF($B$1:B2767,$A$2:$A$4629),0,0),0)))</f>
        <v/>
      </c>
      <c r="C2768" t="str">
        <f t="shared" si="43"/>
        <v/>
      </c>
    </row>
    <row r="2769" spans="1:3" x14ac:dyDescent="0.25">
      <c r="A2769" t="str">
        <f>IF(Scan2VK!T53&lt;&gt;"",Scan2VK!T53,"")</f>
        <v>OEM_2</v>
      </c>
      <c r="B2769" t="str">
        <f>IF(ISERROR(MATCH(0,INDEX(COUNTIF($B$1:B2768,$A$2:$A$4629),0,0),0)),"",INDEX($A$2:$A$4629,MATCH(0,INDEX(COUNTIF($B$1:B2768,$A$2:$A$4629),0,0),0)))</f>
        <v/>
      </c>
      <c r="C2769" t="str">
        <f t="shared" si="43"/>
        <v/>
      </c>
    </row>
    <row r="2770" spans="1:3" x14ac:dyDescent="0.25">
      <c r="A2770" t="str">
        <f>IF(Scan2VK!T54&lt;&gt;"",Scan2VK!T54,"")</f>
        <v>OEM_8</v>
      </c>
      <c r="B2770" t="str">
        <f>IF(ISERROR(MATCH(0,INDEX(COUNTIF($B$1:B2769,$A$2:$A$4629),0,0),0)),"",INDEX($A$2:$A$4629,MATCH(0,INDEX(COUNTIF($B$1:B2769,$A$2:$A$4629),0,0),0)))</f>
        <v/>
      </c>
      <c r="C2770" t="str">
        <f t="shared" si="43"/>
        <v/>
      </c>
    </row>
    <row r="2771" spans="1:3" x14ac:dyDescent="0.25">
      <c r="A2771" t="str">
        <f>IF(Scan2VK!T55&lt;&gt;"",Scan2VK!T55,"")</f>
        <v>''</v>
      </c>
      <c r="B2771" t="str">
        <f>IF(ISERROR(MATCH(0,INDEX(COUNTIF($B$1:B2770,$A$2:$A$4629),0,0),0)),"",INDEX($A$2:$A$4629,MATCH(0,INDEX(COUNTIF($B$1:B2770,$A$2:$A$4629),0,0),0)))</f>
        <v/>
      </c>
      <c r="C2771" t="str">
        <f t="shared" si="43"/>
        <v/>
      </c>
    </row>
    <row r="2772" spans="1:3" x14ac:dyDescent="0.25">
      <c r="A2772" t="str">
        <f>IF(Scan2VK!T56&lt;&gt;"",Scan2VK!T56,"")</f>
        <v>MULTIPLY</v>
      </c>
      <c r="B2772" t="str">
        <f>IF(ISERROR(MATCH(0,INDEX(COUNTIF($B$1:B2771,$A$2:$A$4629),0,0),0)),"",INDEX($A$2:$A$4629,MATCH(0,INDEX(COUNTIF($B$1:B2771,$A$2:$A$4629),0,0),0)))</f>
        <v/>
      </c>
      <c r="C2772" t="str">
        <f t="shared" si="43"/>
        <v/>
      </c>
    </row>
    <row r="2773" spans="1:3" x14ac:dyDescent="0.25">
      <c r="A2773" t="str">
        <f>IF(Scan2VK!T57&lt;&gt;"",Scan2VK!T57,"")</f>
        <v>DIVIDE</v>
      </c>
      <c r="B2773" t="str">
        <f>IF(ISERROR(MATCH(0,INDEX(COUNTIF($B$1:B2772,$A$2:$A$4629),0,0),0)),"",INDEX($A$2:$A$4629,MATCH(0,INDEX(COUNTIF($B$1:B2772,$A$2:$A$4629),0,0),0)))</f>
        <v/>
      </c>
      <c r="C2773" t="str">
        <f t="shared" si="43"/>
        <v/>
      </c>
    </row>
    <row r="2774" spans="1:3" x14ac:dyDescent="0.25">
      <c r="A2774" t="str">
        <f>IF(Scan2VK!T58&lt;&gt;"",Scan2VK!T58,"")</f>
        <v>ADD</v>
      </c>
      <c r="B2774" t="str">
        <f>IF(ISERROR(MATCH(0,INDEX(COUNTIF($B$1:B2773,$A$2:$A$4629),0,0),0)),"",INDEX($A$2:$A$4629,MATCH(0,INDEX(COUNTIF($B$1:B2773,$A$2:$A$4629),0,0),0)))</f>
        <v/>
      </c>
      <c r="C2774" t="str">
        <f t="shared" si="43"/>
        <v/>
      </c>
    </row>
    <row r="2775" spans="1:3" x14ac:dyDescent="0.25">
      <c r="A2775" t="str">
        <f>IF(Scan2VK!T59&lt;&gt;"",Scan2VK!T59,"")</f>
        <v>SUBTRACT</v>
      </c>
      <c r="B2775" t="str">
        <f>IF(ISERROR(MATCH(0,INDEX(COUNTIF($B$1:B2774,$A$2:$A$4629),0,0),0)),"",INDEX($A$2:$A$4629,MATCH(0,INDEX(COUNTIF($B$1:B2774,$A$2:$A$4629),0,0),0)))</f>
        <v/>
      </c>
      <c r="C2775" t="str">
        <f t="shared" si="43"/>
        <v/>
      </c>
    </row>
    <row r="2776" spans="1:3" x14ac:dyDescent="0.25">
      <c r="A2776" t="str">
        <f>IF(Scan2VK!T60&lt;&gt;"",Scan2VK!T60,"")</f>
        <v>NUMPAD7</v>
      </c>
      <c r="B2776" t="str">
        <f>IF(ISERROR(MATCH(0,INDEX(COUNTIF($B$1:B2775,$A$2:$A$4629),0,0),0)),"",INDEX($A$2:$A$4629,MATCH(0,INDEX(COUNTIF($B$1:B2775,$A$2:$A$4629),0,0),0)))</f>
        <v/>
      </c>
      <c r="C2776" t="str">
        <f t="shared" si="43"/>
        <v/>
      </c>
    </row>
    <row r="2777" spans="1:3" x14ac:dyDescent="0.25">
      <c r="A2777" t="str">
        <f>IF(Scan2VK!T61&lt;&gt;"",Scan2VK!T61,"")</f>
        <v>NUMPAD8</v>
      </c>
      <c r="B2777" t="str">
        <f>IF(ISERROR(MATCH(0,INDEX(COUNTIF($B$1:B2776,$A$2:$A$4629),0,0),0)),"",INDEX($A$2:$A$4629,MATCH(0,INDEX(COUNTIF($B$1:B2776,$A$2:$A$4629),0,0),0)))</f>
        <v/>
      </c>
      <c r="C2777" t="str">
        <f t="shared" si="43"/>
        <v/>
      </c>
    </row>
    <row r="2778" spans="1:3" x14ac:dyDescent="0.25">
      <c r="A2778" t="str">
        <f>IF(Scan2VK!T62&lt;&gt;"",Scan2VK!T62,"")</f>
        <v>NUMPAD9</v>
      </c>
      <c r="B2778" t="str">
        <f>IF(ISERROR(MATCH(0,INDEX(COUNTIF($B$1:B2777,$A$2:$A$4629),0,0),0)),"",INDEX($A$2:$A$4629,MATCH(0,INDEX(COUNTIF($B$1:B2777,$A$2:$A$4629),0,0),0)))</f>
        <v/>
      </c>
      <c r="C2778" t="str">
        <f t="shared" si="43"/>
        <v/>
      </c>
    </row>
    <row r="2779" spans="1:3" x14ac:dyDescent="0.25">
      <c r="A2779" t="str">
        <f>IF(Scan2VK!T63&lt;&gt;"",Scan2VK!T63,"")</f>
        <v>EQUAL</v>
      </c>
      <c r="B2779" t="str">
        <f>IF(ISERROR(MATCH(0,INDEX(COUNTIF($B$1:B2778,$A$2:$A$4629),0,0),0)),"",INDEX($A$2:$A$4629,MATCH(0,INDEX(COUNTIF($B$1:B2778,$A$2:$A$4629),0,0),0)))</f>
        <v/>
      </c>
      <c r="C2779" t="str">
        <f t="shared" si="43"/>
        <v/>
      </c>
    </row>
    <row r="2780" spans="1:3" x14ac:dyDescent="0.25">
      <c r="A2780" t="str">
        <f>IF(Scan2VK!T64&lt;&gt;"",Scan2VK!T64,"")</f>
        <v>NUMPAD4</v>
      </c>
      <c r="B2780" t="str">
        <f>IF(ISERROR(MATCH(0,INDEX(COUNTIF($B$1:B2779,$A$2:$A$4629),0,0),0)),"",INDEX($A$2:$A$4629,MATCH(0,INDEX(COUNTIF($B$1:B2779,$A$2:$A$4629),0,0),0)))</f>
        <v/>
      </c>
      <c r="C2780" t="str">
        <f t="shared" si="43"/>
        <v/>
      </c>
    </row>
    <row r="2781" spans="1:3" x14ac:dyDescent="0.25">
      <c r="A2781" t="str">
        <f>IF(Scan2VK!T65&lt;&gt;"",Scan2VK!T65,"")</f>
        <v>NUMPAD5</v>
      </c>
      <c r="B2781" t="str">
        <f>IF(ISERROR(MATCH(0,INDEX(COUNTIF($B$1:B2780,$A$2:$A$4629),0,0),0)),"",INDEX($A$2:$A$4629,MATCH(0,INDEX(COUNTIF($B$1:B2780,$A$2:$A$4629),0,0),0)))</f>
        <v/>
      </c>
      <c r="C2781" t="str">
        <f t="shared" si="43"/>
        <v/>
      </c>
    </row>
    <row r="2782" spans="1:3" x14ac:dyDescent="0.25">
      <c r="A2782" t="str">
        <f>IF(Scan2VK!T66&lt;&gt;"",Scan2VK!T66,"")</f>
        <v>NUMPAD6</v>
      </c>
      <c r="B2782" t="str">
        <f>IF(ISERROR(MATCH(0,INDEX(COUNTIF($B$1:B2781,$A$2:$A$4629),0,0),0)),"",INDEX($A$2:$A$4629,MATCH(0,INDEX(COUNTIF($B$1:B2781,$A$2:$A$4629),0,0),0)))</f>
        <v/>
      </c>
      <c r="C2782" t="str">
        <f t="shared" si="43"/>
        <v/>
      </c>
    </row>
    <row r="2783" spans="1:3" x14ac:dyDescent="0.25">
      <c r="A2783" t="str">
        <f>IF(Scan2VK!T67&lt;&gt;"",Scan2VK!T67,"")</f>
        <v>SEPARATOR</v>
      </c>
      <c r="B2783" t="str">
        <f>IF(ISERROR(MATCH(0,INDEX(COUNTIF($B$1:B2782,$A$2:$A$4629),0,0),0)),"",INDEX($A$2:$A$4629,MATCH(0,INDEX(COUNTIF($B$1:B2782,$A$2:$A$4629),0,0),0)))</f>
        <v/>
      </c>
      <c r="C2783" t="str">
        <f t="shared" si="43"/>
        <v/>
      </c>
    </row>
    <row r="2784" spans="1:3" x14ac:dyDescent="0.25">
      <c r="A2784" t="str">
        <f>IF(Scan2VK!T68&lt;&gt;"",Scan2VK!T68,"")</f>
        <v>NUMPAD1</v>
      </c>
      <c r="B2784" t="str">
        <f>IF(ISERROR(MATCH(0,INDEX(COUNTIF($B$1:B2783,$A$2:$A$4629),0,0),0)),"",INDEX($A$2:$A$4629,MATCH(0,INDEX(COUNTIF($B$1:B2783,$A$2:$A$4629),0,0),0)))</f>
        <v/>
      </c>
      <c r="C2784" t="str">
        <f t="shared" si="43"/>
        <v/>
      </c>
    </row>
    <row r="2785" spans="1:3" x14ac:dyDescent="0.25">
      <c r="A2785" t="str">
        <f>IF(Scan2VK!T69&lt;&gt;"",Scan2VK!T69,"")</f>
        <v>NUMPAD2</v>
      </c>
      <c r="B2785" t="str">
        <f>IF(ISERROR(MATCH(0,INDEX(COUNTIF($B$1:B2784,$A$2:$A$4629),0,0),0)),"",INDEX($A$2:$A$4629,MATCH(0,INDEX(COUNTIF($B$1:B2784,$A$2:$A$4629),0,0),0)))</f>
        <v/>
      </c>
      <c r="C2785" t="str">
        <f t="shared" si="43"/>
        <v/>
      </c>
    </row>
    <row r="2786" spans="1:3" x14ac:dyDescent="0.25">
      <c r="A2786" t="str">
        <f>IF(Scan2VK!T70&lt;&gt;"",Scan2VK!T70,"")</f>
        <v>NUMPAD3</v>
      </c>
      <c r="B2786" t="str">
        <f>IF(ISERROR(MATCH(0,INDEX(COUNTIF($B$1:B2785,$A$2:$A$4629),0,0),0)),"",INDEX($A$2:$A$4629,MATCH(0,INDEX(COUNTIF($B$1:B2785,$A$2:$A$4629),0,0),0)))</f>
        <v/>
      </c>
      <c r="C2786" t="str">
        <f t="shared" si="43"/>
        <v/>
      </c>
    </row>
    <row r="2787" spans="1:3" x14ac:dyDescent="0.25">
      <c r="A2787" t="str">
        <f>IF(Scan2VK!T71&lt;&gt;"",Scan2VK!T71,"")</f>
        <v>RETURN</v>
      </c>
      <c r="B2787" t="str">
        <f>IF(ISERROR(MATCH(0,INDEX(COUNTIF($B$1:B2786,$A$2:$A$4629),0,0),0)),"",INDEX($A$2:$A$4629,MATCH(0,INDEX(COUNTIF($B$1:B2786,$A$2:$A$4629),0,0),0)))</f>
        <v/>
      </c>
      <c r="C2787" t="str">
        <f t="shared" si="43"/>
        <v/>
      </c>
    </row>
    <row r="2788" spans="1:3" x14ac:dyDescent="0.25">
      <c r="A2788" t="str">
        <f>IF(Scan2VK!T72&lt;&gt;"",Scan2VK!T72,"")</f>
        <v>NUMPAD0</v>
      </c>
      <c r="B2788" t="str">
        <f>IF(ISERROR(MATCH(0,INDEX(COUNTIF($B$1:B2787,$A$2:$A$4629),0,0),0)),"",INDEX($A$2:$A$4629,MATCH(0,INDEX(COUNTIF($B$1:B2787,$A$2:$A$4629),0,0),0)))</f>
        <v/>
      </c>
      <c r="C2788" t="str">
        <f t="shared" si="43"/>
        <v/>
      </c>
    </row>
    <row r="2789" spans="1:3" x14ac:dyDescent="0.25">
      <c r="A2789" t="str">
        <f>IF(Scan2VK!T73&lt;&gt;"",Scan2VK!T73,"")</f>
        <v>DECIMAL</v>
      </c>
      <c r="B2789" t="str">
        <f>IF(ISERROR(MATCH(0,INDEX(COUNTIF($B$1:B2788,$A$2:$A$4629),0,0),0)),"",INDEX($A$2:$A$4629,MATCH(0,INDEX(COUNTIF($B$1:B2788,$A$2:$A$4629),0,0),0)))</f>
        <v/>
      </c>
      <c r="C2789" t="str">
        <f t="shared" si="43"/>
        <v/>
      </c>
    </row>
    <row r="2790" spans="1:3" x14ac:dyDescent="0.25">
      <c r="A2790" t="str">
        <f>IF(Scan2VK!T74&lt;&gt;"",Scan2VK!T74,"")</f>
        <v>INSERT</v>
      </c>
      <c r="B2790" t="str">
        <f>IF(ISERROR(MATCH(0,INDEX(COUNTIF($B$1:B2789,$A$2:$A$4629),0,0),0)),"",INDEX($A$2:$A$4629,MATCH(0,INDEX(COUNTIF($B$1:B2789,$A$2:$A$4629),0,0),0)))</f>
        <v/>
      </c>
      <c r="C2790" t="str">
        <f t="shared" si="43"/>
        <v/>
      </c>
    </row>
    <row r="2791" spans="1:3" x14ac:dyDescent="0.25">
      <c r="A2791" t="str">
        <f>IF(Scan2VK!T75&lt;&gt;"",Scan2VK!T75,"")</f>
        <v>OEM_00</v>
      </c>
      <c r="B2791" t="str">
        <f>IF(ISERROR(MATCH(0,INDEX(COUNTIF($B$1:B2790,$A$2:$A$4629),0,0),0)),"",INDEX($A$2:$A$4629,MATCH(0,INDEX(COUNTIF($B$1:B2790,$A$2:$A$4629),0,0),0)))</f>
        <v/>
      </c>
      <c r="C2791" t="str">
        <f t="shared" si="43"/>
        <v/>
      </c>
    </row>
    <row r="2792" spans="1:3" x14ac:dyDescent="0.25">
      <c r="A2792" t="str">
        <f>IF(Scan2VK!T76&lt;&gt;"",Scan2VK!T76,"")</f>
        <v>OEM_000</v>
      </c>
      <c r="B2792" t="str">
        <f>IF(ISERROR(MATCH(0,INDEX(COUNTIF($B$1:B2791,$A$2:$A$4629),0,0),0)),"",INDEX($A$2:$A$4629,MATCH(0,INDEX(COUNTIF($B$1:B2791,$A$2:$A$4629),0,0),0)))</f>
        <v/>
      </c>
      <c r="C2792" t="str">
        <f t="shared" si="43"/>
        <v/>
      </c>
    </row>
    <row r="2793" spans="1:3" x14ac:dyDescent="0.25">
      <c r="A2793" t="str">
        <f>IF(Scan2VK!T77&lt;&gt;"",Scan2VK!T77,"")</f>
        <v>DELETE</v>
      </c>
      <c r="B2793" t="str">
        <f>IF(ISERROR(MATCH(0,INDEX(COUNTIF($B$1:B2792,$A$2:$A$4629),0,0),0)),"",INDEX($A$2:$A$4629,MATCH(0,INDEX(COUNTIF($B$1:B2792,$A$2:$A$4629),0,0),0)))</f>
        <v/>
      </c>
      <c r="C2793" t="str">
        <f t="shared" si="43"/>
        <v/>
      </c>
    </row>
    <row r="2794" spans="1:3" x14ac:dyDescent="0.25">
      <c r="A2794" t="str">
        <f>IF(Scan2VK!T78&lt;&gt;"",Scan2VK!T78,"")</f>
        <v>_none_</v>
      </c>
      <c r="B2794" t="str">
        <f>IF(ISERROR(MATCH(0,INDEX(COUNTIF($B$1:B2793,$A$2:$A$4629),0,0),0)),"",INDEX($A$2:$A$4629,MATCH(0,INDEX(COUNTIF($B$1:B2793,$A$2:$A$4629),0,0),0)))</f>
        <v/>
      </c>
      <c r="C2794" t="str">
        <f t="shared" si="43"/>
        <v/>
      </c>
    </row>
    <row r="2795" spans="1:3" x14ac:dyDescent="0.25">
      <c r="A2795" t="str">
        <f>IF(Scan2VK!T79&lt;&gt;"",Scan2VK!T79,"")</f>
        <v>UP</v>
      </c>
      <c r="B2795" t="str">
        <f>IF(ISERROR(MATCH(0,INDEX(COUNTIF($B$1:B2794,$A$2:$A$4629),0,0),0)),"",INDEX($A$2:$A$4629,MATCH(0,INDEX(COUNTIF($B$1:B2794,$A$2:$A$4629),0,0),0)))</f>
        <v/>
      </c>
      <c r="C2795" t="str">
        <f t="shared" si="43"/>
        <v/>
      </c>
    </row>
    <row r="2796" spans="1:3" x14ac:dyDescent="0.25">
      <c r="A2796" t="str">
        <f>IF(Scan2VK!T80&lt;&gt;"",Scan2VK!T80,"")</f>
        <v>HOME</v>
      </c>
      <c r="B2796" t="str">
        <f>IF(ISERROR(MATCH(0,INDEX(COUNTIF($B$1:B2795,$A$2:$A$4629),0,0),0)),"",INDEX($A$2:$A$4629,MATCH(0,INDEX(COUNTIF($B$1:B2795,$A$2:$A$4629),0,0),0)))</f>
        <v/>
      </c>
      <c r="C2796" t="str">
        <f t="shared" si="43"/>
        <v/>
      </c>
    </row>
    <row r="2797" spans="1:3" x14ac:dyDescent="0.25">
      <c r="A2797" t="str">
        <f>IF(Scan2VK!T81&lt;&gt;"",Scan2VK!T81,"")</f>
        <v>LEFT</v>
      </c>
      <c r="B2797" t="str">
        <f>IF(ISERROR(MATCH(0,INDEX(COUNTIF($B$1:B2796,$A$2:$A$4629),0,0),0)),"",INDEX($A$2:$A$4629,MATCH(0,INDEX(COUNTIF($B$1:B2796,$A$2:$A$4629),0,0),0)))</f>
        <v/>
      </c>
      <c r="C2797" t="str">
        <f t="shared" si="43"/>
        <v/>
      </c>
    </row>
    <row r="2798" spans="1:3" x14ac:dyDescent="0.25">
      <c r="A2798" t="str">
        <f>IF(Scan2VK!T82&lt;&gt;"",Scan2VK!T82,"")</f>
        <v>DOWN</v>
      </c>
      <c r="B2798" t="str">
        <f>IF(ISERROR(MATCH(0,INDEX(COUNTIF($B$1:B2797,$A$2:$A$4629),0,0),0)),"",INDEX($A$2:$A$4629,MATCH(0,INDEX(COUNTIF($B$1:B2797,$A$2:$A$4629),0,0),0)))</f>
        <v/>
      </c>
      <c r="C2798" t="str">
        <f t="shared" si="43"/>
        <v/>
      </c>
    </row>
    <row r="2799" spans="1:3" x14ac:dyDescent="0.25">
      <c r="A2799" t="str">
        <f>IF(Scan2VK!T83&lt;&gt;"",Scan2VK!T83,"")</f>
        <v>RIGHT</v>
      </c>
      <c r="B2799" t="str">
        <f>IF(ISERROR(MATCH(0,INDEX(COUNTIF($B$1:B2798,$A$2:$A$4629),0,0),0)),"",INDEX($A$2:$A$4629,MATCH(0,INDEX(COUNTIF($B$1:B2798,$A$2:$A$4629),0,0),0)))</f>
        <v/>
      </c>
      <c r="C2799" t="str">
        <f t="shared" si="43"/>
        <v/>
      </c>
    </row>
    <row r="2800" spans="1:3" x14ac:dyDescent="0.25">
      <c r="A2800" t="str">
        <f>IF(Scan2VK!T84&lt;&gt;"",Scan2VK!T84,"")</f>
        <v>LCONTROL</v>
      </c>
      <c r="B2800" t="str">
        <f>IF(ISERROR(MATCH(0,INDEX(COUNTIF($B$1:B2799,$A$2:$A$4629),0,0),0)),"",INDEX($A$2:$A$4629,MATCH(0,INDEX(COUNTIF($B$1:B2799,$A$2:$A$4629),0,0),0)))</f>
        <v/>
      </c>
      <c r="C2800" t="str">
        <f t="shared" si="43"/>
        <v/>
      </c>
    </row>
    <row r="2801" spans="1:3" x14ac:dyDescent="0.25">
      <c r="A2801" t="str">
        <f>IF(Scan2VK!T85&lt;&gt;"",Scan2VK!T85,"")</f>
        <v>LSHIFT</v>
      </c>
      <c r="B2801" t="str">
        <f>IF(ISERROR(MATCH(0,INDEX(COUNTIF($B$1:B2800,$A$2:$A$4629),0,0),0)),"",INDEX($A$2:$A$4629,MATCH(0,INDEX(COUNTIF($B$1:B2800,$A$2:$A$4629),0,0),0)))</f>
        <v/>
      </c>
      <c r="C2801" t="str">
        <f t="shared" si="43"/>
        <v/>
      </c>
    </row>
    <row r="2802" spans="1:3" x14ac:dyDescent="0.25">
      <c r="A2802" t="str">
        <f>IF(Scan2VK!T86&lt;&gt;"",Scan2VK!T86,"")</f>
        <v>_none_</v>
      </c>
      <c r="B2802" t="str">
        <f>IF(ISERROR(MATCH(0,INDEX(COUNTIF($B$1:B2801,$A$2:$A$4629),0,0),0)),"",INDEX($A$2:$A$4629,MATCH(0,INDEX(COUNTIF($B$1:B2801,$A$2:$A$4629),0,0),0)))</f>
        <v/>
      </c>
      <c r="C2802" t="str">
        <f t="shared" si="43"/>
        <v/>
      </c>
    </row>
    <row r="2803" spans="1:3" x14ac:dyDescent="0.25">
      <c r="A2803" t="str">
        <f>IF(Scan2VK!T87&lt;&gt;"",Scan2VK!T87,"")</f>
        <v>_none_</v>
      </c>
      <c r="B2803" t="str">
        <f>IF(ISERROR(MATCH(0,INDEX(COUNTIF($B$1:B2802,$A$2:$A$4629),0,0),0)),"",INDEX($A$2:$A$4629,MATCH(0,INDEX(COUNTIF($B$1:B2802,$A$2:$A$4629),0,0),0)))</f>
        <v/>
      </c>
      <c r="C2803" t="str">
        <f t="shared" si="43"/>
        <v/>
      </c>
    </row>
    <row r="2804" spans="1:3" x14ac:dyDescent="0.25">
      <c r="A2804" t="str">
        <f>IF(Scan2VK!T88&lt;&gt;"",Scan2VK!T88,"")</f>
        <v>_none_</v>
      </c>
      <c r="B2804" t="str">
        <f>IF(ISERROR(MATCH(0,INDEX(COUNTIF($B$1:B2803,$A$2:$A$4629),0,0),0)),"",INDEX($A$2:$A$4629,MATCH(0,INDEX(COUNTIF($B$1:B2803,$A$2:$A$4629),0,0),0)))</f>
        <v/>
      </c>
      <c r="C2804" t="str">
        <f t="shared" si="43"/>
        <v/>
      </c>
    </row>
    <row r="2805" spans="1:3" x14ac:dyDescent="0.25">
      <c r="A2805" t="str">
        <f>IF(Scan2VK!T89&lt;&gt;"",Scan2VK!T89,"")</f>
        <v>NONCONVERT</v>
      </c>
      <c r="B2805" t="str">
        <f>IF(ISERROR(MATCH(0,INDEX(COUNTIF($B$1:B2804,$A$2:$A$4629),0,0),0)),"",INDEX($A$2:$A$4629,MATCH(0,INDEX(COUNTIF($B$1:B2804,$A$2:$A$4629),0,0),0)))</f>
        <v/>
      </c>
      <c r="C2805" t="str">
        <f t="shared" si="43"/>
        <v/>
      </c>
    </row>
    <row r="2806" spans="1:3" x14ac:dyDescent="0.25">
      <c r="A2806" t="str">
        <f>IF(Scan2VK!T90&lt;&gt;"",Scan2VK!T90,"")</f>
        <v>CONVERT</v>
      </c>
      <c r="B2806" t="str">
        <f>IF(ISERROR(MATCH(0,INDEX(COUNTIF($B$1:B2805,$A$2:$A$4629),0,0),0)),"",INDEX($A$2:$A$4629,MATCH(0,INDEX(COUNTIF($B$1:B2805,$A$2:$A$4629),0,0),0)))</f>
        <v/>
      </c>
      <c r="C2806" t="str">
        <f t="shared" si="43"/>
        <v/>
      </c>
    </row>
    <row r="2807" spans="1:3" x14ac:dyDescent="0.25">
      <c r="A2807" t="str">
        <f>IF(Scan2VK!T91&lt;&gt;"",Scan2VK!T91,"")</f>
        <v>KANJI</v>
      </c>
      <c r="B2807" t="str">
        <f>IF(ISERROR(MATCH(0,INDEX(COUNTIF($B$1:B2806,$A$2:$A$4629),0,0),0)),"",INDEX($A$2:$A$4629,MATCH(0,INDEX(COUNTIF($B$1:B2806,$A$2:$A$4629),0,0),0)))</f>
        <v/>
      </c>
      <c r="C2807" t="str">
        <f t="shared" si="43"/>
        <v/>
      </c>
    </row>
    <row r="2808" spans="1:3" x14ac:dyDescent="0.25">
      <c r="A2808" t="str">
        <f>IF(Scan2VK!T92&lt;&gt;"",Scan2VK!T92,"")</f>
        <v>_none_</v>
      </c>
      <c r="B2808" t="str">
        <f>IF(ISERROR(MATCH(0,INDEX(COUNTIF($B$1:B2807,$A$2:$A$4629),0,0),0)),"",INDEX($A$2:$A$4629,MATCH(0,INDEX(COUNTIF($B$1:B2807,$A$2:$A$4629),0,0),0)))</f>
        <v/>
      </c>
      <c r="C2808" t="str">
        <f t="shared" si="43"/>
        <v/>
      </c>
    </row>
    <row r="2809" spans="1:3" x14ac:dyDescent="0.25">
      <c r="A2809" t="str">
        <f>IF(Scan2VK!T93&lt;&gt;"",Scan2VK!T93,"")</f>
        <v>F12</v>
      </c>
      <c r="B2809" t="str">
        <f>IF(ISERROR(MATCH(0,INDEX(COUNTIF($B$1:B2808,$A$2:$A$4629),0,0),0)),"",INDEX($A$2:$A$4629,MATCH(0,INDEX(COUNTIF($B$1:B2808,$A$2:$A$4629),0,0),0)))</f>
        <v/>
      </c>
      <c r="C2809" t="str">
        <f t="shared" si="43"/>
        <v/>
      </c>
    </row>
    <row r="2810" spans="1:3" x14ac:dyDescent="0.25">
      <c r="A2810" t="str">
        <f>IF(Scan2VK!T94&lt;&gt;"",Scan2VK!T94,"")</f>
        <v>LMENU</v>
      </c>
      <c r="B2810" t="str">
        <f>IF(ISERROR(MATCH(0,INDEX(COUNTIF($B$1:B2809,$A$2:$A$4629),0,0),0)),"",INDEX($A$2:$A$4629,MATCH(0,INDEX(COUNTIF($B$1:B2809,$A$2:$A$4629),0,0),0)))</f>
        <v/>
      </c>
      <c r="C2810" t="str">
        <f t="shared" si="43"/>
        <v/>
      </c>
    </row>
    <row r="2811" spans="1:3" x14ac:dyDescent="0.25">
      <c r="A2811" t="str">
        <f>IF(Scan2VK!T95&lt;&gt;"",Scan2VK!T95,"")</f>
        <v>F1</v>
      </c>
      <c r="B2811" t="str">
        <f>IF(ISERROR(MATCH(0,INDEX(COUNTIF($B$1:B2810,$A$2:$A$4629),0,0),0)),"",INDEX($A$2:$A$4629,MATCH(0,INDEX(COUNTIF($B$1:B2810,$A$2:$A$4629),0,0),0)))</f>
        <v/>
      </c>
      <c r="C2811" t="str">
        <f t="shared" si="43"/>
        <v/>
      </c>
    </row>
    <row r="2812" spans="1:3" x14ac:dyDescent="0.25">
      <c r="A2812" t="str">
        <f>IF(Scan2VK!T96&lt;&gt;"",Scan2VK!T96,"")</f>
        <v>F2</v>
      </c>
      <c r="B2812" t="str">
        <f>IF(ISERROR(MATCH(0,INDEX(COUNTIF($B$1:B2811,$A$2:$A$4629),0,0),0)),"",INDEX($A$2:$A$4629,MATCH(0,INDEX(COUNTIF($B$1:B2811,$A$2:$A$4629),0,0),0)))</f>
        <v/>
      </c>
      <c r="C2812" t="str">
        <f t="shared" si="43"/>
        <v/>
      </c>
    </row>
    <row r="2813" spans="1:3" x14ac:dyDescent="0.25">
      <c r="A2813" t="str">
        <f>IF(Scan2VK!T97&lt;&gt;"",Scan2VK!T97,"")</f>
        <v>F3</v>
      </c>
      <c r="B2813" t="str">
        <f>IF(ISERROR(MATCH(0,INDEX(COUNTIF($B$1:B2812,$A$2:$A$4629),0,0),0)),"",INDEX($A$2:$A$4629,MATCH(0,INDEX(COUNTIF($B$1:B2812,$A$2:$A$4629),0,0),0)))</f>
        <v/>
      </c>
      <c r="C2813" t="str">
        <f t="shared" si="43"/>
        <v/>
      </c>
    </row>
    <row r="2814" spans="1:3" x14ac:dyDescent="0.25">
      <c r="A2814" t="str">
        <f>IF(Scan2VK!T98&lt;&gt;"",Scan2VK!T98,"")</f>
        <v>F4</v>
      </c>
      <c r="B2814" t="str">
        <f>IF(ISERROR(MATCH(0,INDEX(COUNTIF($B$1:B2813,$A$2:$A$4629),0,0),0)),"",INDEX($A$2:$A$4629,MATCH(0,INDEX(COUNTIF($B$1:B2813,$A$2:$A$4629),0,0),0)))</f>
        <v/>
      </c>
      <c r="C2814" t="str">
        <f t="shared" si="43"/>
        <v/>
      </c>
    </row>
    <row r="2815" spans="1:3" x14ac:dyDescent="0.25">
      <c r="A2815" t="str">
        <f>IF(Scan2VK!T99&lt;&gt;"",Scan2VK!T99,"")</f>
        <v>F5</v>
      </c>
      <c r="B2815" t="str">
        <f>IF(ISERROR(MATCH(0,INDEX(COUNTIF($B$1:B2814,$A$2:$A$4629),0,0),0)),"",INDEX($A$2:$A$4629,MATCH(0,INDEX(COUNTIF($B$1:B2814,$A$2:$A$4629),0,0),0)))</f>
        <v/>
      </c>
      <c r="C2815" t="str">
        <f t="shared" si="43"/>
        <v/>
      </c>
    </row>
    <row r="2816" spans="1:3" x14ac:dyDescent="0.25">
      <c r="A2816" t="str">
        <f>IF(Scan2VK!T100&lt;&gt;"",Scan2VK!T100,"")</f>
        <v>F6</v>
      </c>
      <c r="B2816" t="str">
        <f>IF(ISERROR(MATCH(0,INDEX(COUNTIF($B$1:B2815,$A$2:$A$4629),0,0),0)),"",INDEX($A$2:$A$4629,MATCH(0,INDEX(COUNTIF($B$1:B2815,$A$2:$A$4629),0,0),0)))</f>
        <v/>
      </c>
      <c r="C2816" t="str">
        <f t="shared" si="43"/>
        <v/>
      </c>
    </row>
    <row r="2817" spans="1:3" x14ac:dyDescent="0.25">
      <c r="A2817" t="str">
        <f>IF(Scan2VK!T101&lt;&gt;"",Scan2VK!T101,"")</f>
        <v>F7</v>
      </c>
      <c r="B2817" t="str">
        <f>IF(ISERROR(MATCH(0,INDEX(COUNTIF($B$1:B2816,$A$2:$A$4629),0,0),0)),"",INDEX($A$2:$A$4629,MATCH(0,INDEX(COUNTIF($B$1:B2816,$A$2:$A$4629),0,0),0)))</f>
        <v/>
      </c>
      <c r="C2817" t="str">
        <f t="shared" si="43"/>
        <v/>
      </c>
    </row>
    <row r="2818" spans="1:3" x14ac:dyDescent="0.25">
      <c r="A2818" t="str">
        <f>IF(Scan2VK!T102&lt;&gt;"",Scan2VK!T102,"")</f>
        <v>F8</v>
      </c>
      <c r="B2818" t="str">
        <f>IF(ISERROR(MATCH(0,INDEX(COUNTIF($B$1:B2817,$A$2:$A$4629),0,0),0)),"",INDEX($A$2:$A$4629,MATCH(0,INDEX(COUNTIF($B$1:B2817,$A$2:$A$4629),0,0),0)))</f>
        <v/>
      </c>
      <c r="C2818" t="str">
        <f t="shared" si="43"/>
        <v/>
      </c>
    </row>
    <row r="2819" spans="1:3" x14ac:dyDescent="0.25">
      <c r="A2819" t="str">
        <f>IF(Scan2VK!T103&lt;&gt;"",Scan2VK!T103,"")</f>
        <v>F9</v>
      </c>
      <c r="B2819" t="str">
        <f>IF(ISERROR(MATCH(0,INDEX(COUNTIF($B$1:B2818,$A$2:$A$4629),0,0),0)),"",INDEX($A$2:$A$4629,MATCH(0,INDEX(COUNTIF($B$1:B2818,$A$2:$A$4629),0,0),0)))</f>
        <v/>
      </c>
      <c r="C2819" t="str">
        <f t="shared" ref="C2819:C2882" si="44">IF(B2819&lt;&gt;"","&lt;xs:enumeration value="""&amp;B2819&amp;"""/&gt;","")</f>
        <v/>
      </c>
    </row>
    <row r="2820" spans="1:3" x14ac:dyDescent="0.25">
      <c r="A2820" t="str">
        <f>IF(Scan2VK!T104&lt;&gt;"",Scan2VK!T104,"")</f>
        <v>F10</v>
      </c>
      <c r="B2820" t="str">
        <f>IF(ISERROR(MATCH(0,INDEX(COUNTIF($B$1:B2819,$A$2:$A$4629),0,0),0)),"",INDEX($A$2:$A$4629,MATCH(0,INDEX(COUNTIF($B$1:B2819,$A$2:$A$4629),0,0),0)))</f>
        <v/>
      </c>
      <c r="C2820" t="str">
        <f t="shared" si="44"/>
        <v/>
      </c>
    </row>
    <row r="2821" spans="1:3" x14ac:dyDescent="0.25">
      <c r="A2821" t="str">
        <f>IF(Scan2VK!T105&lt;&gt;"",Scan2VK!T105,"")</f>
        <v>OEM_LOYA</v>
      </c>
      <c r="B2821" t="str">
        <f>IF(ISERROR(MATCH(0,INDEX(COUNTIF($B$1:B2820,$A$2:$A$4629),0,0),0)),"",INDEX($A$2:$A$4629,MATCH(0,INDEX(COUNTIF($B$1:B2820,$A$2:$A$4629),0,0),0)))</f>
        <v/>
      </c>
      <c r="C2821" t="str">
        <f t="shared" si="44"/>
        <v/>
      </c>
    </row>
    <row r="2822" spans="1:3" x14ac:dyDescent="0.25">
      <c r="A2822" t="str">
        <f>IF(Scan2VK!T106&lt;&gt;"",Scan2VK!T106,"")</f>
        <v>OEM_ROYA</v>
      </c>
      <c r="B2822" t="str">
        <f>IF(ISERROR(MATCH(0,INDEX(COUNTIF($B$1:B2821,$A$2:$A$4629),0,0),0)),"",INDEX($A$2:$A$4629,MATCH(0,INDEX(COUNTIF($B$1:B2821,$A$2:$A$4629),0,0),0)))</f>
        <v/>
      </c>
      <c r="C2822" t="str">
        <f t="shared" si="44"/>
        <v/>
      </c>
    </row>
    <row r="2823" spans="1:3" x14ac:dyDescent="0.25">
      <c r="A2823" t="str">
        <f>IF(Scan2VK!T107&lt;&gt;"",Scan2VK!T107,"")</f>
        <v>F11</v>
      </c>
      <c r="B2823" t="str">
        <f>IF(ISERROR(MATCH(0,INDEX(COUNTIF($B$1:B2822,$A$2:$A$4629),0,0),0)),"",INDEX($A$2:$A$4629,MATCH(0,INDEX(COUNTIF($B$1:B2822,$A$2:$A$4629),0,0),0)))</f>
        <v/>
      </c>
      <c r="C2823" t="str">
        <f t="shared" si="44"/>
        <v/>
      </c>
    </row>
    <row r="2824" spans="1:3" x14ac:dyDescent="0.25">
      <c r="A2824" t="str">
        <f>IF(Scan2VK!T108&lt;&gt;"",Scan2VK!T108,"")</f>
        <v>DBE_ALPHANUMERIC</v>
      </c>
      <c r="B2824" t="str">
        <f>IF(ISERROR(MATCH(0,INDEX(COUNTIF($B$1:B2823,$A$2:$A$4629),0,0),0)),"",INDEX($A$2:$A$4629,MATCH(0,INDEX(COUNTIF($B$1:B2823,$A$2:$A$4629),0,0),0)))</f>
        <v/>
      </c>
      <c r="C2824" t="str">
        <f t="shared" si="44"/>
        <v/>
      </c>
    </row>
    <row r="2825" spans="1:3" x14ac:dyDescent="0.25">
      <c r="A2825" t="str">
        <f>IF(Scan2VK!T109&lt;&gt;"",Scan2VK!T109,"")</f>
        <v>OEM_JISHO</v>
      </c>
      <c r="B2825" t="str">
        <f>IF(ISERROR(MATCH(0,INDEX(COUNTIF($B$1:B2824,$A$2:$A$4629),0,0),0)),"",INDEX($A$2:$A$4629,MATCH(0,INDEX(COUNTIF($B$1:B2824,$A$2:$A$4629),0,0),0)))</f>
        <v/>
      </c>
      <c r="C2825" t="str">
        <f t="shared" si="44"/>
        <v/>
      </c>
    </row>
    <row r="2826" spans="1:3" x14ac:dyDescent="0.25">
      <c r="A2826" t="str">
        <f>IF(Scan2VK!T110&lt;&gt;"",Scan2VK!T110,"")</f>
        <v>OEM_MASSHOU</v>
      </c>
      <c r="B2826" t="str">
        <f>IF(ISERROR(MATCH(0,INDEX(COUNTIF($B$1:B2825,$A$2:$A$4629),0,0),0)),"",INDEX($A$2:$A$4629,MATCH(0,INDEX(COUNTIF($B$1:B2825,$A$2:$A$4629),0,0),0)))</f>
        <v/>
      </c>
      <c r="C2826" t="str">
        <f t="shared" si="44"/>
        <v/>
      </c>
    </row>
    <row r="2827" spans="1:3" x14ac:dyDescent="0.25">
      <c r="A2827" t="str">
        <f>IF(Scan2VK!T111&lt;&gt;"",Scan2VK!T111,"")</f>
        <v>_none_</v>
      </c>
      <c r="B2827" t="str">
        <f>IF(ISERROR(MATCH(0,INDEX(COUNTIF($B$1:B2826,$A$2:$A$4629),0,0),0)),"",INDEX($A$2:$A$4629,MATCH(0,INDEX(COUNTIF($B$1:B2826,$A$2:$A$4629),0,0),0)))</f>
        <v/>
      </c>
      <c r="C2827" t="str">
        <f t="shared" si="44"/>
        <v/>
      </c>
    </row>
    <row r="2828" spans="1:3" x14ac:dyDescent="0.25">
      <c r="A2828" t="str">
        <f>IF(Scan2VK!T112&lt;&gt;"",Scan2VK!T112,"")</f>
        <v>PRIOR</v>
      </c>
      <c r="B2828" t="str">
        <f>IF(ISERROR(MATCH(0,INDEX(COUNTIF($B$1:B2827,$A$2:$A$4629),0,0),0)),"",INDEX($A$2:$A$4629,MATCH(0,INDEX(COUNTIF($B$1:B2827,$A$2:$A$4629),0,0),0)))</f>
        <v/>
      </c>
      <c r="C2828" t="str">
        <f t="shared" si="44"/>
        <v/>
      </c>
    </row>
    <row r="2829" spans="1:3" x14ac:dyDescent="0.25">
      <c r="A2829" t="str">
        <f>IF(Scan2VK!T113&lt;&gt;"",Scan2VK!T113,"")</f>
        <v>DBE_KATAKANA</v>
      </c>
      <c r="B2829" t="str">
        <f>IF(ISERROR(MATCH(0,INDEX(COUNTIF($B$1:B2828,$A$2:$A$4629),0,0),0)),"",INDEX($A$2:$A$4629,MATCH(0,INDEX(COUNTIF($B$1:B2828,$A$2:$A$4629),0,0),0)))</f>
        <v/>
      </c>
      <c r="C2829" t="str">
        <f t="shared" si="44"/>
        <v/>
      </c>
    </row>
    <row r="2830" spans="1:3" x14ac:dyDescent="0.25">
      <c r="A2830" t="str">
        <f>IF(Scan2VK!T114&lt;&gt;"",Scan2VK!T114,"")</f>
        <v>NEXT</v>
      </c>
      <c r="B2830" t="str">
        <f>IF(ISERROR(MATCH(0,INDEX(COUNTIF($B$1:B2829,$A$2:$A$4629),0,0),0)),"",INDEX($A$2:$A$4629,MATCH(0,INDEX(COUNTIF($B$1:B2829,$A$2:$A$4629),0,0),0)))</f>
        <v/>
      </c>
      <c r="C2830" t="str">
        <f t="shared" si="44"/>
        <v/>
      </c>
    </row>
    <row r="2831" spans="1:3" x14ac:dyDescent="0.25">
      <c r="A2831" t="str">
        <f>IF(Scan2VK!T115&lt;&gt;"",Scan2VK!T115,"")</f>
        <v>_none_</v>
      </c>
      <c r="B2831" t="str">
        <f>IF(ISERROR(MATCH(0,INDEX(COUNTIF($B$1:B2830,$A$2:$A$4629),0,0),0)),"",INDEX($A$2:$A$4629,MATCH(0,INDEX(COUNTIF($B$1:B2830,$A$2:$A$4629),0,0),0)))</f>
        <v/>
      </c>
      <c r="C2831" t="str">
        <f t="shared" si="44"/>
        <v/>
      </c>
    </row>
    <row r="2832" spans="1:3" x14ac:dyDescent="0.25">
      <c r="A2832" t="str">
        <f>IF(Scan2VK!T116&lt;&gt;"",Scan2VK!T116,"")</f>
        <v>CANCEL</v>
      </c>
      <c r="B2832" t="str">
        <f>IF(ISERROR(MATCH(0,INDEX(COUNTIF($B$1:B2831,$A$2:$A$4629),0,0),0)),"",INDEX($A$2:$A$4629,MATCH(0,INDEX(COUNTIF($B$1:B2831,$A$2:$A$4629),0,0),0)))</f>
        <v/>
      </c>
      <c r="C2832" t="str">
        <f t="shared" si="44"/>
        <v/>
      </c>
    </row>
    <row r="2833" spans="1:3" x14ac:dyDescent="0.25">
      <c r="A2833" t="str">
        <f>IF(Scan2VK!T117&lt;&gt;"",Scan2VK!T117,"")</f>
        <v>EXECUTE</v>
      </c>
      <c r="B2833" t="str">
        <f>IF(ISERROR(MATCH(0,INDEX(COUNTIF($B$1:B2832,$A$2:$A$4629),0,0),0)),"",INDEX($A$2:$A$4629,MATCH(0,INDEX(COUNTIF($B$1:B2832,$A$2:$A$4629),0,0),0)))</f>
        <v/>
      </c>
      <c r="C2833" t="str">
        <f t="shared" si="44"/>
        <v/>
      </c>
    </row>
    <row r="2834" spans="1:3" x14ac:dyDescent="0.25">
      <c r="A2834" t="str">
        <f>IF(Scan2VK!T118&lt;&gt;"",Scan2VK!T118,"")</f>
        <v>F13</v>
      </c>
      <c r="B2834" t="str">
        <f>IF(ISERROR(MATCH(0,INDEX(COUNTIF($B$1:B2833,$A$2:$A$4629),0,0),0)),"",INDEX($A$2:$A$4629,MATCH(0,INDEX(COUNTIF($B$1:B2833,$A$2:$A$4629),0,0),0)))</f>
        <v/>
      </c>
      <c r="C2834" t="str">
        <f t="shared" si="44"/>
        <v/>
      </c>
    </row>
    <row r="2835" spans="1:3" x14ac:dyDescent="0.25">
      <c r="A2835" t="str">
        <f>IF(Scan2VK!T119&lt;&gt;"",Scan2VK!T119,"")</f>
        <v>F14</v>
      </c>
      <c r="B2835" t="str">
        <f>IF(ISERROR(MATCH(0,INDEX(COUNTIF($B$1:B2834,$A$2:$A$4629),0,0),0)),"",INDEX($A$2:$A$4629,MATCH(0,INDEX(COUNTIF($B$1:B2834,$A$2:$A$4629),0,0),0)))</f>
        <v/>
      </c>
      <c r="C2835" t="str">
        <f t="shared" si="44"/>
        <v/>
      </c>
    </row>
    <row r="2836" spans="1:3" x14ac:dyDescent="0.25">
      <c r="A2836" t="str">
        <f>IF(Scan2VK!T120&lt;&gt;"",Scan2VK!T120,"")</f>
        <v>F15</v>
      </c>
      <c r="B2836" t="str">
        <f>IF(ISERROR(MATCH(0,INDEX(COUNTIF($B$1:B2835,$A$2:$A$4629),0,0),0)),"",INDEX($A$2:$A$4629,MATCH(0,INDEX(COUNTIF($B$1:B2835,$A$2:$A$4629),0,0),0)))</f>
        <v/>
      </c>
      <c r="C2836" t="str">
        <f t="shared" si="44"/>
        <v/>
      </c>
    </row>
    <row r="2837" spans="1:3" x14ac:dyDescent="0.25">
      <c r="A2837" t="str">
        <f>IF(Scan2VK!T121&lt;&gt;"",Scan2VK!T121,"")</f>
        <v>F16</v>
      </c>
      <c r="B2837" t="str">
        <f>IF(ISERROR(MATCH(0,INDEX(COUNTIF($B$1:B2836,$A$2:$A$4629),0,0),0)),"",INDEX($A$2:$A$4629,MATCH(0,INDEX(COUNTIF($B$1:B2836,$A$2:$A$4629),0,0),0)))</f>
        <v/>
      </c>
      <c r="C2837" t="str">
        <f t="shared" si="44"/>
        <v/>
      </c>
    </row>
    <row r="2838" spans="1:3" x14ac:dyDescent="0.25">
      <c r="A2838" t="str">
        <f>IF(Scan2VK!T122&lt;&gt;"",Scan2VK!T122,"")</f>
        <v>CLEAR</v>
      </c>
      <c r="B2838" t="str">
        <f>IF(ISERROR(MATCH(0,INDEX(COUNTIF($B$1:B2837,$A$2:$A$4629),0,0),0)),"",INDEX($A$2:$A$4629,MATCH(0,INDEX(COUNTIF($B$1:B2837,$A$2:$A$4629),0,0),0)))</f>
        <v/>
      </c>
      <c r="C2838" t="str">
        <f t="shared" si="44"/>
        <v/>
      </c>
    </row>
    <row r="2839" spans="1:3" x14ac:dyDescent="0.25">
      <c r="A2839" t="str">
        <f>IF(Scan2VK!T123&lt;&gt;"",Scan2VK!T123,"")</f>
        <v>HELP</v>
      </c>
      <c r="B2839" t="str">
        <f>IF(ISERROR(MATCH(0,INDEX(COUNTIF($B$1:B2838,$A$2:$A$4629),0,0),0)),"",INDEX($A$2:$A$4629,MATCH(0,INDEX(COUNTIF($B$1:B2838,$A$2:$A$4629),0,0),0)))</f>
        <v/>
      </c>
      <c r="C2839" t="str">
        <f t="shared" si="44"/>
        <v/>
      </c>
    </row>
    <row r="2840" spans="1:3" x14ac:dyDescent="0.25">
      <c r="A2840" t="str">
        <f>IF(Scan2VK!T124&lt;&gt;"",Scan2VK!T124,"")</f>
        <v>END</v>
      </c>
      <c r="B2840" t="str">
        <f>IF(ISERROR(MATCH(0,INDEX(COUNTIF($B$1:B2839,$A$2:$A$4629),0,0),0)),"",INDEX($A$2:$A$4629,MATCH(0,INDEX(COUNTIF($B$1:B2839,$A$2:$A$4629),0,0),0)))</f>
        <v/>
      </c>
      <c r="C2840" t="str">
        <f t="shared" si="44"/>
        <v/>
      </c>
    </row>
    <row r="2841" spans="1:3" x14ac:dyDescent="0.25">
      <c r="A2841" t="str">
        <f>IF(Scan2VK!T125&lt;&gt;"",Scan2VK!T125,"")</f>
        <v>SCROLL</v>
      </c>
      <c r="B2841" t="str">
        <f>IF(ISERROR(MATCH(0,INDEX(COUNTIF($B$1:B2840,$A$2:$A$4629),0,0),0)),"",INDEX($A$2:$A$4629,MATCH(0,INDEX(COUNTIF($B$1:B2840,$A$2:$A$4629),0,0),0)))</f>
        <v/>
      </c>
      <c r="C2841" t="str">
        <f t="shared" si="44"/>
        <v/>
      </c>
    </row>
    <row r="2842" spans="1:3" x14ac:dyDescent="0.25">
      <c r="A2842" t="str">
        <f>IF(Scan2VK!T126&lt;&gt;"",Scan2VK!T126,"")</f>
        <v>PAUSE</v>
      </c>
      <c r="B2842" t="str">
        <f>IF(ISERROR(MATCH(0,INDEX(COUNTIF($B$1:B2841,$A$2:$A$4629),0,0),0)),"",INDEX($A$2:$A$4629,MATCH(0,INDEX(COUNTIF($B$1:B2841,$A$2:$A$4629),0,0),0)))</f>
        <v/>
      </c>
      <c r="C2842" t="str">
        <f t="shared" si="44"/>
        <v/>
      </c>
    </row>
    <row r="2843" spans="1:3" x14ac:dyDescent="0.25">
      <c r="A2843" t="str">
        <f>IF(Scan2VK!T127&lt;&gt;"",Scan2VK!T127,"")</f>
        <v>SNAPSHOT</v>
      </c>
      <c r="B2843" t="str">
        <f>IF(ISERROR(MATCH(0,INDEX(COUNTIF($B$1:B2842,$A$2:$A$4629),0,0),0)),"",INDEX($A$2:$A$4629,MATCH(0,INDEX(COUNTIF($B$1:B2842,$A$2:$A$4629),0,0),0)))</f>
        <v/>
      </c>
      <c r="C2843" t="str">
        <f t="shared" si="44"/>
        <v/>
      </c>
    </row>
    <row r="2844" spans="1:3" x14ac:dyDescent="0.25">
      <c r="A2844" t="str">
        <f>IF(Scan2VK!T128&lt;&gt;"",Scan2VK!T128,"")</f>
        <v>_none_</v>
      </c>
      <c r="B2844" t="str">
        <f>IF(ISERROR(MATCH(0,INDEX(COUNTIF($B$1:B2843,$A$2:$A$4629),0,0),0)),"",INDEX($A$2:$A$4629,MATCH(0,INDEX(COUNTIF($B$1:B2843,$A$2:$A$4629),0,0),0)))</f>
        <v/>
      </c>
      <c r="C2844" t="str">
        <f t="shared" si="44"/>
        <v/>
      </c>
    </row>
    <row r="2845" spans="1:3" x14ac:dyDescent="0.25">
      <c r="A2845" t="str">
        <f>IF(Scan2VK!T129&lt;&gt;"",Scan2VK!T129,"")</f>
        <v>_none_</v>
      </c>
      <c r="B2845" t="str">
        <f>IF(ISERROR(MATCH(0,INDEX(COUNTIF($B$1:B2844,$A$2:$A$4629),0,0),0)),"",INDEX($A$2:$A$4629,MATCH(0,INDEX(COUNTIF($B$1:B2844,$A$2:$A$4629),0,0),0)))</f>
        <v/>
      </c>
      <c r="C2845" t="str">
        <f t="shared" si="44"/>
        <v/>
      </c>
    </row>
    <row r="2846" spans="1:3" x14ac:dyDescent="0.25">
      <c r="A2846" t="str">
        <f>IF(Scan2VK!T130&lt;&gt;"",Scan2VK!T130,"")</f>
        <v/>
      </c>
      <c r="B2846" t="str">
        <f>IF(ISERROR(MATCH(0,INDEX(COUNTIF($B$1:B2845,$A$2:$A$4629),0,0),0)),"",INDEX($A$2:$A$4629,MATCH(0,INDEX(COUNTIF($B$1:B2845,$A$2:$A$4629),0,0),0)))</f>
        <v/>
      </c>
      <c r="C2846" t="str">
        <f t="shared" si="44"/>
        <v/>
      </c>
    </row>
    <row r="2847" spans="1:3" x14ac:dyDescent="0.25">
      <c r="A2847" t="str">
        <f>IF(Scan2VK!T131&lt;&gt;"",Scan2VK!T131,"")</f>
        <v/>
      </c>
      <c r="B2847" t="str">
        <f>IF(ISERROR(MATCH(0,INDEX(COUNTIF($B$1:B2846,$A$2:$A$4629),0,0),0)),"",INDEX($A$2:$A$4629,MATCH(0,INDEX(COUNTIF($B$1:B2846,$A$2:$A$4629),0,0),0)))</f>
        <v/>
      </c>
      <c r="C2847" t="str">
        <f t="shared" si="44"/>
        <v/>
      </c>
    </row>
    <row r="2848" spans="1:3" x14ac:dyDescent="0.25">
      <c r="A2848" t="str">
        <f>IF(Scan2VK!T132&lt;&gt;"",Scan2VK!T132,"")</f>
        <v/>
      </c>
      <c r="B2848" t="str">
        <f>IF(ISERROR(MATCH(0,INDEX(COUNTIF($B$1:B2847,$A$2:$A$4629),0,0),0)),"",INDEX($A$2:$A$4629,MATCH(0,INDEX(COUNTIF($B$1:B2847,$A$2:$A$4629),0,0),0)))</f>
        <v/>
      </c>
      <c r="C2848" t="str">
        <f t="shared" si="44"/>
        <v/>
      </c>
    </row>
    <row r="2849" spans="1:3" x14ac:dyDescent="0.25">
      <c r="A2849" t="str">
        <f>IF(Scan2VK!T133&lt;&gt;"",Scan2VK!T133,"")</f>
        <v>_none_</v>
      </c>
      <c r="B2849" t="str">
        <f>IF(ISERROR(MATCH(0,INDEX(COUNTIF($B$1:B2848,$A$2:$A$4629),0,0),0)),"",INDEX($A$2:$A$4629,MATCH(0,INDEX(COUNTIF($B$1:B2848,$A$2:$A$4629),0,0),0)))</f>
        <v/>
      </c>
      <c r="C2849" t="str">
        <f t="shared" si="44"/>
        <v/>
      </c>
    </row>
    <row r="2850" spans="1:3" x14ac:dyDescent="0.25">
      <c r="A2850" t="str">
        <f>IF(Scan2VK!T134&lt;&gt;"",Scan2VK!T134,"")</f>
        <v>_none_</v>
      </c>
      <c r="B2850" t="str">
        <f>IF(ISERROR(MATCH(0,INDEX(COUNTIF($B$1:B2849,$A$2:$A$4629),0,0),0)),"",INDEX($A$2:$A$4629,MATCH(0,INDEX(COUNTIF($B$1:B2849,$A$2:$A$4629),0,0),0)))</f>
        <v/>
      </c>
      <c r="C2850" t="str">
        <f t="shared" si="44"/>
        <v/>
      </c>
    </row>
    <row r="2851" spans="1:3" x14ac:dyDescent="0.25">
      <c r="A2851" t="str">
        <f>IF(Scan2VK!T135&lt;&gt;"",Scan2VK!T135,"")</f>
        <v/>
      </c>
      <c r="B2851" t="str">
        <f>IF(ISERROR(MATCH(0,INDEX(COUNTIF($B$1:B2850,$A$2:$A$4629),0,0),0)),"",INDEX($A$2:$A$4629,MATCH(0,INDEX(COUNTIF($B$1:B2850,$A$2:$A$4629),0,0),0)))</f>
        <v/>
      </c>
      <c r="C2851" t="str">
        <f t="shared" si="44"/>
        <v/>
      </c>
    </row>
    <row r="2852" spans="1:3" x14ac:dyDescent="0.25">
      <c r="A2852" t="str">
        <f>IF(Scan2VK!T136&lt;&gt;"",Scan2VK!T136,"")</f>
        <v/>
      </c>
      <c r="B2852" t="str">
        <f>IF(ISERROR(MATCH(0,INDEX(COUNTIF($B$1:B2851,$A$2:$A$4629),0,0),0)),"",INDEX($A$2:$A$4629,MATCH(0,INDEX(COUNTIF($B$1:B2851,$A$2:$A$4629),0,0),0)))</f>
        <v/>
      </c>
      <c r="C2852" t="str">
        <f t="shared" si="44"/>
        <v/>
      </c>
    </row>
    <row r="2853" spans="1:3" x14ac:dyDescent="0.25">
      <c r="A2853" t="str">
        <f>IF(Scan2VK!T137&lt;&gt;"",Scan2VK!T137,"")</f>
        <v/>
      </c>
      <c r="B2853" t="str">
        <f>IF(ISERROR(MATCH(0,INDEX(COUNTIF($B$1:B2852,$A$2:$A$4629),0,0),0)),"",INDEX($A$2:$A$4629,MATCH(0,INDEX(COUNTIF($B$1:B2852,$A$2:$A$4629),0,0),0)))</f>
        <v/>
      </c>
      <c r="C2853" t="str">
        <f t="shared" si="44"/>
        <v/>
      </c>
    </row>
    <row r="2854" spans="1:3" x14ac:dyDescent="0.25">
      <c r="A2854" t="str">
        <f>IF(Scan2VK!T138&lt;&gt;"",Scan2VK!T138,"")</f>
        <v/>
      </c>
      <c r="B2854" t="str">
        <f>IF(ISERROR(MATCH(0,INDEX(COUNTIF($B$1:B2853,$A$2:$A$4629),0,0),0)),"",INDEX($A$2:$A$4629,MATCH(0,INDEX(COUNTIF($B$1:B2853,$A$2:$A$4629),0,0),0)))</f>
        <v/>
      </c>
      <c r="C2854" t="str">
        <f t="shared" si="44"/>
        <v/>
      </c>
    </row>
    <row r="2855" spans="1:3" x14ac:dyDescent="0.25">
      <c r="A2855" t="str">
        <f>IF(Scan2VK!T139&lt;&gt;"",Scan2VK!T139,"")</f>
        <v/>
      </c>
      <c r="B2855" t="str">
        <f>IF(ISERROR(MATCH(0,INDEX(COUNTIF($B$1:B2854,$A$2:$A$4629),0,0),0)),"",INDEX($A$2:$A$4629,MATCH(0,INDEX(COUNTIF($B$1:B2854,$A$2:$A$4629),0,0),0)))</f>
        <v/>
      </c>
      <c r="C2855" t="str">
        <f t="shared" si="44"/>
        <v/>
      </c>
    </row>
    <row r="2856" spans="1:3" x14ac:dyDescent="0.25">
      <c r="A2856" t="str">
        <f>IF(Scan2VK!T140&lt;&gt;"",Scan2VK!T140,"")</f>
        <v/>
      </c>
      <c r="B2856" t="str">
        <f>IF(ISERROR(MATCH(0,INDEX(COUNTIF($B$1:B2855,$A$2:$A$4629),0,0),0)),"",INDEX($A$2:$A$4629,MATCH(0,INDEX(COUNTIF($B$1:B2855,$A$2:$A$4629),0,0),0)))</f>
        <v/>
      </c>
      <c r="C2856" t="str">
        <f t="shared" si="44"/>
        <v/>
      </c>
    </row>
    <row r="2857" spans="1:3" x14ac:dyDescent="0.25">
      <c r="A2857" t="str">
        <f>IF(Scan2VK!T141&lt;&gt;"",Scan2VK!T141,"")</f>
        <v/>
      </c>
      <c r="B2857" t="str">
        <f>IF(ISERROR(MATCH(0,INDEX(COUNTIF($B$1:B2856,$A$2:$A$4629),0,0),0)),"",INDEX($A$2:$A$4629,MATCH(0,INDEX(COUNTIF($B$1:B2856,$A$2:$A$4629),0,0),0)))</f>
        <v/>
      </c>
      <c r="C2857" t="str">
        <f t="shared" si="44"/>
        <v/>
      </c>
    </row>
    <row r="2858" spans="1:3" x14ac:dyDescent="0.25">
      <c r="A2858" t="str">
        <f>IF(Scan2VK!T142&lt;&gt;"",Scan2VK!T142,"")</f>
        <v>_none_</v>
      </c>
      <c r="B2858" t="str">
        <f>IF(ISERROR(MATCH(0,INDEX(COUNTIF($B$1:B2857,$A$2:$A$4629),0,0),0)),"",INDEX($A$2:$A$4629,MATCH(0,INDEX(COUNTIF($B$1:B2857,$A$2:$A$4629),0,0),0)))</f>
        <v/>
      </c>
      <c r="C2858" t="str">
        <f t="shared" si="44"/>
        <v/>
      </c>
    </row>
    <row r="2859" spans="1:3" x14ac:dyDescent="0.25">
      <c r="A2859" t="str">
        <f>IF(Scan2VK!T143&lt;&gt;"",Scan2VK!T143,"")</f>
        <v>_none_</v>
      </c>
      <c r="B2859" t="str">
        <f>IF(ISERROR(MATCH(0,INDEX(COUNTIF($B$1:B2858,$A$2:$A$4629),0,0),0)),"",INDEX($A$2:$A$4629,MATCH(0,INDEX(COUNTIF($B$1:B2858,$A$2:$A$4629),0,0),0)))</f>
        <v/>
      </c>
      <c r="C2859" t="str">
        <f t="shared" si="44"/>
        <v/>
      </c>
    </row>
    <row r="2860" spans="1:3" x14ac:dyDescent="0.25">
      <c r="A2860" t="str">
        <f>IF(Scan2VK!T144&lt;&gt;"",Scan2VK!T144,"")</f>
        <v>_none_</v>
      </c>
      <c r="B2860" t="str">
        <f>IF(ISERROR(MATCH(0,INDEX(COUNTIF($B$1:B2859,$A$2:$A$4629),0,0),0)),"",INDEX($A$2:$A$4629,MATCH(0,INDEX(COUNTIF($B$1:B2859,$A$2:$A$4629),0,0),0)))</f>
        <v/>
      </c>
      <c r="C2860" t="str">
        <f t="shared" si="44"/>
        <v/>
      </c>
    </row>
    <row r="2861" spans="1:3" x14ac:dyDescent="0.25">
      <c r="A2861" t="str">
        <f>IF(Scan2VK!T145&lt;&gt;"",Scan2VK!T145,"")</f>
        <v>_none_</v>
      </c>
      <c r="B2861" t="str">
        <f>IF(ISERROR(MATCH(0,INDEX(COUNTIF($B$1:B2860,$A$2:$A$4629),0,0),0)),"",INDEX($A$2:$A$4629,MATCH(0,INDEX(COUNTIF($B$1:B2860,$A$2:$A$4629),0,0),0)))</f>
        <v/>
      </c>
      <c r="C2861" t="str">
        <f t="shared" si="44"/>
        <v/>
      </c>
    </row>
    <row r="2862" spans="1:3" x14ac:dyDescent="0.25">
      <c r="A2862" t="str">
        <f>IF(Scan2VK!T146&lt;&gt;"",Scan2VK!T146,"")</f>
        <v/>
      </c>
      <c r="B2862" t="str">
        <f>IF(ISERROR(MATCH(0,INDEX(COUNTIF($B$1:B2861,$A$2:$A$4629),0,0),0)),"",INDEX($A$2:$A$4629,MATCH(0,INDEX(COUNTIF($B$1:B2861,$A$2:$A$4629),0,0),0)))</f>
        <v/>
      </c>
      <c r="C2862" t="str">
        <f t="shared" si="44"/>
        <v/>
      </c>
    </row>
    <row r="2863" spans="1:3" x14ac:dyDescent="0.25">
      <c r="A2863" t="str">
        <f>IF(Scan2VK!T147&lt;&gt;"",Scan2VK!T147,"")</f>
        <v/>
      </c>
      <c r="B2863" t="str">
        <f>IF(ISERROR(MATCH(0,INDEX(COUNTIF($B$1:B2862,$A$2:$A$4629),0,0),0)),"",INDEX($A$2:$A$4629,MATCH(0,INDEX(COUNTIF($B$1:B2862,$A$2:$A$4629),0,0),0)))</f>
        <v/>
      </c>
      <c r="C2863" t="str">
        <f t="shared" si="44"/>
        <v/>
      </c>
    </row>
    <row r="2864" spans="1:3" x14ac:dyDescent="0.25">
      <c r="A2864" t="str">
        <f>IF(Scan2VK!T148&lt;&gt;"",Scan2VK!T148,"")</f>
        <v/>
      </c>
      <c r="B2864" t="str">
        <f>IF(ISERROR(MATCH(0,INDEX(COUNTIF($B$1:B2863,$A$2:$A$4629),0,0),0)),"",INDEX($A$2:$A$4629,MATCH(0,INDEX(COUNTIF($B$1:B2863,$A$2:$A$4629),0,0),0)))</f>
        <v/>
      </c>
      <c r="C2864" t="str">
        <f t="shared" si="44"/>
        <v/>
      </c>
    </row>
    <row r="2865" spans="1:3" x14ac:dyDescent="0.25">
      <c r="A2865" t="str">
        <f>IF(Scan2VK!T149&lt;&gt;"",Scan2VK!T149,"")</f>
        <v/>
      </c>
      <c r="B2865" t="str">
        <f>IF(ISERROR(MATCH(0,INDEX(COUNTIF($B$1:B2864,$A$2:$A$4629),0,0),0)),"",INDEX($A$2:$A$4629,MATCH(0,INDEX(COUNTIF($B$1:B2864,$A$2:$A$4629),0,0),0)))</f>
        <v/>
      </c>
      <c r="C2865" t="str">
        <f t="shared" si="44"/>
        <v/>
      </c>
    </row>
    <row r="2866" spans="1:3" x14ac:dyDescent="0.25">
      <c r="A2866" t="str">
        <f>IF(Scan2VK!T150&lt;&gt;"",Scan2VK!T150,"")</f>
        <v/>
      </c>
      <c r="B2866" t="str">
        <f>IF(ISERROR(MATCH(0,INDEX(COUNTIF($B$1:B2865,$A$2:$A$4629),0,0),0)),"",INDEX($A$2:$A$4629,MATCH(0,INDEX(COUNTIF($B$1:B2865,$A$2:$A$4629),0,0),0)))</f>
        <v/>
      </c>
      <c r="C2866" t="str">
        <f t="shared" si="44"/>
        <v/>
      </c>
    </row>
    <row r="2867" spans="1:3" x14ac:dyDescent="0.25">
      <c r="A2867" t="str">
        <f>IF(Scan2VK!T151&lt;&gt;"",Scan2VK!T151,"")</f>
        <v>_none_</v>
      </c>
      <c r="B2867" t="str">
        <f>IF(ISERROR(MATCH(0,INDEX(COUNTIF($B$1:B2866,$A$2:$A$4629),0,0),0)),"",INDEX($A$2:$A$4629,MATCH(0,INDEX(COUNTIF($B$1:B2866,$A$2:$A$4629),0,0),0)))</f>
        <v/>
      </c>
      <c r="C2867" t="str">
        <f t="shared" si="44"/>
        <v/>
      </c>
    </row>
    <row r="2868" spans="1:3" x14ac:dyDescent="0.25">
      <c r="A2868" t="str">
        <f>IF(Scan2VK!T152&lt;&gt;"",Scan2VK!T152,"")</f>
        <v>_none_</v>
      </c>
      <c r="B2868" t="str">
        <f>IF(ISERROR(MATCH(0,INDEX(COUNTIF($B$1:B2867,$A$2:$A$4629),0,0),0)),"",INDEX($A$2:$A$4629,MATCH(0,INDEX(COUNTIF($B$1:B2867,$A$2:$A$4629),0,0),0)))</f>
        <v/>
      </c>
      <c r="C2868" t="str">
        <f t="shared" si="44"/>
        <v/>
      </c>
    </row>
    <row r="2869" spans="1:3" x14ac:dyDescent="0.25">
      <c r="A2869" t="str">
        <f>IF(Scan2VK!T153&lt;&gt;"",Scan2VK!T153,"")</f>
        <v>_none_</v>
      </c>
      <c r="B2869" t="str">
        <f>IF(ISERROR(MATCH(0,INDEX(COUNTIF($B$1:B2868,$A$2:$A$4629),0,0),0)),"",INDEX($A$2:$A$4629,MATCH(0,INDEX(COUNTIF($B$1:B2868,$A$2:$A$4629),0,0),0)))</f>
        <v/>
      </c>
      <c r="C2869" t="str">
        <f t="shared" si="44"/>
        <v/>
      </c>
    </row>
    <row r="2870" spans="1:3" x14ac:dyDescent="0.25">
      <c r="A2870" t="str">
        <f>IF(Scan2VK!T154&lt;&gt;"",Scan2VK!T154,"")</f>
        <v>_none_</v>
      </c>
      <c r="B2870" t="str">
        <f>IF(ISERROR(MATCH(0,INDEX(COUNTIF($B$1:B2869,$A$2:$A$4629),0,0),0)),"",INDEX($A$2:$A$4629,MATCH(0,INDEX(COUNTIF($B$1:B2869,$A$2:$A$4629),0,0),0)))</f>
        <v/>
      </c>
      <c r="C2870" t="str">
        <f t="shared" si="44"/>
        <v/>
      </c>
    </row>
    <row r="2871" spans="1:3" x14ac:dyDescent="0.25">
      <c r="A2871" t="str">
        <f>IF(Scan2VK!T155&lt;&gt;"",Scan2VK!T155,"")</f>
        <v>_none_</v>
      </c>
      <c r="B2871" t="str">
        <f>IF(ISERROR(MATCH(0,INDEX(COUNTIF($B$1:B2870,$A$2:$A$4629),0,0),0)),"",INDEX($A$2:$A$4629,MATCH(0,INDEX(COUNTIF($B$1:B2870,$A$2:$A$4629),0,0),0)))</f>
        <v/>
      </c>
      <c r="C2871" t="str">
        <f t="shared" si="44"/>
        <v/>
      </c>
    </row>
    <row r="2872" spans="1:3" x14ac:dyDescent="0.25">
      <c r="A2872" t="str">
        <f>IF(Scan2VK!T156&lt;&gt;"",Scan2VK!T156,"")</f>
        <v>_none_</v>
      </c>
      <c r="B2872" t="str">
        <f>IF(ISERROR(MATCH(0,INDEX(COUNTIF($B$1:B2871,$A$2:$A$4629),0,0),0)),"",INDEX($A$2:$A$4629,MATCH(0,INDEX(COUNTIF($B$1:B2871,$A$2:$A$4629),0,0),0)))</f>
        <v/>
      </c>
      <c r="C2872" t="str">
        <f t="shared" si="44"/>
        <v/>
      </c>
    </row>
    <row r="2873" spans="1:3" x14ac:dyDescent="0.25">
      <c r="A2873" t="str">
        <f>IF(Scan2VK!T157&lt;&gt;"",Scan2VK!T157,"")</f>
        <v>_none_</v>
      </c>
      <c r="B2873" t="str">
        <f>IF(ISERROR(MATCH(0,INDEX(COUNTIF($B$1:B2872,$A$2:$A$4629),0,0),0)),"",INDEX($A$2:$A$4629,MATCH(0,INDEX(COUNTIF($B$1:B2872,$A$2:$A$4629),0,0),0)))</f>
        <v/>
      </c>
      <c r="C2873" t="str">
        <f t="shared" si="44"/>
        <v/>
      </c>
    </row>
    <row r="2874" spans="1:3" x14ac:dyDescent="0.25">
      <c r="A2874" t="str">
        <f>IF(Scan2VK!T158&lt;&gt;"",Scan2VK!T158,"")</f>
        <v>_none_</v>
      </c>
      <c r="B2874" t="str">
        <f>IF(ISERROR(MATCH(0,INDEX(COUNTIF($B$1:B2873,$A$2:$A$4629),0,0),0)),"",INDEX($A$2:$A$4629,MATCH(0,INDEX(COUNTIF($B$1:B2873,$A$2:$A$4629),0,0),0)))</f>
        <v/>
      </c>
      <c r="C2874" t="str">
        <f t="shared" si="44"/>
        <v/>
      </c>
    </row>
    <row r="2875" spans="1:3" x14ac:dyDescent="0.25">
      <c r="A2875" t="str">
        <f>IF(Scan2VK!T159&lt;&gt;"",Scan2VK!T159,"")</f>
        <v>_none_</v>
      </c>
      <c r="B2875" t="str">
        <f>IF(ISERROR(MATCH(0,INDEX(COUNTIF($B$1:B2874,$A$2:$A$4629),0,0),0)),"",INDEX($A$2:$A$4629,MATCH(0,INDEX(COUNTIF($B$1:B2874,$A$2:$A$4629),0,0),0)))</f>
        <v/>
      </c>
      <c r="C2875" t="str">
        <f t="shared" si="44"/>
        <v/>
      </c>
    </row>
    <row r="2876" spans="1:3" x14ac:dyDescent="0.25">
      <c r="A2876" t="str">
        <f>IF(Scan2VK!T160&lt;&gt;"",Scan2VK!T160,"")</f>
        <v>_none_</v>
      </c>
      <c r="B2876" t="str">
        <f>IF(ISERROR(MATCH(0,INDEX(COUNTIF($B$1:B2875,$A$2:$A$4629),0,0),0)),"",INDEX($A$2:$A$4629,MATCH(0,INDEX(COUNTIF($B$1:B2875,$A$2:$A$4629),0,0),0)))</f>
        <v/>
      </c>
      <c r="C2876" t="str">
        <f t="shared" si="44"/>
        <v/>
      </c>
    </row>
    <row r="2877" spans="1:3" x14ac:dyDescent="0.25">
      <c r="A2877" t="str">
        <f>IF(Scan2VK!T161&lt;&gt;"",Scan2VK!T161,"")</f>
        <v>_none_</v>
      </c>
      <c r="B2877" t="str">
        <f>IF(ISERROR(MATCH(0,INDEX(COUNTIF($B$1:B2876,$A$2:$A$4629),0,0),0)),"",INDEX($A$2:$A$4629,MATCH(0,INDEX(COUNTIF($B$1:B2876,$A$2:$A$4629),0,0),0)))</f>
        <v/>
      </c>
      <c r="C2877" t="str">
        <f t="shared" si="44"/>
        <v/>
      </c>
    </row>
    <row r="2878" spans="1:3" x14ac:dyDescent="0.25">
      <c r="A2878" t="str">
        <f>IF(Scan2VK!T162&lt;&gt;"",Scan2VK!T162,"")</f>
        <v>_none_</v>
      </c>
      <c r="B2878" t="str">
        <f>IF(ISERROR(MATCH(0,INDEX(COUNTIF($B$1:B2877,$A$2:$A$4629),0,0),0)),"",INDEX($A$2:$A$4629,MATCH(0,INDEX(COUNTIF($B$1:B2877,$A$2:$A$4629),0,0),0)))</f>
        <v/>
      </c>
      <c r="C2878" t="str">
        <f t="shared" si="44"/>
        <v/>
      </c>
    </row>
    <row r="2879" spans="1:3" x14ac:dyDescent="0.25">
      <c r="A2879" t="str">
        <f>IF(Scan2VK!T163&lt;&gt;"",Scan2VK!T163,"")</f>
        <v>_none_</v>
      </c>
      <c r="B2879" t="str">
        <f>IF(ISERROR(MATCH(0,INDEX(COUNTIF($B$1:B2878,$A$2:$A$4629),0,0),0)),"",INDEX($A$2:$A$4629,MATCH(0,INDEX(COUNTIF($B$1:B2878,$A$2:$A$4629),0,0),0)))</f>
        <v/>
      </c>
      <c r="C2879" t="str">
        <f t="shared" si="44"/>
        <v/>
      </c>
    </row>
    <row r="2880" spans="1:3" x14ac:dyDescent="0.25">
      <c r="A2880" t="str">
        <f>IF(Scan2VK!T164&lt;&gt;"",Scan2VK!T164,"")</f>
        <v>_none_</v>
      </c>
      <c r="B2880" t="str">
        <f>IF(ISERROR(MATCH(0,INDEX(COUNTIF($B$1:B2879,$A$2:$A$4629),0,0),0)),"",INDEX($A$2:$A$4629,MATCH(0,INDEX(COUNTIF($B$1:B2879,$A$2:$A$4629),0,0),0)))</f>
        <v/>
      </c>
      <c r="C2880" t="str">
        <f t="shared" si="44"/>
        <v/>
      </c>
    </row>
    <row r="2881" spans="1:3" x14ac:dyDescent="0.25">
      <c r="A2881" t="str">
        <f>IF(Scan2VK!T165&lt;&gt;"",Scan2VK!T165,"")</f>
        <v>_none_</v>
      </c>
      <c r="B2881" t="str">
        <f>IF(ISERROR(MATCH(0,INDEX(COUNTIF($B$1:B2880,$A$2:$A$4629),0,0),0)),"",INDEX($A$2:$A$4629,MATCH(0,INDEX(COUNTIF($B$1:B2880,$A$2:$A$4629),0,0),0)))</f>
        <v/>
      </c>
      <c r="C2881" t="str">
        <f t="shared" si="44"/>
        <v/>
      </c>
    </row>
    <row r="2882" spans="1:3" x14ac:dyDescent="0.25">
      <c r="A2882" t="str">
        <f>IF(Scan2VK!T166&lt;&gt;"",Scan2VK!T166,"")</f>
        <v>_none_</v>
      </c>
      <c r="B2882" t="str">
        <f>IF(ISERROR(MATCH(0,INDEX(COUNTIF($B$1:B2881,$A$2:$A$4629),0,0),0)),"",INDEX($A$2:$A$4629,MATCH(0,INDEX(COUNTIF($B$1:B2881,$A$2:$A$4629),0,0),0)))</f>
        <v/>
      </c>
      <c r="C2882" t="str">
        <f t="shared" si="44"/>
        <v/>
      </c>
    </row>
    <row r="2883" spans="1:3" x14ac:dyDescent="0.25">
      <c r="A2883" t="str">
        <f>IF(Scan2VK!T167&lt;&gt;"",Scan2VK!T167,"")</f>
        <v>_none_</v>
      </c>
      <c r="B2883" t="str">
        <f>IF(ISERROR(MATCH(0,INDEX(COUNTIF($B$1:B2882,$A$2:$A$4629),0,0),0)),"",INDEX($A$2:$A$4629,MATCH(0,INDEX(COUNTIF($B$1:B2882,$A$2:$A$4629),0,0),0)))</f>
        <v/>
      </c>
      <c r="C2883" t="str">
        <f t="shared" ref="C2883:C2946" si="45">IF(B2883&lt;&gt;"","&lt;xs:enumeration value="""&amp;B2883&amp;"""/&gt;","")</f>
        <v/>
      </c>
    </row>
    <row r="2884" spans="1:3" x14ac:dyDescent="0.25">
      <c r="A2884" t="str">
        <f>IF(Scan2VK!T168&lt;&gt;"",Scan2VK!T168,"")</f>
        <v>POWER</v>
      </c>
      <c r="B2884" t="str">
        <f>IF(ISERROR(MATCH(0,INDEX(COUNTIF($B$1:B2883,$A$2:$A$4629),0,0),0)),"",INDEX($A$2:$A$4629,MATCH(0,INDEX(COUNTIF($B$1:B2883,$A$2:$A$4629),0,0),0)))</f>
        <v/>
      </c>
      <c r="C2884" t="str">
        <f t="shared" si="45"/>
        <v/>
      </c>
    </row>
    <row r="2885" spans="1:3" x14ac:dyDescent="0.25">
      <c r="A2885" t="str">
        <f>IF(Scan2VK!T169&lt;&gt;"",Scan2VK!T169,"")</f>
        <v>SLEEP</v>
      </c>
      <c r="B2885" t="str">
        <f>IF(ISERROR(MATCH(0,INDEX(COUNTIF($B$1:B2884,$A$2:$A$4629),0,0),0)),"",INDEX($A$2:$A$4629,MATCH(0,INDEX(COUNTIF($B$1:B2884,$A$2:$A$4629),0,0),0)))</f>
        <v/>
      </c>
      <c r="C2885" t="str">
        <f t="shared" si="45"/>
        <v/>
      </c>
    </row>
    <row r="2886" spans="1:3" x14ac:dyDescent="0.25">
      <c r="A2886" t="str">
        <f>IF(Scan2VK!T170&lt;&gt;"",Scan2VK!T170,"")</f>
        <v/>
      </c>
      <c r="B2886" t="str">
        <f>IF(ISERROR(MATCH(0,INDEX(COUNTIF($B$1:B2885,$A$2:$A$4629),0,0),0)),"",INDEX($A$2:$A$4629,MATCH(0,INDEX(COUNTIF($B$1:B2885,$A$2:$A$4629),0,0),0)))</f>
        <v/>
      </c>
      <c r="C2886" t="str">
        <f t="shared" si="45"/>
        <v/>
      </c>
    </row>
    <row r="2887" spans="1:3" x14ac:dyDescent="0.25">
      <c r="A2887" t="str">
        <f>IF(Scan2VK!T171&lt;&gt;"",Scan2VK!T171,"")</f>
        <v/>
      </c>
      <c r="B2887" t="str">
        <f>IF(ISERROR(MATCH(0,INDEX(COUNTIF($B$1:B2886,$A$2:$A$4629),0,0),0)),"",INDEX($A$2:$A$4629,MATCH(0,INDEX(COUNTIF($B$1:B2886,$A$2:$A$4629),0,0),0)))</f>
        <v/>
      </c>
      <c r="C2887" t="str">
        <f t="shared" si="45"/>
        <v/>
      </c>
    </row>
    <row r="2888" spans="1:3" x14ac:dyDescent="0.25">
      <c r="A2888" t="str">
        <f>IF(Scan2VK!T172&lt;&gt;"",Scan2VK!T172,"")</f>
        <v/>
      </c>
      <c r="B2888" t="str">
        <f>IF(ISERROR(MATCH(0,INDEX(COUNTIF($B$1:B2887,$A$2:$A$4629),0,0),0)),"",INDEX($A$2:$A$4629,MATCH(0,INDEX(COUNTIF($B$1:B2887,$A$2:$A$4629),0,0),0)))</f>
        <v/>
      </c>
      <c r="C2888" t="str">
        <f t="shared" si="45"/>
        <v/>
      </c>
    </row>
    <row r="2889" spans="1:3" x14ac:dyDescent="0.25">
      <c r="A2889" t="str">
        <f>IF(Scan2VK!T173&lt;&gt;"",Scan2VK!T173,"")</f>
        <v/>
      </c>
      <c r="B2889" t="str">
        <f>IF(ISERROR(MATCH(0,INDEX(COUNTIF($B$1:B2888,$A$2:$A$4629),0,0),0)),"",INDEX($A$2:$A$4629,MATCH(0,INDEX(COUNTIF($B$1:B2888,$A$2:$A$4629),0,0),0)))</f>
        <v/>
      </c>
      <c r="C2889" t="str">
        <f t="shared" si="45"/>
        <v/>
      </c>
    </row>
    <row r="2890" spans="1:3" x14ac:dyDescent="0.25">
      <c r="A2890" t="str">
        <f>IF(Scan2VK!T174&lt;&gt;"",Scan2VK!T174,"")</f>
        <v/>
      </c>
      <c r="B2890" t="str">
        <f>IF(ISERROR(MATCH(0,INDEX(COUNTIF($B$1:B2889,$A$2:$A$4629),0,0),0)),"",INDEX($A$2:$A$4629,MATCH(0,INDEX(COUNTIF($B$1:B2889,$A$2:$A$4629),0,0),0)))</f>
        <v/>
      </c>
      <c r="C2890" t="str">
        <f t="shared" si="45"/>
        <v/>
      </c>
    </row>
    <row r="2891" spans="1:3" x14ac:dyDescent="0.25">
      <c r="A2891" t="str">
        <f>IF(Scan2VK!T175&lt;&gt;"",Scan2VK!T175,"")</f>
        <v>_none_</v>
      </c>
      <c r="B2891" t="str">
        <f>IF(ISERROR(MATCH(0,INDEX(COUNTIF($B$1:B2890,$A$2:$A$4629),0,0),0)),"",INDEX($A$2:$A$4629,MATCH(0,INDEX(COUNTIF($B$1:B2890,$A$2:$A$4629),0,0),0)))</f>
        <v/>
      </c>
      <c r="C2891" t="str">
        <f t="shared" si="45"/>
        <v/>
      </c>
    </row>
    <row r="2892" spans="1:3" x14ac:dyDescent="0.25">
      <c r="A2892" t="str">
        <f>IF(Scan2VK!T176&lt;&gt;"",Scan2VK!T176,"")</f>
        <v>_none_</v>
      </c>
      <c r="B2892" t="str">
        <f>IF(ISERROR(MATCH(0,INDEX(COUNTIF($B$1:B2891,$A$2:$A$4629),0,0),0)),"",INDEX($A$2:$A$4629,MATCH(0,INDEX(COUNTIF($B$1:B2891,$A$2:$A$4629),0,0),0)))</f>
        <v/>
      </c>
      <c r="C2892" t="str">
        <f t="shared" si="45"/>
        <v/>
      </c>
    </row>
    <row r="2893" spans="1:3" x14ac:dyDescent="0.25">
      <c r="A2893" t="str">
        <f>IF(Scan2VK!T177&lt;&gt;"",Scan2VK!T177,"")</f>
        <v/>
      </c>
      <c r="B2893" t="str">
        <f>IF(ISERROR(MATCH(0,INDEX(COUNTIF($B$1:B2892,$A$2:$A$4629),0,0),0)),"",INDEX($A$2:$A$4629,MATCH(0,INDEX(COUNTIF($B$1:B2892,$A$2:$A$4629),0,0),0)))</f>
        <v/>
      </c>
      <c r="C2893" t="str">
        <f t="shared" si="45"/>
        <v/>
      </c>
    </row>
    <row r="2894" spans="1:3" x14ac:dyDescent="0.25">
      <c r="A2894" t="str">
        <f>IF(Scan2VK!T178&lt;&gt;"",Scan2VK!T178,"")</f>
        <v/>
      </c>
      <c r="B2894" t="str">
        <f>IF(ISERROR(MATCH(0,INDEX(COUNTIF($B$1:B2893,$A$2:$A$4629),0,0),0)),"",INDEX($A$2:$A$4629,MATCH(0,INDEX(COUNTIF($B$1:B2893,$A$2:$A$4629),0,0),0)))</f>
        <v/>
      </c>
      <c r="C2894" t="str">
        <f t="shared" si="45"/>
        <v/>
      </c>
    </row>
    <row r="2895" spans="1:3" x14ac:dyDescent="0.25">
      <c r="A2895" t="str">
        <f>IF(Scan2VK!T179&lt;&gt;"",Scan2VK!T179,"")</f>
        <v/>
      </c>
      <c r="B2895" t="str">
        <f>IF(ISERROR(MATCH(0,INDEX(COUNTIF($B$1:B2894,$A$2:$A$4629),0,0),0)),"",INDEX($A$2:$A$4629,MATCH(0,INDEX(COUNTIF($B$1:B2894,$A$2:$A$4629),0,0),0)))</f>
        <v/>
      </c>
      <c r="C2895" t="str">
        <f t="shared" si="45"/>
        <v/>
      </c>
    </row>
    <row r="2896" spans="1:3" x14ac:dyDescent="0.25">
      <c r="A2896" t="str">
        <f>IF(Scan2VK!T180&lt;&gt;"",Scan2VK!T180,"")</f>
        <v/>
      </c>
      <c r="B2896" t="str">
        <f>IF(ISERROR(MATCH(0,INDEX(COUNTIF($B$1:B2895,$A$2:$A$4629),0,0),0)),"",INDEX($A$2:$A$4629,MATCH(0,INDEX(COUNTIF($B$1:B2895,$A$2:$A$4629),0,0),0)))</f>
        <v/>
      </c>
      <c r="C2896" t="str">
        <f t="shared" si="45"/>
        <v/>
      </c>
    </row>
    <row r="2897" spans="1:3" x14ac:dyDescent="0.25">
      <c r="A2897" t="str">
        <f>IF(Scan2VK!T181&lt;&gt;"",Scan2VK!T181,"")</f>
        <v/>
      </c>
      <c r="B2897" t="str">
        <f>IF(ISERROR(MATCH(0,INDEX(COUNTIF($B$1:B2896,$A$2:$A$4629),0,0),0)),"",INDEX($A$2:$A$4629,MATCH(0,INDEX(COUNTIF($B$1:B2896,$A$2:$A$4629),0,0),0)))</f>
        <v/>
      </c>
      <c r="C2897" t="str">
        <f t="shared" si="45"/>
        <v/>
      </c>
    </row>
    <row r="2898" spans="1:3" x14ac:dyDescent="0.25">
      <c r="A2898" t="str">
        <f>IF(Scan2VK!T182&lt;&gt;"",Scan2VK!T182,"")</f>
        <v/>
      </c>
      <c r="B2898" t="str">
        <f>IF(ISERROR(MATCH(0,INDEX(COUNTIF($B$1:B2897,$A$2:$A$4629),0,0),0)),"",INDEX($A$2:$A$4629,MATCH(0,INDEX(COUNTIF($B$1:B2897,$A$2:$A$4629),0,0),0)))</f>
        <v/>
      </c>
      <c r="C2898" t="str">
        <f t="shared" si="45"/>
        <v/>
      </c>
    </row>
    <row r="2899" spans="1:3" x14ac:dyDescent="0.25">
      <c r="A2899" t="str">
        <f>IF(Scan2VK!T183&lt;&gt;"",Scan2VK!T183,"")</f>
        <v>OEM_TOUROKU</v>
      </c>
      <c r="B2899" t="str">
        <f>IF(ISERROR(MATCH(0,INDEX(COUNTIF($B$1:B2898,$A$2:$A$4629),0,0),0)),"",INDEX($A$2:$A$4629,MATCH(0,INDEX(COUNTIF($B$1:B2898,$A$2:$A$4629),0,0),0)))</f>
        <v/>
      </c>
      <c r="C2899" t="str">
        <f t="shared" si="45"/>
        <v/>
      </c>
    </row>
    <row r="2900" spans="1:3" x14ac:dyDescent="0.25">
      <c r="A2900" t="str">
        <f>IF(Scan2VK!T184&lt;&gt;"",Scan2VK!T184,"")</f>
        <v/>
      </c>
      <c r="B2900" t="str">
        <f>IF(ISERROR(MATCH(0,INDEX(COUNTIF($B$1:B2899,$A$2:$A$4629),0,0),0)),"",INDEX($A$2:$A$4629,MATCH(0,INDEX(COUNTIF($B$1:B2899,$A$2:$A$4629),0,0),0)))</f>
        <v/>
      </c>
      <c r="C2900" t="str">
        <f t="shared" si="45"/>
        <v/>
      </c>
    </row>
    <row r="2901" spans="1:3" x14ac:dyDescent="0.25">
      <c r="A2901" t="str">
        <f>IF(Scan2VK!T185&lt;&gt;"",Scan2VK!T185,"")</f>
        <v/>
      </c>
      <c r="B2901" t="str">
        <f>IF(ISERROR(MATCH(0,INDEX(COUNTIF($B$1:B2900,$A$2:$A$4629),0,0),0)),"",INDEX($A$2:$A$4629,MATCH(0,INDEX(COUNTIF($B$1:B2900,$A$2:$A$4629),0,0),0)))</f>
        <v/>
      </c>
      <c r="C2901" t="str">
        <f t="shared" si="45"/>
        <v/>
      </c>
    </row>
    <row r="2902" spans="1:3" x14ac:dyDescent="0.25">
      <c r="A2902" t="str">
        <f>IF(Scan2VK!T186&lt;&gt;"",Scan2VK!T186,"")</f>
        <v/>
      </c>
      <c r="B2902" t="str">
        <f>IF(ISERROR(MATCH(0,INDEX(COUNTIF($B$1:B2901,$A$2:$A$4629),0,0),0)),"",INDEX($A$2:$A$4629,MATCH(0,INDEX(COUNTIF($B$1:B2901,$A$2:$A$4629),0,0),0)))</f>
        <v/>
      </c>
      <c r="C2902" t="str">
        <f t="shared" si="45"/>
        <v/>
      </c>
    </row>
    <row r="2903" spans="1:3" x14ac:dyDescent="0.25">
      <c r="A2903" t="str">
        <f>IF(Scan2VK!T187&lt;&gt;"",Scan2VK!T187,"")</f>
        <v/>
      </c>
      <c r="B2903" t="str">
        <f>IF(ISERROR(MATCH(0,INDEX(COUNTIF($B$1:B2902,$A$2:$A$4629),0,0),0)),"",INDEX($A$2:$A$4629,MATCH(0,INDEX(COUNTIF($B$1:B2902,$A$2:$A$4629),0,0),0)))</f>
        <v/>
      </c>
      <c r="C2903" t="str">
        <f t="shared" si="45"/>
        <v/>
      </c>
    </row>
    <row r="2904" spans="1:3" x14ac:dyDescent="0.25">
      <c r="A2904" t="str">
        <f>IF(Scan2VK!T188&lt;&gt;"",Scan2VK!T188,"")</f>
        <v/>
      </c>
      <c r="B2904" t="str">
        <f>IF(ISERROR(MATCH(0,INDEX(COUNTIF($B$1:B2903,$A$2:$A$4629),0,0),0)),"",INDEX($A$2:$A$4629,MATCH(0,INDEX(COUNTIF($B$1:B2903,$A$2:$A$4629),0,0),0)))</f>
        <v/>
      </c>
      <c r="C2904" t="str">
        <f t="shared" si="45"/>
        <v/>
      </c>
    </row>
    <row r="2905" spans="1:3" x14ac:dyDescent="0.25">
      <c r="A2905" t="str">
        <f>IF(Scan2VK!T189&lt;&gt;"",Scan2VK!T189,"")</f>
        <v/>
      </c>
      <c r="B2905" t="str">
        <f>IF(ISERROR(MATCH(0,INDEX(COUNTIF($B$1:B2904,$A$2:$A$4629),0,0),0)),"",INDEX($A$2:$A$4629,MATCH(0,INDEX(COUNTIF($B$1:B2904,$A$2:$A$4629),0,0),0)))</f>
        <v/>
      </c>
      <c r="C2905" t="str">
        <f t="shared" si="45"/>
        <v/>
      </c>
    </row>
    <row r="2906" spans="1:3" x14ac:dyDescent="0.25">
      <c r="A2906" t="str">
        <f>IF(Scan2VK!T190&lt;&gt;"",Scan2VK!T190,"")</f>
        <v/>
      </c>
      <c r="B2906" t="str">
        <f>IF(ISERROR(MATCH(0,INDEX(COUNTIF($B$1:B2905,$A$2:$A$4629),0,0),0)),"",INDEX($A$2:$A$4629,MATCH(0,INDEX(COUNTIF($B$1:B2905,$A$2:$A$4629),0,0),0)))</f>
        <v/>
      </c>
      <c r="C2906" t="str">
        <f t="shared" si="45"/>
        <v/>
      </c>
    </row>
    <row r="2907" spans="1:3" x14ac:dyDescent="0.25">
      <c r="A2907" t="str">
        <f>IF(Scan2VK!T191&lt;&gt;"",Scan2VK!T191,"")</f>
        <v/>
      </c>
      <c r="B2907" t="str">
        <f>IF(ISERROR(MATCH(0,INDEX(COUNTIF($B$1:B2906,$A$2:$A$4629),0,0),0)),"",INDEX($A$2:$A$4629,MATCH(0,INDEX(COUNTIF($B$1:B2906,$A$2:$A$4629),0,0),0)))</f>
        <v/>
      </c>
      <c r="C2907" t="str">
        <f t="shared" si="45"/>
        <v/>
      </c>
    </row>
    <row r="2908" spans="1:3" x14ac:dyDescent="0.25">
      <c r="A2908" t="str">
        <f>IF(Scan2VK!T192&lt;&gt;"",Scan2VK!T192,"")</f>
        <v/>
      </c>
      <c r="B2908" t="str">
        <f>IF(ISERROR(MATCH(0,INDEX(COUNTIF($B$1:B2907,$A$2:$A$4629),0,0),0)),"",INDEX($A$2:$A$4629,MATCH(0,INDEX(COUNTIF($B$1:B2907,$A$2:$A$4629),0,0),0)))</f>
        <v/>
      </c>
      <c r="C2908" t="str">
        <f t="shared" si="45"/>
        <v/>
      </c>
    </row>
    <row r="2909" spans="1:3" x14ac:dyDescent="0.25">
      <c r="A2909" t="str">
        <f>IF(Scan2VK!T193&lt;&gt;"",Scan2VK!T193,"")</f>
        <v/>
      </c>
      <c r="B2909" t="str">
        <f>IF(ISERROR(MATCH(0,INDEX(COUNTIF($B$1:B2908,$A$2:$A$4629),0,0),0)),"",INDEX($A$2:$A$4629,MATCH(0,INDEX(COUNTIF($B$1:B2908,$A$2:$A$4629),0,0),0)))</f>
        <v/>
      </c>
      <c r="C2909" t="str">
        <f t="shared" si="45"/>
        <v/>
      </c>
    </row>
    <row r="2910" spans="1:3" x14ac:dyDescent="0.25">
      <c r="A2910" t="str">
        <f>IF(Scan2VK!T194&lt;&gt;"",Scan2VK!T194,"")</f>
        <v/>
      </c>
      <c r="B2910" t="str">
        <f>IF(ISERROR(MATCH(0,INDEX(COUNTIF($B$1:B2909,$A$2:$A$4629),0,0),0)),"",INDEX($A$2:$A$4629,MATCH(0,INDEX(COUNTIF($B$1:B2909,$A$2:$A$4629),0,0),0)))</f>
        <v/>
      </c>
      <c r="C2910" t="str">
        <f t="shared" si="45"/>
        <v/>
      </c>
    </row>
    <row r="2911" spans="1:3" x14ac:dyDescent="0.25">
      <c r="A2911" t="str">
        <f>IF(Scan2VK!T195&lt;&gt;"",Scan2VK!T195,"")</f>
        <v>PAUSE</v>
      </c>
      <c r="B2911" t="str">
        <f>IF(ISERROR(MATCH(0,INDEX(COUNTIF($B$1:B2910,$A$2:$A$4629),0,0),0)),"",INDEX($A$2:$A$4629,MATCH(0,INDEX(COUNTIF($B$1:B2910,$A$2:$A$4629),0,0),0)))</f>
        <v/>
      </c>
      <c r="C2911" t="str">
        <f t="shared" si="45"/>
        <v/>
      </c>
    </row>
    <row r="2912" spans="1:3" x14ac:dyDescent="0.25">
      <c r="A2912" t="str">
        <f>IF(Scan2VK!U2&lt;&gt;"",Scan2VK!U2,"")</f>
        <v>_none_</v>
      </c>
      <c r="B2912" t="str">
        <f>IF(ISERROR(MATCH(0,INDEX(COUNTIF($B$1:B2911,$A$2:$A$4629),0,0),0)),"",INDEX($A$2:$A$4629,MATCH(0,INDEX(COUNTIF($B$1:B2911,$A$2:$A$4629),0,0),0)))</f>
        <v/>
      </c>
      <c r="C2912" t="str">
        <f t="shared" si="45"/>
        <v/>
      </c>
    </row>
    <row r="2913" spans="1:3" x14ac:dyDescent="0.25">
      <c r="A2913" t="str">
        <f>IF(Scan2VK!U3&lt;&gt;"",Scan2VK!U3,"")</f>
        <v>ESCAPE</v>
      </c>
      <c r="B2913" t="str">
        <f>IF(ISERROR(MATCH(0,INDEX(COUNTIF($B$1:B2912,$A$2:$A$4629),0,0),0)),"",INDEX($A$2:$A$4629,MATCH(0,INDEX(COUNTIF($B$1:B2912,$A$2:$A$4629),0,0),0)))</f>
        <v/>
      </c>
      <c r="C2913" t="str">
        <f t="shared" si="45"/>
        <v/>
      </c>
    </row>
    <row r="2914" spans="1:3" x14ac:dyDescent="0.25">
      <c r="A2914" t="str">
        <f>IF(Scan2VK!U4&lt;&gt;"",Scan2VK!U4,"")</f>
        <v>'1'</v>
      </c>
      <c r="B2914" t="str">
        <f>IF(ISERROR(MATCH(0,INDEX(COUNTIF($B$1:B2913,$A$2:$A$4629),0,0),0)),"",INDEX($A$2:$A$4629,MATCH(0,INDEX(COUNTIF($B$1:B2913,$A$2:$A$4629),0,0),0)))</f>
        <v/>
      </c>
      <c r="C2914" t="str">
        <f t="shared" si="45"/>
        <v/>
      </c>
    </row>
    <row r="2915" spans="1:3" x14ac:dyDescent="0.25">
      <c r="A2915" t="str">
        <f>IF(Scan2VK!U5&lt;&gt;"",Scan2VK!U5,"")</f>
        <v>'2'</v>
      </c>
      <c r="B2915" t="str">
        <f>IF(ISERROR(MATCH(0,INDEX(COUNTIF($B$1:B2914,$A$2:$A$4629),0,0),0)),"",INDEX($A$2:$A$4629,MATCH(0,INDEX(COUNTIF($B$1:B2914,$A$2:$A$4629),0,0),0)))</f>
        <v/>
      </c>
      <c r="C2915" t="str">
        <f t="shared" si="45"/>
        <v/>
      </c>
    </row>
    <row r="2916" spans="1:3" x14ac:dyDescent="0.25">
      <c r="A2916" t="str">
        <f>IF(Scan2VK!U6&lt;&gt;"",Scan2VK!U6,"")</f>
        <v>'3'</v>
      </c>
      <c r="B2916" t="str">
        <f>IF(ISERROR(MATCH(0,INDEX(COUNTIF($B$1:B2915,$A$2:$A$4629),0,0),0)),"",INDEX($A$2:$A$4629,MATCH(0,INDEX(COUNTIF($B$1:B2915,$A$2:$A$4629),0,0),0)))</f>
        <v/>
      </c>
      <c r="C2916" t="str">
        <f t="shared" si="45"/>
        <v/>
      </c>
    </row>
    <row r="2917" spans="1:3" x14ac:dyDescent="0.25">
      <c r="A2917" t="str">
        <f>IF(Scan2VK!U7&lt;&gt;"",Scan2VK!U7,"")</f>
        <v>'4'</v>
      </c>
      <c r="B2917" t="str">
        <f>IF(ISERROR(MATCH(0,INDEX(COUNTIF($B$1:B2916,$A$2:$A$4629),0,0),0)),"",INDEX($A$2:$A$4629,MATCH(0,INDEX(COUNTIF($B$1:B2916,$A$2:$A$4629),0,0),0)))</f>
        <v/>
      </c>
      <c r="C2917" t="str">
        <f t="shared" si="45"/>
        <v/>
      </c>
    </row>
    <row r="2918" spans="1:3" x14ac:dyDescent="0.25">
      <c r="A2918" t="str">
        <f>IF(Scan2VK!U8&lt;&gt;"",Scan2VK!U8,"")</f>
        <v>'5'</v>
      </c>
      <c r="B2918" t="str">
        <f>IF(ISERROR(MATCH(0,INDEX(COUNTIF($B$1:B2917,$A$2:$A$4629),0,0),0)),"",INDEX($A$2:$A$4629,MATCH(0,INDEX(COUNTIF($B$1:B2917,$A$2:$A$4629),0,0),0)))</f>
        <v/>
      </c>
      <c r="C2918" t="str">
        <f t="shared" si="45"/>
        <v/>
      </c>
    </row>
    <row r="2919" spans="1:3" x14ac:dyDescent="0.25">
      <c r="A2919" t="str">
        <f>IF(Scan2VK!U9&lt;&gt;"",Scan2VK!U9,"")</f>
        <v>'6'</v>
      </c>
      <c r="B2919" t="str">
        <f>IF(ISERROR(MATCH(0,INDEX(COUNTIF($B$1:B2918,$A$2:$A$4629),0,0),0)),"",INDEX($A$2:$A$4629,MATCH(0,INDEX(COUNTIF($B$1:B2918,$A$2:$A$4629),0,0),0)))</f>
        <v/>
      </c>
      <c r="C2919" t="str">
        <f t="shared" si="45"/>
        <v/>
      </c>
    </row>
    <row r="2920" spans="1:3" x14ac:dyDescent="0.25">
      <c r="A2920" t="str">
        <f>IF(Scan2VK!U10&lt;&gt;"",Scan2VK!U10,"")</f>
        <v>'7'</v>
      </c>
      <c r="B2920" t="str">
        <f>IF(ISERROR(MATCH(0,INDEX(COUNTIF($B$1:B2919,$A$2:$A$4629),0,0),0)),"",INDEX($A$2:$A$4629,MATCH(0,INDEX(COUNTIF($B$1:B2919,$A$2:$A$4629),0,0),0)))</f>
        <v/>
      </c>
      <c r="C2920" t="str">
        <f t="shared" si="45"/>
        <v/>
      </c>
    </row>
    <row r="2921" spans="1:3" x14ac:dyDescent="0.25">
      <c r="A2921" t="str">
        <f>IF(Scan2VK!U11&lt;&gt;"",Scan2VK!U11,"")</f>
        <v>'8'</v>
      </c>
      <c r="B2921" t="str">
        <f>IF(ISERROR(MATCH(0,INDEX(COUNTIF($B$1:B2920,$A$2:$A$4629),0,0),0)),"",INDEX($A$2:$A$4629,MATCH(0,INDEX(COUNTIF($B$1:B2920,$A$2:$A$4629),0,0),0)))</f>
        <v/>
      </c>
      <c r="C2921" t="str">
        <f t="shared" si="45"/>
        <v/>
      </c>
    </row>
    <row r="2922" spans="1:3" x14ac:dyDescent="0.25">
      <c r="A2922" t="str">
        <f>IF(Scan2VK!U12&lt;&gt;"",Scan2VK!U12,"")</f>
        <v>'9'</v>
      </c>
      <c r="B2922" t="str">
        <f>IF(ISERROR(MATCH(0,INDEX(COUNTIF($B$1:B2921,$A$2:$A$4629),0,0),0)),"",INDEX($A$2:$A$4629,MATCH(0,INDEX(COUNTIF($B$1:B2921,$A$2:$A$4629),0,0),0)))</f>
        <v/>
      </c>
      <c r="C2922" t="str">
        <f t="shared" si="45"/>
        <v/>
      </c>
    </row>
    <row r="2923" spans="1:3" x14ac:dyDescent="0.25">
      <c r="A2923" t="str">
        <f>IF(Scan2VK!U13&lt;&gt;"",Scan2VK!U13,"")</f>
        <v>'0'</v>
      </c>
      <c r="B2923" t="str">
        <f>IF(ISERROR(MATCH(0,INDEX(COUNTIF($B$1:B2922,$A$2:$A$4629),0,0),0)),"",INDEX($A$2:$A$4629,MATCH(0,INDEX(COUNTIF($B$1:B2922,$A$2:$A$4629),0,0),0)))</f>
        <v/>
      </c>
      <c r="C2923" t="str">
        <f t="shared" si="45"/>
        <v/>
      </c>
    </row>
    <row r="2924" spans="1:3" x14ac:dyDescent="0.25">
      <c r="A2924" t="str">
        <f>IF(Scan2VK!U14&lt;&gt;"",Scan2VK!U14,"")</f>
        <v>OEM_MINUS</v>
      </c>
      <c r="B2924" t="str">
        <f>IF(ISERROR(MATCH(0,INDEX(COUNTIF($B$1:B2923,$A$2:$A$4629),0,0),0)),"",INDEX($A$2:$A$4629,MATCH(0,INDEX(COUNTIF($B$1:B2923,$A$2:$A$4629),0,0),0)))</f>
        <v/>
      </c>
      <c r="C2924" t="str">
        <f t="shared" si="45"/>
        <v/>
      </c>
    </row>
    <row r="2925" spans="1:3" x14ac:dyDescent="0.25">
      <c r="A2925" t="str">
        <f>IF(Scan2VK!U15&lt;&gt;"",Scan2VK!U15,"")</f>
        <v>OEM_7</v>
      </c>
      <c r="B2925" t="str">
        <f>IF(ISERROR(MATCH(0,INDEX(COUNTIF($B$1:B2924,$A$2:$A$4629),0,0),0)),"",INDEX($A$2:$A$4629,MATCH(0,INDEX(COUNTIF($B$1:B2924,$A$2:$A$4629),0,0),0)))</f>
        <v/>
      </c>
      <c r="C2925" t="str">
        <f t="shared" si="45"/>
        <v/>
      </c>
    </row>
    <row r="2926" spans="1:3" x14ac:dyDescent="0.25">
      <c r="A2926" t="str">
        <f>IF(Scan2VK!U16&lt;&gt;"",Scan2VK!U16,"")</f>
        <v>BACK</v>
      </c>
      <c r="B2926" t="str">
        <f>IF(ISERROR(MATCH(0,INDEX(COUNTIF($B$1:B2925,$A$2:$A$4629),0,0),0)),"",INDEX($A$2:$A$4629,MATCH(0,INDEX(COUNTIF($B$1:B2925,$A$2:$A$4629),0,0),0)))</f>
        <v/>
      </c>
      <c r="C2926" t="str">
        <f t="shared" si="45"/>
        <v/>
      </c>
    </row>
    <row r="2927" spans="1:3" x14ac:dyDescent="0.25">
      <c r="A2927" t="str">
        <f>IF(Scan2VK!U17&lt;&gt;"",Scan2VK!U17,"")</f>
        <v>TAB</v>
      </c>
      <c r="B2927" t="str">
        <f>IF(ISERROR(MATCH(0,INDEX(COUNTIF($B$1:B2926,$A$2:$A$4629),0,0),0)),"",INDEX($A$2:$A$4629,MATCH(0,INDEX(COUNTIF($B$1:B2926,$A$2:$A$4629),0,0),0)))</f>
        <v/>
      </c>
      <c r="C2927" t="str">
        <f t="shared" si="45"/>
        <v/>
      </c>
    </row>
    <row r="2928" spans="1:3" x14ac:dyDescent="0.25">
      <c r="A2928" t="str">
        <f>IF(Scan2VK!U18&lt;&gt;"",Scan2VK!U18,"")</f>
        <v>'Q'</v>
      </c>
      <c r="B2928" t="str">
        <f>IF(ISERROR(MATCH(0,INDEX(COUNTIF($B$1:B2927,$A$2:$A$4629),0,0),0)),"",INDEX($A$2:$A$4629,MATCH(0,INDEX(COUNTIF($B$1:B2927,$A$2:$A$4629),0,0),0)))</f>
        <v/>
      </c>
      <c r="C2928" t="str">
        <f t="shared" si="45"/>
        <v/>
      </c>
    </row>
    <row r="2929" spans="1:3" x14ac:dyDescent="0.25">
      <c r="A2929" t="str">
        <f>IF(Scan2VK!U19&lt;&gt;"",Scan2VK!U19,"")</f>
        <v>'W'</v>
      </c>
      <c r="B2929" t="str">
        <f>IF(ISERROR(MATCH(0,INDEX(COUNTIF($B$1:B2928,$A$2:$A$4629),0,0),0)),"",INDEX($A$2:$A$4629,MATCH(0,INDEX(COUNTIF($B$1:B2928,$A$2:$A$4629),0,0),0)))</f>
        <v/>
      </c>
      <c r="C2929" t="str">
        <f t="shared" si="45"/>
        <v/>
      </c>
    </row>
    <row r="2930" spans="1:3" x14ac:dyDescent="0.25">
      <c r="A2930" t="str">
        <f>IF(Scan2VK!U20&lt;&gt;"",Scan2VK!U20,"")</f>
        <v>'E'</v>
      </c>
      <c r="B2930" t="str">
        <f>IF(ISERROR(MATCH(0,INDEX(COUNTIF($B$1:B2929,$A$2:$A$4629),0,0),0)),"",INDEX($A$2:$A$4629,MATCH(0,INDEX(COUNTIF($B$1:B2929,$A$2:$A$4629),0,0),0)))</f>
        <v/>
      </c>
      <c r="C2930" t="str">
        <f t="shared" si="45"/>
        <v/>
      </c>
    </row>
    <row r="2931" spans="1:3" x14ac:dyDescent="0.25">
      <c r="A2931" t="str">
        <f>IF(Scan2VK!U21&lt;&gt;"",Scan2VK!U21,"")</f>
        <v>'R'</v>
      </c>
      <c r="B2931" t="str">
        <f>IF(ISERROR(MATCH(0,INDEX(COUNTIF($B$1:B2930,$A$2:$A$4629),0,0),0)),"",INDEX($A$2:$A$4629,MATCH(0,INDEX(COUNTIF($B$1:B2930,$A$2:$A$4629),0,0),0)))</f>
        <v/>
      </c>
      <c r="C2931" t="str">
        <f t="shared" si="45"/>
        <v/>
      </c>
    </row>
    <row r="2932" spans="1:3" x14ac:dyDescent="0.25">
      <c r="A2932" t="str">
        <f>IF(Scan2VK!U22&lt;&gt;"",Scan2VK!U22,"")</f>
        <v>'T'</v>
      </c>
      <c r="B2932" t="str">
        <f>IF(ISERROR(MATCH(0,INDEX(COUNTIF($B$1:B2931,$A$2:$A$4629),0,0),0)),"",INDEX($A$2:$A$4629,MATCH(0,INDEX(COUNTIF($B$1:B2931,$A$2:$A$4629),0,0),0)))</f>
        <v/>
      </c>
      <c r="C2932" t="str">
        <f t="shared" si="45"/>
        <v/>
      </c>
    </row>
    <row r="2933" spans="1:3" x14ac:dyDescent="0.25">
      <c r="A2933" t="str">
        <f>IF(Scan2VK!U23&lt;&gt;"",Scan2VK!U23,"")</f>
        <v>'Y'</v>
      </c>
      <c r="B2933" t="str">
        <f>IF(ISERROR(MATCH(0,INDEX(COUNTIF($B$1:B2932,$A$2:$A$4629),0,0),0)),"",INDEX($A$2:$A$4629,MATCH(0,INDEX(COUNTIF($B$1:B2932,$A$2:$A$4629),0,0),0)))</f>
        <v/>
      </c>
      <c r="C2933" t="str">
        <f t="shared" si="45"/>
        <v/>
      </c>
    </row>
    <row r="2934" spans="1:3" x14ac:dyDescent="0.25">
      <c r="A2934" t="str">
        <f>IF(Scan2VK!U24&lt;&gt;"",Scan2VK!U24,"")</f>
        <v>'U'</v>
      </c>
      <c r="B2934" t="str">
        <f>IF(ISERROR(MATCH(0,INDEX(COUNTIF($B$1:B2933,$A$2:$A$4629),0,0),0)),"",INDEX($A$2:$A$4629,MATCH(0,INDEX(COUNTIF($B$1:B2933,$A$2:$A$4629),0,0),0)))</f>
        <v/>
      </c>
      <c r="C2934" t="str">
        <f t="shared" si="45"/>
        <v/>
      </c>
    </row>
    <row r="2935" spans="1:3" x14ac:dyDescent="0.25">
      <c r="A2935" t="str">
        <f>IF(Scan2VK!U25&lt;&gt;"",Scan2VK!U25,"")</f>
        <v>'I'</v>
      </c>
      <c r="B2935" t="str">
        <f>IF(ISERROR(MATCH(0,INDEX(COUNTIF($B$1:B2934,$A$2:$A$4629),0,0),0)),"",INDEX($A$2:$A$4629,MATCH(0,INDEX(COUNTIF($B$1:B2934,$A$2:$A$4629),0,0),0)))</f>
        <v/>
      </c>
      <c r="C2935" t="str">
        <f t="shared" si="45"/>
        <v/>
      </c>
    </row>
    <row r="2936" spans="1:3" x14ac:dyDescent="0.25">
      <c r="A2936" t="str">
        <f>IF(Scan2VK!U26&lt;&gt;"",Scan2VK!U26,"")</f>
        <v>'O'</v>
      </c>
      <c r="B2936" t="str">
        <f>IF(ISERROR(MATCH(0,INDEX(COUNTIF($B$1:B2935,$A$2:$A$4629),0,0),0)),"",INDEX($A$2:$A$4629,MATCH(0,INDEX(COUNTIF($B$1:B2935,$A$2:$A$4629),0,0),0)))</f>
        <v/>
      </c>
      <c r="C2936" t="str">
        <f t="shared" si="45"/>
        <v/>
      </c>
    </row>
    <row r="2937" spans="1:3" x14ac:dyDescent="0.25">
      <c r="A2937" t="str">
        <f>IF(Scan2VK!U27&lt;&gt;"",Scan2VK!U27,"")</f>
        <v>'P'</v>
      </c>
      <c r="B2937" t="str">
        <f>IF(ISERROR(MATCH(0,INDEX(COUNTIF($B$1:B2936,$A$2:$A$4629),0,0),0)),"",INDEX($A$2:$A$4629,MATCH(0,INDEX(COUNTIF($B$1:B2936,$A$2:$A$4629),0,0),0)))</f>
        <v/>
      </c>
      <c r="C2937" t="str">
        <f t="shared" si="45"/>
        <v/>
      </c>
    </row>
    <row r="2938" spans="1:3" x14ac:dyDescent="0.25">
      <c r="A2938" t="str">
        <f>IF(Scan2VK!U28&lt;&gt;"",Scan2VK!U28,"")</f>
        <v>OEM_3</v>
      </c>
      <c r="B2938" t="str">
        <f>IF(ISERROR(MATCH(0,INDEX(COUNTIF($B$1:B2937,$A$2:$A$4629),0,0),0)),"",INDEX($A$2:$A$4629,MATCH(0,INDEX(COUNTIF($B$1:B2937,$A$2:$A$4629),0,0),0)))</f>
        <v/>
      </c>
      <c r="C2938" t="str">
        <f t="shared" si="45"/>
        <v/>
      </c>
    </row>
    <row r="2939" spans="1:3" x14ac:dyDescent="0.25">
      <c r="A2939" t="str">
        <f>IF(Scan2VK!U29&lt;&gt;"",Scan2VK!U29,"")</f>
        <v>OEM_4</v>
      </c>
      <c r="B2939" t="str">
        <f>IF(ISERROR(MATCH(0,INDEX(COUNTIF($B$1:B2938,$A$2:$A$4629),0,0),0)),"",INDEX($A$2:$A$4629,MATCH(0,INDEX(COUNTIF($B$1:B2938,$A$2:$A$4629),0,0),0)))</f>
        <v/>
      </c>
      <c r="C2939" t="str">
        <f t="shared" si="45"/>
        <v/>
      </c>
    </row>
    <row r="2940" spans="1:3" x14ac:dyDescent="0.25">
      <c r="A2940" t="str">
        <f>IF(Scan2VK!U30&lt;&gt;"",Scan2VK!U30,"")</f>
        <v>RETURN</v>
      </c>
      <c r="B2940" t="str">
        <f>IF(ISERROR(MATCH(0,INDEX(COUNTIF($B$1:B2939,$A$2:$A$4629),0,0),0)),"",INDEX($A$2:$A$4629,MATCH(0,INDEX(COUNTIF($B$1:B2939,$A$2:$A$4629),0,0),0)))</f>
        <v/>
      </c>
      <c r="C2940" t="str">
        <f t="shared" si="45"/>
        <v/>
      </c>
    </row>
    <row r="2941" spans="1:3" x14ac:dyDescent="0.25">
      <c r="A2941" t="str">
        <f>IF(Scan2VK!U31&lt;&gt;"",Scan2VK!U31,"")</f>
        <v>LCONTROL</v>
      </c>
      <c r="B2941" t="str">
        <f>IF(ISERROR(MATCH(0,INDEX(COUNTIF($B$1:B2940,$A$2:$A$4629),0,0),0)),"",INDEX($A$2:$A$4629,MATCH(0,INDEX(COUNTIF($B$1:B2940,$A$2:$A$4629),0,0),0)))</f>
        <v/>
      </c>
      <c r="C2941" t="str">
        <f t="shared" si="45"/>
        <v/>
      </c>
    </row>
    <row r="2942" spans="1:3" x14ac:dyDescent="0.25">
      <c r="A2942" t="str">
        <f>IF(Scan2VK!U32&lt;&gt;"",Scan2VK!U32,"")</f>
        <v>'A'</v>
      </c>
      <c r="B2942" t="str">
        <f>IF(ISERROR(MATCH(0,INDEX(COUNTIF($B$1:B2941,$A$2:$A$4629),0,0),0)),"",INDEX($A$2:$A$4629,MATCH(0,INDEX(COUNTIF($B$1:B2941,$A$2:$A$4629),0,0),0)))</f>
        <v/>
      </c>
      <c r="C2942" t="str">
        <f t="shared" si="45"/>
        <v/>
      </c>
    </row>
    <row r="2943" spans="1:3" x14ac:dyDescent="0.25">
      <c r="A2943" t="str">
        <f>IF(Scan2VK!U33&lt;&gt;"",Scan2VK!U33,"")</f>
        <v>'S'</v>
      </c>
      <c r="B2943" t="str">
        <f>IF(ISERROR(MATCH(0,INDEX(COUNTIF($B$1:B2942,$A$2:$A$4629),0,0),0)),"",INDEX($A$2:$A$4629,MATCH(0,INDEX(COUNTIF($B$1:B2942,$A$2:$A$4629),0,0),0)))</f>
        <v/>
      </c>
      <c r="C2943" t="str">
        <f t="shared" si="45"/>
        <v/>
      </c>
    </row>
    <row r="2944" spans="1:3" x14ac:dyDescent="0.25">
      <c r="A2944" t="str">
        <f>IF(Scan2VK!U34&lt;&gt;"",Scan2VK!U34,"")</f>
        <v>'D'</v>
      </c>
      <c r="B2944" t="str">
        <f>IF(ISERROR(MATCH(0,INDEX(COUNTIF($B$1:B2943,$A$2:$A$4629),0,0),0)),"",INDEX($A$2:$A$4629,MATCH(0,INDEX(COUNTIF($B$1:B2943,$A$2:$A$4629),0,0),0)))</f>
        <v/>
      </c>
      <c r="C2944" t="str">
        <f t="shared" si="45"/>
        <v/>
      </c>
    </row>
    <row r="2945" spans="1:3" x14ac:dyDescent="0.25">
      <c r="A2945" t="str">
        <f>IF(Scan2VK!U35&lt;&gt;"",Scan2VK!U35,"")</f>
        <v>'F'</v>
      </c>
      <c r="B2945" t="str">
        <f>IF(ISERROR(MATCH(0,INDEX(COUNTIF($B$1:B2944,$A$2:$A$4629),0,0),0)),"",INDEX($A$2:$A$4629,MATCH(0,INDEX(COUNTIF($B$1:B2944,$A$2:$A$4629),0,0),0)))</f>
        <v/>
      </c>
      <c r="C2945" t="str">
        <f t="shared" si="45"/>
        <v/>
      </c>
    </row>
    <row r="2946" spans="1:3" x14ac:dyDescent="0.25">
      <c r="A2946" t="str">
        <f>IF(Scan2VK!U36&lt;&gt;"",Scan2VK!U36,"")</f>
        <v>'G'</v>
      </c>
      <c r="B2946" t="str">
        <f>IF(ISERROR(MATCH(0,INDEX(COUNTIF($B$1:B2945,$A$2:$A$4629),0,0),0)),"",INDEX($A$2:$A$4629,MATCH(0,INDEX(COUNTIF($B$1:B2945,$A$2:$A$4629),0,0),0)))</f>
        <v/>
      </c>
      <c r="C2946" t="str">
        <f t="shared" si="45"/>
        <v/>
      </c>
    </row>
    <row r="2947" spans="1:3" x14ac:dyDescent="0.25">
      <c r="A2947" t="str">
        <f>IF(Scan2VK!U37&lt;&gt;"",Scan2VK!U37,"")</f>
        <v>'H'</v>
      </c>
      <c r="B2947" t="str">
        <f>IF(ISERROR(MATCH(0,INDEX(COUNTIF($B$1:B2946,$A$2:$A$4629),0,0),0)),"",INDEX($A$2:$A$4629,MATCH(0,INDEX(COUNTIF($B$1:B2946,$A$2:$A$4629),0,0),0)))</f>
        <v/>
      </c>
      <c r="C2947" t="str">
        <f t="shared" ref="C2947:C3010" si="46">IF(B2947&lt;&gt;"","&lt;xs:enumeration value="""&amp;B2947&amp;"""/&gt;","")</f>
        <v/>
      </c>
    </row>
    <row r="2948" spans="1:3" x14ac:dyDescent="0.25">
      <c r="A2948" t="str">
        <f>IF(Scan2VK!U38&lt;&gt;"",Scan2VK!U38,"")</f>
        <v>'J'</v>
      </c>
      <c r="B2948" t="str">
        <f>IF(ISERROR(MATCH(0,INDEX(COUNTIF($B$1:B2947,$A$2:$A$4629),0,0),0)),"",INDEX($A$2:$A$4629,MATCH(0,INDEX(COUNTIF($B$1:B2947,$A$2:$A$4629),0,0),0)))</f>
        <v/>
      </c>
      <c r="C2948" t="str">
        <f t="shared" si="46"/>
        <v/>
      </c>
    </row>
    <row r="2949" spans="1:3" x14ac:dyDescent="0.25">
      <c r="A2949" t="str">
        <f>IF(Scan2VK!U39&lt;&gt;"",Scan2VK!U39,"")</f>
        <v>'K'</v>
      </c>
      <c r="B2949" t="str">
        <f>IF(ISERROR(MATCH(0,INDEX(COUNTIF($B$1:B2948,$A$2:$A$4629),0,0),0)),"",INDEX($A$2:$A$4629,MATCH(0,INDEX(COUNTIF($B$1:B2948,$A$2:$A$4629),0,0),0)))</f>
        <v/>
      </c>
      <c r="C2949" t="str">
        <f t="shared" si="46"/>
        <v/>
      </c>
    </row>
    <row r="2950" spans="1:3" x14ac:dyDescent="0.25">
      <c r="A2950" t="str">
        <f>IF(Scan2VK!U40&lt;&gt;"",Scan2VK!U40,"")</f>
        <v>'L'</v>
      </c>
      <c r="B2950" t="str">
        <f>IF(ISERROR(MATCH(0,INDEX(COUNTIF($B$1:B2949,$A$2:$A$4629),0,0),0)),"",INDEX($A$2:$A$4629,MATCH(0,INDEX(COUNTIF($B$1:B2949,$A$2:$A$4629),0,0),0)))</f>
        <v/>
      </c>
      <c r="C2950" t="str">
        <f t="shared" si="46"/>
        <v/>
      </c>
    </row>
    <row r="2951" spans="1:3" x14ac:dyDescent="0.25">
      <c r="A2951" t="str">
        <f>IF(Scan2VK!U41&lt;&gt;"",Scan2VK!U41,"")</f>
        <v>OEM_PLUS</v>
      </c>
      <c r="B2951" t="str">
        <f>IF(ISERROR(MATCH(0,INDEX(COUNTIF($B$1:B2950,$A$2:$A$4629),0,0),0)),"",INDEX($A$2:$A$4629,MATCH(0,INDEX(COUNTIF($B$1:B2950,$A$2:$A$4629),0,0),0)))</f>
        <v/>
      </c>
      <c r="C2951" t="str">
        <f t="shared" si="46"/>
        <v/>
      </c>
    </row>
    <row r="2952" spans="1:3" x14ac:dyDescent="0.25">
      <c r="A2952" t="str">
        <f>IF(Scan2VK!U42&lt;&gt;"",Scan2VK!U42,"")</f>
        <v>OEM_1</v>
      </c>
      <c r="B2952" t="str">
        <f>IF(ISERROR(MATCH(0,INDEX(COUNTIF($B$1:B2951,$A$2:$A$4629),0,0),0)),"",INDEX($A$2:$A$4629,MATCH(0,INDEX(COUNTIF($B$1:B2951,$A$2:$A$4629),0,0),0)))</f>
        <v/>
      </c>
      <c r="C2952" t="str">
        <f t="shared" si="46"/>
        <v/>
      </c>
    </row>
    <row r="2953" spans="1:3" x14ac:dyDescent="0.25">
      <c r="A2953" t="str">
        <f>IF(Scan2VK!U43&lt;&gt;"",Scan2VK!U43,"")</f>
        <v>DBE_SBCSCH</v>
      </c>
      <c r="B2953" t="str">
        <f>IF(ISERROR(MATCH(0,INDEX(COUNTIF($B$1:B2952,$A$2:$A$4629),0,0),0)),"",INDEX($A$2:$A$4629,MATCH(0,INDEX(COUNTIF($B$1:B2952,$A$2:$A$4629),0,0),0)))</f>
        <v/>
      </c>
      <c r="C2953" t="str">
        <f t="shared" si="46"/>
        <v/>
      </c>
    </row>
    <row r="2954" spans="1:3" x14ac:dyDescent="0.25">
      <c r="A2954" t="str">
        <f>IF(Scan2VK!U44&lt;&gt;"",Scan2VK!U44,"")</f>
        <v>LSHIFT</v>
      </c>
      <c r="B2954" t="str">
        <f>IF(ISERROR(MATCH(0,INDEX(COUNTIF($B$1:B2953,$A$2:$A$4629),0,0),0)),"",INDEX($A$2:$A$4629,MATCH(0,INDEX(COUNTIF($B$1:B2953,$A$2:$A$4629),0,0),0)))</f>
        <v/>
      </c>
      <c r="C2954" t="str">
        <f t="shared" si="46"/>
        <v/>
      </c>
    </row>
    <row r="2955" spans="1:3" x14ac:dyDescent="0.25">
      <c r="A2955" t="str">
        <f>IF(Scan2VK!U45&lt;&gt;"",Scan2VK!U45,"")</f>
        <v>OEM_6</v>
      </c>
      <c r="B2955" t="str">
        <f>IF(ISERROR(MATCH(0,INDEX(COUNTIF($B$1:B2954,$A$2:$A$4629),0,0),0)),"",INDEX($A$2:$A$4629,MATCH(0,INDEX(COUNTIF($B$1:B2954,$A$2:$A$4629),0,0),0)))</f>
        <v/>
      </c>
      <c r="C2955" t="str">
        <f t="shared" si="46"/>
        <v/>
      </c>
    </row>
    <row r="2956" spans="1:3" x14ac:dyDescent="0.25">
      <c r="A2956" t="str">
        <f>IF(Scan2VK!U46&lt;&gt;"",Scan2VK!U46,"")</f>
        <v>'Z'</v>
      </c>
      <c r="B2956" t="str">
        <f>IF(ISERROR(MATCH(0,INDEX(COUNTIF($B$1:B2955,$A$2:$A$4629),0,0),0)),"",INDEX($A$2:$A$4629,MATCH(0,INDEX(COUNTIF($B$1:B2955,$A$2:$A$4629),0,0),0)))</f>
        <v/>
      </c>
      <c r="C2956" t="str">
        <f t="shared" si="46"/>
        <v/>
      </c>
    </row>
    <row r="2957" spans="1:3" x14ac:dyDescent="0.25">
      <c r="A2957" t="str">
        <f>IF(Scan2VK!U47&lt;&gt;"",Scan2VK!U47,"")</f>
        <v>'X'</v>
      </c>
      <c r="B2957" t="str">
        <f>IF(ISERROR(MATCH(0,INDEX(COUNTIF($B$1:B2956,$A$2:$A$4629),0,0),0)),"",INDEX($A$2:$A$4629,MATCH(0,INDEX(COUNTIF($B$1:B2956,$A$2:$A$4629),0,0),0)))</f>
        <v/>
      </c>
      <c r="C2957" t="str">
        <f t="shared" si="46"/>
        <v/>
      </c>
    </row>
    <row r="2958" spans="1:3" x14ac:dyDescent="0.25">
      <c r="A2958" t="str">
        <f>IF(Scan2VK!U48&lt;&gt;"",Scan2VK!U48,"")</f>
        <v>'C'</v>
      </c>
      <c r="B2958" t="str">
        <f>IF(ISERROR(MATCH(0,INDEX(COUNTIF($B$1:B2957,$A$2:$A$4629),0,0),0)),"",INDEX($A$2:$A$4629,MATCH(0,INDEX(COUNTIF($B$1:B2957,$A$2:$A$4629),0,0),0)))</f>
        <v/>
      </c>
      <c r="C2958" t="str">
        <f t="shared" si="46"/>
        <v/>
      </c>
    </row>
    <row r="2959" spans="1:3" x14ac:dyDescent="0.25">
      <c r="A2959" t="str">
        <f>IF(Scan2VK!U49&lt;&gt;"",Scan2VK!U49,"")</f>
        <v>'V'</v>
      </c>
      <c r="B2959" t="str">
        <f>IF(ISERROR(MATCH(0,INDEX(COUNTIF($B$1:B2958,$A$2:$A$4629),0,0),0)),"",INDEX($A$2:$A$4629,MATCH(0,INDEX(COUNTIF($B$1:B2958,$A$2:$A$4629),0,0),0)))</f>
        <v/>
      </c>
      <c r="C2959" t="str">
        <f t="shared" si="46"/>
        <v/>
      </c>
    </row>
    <row r="2960" spans="1:3" x14ac:dyDescent="0.25">
      <c r="A2960" t="str">
        <f>IF(Scan2VK!U50&lt;&gt;"",Scan2VK!U50,"")</f>
        <v>'B'</v>
      </c>
      <c r="B2960" t="str">
        <f>IF(ISERROR(MATCH(0,INDEX(COUNTIF($B$1:B2959,$A$2:$A$4629),0,0),0)),"",INDEX($A$2:$A$4629,MATCH(0,INDEX(COUNTIF($B$1:B2959,$A$2:$A$4629),0,0),0)))</f>
        <v/>
      </c>
      <c r="C2960" t="str">
        <f t="shared" si="46"/>
        <v/>
      </c>
    </row>
    <row r="2961" spans="1:3" x14ac:dyDescent="0.25">
      <c r="A2961" t="str">
        <f>IF(Scan2VK!U51&lt;&gt;"",Scan2VK!U51,"")</f>
        <v>'N'</v>
      </c>
      <c r="B2961" t="str">
        <f>IF(ISERROR(MATCH(0,INDEX(COUNTIF($B$1:B2960,$A$2:$A$4629),0,0),0)),"",INDEX($A$2:$A$4629,MATCH(0,INDEX(COUNTIF($B$1:B2960,$A$2:$A$4629),0,0),0)))</f>
        <v/>
      </c>
      <c r="C2961" t="str">
        <f t="shared" si="46"/>
        <v/>
      </c>
    </row>
    <row r="2962" spans="1:3" x14ac:dyDescent="0.25">
      <c r="A2962" t="str">
        <f>IF(Scan2VK!U52&lt;&gt;"",Scan2VK!U52,"")</f>
        <v>'M'</v>
      </c>
      <c r="B2962" t="str">
        <f>IF(ISERROR(MATCH(0,INDEX(COUNTIF($B$1:B2961,$A$2:$A$4629),0,0),0)),"",INDEX($A$2:$A$4629,MATCH(0,INDEX(COUNTIF($B$1:B2961,$A$2:$A$4629),0,0),0)))</f>
        <v/>
      </c>
      <c r="C2962" t="str">
        <f t="shared" si="46"/>
        <v/>
      </c>
    </row>
    <row r="2963" spans="1:3" x14ac:dyDescent="0.25">
      <c r="A2963" t="str">
        <f>IF(Scan2VK!U53&lt;&gt;"",Scan2VK!U53,"")</f>
        <v>OEM_COMMA</v>
      </c>
      <c r="B2963" t="str">
        <f>IF(ISERROR(MATCH(0,INDEX(COUNTIF($B$1:B2962,$A$2:$A$4629),0,0),0)),"",INDEX($A$2:$A$4629,MATCH(0,INDEX(COUNTIF($B$1:B2962,$A$2:$A$4629),0,0),0)))</f>
        <v/>
      </c>
      <c r="C2963" t="str">
        <f t="shared" si="46"/>
        <v/>
      </c>
    </row>
    <row r="2964" spans="1:3" x14ac:dyDescent="0.25">
      <c r="A2964" t="str">
        <f>IF(Scan2VK!U54&lt;&gt;"",Scan2VK!U54,"")</f>
        <v>OEM_PERIOD</v>
      </c>
      <c r="B2964" t="str">
        <f>IF(ISERROR(MATCH(0,INDEX(COUNTIF($B$1:B2963,$A$2:$A$4629),0,0),0)),"",INDEX($A$2:$A$4629,MATCH(0,INDEX(COUNTIF($B$1:B2963,$A$2:$A$4629),0,0),0)))</f>
        <v/>
      </c>
      <c r="C2964" t="str">
        <f t="shared" si="46"/>
        <v/>
      </c>
    </row>
    <row r="2965" spans="1:3" x14ac:dyDescent="0.25">
      <c r="A2965" t="str">
        <f>IF(Scan2VK!U55&lt;&gt;"",Scan2VK!U55,"")</f>
        <v>OEM_2</v>
      </c>
      <c r="B2965" t="str">
        <f>IF(ISERROR(MATCH(0,INDEX(COUNTIF($B$1:B2964,$A$2:$A$4629),0,0),0)),"",INDEX($A$2:$A$4629,MATCH(0,INDEX(COUNTIF($B$1:B2964,$A$2:$A$4629),0,0),0)))</f>
        <v/>
      </c>
      <c r="C2965" t="str">
        <f t="shared" si="46"/>
        <v/>
      </c>
    </row>
    <row r="2966" spans="1:3" x14ac:dyDescent="0.25">
      <c r="A2966" t="str">
        <f>IF(Scan2VK!U56&lt;&gt;"",Scan2VK!U56,"")</f>
        <v>RSHIFT</v>
      </c>
      <c r="B2966" t="str">
        <f>IF(ISERROR(MATCH(0,INDEX(COUNTIF($B$1:B2965,$A$2:$A$4629),0,0),0)),"",INDEX($A$2:$A$4629,MATCH(0,INDEX(COUNTIF($B$1:B2965,$A$2:$A$4629),0,0),0)))</f>
        <v/>
      </c>
      <c r="C2966" t="str">
        <f t="shared" si="46"/>
        <v/>
      </c>
    </row>
    <row r="2967" spans="1:3" x14ac:dyDescent="0.25">
      <c r="A2967" t="str">
        <f>IF(Scan2VK!U57&lt;&gt;"",Scan2VK!U57,"")</f>
        <v>MULTIPLY</v>
      </c>
      <c r="B2967" t="str">
        <f>IF(ISERROR(MATCH(0,INDEX(COUNTIF($B$1:B2966,$A$2:$A$4629),0,0),0)),"",INDEX($A$2:$A$4629,MATCH(0,INDEX(COUNTIF($B$1:B2966,$A$2:$A$4629),0,0),0)))</f>
        <v/>
      </c>
      <c r="C2967" t="str">
        <f t="shared" si="46"/>
        <v/>
      </c>
    </row>
    <row r="2968" spans="1:3" x14ac:dyDescent="0.25">
      <c r="A2968" t="str">
        <f>IF(Scan2VK!U58&lt;&gt;"",Scan2VK!U58,"")</f>
        <v>LMENU</v>
      </c>
      <c r="B2968" t="str">
        <f>IF(ISERROR(MATCH(0,INDEX(COUNTIF($B$1:B2967,$A$2:$A$4629),0,0),0)),"",INDEX($A$2:$A$4629,MATCH(0,INDEX(COUNTIF($B$1:B2967,$A$2:$A$4629),0,0),0)))</f>
        <v/>
      </c>
      <c r="C2968" t="str">
        <f t="shared" si="46"/>
        <v/>
      </c>
    </row>
    <row r="2969" spans="1:3" x14ac:dyDescent="0.25">
      <c r="A2969" t="str">
        <f>IF(Scan2VK!U59&lt;&gt;"",Scan2VK!U59,"")</f>
        <v>''</v>
      </c>
      <c r="B2969" t="str">
        <f>IF(ISERROR(MATCH(0,INDEX(COUNTIF($B$1:B2968,$A$2:$A$4629),0,0),0)),"",INDEX($A$2:$A$4629,MATCH(0,INDEX(COUNTIF($B$1:B2968,$A$2:$A$4629),0,0),0)))</f>
        <v/>
      </c>
      <c r="C2969" t="str">
        <f t="shared" si="46"/>
        <v/>
      </c>
    </row>
    <row r="2970" spans="1:3" x14ac:dyDescent="0.25">
      <c r="A2970" t="str">
        <f>IF(Scan2VK!U60&lt;&gt;"",Scan2VK!U60,"")</f>
        <v>DBE_ALPHAN</v>
      </c>
      <c r="B2970" t="str">
        <f>IF(ISERROR(MATCH(0,INDEX(COUNTIF($B$1:B2969,$A$2:$A$4629),0,0),0)),"",INDEX($A$2:$A$4629,MATCH(0,INDEX(COUNTIF($B$1:B2969,$A$2:$A$4629),0,0),0)))</f>
        <v/>
      </c>
      <c r="C2970" t="str">
        <f t="shared" si="46"/>
        <v/>
      </c>
    </row>
    <row r="2971" spans="1:3" x14ac:dyDescent="0.25">
      <c r="A2971" t="str">
        <f>IF(Scan2VK!U61&lt;&gt;"",Scan2VK!U61,"")</f>
        <v>F1</v>
      </c>
      <c r="B2971" t="str">
        <f>IF(ISERROR(MATCH(0,INDEX(COUNTIF($B$1:B2970,$A$2:$A$4629),0,0),0)),"",INDEX($A$2:$A$4629,MATCH(0,INDEX(COUNTIF($B$1:B2970,$A$2:$A$4629),0,0),0)))</f>
        <v/>
      </c>
      <c r="C2971" t="str">
        <f t="shared" si="46"/>
        <v/>
      </c>
    </row>
    <row r="2972" spans="1:3" x14ac:dyDescent="0.25">
      <c r="A2972" t="str">
        <f>IF(Scan2VK!U62&lt;&gt;"",Scan2VK!U62,"")</f>
        <v>F2</v>
      </c>
      <c r="B2972" t="str">
        <f>IF(ISERROR(MATCH(0,INDEX(COUNTIF($B$1:B2971,$A$2:$A$4629),0,0),0)),"",INDEX($A$2:$A$4629,MATCH(0,INDEX(COUNTIF($B$1:B2971,$A$2:$A$4629),0,0),0)))</f>
        <v/>
      </c>
      <c r="C2972" t="str">
        <f t="shared" si="46"/>
        <v/>
      </c>
    </row>
    <row r="2973" spans="1:3" x14ac:dyDescent="0.25">
      <c r="A2973" t="str">
        <f>IF(Scan2VK!U63&lt;&gt;"",Scan2VK!U63,"")</f>
        <v>F3</v>
      </c>
      <c r="B2973" t="str">
        <f>IF(ISERROR(MATCH(0,INDEX(COUNTIF($B$1:B2972,$A$2:$A$4629),0,0),0)),"",INDEX($A$2:$A$4629,MATCH(0,INDEX(COUNTIF($B$1:B2972,$A$2:$A$4629),0,0),0)))</f>
        <v/>
      </c>
      <c r="C2973" t="str">
        <f t="shared" si="46"/>
        <v/>
      </c>
    </row>
    <row r="2974" spans="1:3" x14ac:dyDescent="0.25">
      <c r="A2974" t="str">
        <f>IF(Scan2VK!U64&lt;&gt;"",Scan2VK!U64,"")</f>
        <v>F4</v>
      </c>
      <c r="B2974" t="str">
        <f>IF(ISERROR(MATCH(0,INDEX(COUNTIF($B$1:B2973,$A$2:$A$4629),0,0),0)),"",INDEX($A$2:$A$4629,MATCH(0,INDEX(COUNTIF($B$1:B2973,$A$2:$A$4629),0,0),0)))</f>
        <v/>
      </c>
      <c r="C2974" t="str">
        <f t="shared" si="46"/>
        <v/>
      </c>
    </row>
    <row r="2975" spans="1:3" x14ac:dyDescent="0.25">
      <c r="A2975" t="str">
        <f>IF(Scan2VK!U65&lt;&gt;"",Scan2VK!U65,"")</f>
        <v>F5</v>
      </c>
      <c r="B2975" t="str">
        <f>IF(ISERROR(MATCH(0,INDEX(COUNTIF($B$1:B2974,$A$2:$A$4629),0,0),0)),"",INDEX($A$2:$A$4629,MATCH(0,INDEX(COUNTIF($B$1:B2974,$A$2:$A$4629),0,0),0)))</f>
        <v/>
      </c>
      <c r="C2975" t="str">
        <f t="shared" si="46"/>
        <v/>
      </c>
    </row>
    <row r="2976" spans="1:3" x14ac:dyDescent="0.25">
      <c r="A2976" t="str">
        <f>IF(Scan2VK!U66&lt;&gt;"",Scan2VK!U66,"")</f>
        <v>F6</v>
      </c>
      <c r="B2976" t="str">
        <f>IF(ISERROR(MATCH(0,INDEX(COUNTIF($B$1:B2975,$A$2:$A$4629),0,0),0)),"",INDEX($A$2:$A$4629,MATCH(0,INDEX(COUNTIF($B$1:B2975,$A$2:$A$4629),0,0),0)))</f>
        <v/>
      </c>
      <c r="C2976" t="str">
        <f t="shared" si="46"/>
        <v/>
      </c>
    </row>
    <row r="2977" spans="1:3" x14ac:dyDescent="0.25">
      <c r="A2977" t="str">
        <f>IF(Scan2VK!U67&lt;&gt;"",Scan2VK!U67,"")</f>
        <v>F7</v>
      </c>
      <c r="B2977" t="str">
        <f>IF(ISERROR(MATCH(0,INDEX(COUNTIF($B$1:B2976,$A$2:$A$4629),0,0),0)),"",INDEX($A$2:$A$4629,MATCH(0,INDEX(COUNTIF($B$1:B2976,$A$2:$A$4629),0,0),0)))</f>
        <v/>
      </c>
      <c r="C2977" t="str">
        <f t="shared" si="46"/>
        <v/>
      </c>
    </row>
    <row r="2978" spans="1:3" x14ac:dyDescent="0.25">
      <c r="A2978" t="str">
        <f>IF(Scan2VK!U68&lt;&gt;"",Scan2VK!U68,"")</f>
        <v>F8</v>
      </c>
      <c r="B2978" t="str">
        <f>IF(ISERROR(MATCH(0,INDEX(COUNTIF($B$1:B2977,$A$2:$A$4629),0,0),0)),"",INDEX($A$2:$A$4629,MATCH(0,INDEX(COUNTIF($B$1:B2977,$A$2:$A$4629),0,0),0)))</f>
        <v/>
      </c>
      <c r="C2978" t="str">
        <f t="shared" si="46"/>
        <v/>
      </c>
    </row>
    <row r="2979" spans="1:3" x14ac:dyDescent="0.25">
      <c r="A2979" t="str">
        <f>IF(Scan2VK!U69&lt;&gt;"",Scan2VK!U69,"")</f>
        <v>F9</v>
      </c>
      <c r="B2979" t="str">
        <f>IF(ISERROR(MATCH(0,INDEX(COUNTIF($B$1:B2978,$A$2:$A$4629),0,0),0)),"",INDEX($A$2:$A$4629,MATCH(0,INDEX(COUNTIF($B$1:B2978,$A$2:$A$4629),0,0),0)))</f>
        <v/>
      </c>
      <c r="C2979" t="str">
        <f t="shared" si="46"/>
        <v/>
      </c>
    </row>
    <row r="2980" spans="1:3" x14ac:dyDescent="0.25">
      <c r="A2980" t="str">
        <f>IF(Scan2VK!U70&lt;&gt;"",Scan2VK!U70,"")</f>
        <v>F10</v>
      </c>
      <c r="B2980" t="str">
        <f>IF(ISERROR(MATCH(0,INDEX(COUNTIF($B$1:B2979,$A$2:$A$4629),0,0),0)),"",INDEX($A$2:$A$4629,MATCH(0,INDEX(COUNTIF($B$1:B2979,$A$2:$A$4629),0,0),0)))</f>
        <v/>
      </c>
      <c r="C2980" t="str">
        <f t="shared" si="46"/>
        <v/>
      </c>
    </row>
    <row r="2981" spans="1:3" x14ac:dyDescent="0.25">
      <c r="A2981" t="str">
        <f>IF(Scan2VK!U71&lt;&gt;"",Scan2VK!U71,"")</f>
        <v>NUMLOCK</v>
      </c>
      <c r="B2981" t="str">
        <f>IF(ISERROR(MATCH(0,INDEX(COUNTIF($B$1:B2980,$A$2:$A$4629),0,0),0)),"",INDEX($A$2:$A$4629,MATCH(0,INDEX(COUNTIF($B$1:B2980,$A$2:$A$4629),0,0),0)))</f>
        <v/>
      </c>
      <c r="C2981" t="str">
        <f t="shared" si="46"/>
        <v/>
      </c>
    </row>
    <row r="2982" spans="1:3" x14ac:dyDescent="0.25">
      <c r="A2982" t="str">
        <f>IF(Scan2VK!U72&lt;&gt;"",Scan2VK!U72,"")</f>
        <v>SCROLL</v>
      </c>
      <c r="B2982" t="str">
        <f>IF(ISERROR(MATCH(0,INDEX(COUNTIF($B$1:B2981,$A$2:$A$4629),0,0),0)),"",INDEX($A$2:$A$4629,MATCH(0,INDEX(COUNTIF($B$1:B2981,$A$2:$A$4629),0,0),0)))</f>
        <v/>
      </c>
      <c r="C2982" t="str">
        <f t="shared" si="46"/>
        <v/>
      </c>
    </row>
    <row r="2983" spans="1:3" x14ac:dyDescent="0.25">
      <c r="A2983" t="str">
        <f>IF(Scan2VK!U73&lt;&gt;"",Scan2VK!U73,"")</f>
        <v>HOME</v>
      </c>
      <c r="B2983" t="str">
        <f>IF(ISERROR(MATCH(0,INDEX(COUNTIF($B$1:B2982,$A$2:$A$4629),0,0),0)),"",INDEX($A$2:$A$4629,MATCH(0,INDEX(COUNTIF($B$1:B2982,$A$2:$A$4629),0,0),0)))</f>
        <v/>
      </c>
      <c r="C2983" t="str">
        <f t="shared" si="46"/>
        <v/>
      </c>
    </row>
    <row r="2984" spans="1:3" x14ac:dyDescent="0.25">
      <c r="A2984" t="str">
        <f>IF(Scan2VK!U74&lt;&gt;"",Scan2VK!U74,"")</f>
        <v>UP</v>
      </c>
      <c r="B2984" t="str">
        <f>IF(ISERROR(MATCH(0,INDEX(COUNTIF($B$1:B2983,$A$2:$A$4629),0,0),0)),"",INDEX($A$2:$A$4629,MATCH(0,INDEX(COUNTIF($B$1:B2983,$A$2:$A$4629),0,0),0)))</f>
        <v/>
      </c>
      <c r="C2984" t="str">
        <f t="shared" si="46"/>
        <v/>
      </c>
    </row>
    <row r="2985" spans="1:3" x14ac:dyDescent="0.25">
      <c r="A2985" t="str">
        <f>IF(Scan2VK!U75&lt;&gt;"",Scan2VK!U75,"")</f>
        <v>PRIOR</v>
      </c>
      <c r="B2985" t="str">
        <f>IF(ISERROR(MATCH(0,INDEX(COUNTIF($B$1:B2984,$A$2:$A$4629),0,0),0)),"",INDEX($A$2:$A$4629,MATCH(0,INDEX(COUNTIF($B$1:B2984,$A$2:$A$4629),0,0),0)))</f>
        <v/>
      </c>
      <c r="C2985" t="str">
        <f t="shared" si="46"/>
        <v/>
      </c>
    </row>
    <row r="2986" spans="1:3" x14ac:dyDescent="0.25">
      <c r="A2986" t="str">
        <f>IF(Scan2VK!U76&lt;&gt;"",Scan2VK!U76,"")</f>
        <v>SUBTRACT</v>
      </c>
      <c r="B2986" t="str">
        <f>IF(ISERROR(MATCH(0,INDEX(COUNTIF($B$1:B2985,$A$2:$A$4629),0,0),0)),"",INDEX($A$2:$A$4629,MATCH(0,INDEX(COUNTIF($B$1:B2985,$A$2:$A$4629),0,0),0)))</f>
        <v/>
      </c>
      <c r="C2986" t="str">
        <f t="shared" si="46"/>
        <v/>
      </c>
    </row>
    <row r="2987" spans="1:3" x14ac:dyDescent="0.25">
      <c r="A2987" t="str">
        <f>IF(Scan2VK!U77&lt;&gt;"",Scan2VK!U77,"")</f>
        <v>LEFT</v>
      </c>
      <c r="B2987" t="str">
        <f>IF(ISERROR(MATCH(0,INDEX(COUNTIF($B$1:B2986,$A$2:$A$4629),0,0),0)),"",INDEX($A$2:$A$4629,MATCH(0,INDEX(COUNTIF($B$1:B2986,$A$2:$A$4629),0,0),0)))</f>
        <v/>
      </c>
      <c r="C2987" t="str">
        <f t="shared" si="46"/>
        <v/>
      </c>
    </row>
    <row r="2988" spans="1:3" x14ac:dyDescent="0.25">
      <c r="A2988" t="str">
        <f>IF(Scan2VK!U78&lt;&gt;"",Scan2VK!U78,"")</f>
        <v>CLEAR</v>
      </c>
      <c r="B2988" t="str">
        <f>IF(ISERROR(MATCH(0,INDEX(COUNTIF($B$1:B2987,$A$2:$A$4629),0,0),0)),"",INDEX($A$2:$A$4629,MATCH(0,INDEX(COUNTIF($B$1:B2987,$A$2:$A$4629),0,0),0)))</f>
        <v/>
      </c>
      <c r="C2988" t="str">
        <f t="shared" si="46"/>
        <v/>
      </c>
    </row>
    <row r="2989" spans="1:3" x14ac:dyDescent="0.25">
      <c r="A2989" t="str">
        <f>IF(Scan2VK!U79&lt;&gt;"",Scan2VK!U79,"")</f>
        <v>RIGHT</v>
      </c>
      <c r="B2989" t="str">
        <f>IF(ISERROR(MATCH(0,INDEX(COUNTIF($B$1:B2988,$A$2:$A$4629),0,0),0)),"",INDEX($A$2:$A$4629,MATCH(0,INDEX(COUNTIF($B$1:B2988,$A$2:$A$4629),0,0),0)))</f>
        <v/>
      </c>
      <c r="C2989" t="str">
        <f t="shared" si="46"/>
        <v/>
      </c>
    </row>
    <row r="2990" spans="1:3" x14ac:dyDescent="0.25">
      <c r="A2990" t="str">
        <f>IF(Scan2VK!U80&lt;&gt;"",Scan2VK!U80,"")</f>
        <v>ADD</v>
      </c>
      <c r="B2990" t="str">
        <f>IF(ISERROR(MATCH(0,INDEX(COUNTIF($B$1:B2989,$A$2:$A$4629),0,0),0)),"",INDEX($A$2:$A$4629,MATCH(0,INDEX(COUNTIF($B$1:B2989,$A$2:$A$4629),0,0),0)))</f>
        <v/>
      </c>
      <c r="C2990" t="str">
        <f t="shared" si="46"/>
        <v/>
      </c>
    </row>
    <row r="2991" spans="1:3" x14ac:dyDescent="0.25">
      <c r="A2991" t="str">
        <f>IF(Scan2VK!U81&lt;&gt;"",Scan2VK!U81,"")</f>
        <v>END</v>
      </c>
      <c r="B2991" t="str">
        <f>IF(ISERROR(MATCH(0,INDEX(COUNTIF($B$1:B2990,$A$2:$A$4629),0,0),0)),"",INDEX($A$2:$A$4629,MATCH(0,INDEX(COUNTIF($B$1:B2990,$A$2:$A$4629),0,0),0)))</f>
        <v/>
      </c>
      <c r="C2991" t="str">
        <f t="shared" si="46"/>
        <v/>
      </c>
    </row>
    <row r="2992" spans="1:3" x14ac:dyDescent="0.25">
      <c r="A2992" t="str">
        <f>IF(Scan2VK!U82&lt;&gt;"",Scan2VK!U82,"")</f>
        <v>DOWN</v>
      </c>
      <c r="B2992" t="str">
        <f>IF(ISERROR(MATCH(0,INDEX(COUNTIF($B$1:B2991,$A$2:$A$4629),0,0),0)),"",INDEX($A$2:$A$4629,MATCH(0,INDEX(COUNTIF($B$1:B2991,$A$2:$A$4629),0,0),0)))</f>
        <v/>
      </c>
      <c r="C2992" t="str">
        <f t="shared" si="46"/>
        <v/>
      </c>
    </row>
    <row r="2993" spans="1:3" x14ac:dyDescent="0.25">
      <c r="A2993" t="str">
        <f>IF(Scan2VK!U83&lt;&gt;"",Scan2VK!U83,"")</f>
        <v>NEXT</v>
      </c>
      <c r="B2993" t="str">
        <f>IF(ISERROR(MATCH(0,INDEX(COUNTIF($B$1:B2992,$A$2:$A$4629),0,0),0)),"",INDEX($A$2:$A$4629,MATCH(0,INDEX(COUNTIF($B$1:B2992,$A$2:$A$4629),0,0),0)))</f>
        <v/>
      </c>
      <c r="C2993" t="str">
        <f t="shared" si="46"/>
        <v/>
      </c>
    </row>
    <row r="2994" spans="1:3" x14ac:dyDescent="0.25">
      <c r="A2994" t="str">
        <f>IF(Scan2VK!U84&lt;&gt;"",Scan2VK!U84,"")</f>
        <v>INSERT</v>
      </c>
      <c r="B2994" t="str">
        <f>IF(ISERROR(MATCH(0,INDEX(COUNTIF($B$1:B2993,$A$2:$A$4629),0,0),0)),"",INDEX($A$2:$A$4629,MATCH(0,INDEX(COUNTIF($B$1:B2993,$A$2:$A$4629),0,0),0)))</f>
        <v/>
      </c>
      <c r="C2994" t="str">
        <f t="shared" si="46"/>
        <v/>
      </c>
    </row>
    <row r="2995" spans="1:3" x14ac:dyDescent="0.25">
      <c r="A2995" t="str">
        <f>IF(Scan2VK!U85&lt;&gt;"",Scan2VK!U85,"")</f>
        <v>DELETE</v>
      </c>
      <c r="B2995" t="str">
        <f>IF(ISERROR(MATCH(0,INDEX(COUNTIF($B$1:B2994,$A$2:$A$4629),0,0),0)),"",INDEX($A$2:$A$4629,MATCH(0,INDEX(COUNTIF($B$1:B2994,$A$2:$A$4629),0,0),0)))</f>
        <v/>
      </c>
      <c r="C2995" t="str">
        <f t="shared" si="46"/>
        <v/>
      </c>
    </row>
    <row r="2996" spans="1:3" x14ac:dyDescent="0.25">
      <c r="A2996" t="str">
        <f>IF(Scan2VK!U86&lt;&gt;"",Scan2VK!U86,"")</f>
        <v>SNAPSHOT</v>
      </c>
      <c r="B2996" t="str">
        <f>IF(ISERROR(MATCH(0,INDEX(COUNTIF($B$1:B2995,$A$2:$A$4629),0,0),0)),"",INDEX($A$2:$A$4629,MATCH(0,INDEX(COUNTIF($B$1:B2995,$A$2:$A$4629),0,0),0)))</f>
        <v/>
      </c>
      <c r="C2996" t="str">
        <f t="shared" si="46"/>
        <v/>
      </c>
    </row>
    <row r="2997" spans="1:3" x14ac:dyDescent="0.25">
      <c r="A2997" t="str">
        <f>IF(Scan2VK!U87&lt;&gt;"",Scan2VK!U87,"")</f>
        <v>_none_</v>
      </c>
      <c r="B2997" t="str">
        <f>IF(ISERROR(MATCH(0,INDEX(COUNTIF($B$1:B2996,$A$2:$A$4629),0,0),0)),"",INDEX($A$2:$A$4629,MATCH(0,INDEX(COUNTIF($B$1:B2996,$A$2:$A$4629),0,0),0)))</f>
        <v/>
      </c>
      <c r="C2997" t="str">
        <f t="shared" si="46"/>
        <v/>
      </c>
    </row>
    <row r="2998" spans="1:3" x14ac:dyDescent="0.25">
      <c r="A2998" t="str">
        <f>IF(Scan2VK!U88&lt;&gt;"",Scan2VK!U88,"")</f>
        <v>_none_</v>
      </c>
      <c r="B2998" t="str">
        <f>IF(ISERROR(MATCH(0,INDEX(COUNTIF($B$1:B2997,$A$2:$A$4629),0,0),0)),"",INDEX($A$2:$A$4629,MATCH(0,INDEX(COUNTIF($B$1:B2997,$A$2:$A$4629),0,0),0)))</f>
        <v/>
      </c>
      <c r="C2998" t="str">
        <f t="shared" si="46"/>
        <v/>
      </c>
    </row>
    <row r="2999" spans="1:3" x14ac:dyDescent="0.25">
      <c r="A2999" t="str">
        <f>IF(Scan2VK!U89&lt;&gt;"",Scan2VK!U89,"")</f>
        <v>F11</v>
      </c>
      <c r="B2999" t="str">
        <f>IF(ISERROR(MATCH(0,INDEX(COUNTIF($B$1:B2998,$A$2:$A$4629),0,0),0)),"",INDEX($A$2:$A$4629,MATCH(0,INDEX(COUNTIF($B$1:B2998,$A$2:$A$4629),0,0),0)))</f>
        <v/>
      </c>
      <c r="C2999" t="str">
        <f t="shared" si="46"/>
        <v/>
      </c>
    </row>
    <row r="3000" spans="1:3" x14ac:dyDescent="0.25">
      <c r="A3000" t="str">
        <f>IF(Scan2VK!U90&lt;&gt;"",Scan2VK!U90,"")</f>
        <v>F12</v>
      </c>
      <c r="B3000" t="str">
        <f>IF(ISERROR(MATCH(0,INDEX(COUNTIF($B$1:B2999,$A$2:$A$4629),0,0),0)),"",INDEX($A$2:$A$4629,MATCH(0,INDEX(COUNTIF($B$1:B2999,$A$2:$A$4629),0,0),0)))</f>
        <v/>
      </c>
      <c r="C3000" t="str">
        <f t="shared" si="46"/>
        <v/>
      </c>
    </row>
    <row r="3001" spans="1:3" x14ac:dyDescent="0.25">
      <c r="A3001" t="str">
        <f>IF(Scan2VK!U91&lt;&gt;"",Scan2VK!U91,"")</f>
        <v>CLEAR</v>
      </c>
      <c r="B3001" t="str">
        <f>IF(ISERROR(MATCH(0,INDEX(COUNTIF($B$1:B3000,$A$2:$A$4629),0,0),0)),"",INDEX($A$2:$A$4629,MATCH(0,INDEX(COUNTIF($B$1:B3000,$A$2:$A$4629),0,0),0)))</f>
        <v/>
      </c>
      <c r="C3001" t="str">
        <f t="shared" si="46"/>
        <v/>
      </c>
    </row>
    <row r="3002" spans="1:3" x14ac:dyDescent="0.25">
      <c r="A3002" t="str">
        <f>IF(Scan2VK!U92&lt;&gt;"",Scan2VK!U92,"")</f>
        <v>NONAME</v>
      </c>
      <c r="B3002" t="str">
        <f>IF(ISERROR(MATCH(0,INDEX(COUNTIF($B$1:B3001,$A$2:$A$4629),0,0),0)),"",INDEX($A$2:$A$4629,MATCH(0,INDEX(COUNTIF($B$1:B3001,$A$2:$A$4629),0,0),0)))</f>
        <v/>
      </c>
      <c r="C3002" t="str">
        <f t="shared" si="46"/>
        <v/>
      </c>
    </row>
    <row r="3003" spans="1:3" x14ac:dyDescent="0.25">
      <c r="A3003" t="str">
        <f>IF(Scan2VK!U93&lt;&gt;"",Scan2VK!U93,"")</f>
        <v>NONAME</v>
      </c>
      <c r="B3003" t="str">
        <f>IF(ISERROR(MATCH(0,INDEX(COUNTIF($B$1:B3002,$A$2:$A$4629),0,0),0)),"",INDEX($A$2:$A$4629,MATCH(0,INDEX(COUNTIF($B$1:B3002,$A$2:$A$4629),0,0),0)))</f>
        <v/>
      </c>
      <c r="C3003" t="str">
        <f t="shared" si="46"/>
        <v/>
      </c>
    </row>
    <row r="3004" spans="1:3" x14ac:dyDescent="0.25">
      <c r="A3004" t="str">
        <f>IF(Scan2VK!U94&lt;&gt;"",Scan2VK!U94,"")</f>
        <v>NONAME</v>
      </c>
      <c r="B3004" t="str">
        <f>IF(ISERROR(MATCH(0,INDEX(COUNTIF($B$1:B3003,$A$2:$A$4629),0,0),0)),"",INDEX($A$2:$A$4629,MATCH(0,INDEX(COUNTIF($B$1:B3003,$A$2:$A$4629),0,0),0)))</f>
        <v/>
      </c>
      <c r="C3004" t="str">
        <f t="shared" si="46"/>
        <v/>
      </c>
    </row>
    <row r="3005" spans="1:3" x14ac:dyDescent="0.25">
      <c r="A3005" t="str">
        <f>IF(Scan2VK!U95&lt;&gt;"",Scan2VK!U95,"")</f>
        <v>EREOF</v>
      </c>
      <c r="B3005" t="str">
        <f>IF(ISERROR(MATCH(0,INDEX(COUNTIF($B$1:B3004,$A$2:$A$4629),0,0),0)),"",INDEX($A$2:$A$4629,MATCH(0,INDEX(COUNTIF($B$1:B3004,$A$2:$A$4629),0,0),0)))</f>
        <v/>
      </c>
      <c r="C3005" t="str">
        <f t="shared" si="46"/>
        <v/>
      </c>
    </row>
    <row r="3006" spans="1:3" x14ac:dyDescent="0.25">
      <c r="A3006" t="str">
        <f>IF(Scan2VK!U96&lt;&gt;"",Scan2VK!U96,"")</f>
        <v>_none_</v>
      </c>
      <c r="B3006" t="str">
        <f>IF(ISERROR(MATCH(0,INDEX(COUNTIF($B$1:B3005,$A$2:$A$4629),0,0),0)),"",INDEX($A$2:$A$4629,MATCH(0,INDEX(COUNTIF($B$1:B3005,$A$2:$A$4629),0,0),0)))</f>
        <v/>
      </c>
      <c r="C3006" t="str">
        <f t="shared" si="46"/>
        <v/>
      </c>
    </row>
    <row r="3007" spans="1:3" x14ac:dyDescent="0.25">
      <c r="A3007" t="str">
        <f>IF(Scan2VK!U97&lt;&gt;"",Scan2VK!U97,"")</f>
        <v>NONAME</v>
      </c>
      <c r="B3007" t="str">
        <f>IF(ISERROR(MATCH(0,INDEX(COUNTIF($B$1:B3006,$A$2:$A$4629),0,0),0)),"",INDEX($A$2:$A$4629,MATCH(0,INDEX(COUNTIF($B$1:B3006,$A$2:$A$4629),0,0),0)))</f>
        <v/>
      </c>
      <c r="C3007" t="str">
        <f t="shared" si="46"/>
        <v/>
      </c>
    </row>
    <row r="3008" spans="1:3" x14ac:dyDescent="0.25">
      <c r="A3008" t="str">
        <f>IF(Scan2VK!U98&lt;&gt;"",Scan2VK!U98,"")</f>
        <v>_none_</v>
      </c>
      <c r="B3008" t="str">
        <f>IF(ISERROR(MATCH(0,INDEX(COUNTIF($B$1:B3007,$A$2:$A$4629),0,0),0)),"",INDEX($A$2:$A$4629,MATCH(0,INDEX(COUNTIF($B$1:B3007,$A$2:$A$4629),0,0),0)))</f>
        <v/>
      </c>
      <c r="C3008" t="str">
        <f t="shared" si="46"/>
        <v/>
      </c>
    </row>
    <row r="3009" spans="1:3" x14ac:dyDescent="0.25">
      <c r="A3009" t="str">
        <f>IF(Scan2VK!U99&lt;&gt;"",Scan2VK!U99,"")</f>
        <v>_none_</v>
      </c>
      <c r="B3009" t="str">
        <f>IF(ISERROR(MATCH(0,INDEX(COUNTIF($B$1:B3008,$A$2:$A$4629),0,0),0)),"",INDEX($A$2:$A$4629,MATCH(0,INDEX(COUNTIF($B$1:B3008,$A$2:$A$4629),0,0),0)))</f>
        <v/>
      </c>
      <c r="C3009" t="str">
        <f t="shared" si="46"/>
        <v/>
      </c>
    </row>
    <row r="3010" spans="1:3" x14ac:dyDescent="0.25">
      <c r="A3010" t="str">
        <f>IF(Scan2VK!U100&lt;&gt;"",Scan2VK!U100,"")</f>
        <v>_none_</v>
      </c>
      <c r="B3010" t="str">
        <f>IF(ISERROR(MATCH(0,INDEX(COUNTIF($B$1:B3009,$A$2:$A$4629),0,0),0)),"",INDEX($A$2:$A$4629,MATCH(0,INDEX(COUNTIF($B$1:B3009,$A$2:$A$4629),0,0),0)))</f>
        <v/>
      </c>
      <c r="C3010" t="str">
        <f t="shared" si="46"/>
        <v/>
      </c>
    </row>
    <row r="3011" spans="1:3" x14ac:dyDescent="0.25">
      <c r="A3011" t="str">
        <f>IF(Scan2VK!U101&lt;&gt;"",Scan2VK!U101,"")</f>
        <v>_none_</v>
      </c>
      <c r="B3011" t="str">
        <f>IF(ISERROR(MATCH(0,INDEX(COUNTIF($B$1:B3010,$A$2:$A$4629),0,0),0)),"",INDEX($A$2:$A$4629,MATCH(0,INDEX(COUNTIF($B$1:B3010,$A$2:$A$4629),0,0),0)))</f>
        <v/>
      </c>
      <c r="C3011" t="str">
        <f t="shared" ref="C3011:C3074" si="47">IF(B3011&lt;&gt;"","&lt;xs:enumeration value="""&amp;B3011&amp;"""/&gt;","")</f>
        <v/>
      </c>
    </row>
    <row r="3012" spans="1:3" x14ac:dyDescent="0.25">
      <c r="A3012" t="str">
        <f>IF(Scan2VK!U102&lt;&gt;"",Scan2VK!U102,"")</f>
        <v>F13</v>
      </c>
      <c r="B3012" t="str">
        <f>IF(ISERROR(MATCH(0,INDEX(COUNTIF($B$1:B3011,$A$2:$A$4629),0,0),0)),"",INDEX($A$2:$A$4629,MATCH(0,INDEX(COUNTIF($B$1:B3011,$A$2:$A$4629),0,0),0)))</f>
        <v/>
      </c>
      <c r="C3012" t="str">
        <f t="shared" si="47"/>
        <v/>
      </c>
    </row>
    <row r="3013" spans="1:3" x14ac:dyDescent="0.25">
      <c r="A3013" t="str">
        <f>IF(Scan2VK!U103&lt;&gt;"",Scan2VK!U103,"")</f>
        <v>F14</v>
      </c>
      <c r="B3013" t="str">
        <f>IF(ISERROR(MATCH(0,INDEX(COUNTIF($B$1:B3012,$A$2:$A$4629),0,0),0)),"",INDEX($A$2:$A$4629,MATCH(0,INDEX(COUNTIF($B$1:B3012,$A$2:$A$4629),0,0),0)))</f>
        <v/>
      </c>
      <c r="C3013" t="str">
        <f t="shared" si="47"/>
        <v/>
      </c>
    </row>
    <row r="3014" spans="1:3" x14ac:dyDescent="0.25">
      <c r="A3014" t="str">
        <f>IF(Scan2VK!U104&lt;&gt;"",Scan2VK!U104,"")</f>
        <v>F15</v>
      </c>
      <c r="B3014" t="str">
        <f>IF(ISERROR(MATCH(0,INDEX(COUNTIF($B$1:B3013,$A$2:$A$4629),0,0),0)),"",INDEX($A$2:$A$4629,MATCH(0,INDEX(COUNTIF($B$1:B3013,$A$2:$A$4629),0,0),0)))</f>
        <v/>
      </c>
      <c r="C3014" t="str">
        <f t="shared" si="47"/>
        <v/>
      </c>
    </row>
    <row r="3015" spans="1:3" x14ac:dyDescent="0.25">
      <c r="A3015" t="str">
        <f>IF(Scan2VK!U105&lt;&gt;"",Scan2VK!U105,"")</f>
        <v>F16</v>
      </c>
      <c r="B3015" t="str">
        <f>IF(ISERROR(MATCH(0,INDEX(COUNTIF($B$1:B3014,$A$2:$A$4629),0,0),0)),"",INDEX($A$2:$A$4629,MATCH(0,INDEX(COUNTIF($B$1:B3014,$A$2:$A$4629),0,0),0)))</f>
        <v/>
      </c>
      <c r="C3015" t="str">
        <f t="shared" si="47"/>
        <v/>
      </c>
    </row>
    <row r="3016" spans="1:3" x14ac:dyDescent="0.25">
      <c r="A3016" t="str">
        <f>IF(Scan2VK!U106&lt;&gt;"",Scan2VK!U106,"")</f>
        <v>F17</v>
      </c>
      <c r="B3016" t="str">
        <f>IF(ISERROR(MATCH(0,INDEX(COUNTIF($B$1:B3015,$A$2:$A$4629),0,0),0)),"",INDEX($A$2:$A$4629,MATCH(0,INDEX(COUNTIF($B$1:B3015,$A$2:$A$4629),0,0),0)))</f>
        <v/>
      </c>
      <c r="C3016" t="str">
        <f t="shared" si="47"/>
        <v/>
      </c>
    </row>
    <row r="3017" spans="1:3" x14ac:dyDescent="0.25">
      <c r="A3017" t="str">
        <f>IF(Scan2VK!U107&lt;&gt;"",Scan2VK!U107,"")</f>
        <v>F18</v>
      </c>
      <c r="B3017" t="str">
        <f>IF(ISERROR(MATCH(0,INDEX(COUNTIF($B$1:B3016,$A$2:$A$4629),0,0),0)),"",INDEX($A$2:$A$4629,MATCH(0,INDEX(COUNTIF($B$1:B3016,$A$2:$A$4629),0,0),0)))</f>
        <v/>
      </c>
      <c r="C3017" t="str">
        <f t="shared" si="47"/>
        <v/>
      </c>
    </row>
    <row r="3018" spans="1:3" x14ac:dyDescent="0.25">
      <c r="A3018" t="str">
        <f>IF(Scan2VK!U108&lt;&gt;"",Scan2VK!U108,"")</f>
        <v>F19</v>
      </c>
      <c r="B3018" t="str">
        <f>IF(ISERROR(MATCH(0,INDEX(COUNTIF($B$1:B3017,$A$2:$A$4629),0,0),0)),"",INDEX($A$2:$A$4629,MATCH(0,INDEX(COUNTIF($B$1:B3017,$A$2:$A$4629),0,0),0)))</f>
        <v/>
      </c>
      <c r="C3018" t="str">
        <f t="shared" si="47"/>
        <v/>
      </c>
    </row>
    <row r="3019" spans="1:3" x14ac:dyDescent="0.25">
      <c r="A3019" t="str">
        <f>IF(Scan2VK!U109&lt;&gt;"",Scan2VK!U109,"")</f>
        <v>F20</v>
      </c>
      <c r="B3019" t="str">
        <f>IF(ISERROR(MATCH(0,INDEX(COUNTIF($B$1:B3018,$A$2:$A$4629),0,0),0)),"",INDEX($A$2:$A$4629,MATCH(0,INDEX(COUNTIF($B$1:B3018,$A$2:$A$4629),0,0),0)))</f>
        <v/>
      </c>
      <c r="C3019" t="str">
        <f t="shared" si="47"/>
        <v/>
      </c>
    </row>
    <row r="3020" spans="1:3" x14ac:dyDescent="0.25">
      <c r="A3020" t="str">
        <f>IF(Scan2VK!U110&lt;&gt;"",Scan2VK!U110,"")</f>
        <v>F21</v>
      </c>
      <c r="B3020" t="str">
        <f>IF(ISERROR(MATCH(0,INDEX(COUNTIF($B$1:B3019,$A$2:$A$4629),0,0),0)),"",INDEX($A$2:$A$4629,MATCH(0,INDEX(COUNTIF($B$1:B3019,$A$2:$A$4629),0,0),0)))</f>
        <v/>
      </c>
      <c r="C3020" t="str">
        <f t="shared" si="47"/>
        <v/>
      </c>
    </row>
    <row r="3021" spans="1:3" x14ac:dyDescent="0.25">
      <c r="A3021" t="str">
        <f>IF(Scan2VK!U111&lt;&gt;"",Scan2VK!U111,"")</f>
        <v>F22</v>
      </c>
      <c r="B3021" t="str">
        <f>IF(ISERROR(MATCH(0,INDEX(COUNTIF($B$1:B3020,$A$2:$A$4629),0,0),0)),"",INDEX($A$2:$A$4629,MATCH(0,INDEX(COUNTIF($B$1:B3020,$A$2:$A$4629),0,0),0)))</f>
        <v/>
      </c>
      <c r="C3021" t="str">
        <f t="shared" si="47"/>
        <v/>
      </c>
    </row>
    <row r="3022" spans="1:3" x14ac:dyDescent="0.25">
      <c r="A3022" t="str">
        <f>IF(Scan2VK!U112&lt;&gt;"",Scan2VK!U112,"")</f>
        <v>F23</v>
      </c>
      <c r="B3022" t="str">
        <f>IF(ISERROR(MATCH(0,INDEX(COUNTIF($B$1:B3021,$A$2:$A$4629),0,0),0)),"",INDEX($A$2:$A$4629,MATCH(0,INDEX(COUNTIF($B$1:B3021,$A$2:$A$4629),0,0),0)))</f>
        <v/>
      </c>
      <c r="C3022" t="str">
        <f t="shared" si="47"/>
        <v/>
      </c>
    </row>
    <row r="3023" spans="1:3" x14ac:dyDescent="0.25">
      <c r="A3023" t="str">
        <f>IF(Scan2VK!U113&lt;&gt;"",Scan2VK!U113,"")</f>
        <v>_none_</v>
      </c>
      <c r="B3023" t="str">
        <f>IF(ISERROR(MATCH(0,INDEX(COUNTIF($B$1:B3022,$A$2:$A$4629),0,0),0)),"",INDEX($A$2:$A$4629,MATCH(0,INDEX(COUNTIF($B$1:B3022,$A$2:$A$4629),0,0),0)))</f>
        <v/>
      </c>
      <c r="C3023" t="str">
        <f t="shared" si="47"/>
        <v/>
      </c>
    </row>
    <row r="3024" spans="1:3" x14ac:dyDescent="0.25">
      <c r="A3024" t="str">
        <f>IF(Scan2VK!U114&lt;&gt;"",Scan2VK!U114,"")</f>
        <v>DBE_HIRAGA</v>
      </c>
      <c r="B3024" t="str">
        <f>IF(ISERROR(MATCH(0,INDEX(COUNTIF($B$1:B3023,$A$2:$A$4629),0,0),0)),"",INDEX($A$2:$A$4629,MATCH(0,INDEX(COUNTIF($B$1:B3023,$A$2:$A$4629),0,0),0)))</f>
        <v/>
      </c>
      <c r="C3024" t="str">
        <f t="shared" si="47"/>
        <v/>
      </c>
    </row>
    <row r="3025" spans="1:3" x14ac:dyDescent="0.25">
      <c r="A3025" t="str">
        <f>IF(Scan2VK!U115&lt;&gt;"",Scan2VK!U115,"")</f>
        <v>_none_</v>
      </c>
      <c r="B3025" t="str">
        <f>IF(ISERROR(MATCH(0,INDEX(COUNTIF($B$1:B3024,$A$2:$A$4629),0,0),0)),"",INDEX($A$2:$A$4629,MATCH(0,INDEX(COUNTIF($B$1:B3024,$A$2:$A$4629),0,0),0)))</f>
        <v/>
      </c>
      <c r="C3025" t="str">
        <f t="shared" si="47"/>
        <v/>
      </c>
    </row>
    <row r="3026" spans="1:3" x14ac:dyDescent="0.25">
      <c r="A3026" t="str">
        <f>IF(Scan2VK!U116&lt;&gt;"",Scan2VK!U116,"")</f>
        <v>_none_</v>
      </c>
      <c r="B3026" t="str">
        <f>IF(ISERROR(MATCH(0,INDEX(COUNTIF($B$1:B3025,$A$2:$A$4629),0,0),0)),"",INDEX($A$2:$A$4629,MATCH(0,INDEX(COUNTIF($B$1:B3025,$A$2:$A$4629),0,0),0)))</f>
        <v/>
      </c>
      <c r="C3026" t="str">
        <f t="shared" si="47"/>
        <v/>
      </c>
    </row>
    <row r="3027" spans="1:3" x14ac:dyDescent="0.25">
      <c r="A3027" t="str">
        <f>IF(Scan2VK!U117&lt;&gt;"",Scan2VK!U117,"")</f>
        <v>OEM_102</v>
      </c>
      <c r="B3027" t="str">
        <f>IF(ISERROR(MATCH(0,INDEX(COUNTIF($B$1:B3026,$A$2:$A$4629),0,0),0)),"",INDEX($A$2:$A$4629,MATCH(0,INDEX(COUNTIF($B$1:B3026,$A$2:$A$4629),0,0),0)))</f>
        <v/>
      </c>
      <c r="C3027" t="str">
        <f t="shared" si="47"/>
        <v/>
      </c>
    </row>
    <row r="3028" spans="1:3" x14ac:dyDescent="0.25">
      <c r="A3028" t="str">
        <f>IF(Scan2VK!U118&lt;&gt;"",Scan2VK!U118,"")</f>
        <v>_none_</v>
      </c>
      <c r="B3028" t="str">
        <f>IF(ISERROR(MATCH(0,INDEX(COUNTIF($B$1:B3027,$A$2:$A$4629),0,0),0)),"",INDEX($A$2:$A$4629,MATCH(0,INDEX(COUNTIF($B$1:B3027,$A$2:$A$4629),0,0),0)))</f>
        <v/>
      </c>
      <c r="C3028" t="str">
        <f t="shared" si="47"/>
        <v/>
      </c>
    </row>
    <row r="3029" spans="1:3" x14ac:dyDescent="0.25">
      <c r="A3029" t="str">
        <f>IF(Scan2VK!U119&lt;&gt;"",Scan2VK!U119,"")</f>
        <v>_none_</v>
      </c>
      <c r="B3029" t="str">
        <f>IF(ISERROR(MATCH(0,INDEX(COUNTIF($B$1:B3028,$A$2:$A$4629),0,0),0)),"",INDEX($A$2:$A$4629,MATCH(0,INDEX(COUNTIF($B$1:B3028,$A$2:$A$4629),0,0),0)))</f>
        <v/>
      </c>
      <c r="C3029" t="str">
        <f t="shared" si="47"/>
        <v/>
      </c>
    </row>
    <row r="3030" spans="1:3" x14ac:dyDescent="0.25">
      <c r="A3030" t="str">
        <f>IF(Scan2VK!U120&lt;&gt;"",Scan2VK!U120,"")</f>
        <v>F24</v>
      </c>
      <c r="B3030" t="str">
        <f>IF(ISERROR(MATCH(0,INDEX(COUNTIF($B$1:B3029,$A$2:$A$4629),0,0),0)),"",INDEX($A$2:$A$4629,MATCH(0,INDEX(COUNTIF($B$1:B3029,$A$2:$A$4629),0,0),0)))</f>
        <v/>
      </c>
      <c r="C3030" t="str">
        <f t="shared" si="47"/>
        <v/>
      </c>
    </row>
    <row r="3031" spans="1:3" x14ac:dyDescent="0.25">
      <c r="A3031" t="str">
        <f>IF(Scan2VK!U121&lt;&gt;"",Scan2VK!U121,"")</f>
        <v>_none_</v>
      </c>
      <c r="B3031" t="str">
        <f>IF(ISERROR(MATCH(0,INDEX(COUNTIF($B$1:B3030,$A$2:$A$4629),0,0),0)),"",INDEX($A$2:$A$4629,MATCH(0,INDEX(COUNTIF($B$1:B3030,$A$2:$A$4629),0,0),0)))</f>
        <v/>
      </c>
      <c r="C3031" t="str">
        <f t="shared" si="47"/>
        <v/>
      </c>
    </row>
    <row r="3032" spans="1:3" x14ac:dyDescent="0.25">
      <c r="A3032" t="str">
        <f>IF(Scan2VK!U122&lt;&gt;"",Scan2VK!U122,"")</f>
        <v>_none_</v>
      </c>
      <c r="B3032" t="str">
        <f>IF(ISERROR(MATCH(0,INDEX(COUNTIF($B$1:B3031,$A$2:$A$4629),0,0),0)),"",INDEX($A$2:$A$4629,MATCH(0,INDEX(COUNTIF($B$1:B3031,$A$2:$A$4629),0,0),0)))</f>
        <v/>
      </c>
      <c r="C3032" t="str">
        <f t="shared" si="47"/>
        <v/>
      </c>
    </row>
    <row r="3033" spans="1:3" x14ac:dyDescent="0.25">
      <c r="A3033" t="str">
        <f>IF(Scan2VK!U123&lt;&gt;"",Scan2VK!U123,"")</f>
        <v>CONVERT</v>
      </c>
      <c r="B3033" t="str">
        <f>IF(ISERROR(MATCH(0,INDEX(COUNTIF($B$1:B3032,$A$2:$A$4629),0,0),0)),"",INDEX($A$2:$A$4629,MATCH(0,INDEX(COUNTIF($B$1:B3032,$A$2:$A$4629),0,0),0)))</f>
        <v/>
      </c>
      <c r="C3033" t="str">
        <f t="shared" si="47"/>
        <v/>
      </c>
    </row>
    <row r="3034" spans="1:3" x14ac:dyDescent="0.25">
      <c r="A3034" t="str">
        <f>IF(Scan2VK!U124&lt;&gt;"",Scan2VK!U124,"")</f>
        <v>_none_</v>
      </c>
      <c r="B3034" t="str">
        <f>IF(ISERROR(MATCH(0,INDEX(COUNTIF($B$1:B3033,$A$2:$A$4629),0,0),0)),"",INDEX($A$2:$A$4629,MATCH(0,INDEX(COUNTIF($B$1:B3033,$A$2:$A$4629),0,0),0)))</f>
        <v/>
      </c>
      <c r="C3034" t="str">
        <f t="shared" si="47"/>
        <v/>
      </c>
    </row>
    <row r="3035" spans="1:3" x14ac:dyDescent="0.25">
      <c r="A3035" t="str">
        <f>IF(Scan2VK!U125&lt;&gt;"",Scan2VK!U125,"")</f>
        <v>NONCONVERT</v>
      </c>
      <c r="B3035" t="str">
        <f>IF(ISERROR(MATCH(0,INDEX(COUNTIF($B$1:B3034,$A$2:$A$4629),0,0),0)),"",INDEX($A$2:$A$4629,MATCH(0,INDEX(COUNTIF($B$1:B3034,$A$2:$A$4629),0,0),0)))</f>
        <v/>
      </c>
      <c r="C3035" t="str">
        <f t="shared" si="47"/>
        <v/>
      </c>
    </row>
    <row r="3036" spans="1:3" x14ac:dyDescent="0.25">
      <c r="A3036" t="str">
        <f>IF(Scan2VK!U126&lt;&gt;"",Scan2VK!U126,"")</f>
        <v>TAB</v>
      </c>
      <c r="B3036" t="str">
        <f>IF(ISERROR(MATCH(0,INDEX(COUNTIF($B$1:B3035,$A$2:$A$4629),0,0),0)),"",INDEX($A$2:$A$4629,MATCH(0,INDEX(COUNTIF($B$1:B3035,$A$2:$A$4629),0,0),0)))</f>
        <v/>
      </c>
      <c r="C3036" t="str">
        <f t="shared" si="47"/>
        <v/>
      </c>
    </row>
    <row r="3037" spans="1:3" x14ac:dyDescent="0.25">
      <c r="A3037" t="str">
        <f>IF(Scan2VK!U127&lt;&gt;"",Scan2VK!U127,"")</f>
        <v>OEM_5</v>
      </c>
      <c r="B3037" t="str">
        <f>IF(ISERROR(MATCH(0,INDEX(COUNTIF($B$1:B3036,$A$2:$A$4629),0,0),0)),"",INDEX($A$2:$A$4629,MATCH(0,INDEX(COUNTIF($B$1:B3036,$A$2:$A$4629),0,0),0)))</f>
        <v/>
      </c>
      <c r="C3037" t="str">
        <f t="shared" si="47"/>
        <v/>
      </c>
    </row>
    <row r="3038" spans="1:3" x14ac:dyDescent="0.25">
      <c r="A3038" t="str">
        <f>IF(Scan2VK!U128&lt;&gt;"",Scan2VK!U128,"")</f>
        <v>ABNT_C2</v>
      </c>
      <c r="B3038" t="str">
        <f>IF(ISERROR(MATCH(0,INDEX(COUNTIF($B$1:B3037,$A$2:$A$4629),0,0),0)),"",INDEX($A$2:$A$4629,MATCH(0,INDEX(COUNTIF($B$1:B3037,$A$2:$A$4629),0,0),0)))</f>
        <v/>
      </c>
      <c r="C3038" t="str">
        <f t="shared" si="47"/>
        <v/>
      </c>
    </row>
    <row r="3039" spans="1:3" x14ac:dyDescent="0.25">
      <c r="A3039" t="str">
        <f>IF(Scan2VK!U129&lt;&gt;"",Scan2VK!U129,"")</f>
        <v>OEM_PA2</v>
      </c>
      <c r="B3039" t="str">
        <f>IF(ISERROR(MATCH(0,INDEX(COUNTIF($B$1:B3038,$A$2:$A$4629),0,0),0)),"",INDEX($A$2:$A$4629,MATCH(0,INDEX(COUNTIF($B$1:B3038,$A$2:$A$4629),0,0),0)))</f>
        <v/>
      </c>
      <c r="C3039" t="str">
        <f t="shared" si="47"/>
        <v/>
      </c>
    </row>
    <row r="3040" spans="1:3" x14ac:dyDescent="0.25">
      <c r="A3040" t="str">
        <f>IF(Scan2VK!U130&lt;&gt;"",Scan2VK!U130,"")</f>
        <v/>
      </c>
      <c r="B3040" t="str">
        <f>IF(ISERROR(MATCH(0,INDEX(COUNTIF($B$1:B3039,$A$2:$A$4629),0,0),0)),"",INDEX($A$2:$A$4629,MATCH(0,INDEX(COUNTIF($B$1:B3039,$A$2:$A$4629),0,0),0)))</f>
        <v/>
      </c>
      <c r="C3040" t="str">
        <f t="shared" si="47"/>
        <v/>
      </c>
    </row>
    <row r="3041" spans="1:3" x14ac:dyDescent="0.25">
      <c r="A3041" t="str">
        <f>IF(Scan2VK!U131&lt;&gt;"",Scan2VK!U131,"")</f>
        <v/>
      </c>
      <c r="B3041" t="str">
        <f>IF(ISERROR(MATCH(0,INDEX(COUNTIF($B$1:B3040,$A$2:$A$4629),0,0),0)),"",INDEX($A$2:$A$4629,MATCH(0,INDEX(COUNTIF($B$1:B3040,$A$2:$A$4629),0,0),0)))</f>
        <v/>
      </c>
      <c r="C3041" t="str">
        <f t="shared" si="47"/>
        <v/>
      </c>
    </row>
    <row r="3042" spans="1:3" x14ac:dyDescent="0.25">
      <c r="A3042" t="str">
        <f>IF(Scan2VK!U132&lt;&gt;"",Scan2VK!U132,"")</f>
        <v/>
      </c>
      <c r="B3042" t="str">
        <f>IF(ISERROR(MATCH(0,INDEX(COUNTIF($B$1:B3041,$A$2:$A$4629),0,0),0)),"",INDEX($A$2:$A$4629,MATCH(0,INDEX(COUNTIF($B$1:B3041,$A$2:$A$4629),0,0),0)))</f>
        <v/>
      </c>
      <c r="C3042" t="str">
        <f t="shared" si="47"/>
        <v/>
      </c>
    </row>
    <row r="3043" spans="1:3" x14ac:dyDescent="0.25">
      <c r="A3043" t="str">
        <f>IF(Scan2VK!U133&lt;&gt;"",Scan2VK!U133,"")</f>
        <v>RETURN</v>
      </c>
      <c r="B3043" t="str">
        <f>IF(ISERROR(MATCH(0,INDEX(COUNTIF($B$1:B3042,$A$2:$A$4629),0,0),0)),"",INDEX($A$2:$A$4629,MATCH(0,INDEX(COUNTIF($B$1:B3042,$A$2:$A$4629),0,0),0)))</f>
        <v/>
      </c>
      <c r="C3043" t="str">
        <f t="shared" si="47"/>
        <v/>
      </c>
    </row>
    <row r="3044" spans="1:3" x14ac:dyDescent="0.25">
      <c r="A3044" t="str">
        <f>IF(Scan2VK!U134&lt;&gt;"",Scan2VK!U134,"")</f>
        <v>RCONTROL</v>
      </c>
      <c r="B3044" t="str">
        <f>IF(ISERROR(MATCH(0,INDEX(COUNTIF($B$1:B3043,$A$2:$A$4629),0,0),0)),"",INDEX($A$2:$A$4629,MATCH(0,INDEX(COUNTIF($B$1:B3043,$A$2:$A$4629),0,0),0)))</f>
        <v/>
      </c>
      <c r="C3044" t="str">
        <f t="shared" si="47"/>
        <v/>
      </c>
    </row>
    <row r="3045" spans="1:3" x14ac:dyDescent="0.25">
      <c r="A3045" t="str">
        <f>IF(Scan2VK!U135&lt;&gt;"",Scan2VK!U135,"")</f>
        <v/>
      </c>
      <c r="B3045" t="str">
        <f>IF(ISERROR(MATCH(0,INDEX(COUNTIF($B$1:B3044,$A$2:$A$4629),0,0),0)),"",INDEX($A$2:$A$4629,MATCH(0,INDEX(COUNTIF($B$1:B3044,$A$2:$A$4629),0,0),0)))</f>
        <v/>
      </c>
      <c r="C3045" t="str">
        <f t="shared" si="47"/>
        <v/>
      </c>
    </row>
    <row r="3046" spans="1:3" x14ac:dyDescent="0.25">
      <c r="A3046" t="str">
        <f>IF(Scan2VK!U136&lt;&gt;"",Scan2VK!U136,"")</f>
        <v/>
      </c>
      <c r="B3046" t="str">
        <f>IF(ISERROR(MATCH(0,INDEX(COUNTIF($B$1:B3045,$A$2:$A$4629),0,0),0)),"",INDEX($A$2:$A$4629,MATCH(0,INDEX(COUNTIF($B$1:B3045,$A$2:$A$4629),0,0),0)))</f>
        <v/>
      </c>
      <c r="C3046" t="str">
        <f t="shared" si="47"/>
        <v/>
      </c>
    </row>
    <row r="3047" spans="1:3" x14ac:dyDescent="0.25">
      <c r="A3047" t="str">
        <f>IF(Scan2VK!U137&lt;&gt;"",Scan2VK!U137,"")</f>
        <v/>
      </c>
      <c r="B3047" t="str">
        <f>IF(ISERROR(MATCH(0,INDEX(COUNTIF($B$1:B3046,$A$2:$A$4629),0,0),0)),"",INDEX($A$2:$A$4629,MATCH(0,INDEX(COUNTIF($B$1:B3046,$A$2:$A$4629),0,0),0)))</f>
        <v/>
      </c>
      <c r="C3047" t="str">
        <f t="shared" si="47"/>
        <v/>
      </c>
    </row>
    <row r="3048" spans="1:3" x14ac:dyDescent="0.25">
      <c r="A3048" t="str">
        <f>IF(Scan2VK!U138&lt;&gt;"",Scan2VK!U138,"")</f>
        <v/>
      </c>
      <c r="B3048" t="str">
        <f>IF(ISERROR(MATCH(0,INDEX(COUNTIF($B$1:B3047,$A$2:$A$4629),0,0),0)),"",INDEX($A$2:$A$4629,MATCH(0,INDEX(COUNTIF($B$1:B3047,$A$2:$A$4629),0,0),0)))</f>
        <v/>
      </c>
      <c r="C3048" t="str">
        <f t="shared" si="47"/>
        <v/>
      </c>
    </row>
    <row r="3049" spans="1:3" x14ac:dyDescent="0.25">
      <c r="A3049" t="str">
        <f>IF(Scan2VK!U139&lt;&gt;"",Scan2VK!U139,"")</f>
        <v/>
      </c>
      <c r="B3049" t="str">
        <f>IF(ISERROR(MATCH(0,INDEX(COUNTIF($B$1:B3048,$A$2:$A$4629),0,0),0)),"",INDEX($A$2:$A$4629,MATCH(0,INDEX(COUNTIF($B$1:B3048,$A$2:$A$4629),0,0),0)))</f>
        <v/>
      </c>
      <c r="C3049" t="str">
        <f t="shared" si="47"/>
        <v/>
      </c>
    </row>
    <row r="3050" spans="1:3" x14ac:dyDescent="0.25">
      <c r="A3050" t="str">
        <f>IF(Scan2VK!U140&lt;&gt;"",Scan2VK!U140,"")</f>
        <v/>
      </c>
      <c r="B3050" t="str">
        <f>IF(ISERROR(MATCH(0,INDEX(COUNTIF($B$1:B3049,$A$2:$A$4629),0,0),0)),"",INDEX($A$2:$A$4629,MATCH(0,INDEX(COUNTIF($B$1:B3049,$A$2:$A$4629),0,0),0)))</f>
        <v/>
      </c>
      <c r="C3050" t="str">
        <f t="shared" si="47"/>
        <v/>
      </c>
    </row>
    <row r="3051" spans="1:3" x14ac:dyDescent="0.25">
      <c r="A3051" t="str">
        <f>IF(Scan2VK!U141&lt;&gt;"",Scan2VK!U141,"")</f>
        <v/>
      </c>
      <c r="B3051" t="str">
        <f>IF(ISERROR(MATCH(0,INDEX(COUNTIF($B$1:B3050,$A$2:$A$4629),0,0),0)),"",INDEX($A$2:$A$4629,MATCH(0,INDEX(COUNTIF($B$1:B3050,$A$2:$A$4629),0,0),0)))</f>
        <v/>
      </c>
      <c r="C3051" t="str">
        <f t="shared" si="47"/>
        <v/>
      </c>
    </row>
    <row r="3052" spans="1:3" x14ac:dyDescent="0.25">
      <c r="A3052" t="str">
        <f>IF(Scan2VK!U142&lt;&gt;"",Scan2VK!U142,"")</f>
        <v>_none_</v>
      </c>
      <c r="B3052" t="str">
        <f>IF(ISERROR(MATCH(0,INDEX(COUNTIF($B$1:B3051,$A$2:$A$4629),0,0),0)),"",INDEX($A$2:$A$4629,MATCH(0,INDEX(COUNTIF($B$1:B3051,$A$2:$A$4629),0,0),0)))</f>
        <v/>
      </c>
      <c r="C3052" t="str">
        <f t="shared" si="47"/>
        <v/>
      </c>
    </row>
    <row r="3053" spans="1:3" x14ac:dyDescent="0.25">
      <c r="A3053" t="str">
        <f>IF(Scan2VK!U143&lt;&gt;"",Scan2VK!U143,"")</f>
        <v>DIVIDE</v>
      </c>
      <c r="B3053" t="str">
        <f>IF(ISERROR(MATCH(0,INDEX(COUNTIF($B$1:B3052,$A$2:$A$4629),0,0),0)),"",INDEX($A$2:$A$4629,MATCH(0,INDEX(COUNTIF($B$1:B3052,$A$2:$A$4629),0,0),0)))</f>
        <v/>
      </c>
      <c r="C3053" t="str">
        <f t="shared" si="47"/>
        <v/>
      </c>
    </row>
    <row r="3054" spans="1:3" x14ac:dyDescent="0.25">
      <c r="A3054" t="str">
        <f>IF(Scan2VK!U144&lt;&gt;"",Scan2VK!U144,"")</f>
        <v>SNAPSHOT</v>
      </c>
      <c r="B3054" t="str">
        <f>IF(ISERROR(MATCH(0,INDEX(COUNTIF($B$1:B3053,$A$2:$A$4629),0,0),0)),"",INDEX($A$2:$A$4629,MATCH(0,INDEX(COUNTIF($B$1:B3053,$A$2:$A$4629),0,0),0)))</f>
        <v/>
      </c>
      <c r="C3054" t="str">
        <f t="shared" si="47"/>
        <v/>
      </c>
    </row>
    <row r="3055" spans="1:3" x14ac:dyDescent="0.25">
      <c r="A3055" t="str">
        <f>IF(Scan2VK!U145&lt;&gt;"",Scan2VK!U145,"")</f>
        <v>RMENU</v>
      </c>
      <c r="B3055" t="str">
        <f>IF(ISERROR(MATCH(0,INDEX(COUNTIF($B$1:B3054,$A$2:$A$4629),0,0),0)),"",INDEX($A$2:$A$4629,MATCH(0,INDEX(COUNTIF($B$1:B3054,$A$2:$A$4629),0,0),0)))</f>
        <v/>
      </c>
      <c r="C3055" t="str">
        <f t="shared" si="47"/>
        <v/>
      </c>
    </row>
    <row r="3056" spans="1:3" x14ac:dyDescent="0.25">
      <c r="A3056" t="str">
        <f>IF(Scan2VK!U146&lt;&gt;"",Scan2VK!U146,"")</f>
        <v/>
      </c>
      <c r="B3056" t="str">
        <f>IF(ISERROR(MATCH(0,INDEX(COUNTIF($B$1:B3055,$A$2:$A$4629),0,0),0)),"",INDEX($A$2:$A$4629,MATCH(0,INDEX(COUNTIF($B$1:B3055,$A$2:$A$4629),0,0),0)))</f>
        <v/>
      </c>
      <c r="C3056" t="str">
        <f t="shared" si="47"/>
        <v/>
      </c>
    </row>
    <row r="3057" spans="1:3" x14ac:dyDescent="0.25">
      <c r="A3057" t="str">
        <f>IF(Scan2VK!U147&lt;&gt;"",Scan2VK!U147,"")</f>
        <v/>
      </c>
      <c r="B3057" t="str">
        <f>IF(ISERROR(MATCH(0,INDEX(COUNTIF($B$1:B3056,$A$2:$A$4629),0,0),0)),"",INDEX($A$2:$A$4629,MATCH(0,INDEX(COUNTIF($B$1:B3056,$A$2:$A$4629),0,0),0)))</f>
        <v/>
      </c>
      <c r="C3057" t="str">
        <f t="shared" si="47"/>
        <v/>
      </c>
    </row>
    <row r="3058" spans="1:3" x14ac:dyDescent="0.25">
      <c r="A3058" t="str">
        <f>IF(Scan2VK!U148&lt;&gt;"",Scan2VK!U148,"")</f>
        <v/>
      </c>
      <c r="B3058" t="str">
        <f>IF(ISERROR(MATCH(0,INDEX(COUNTIF($B$1:B3057,$A$2:$A$4629),0,0),0)),"",INDEX($A$2:$A$4629,MATCH(0,INDEX(COUNTIF($B$1:B3057,$A$2:$A$4629),0,0),0)))</f>
        <v/>
      </c>
      <c r="C3058" t="str">
        <f t="shared" si="47"/>
        <v/>
      </c>
    </row>
    <row r="3059" spans="1:3" x14ac:dyDescent="0.25">
      <c r="A3059" t="str">
        <f>IF(Scan2VK!U149&lt;&gt;"",Scan2VK!U149,"")</f>
        <v/>
      </c>
      <c r="B3059" t="str">
        <f>IF(ISERROR(MATCH(0,INDEX(COUNTIF($B$1:B3058,$A$2:$A$4629),0,0),0)),"",INDEX($A$2:$A$4629,MATCH(0,INDEX(COUNTIF($B$1:B3058,$A$2:$A$4629),0,0),0)))</f>
        <v/>
      </c>
      <c r="C3059" t="str">
        <f t="shared" si="47"/>
        <v/>
      </c>
    </row>
    <row r="3060" spans="1:3" x14ac:dyDescent="0.25">
      <c r="A3060" t="str">
        <f>IF(Scan2VK!U150&lt;&gt;"",Scan2VK!U150,"")</f>
        <v/>
      </c>
      <c r="B3060" t="str">
        <f>IF(ISERROR(MATCH(0,INDEX(COUNTIF($B$1:B3059,$A$2:$A$4629),0,0),0)),"",INDEX($A$2:$A$4629,MATCH(0,INDEX(COUNTIF($B$1:B3059,$A$2:$A$4629),0,0),0)))</f>
        <v/>
      </c>
      <c r="C3060" t="str">
        <f t="shared" si="47"/>
        <v/>
      </c>
    </row>
    <row r="3061" spans="1:3" x14ac:dyDescent="0.25">
      <c r="A3061" t="str">
        <f>IF(Scan2VK!U151&lt;&gt;"",Scan2VK!U151,"")</f>
        <v>_none_</v>
      </c>
      <c r="B3061" t="str">
        <f>IF(ISERROR(MATCH(0,INDEX(COUNTIF($B$1:B3060,$A$2:$A$4629),0,0),0)),"",INDEX($A$2:$A$4629,MATCH(0,INDEX(COUNTIF($B$1:B3060,$A$2:$A$4629),0,0),0)))</f>
        <v/>
      </c>
      <c r="C3061" t="str">
        <f t="shared" si="47"/>
        <v/>
      </c>
    </row>
    <row r="3062" spans="1:3" x14ac:dyDescent="0.25">
      <c r="A3062" t="str">
        <f>IF(Scan2VK!U152&lt;&gt;"",Scan2VK!U152,"")</f>
        <v>_none_</v>
      </c>
      <c r="B3062" t="str">
        <f>IF(ISERROR(MATCH(0,INDEX(COUNTIF($B$1:B3061,$A$2:$A$4629),0,0),0)),"",INDEX($A$2:$A$4629,MATCH(0,INDEX(COUNTIF($B$1:B3061,$A$2:$A$4629),0,0),0)))</f>
        <v/>
      </c>
      <c r="C3062" t="str">
        <f t="shared" si="47"/>
        <v/>
      </c>
    </row>
    <row r="3063" spans="1:3" x14ac:dyDescent="0.25">
      <c r="A3063" t="str">
        <f>IF(Scan2VK!U153&lt;&gt;"",Scan2VK!U153,"")</f>
        <v>_none_</v>
      </c>
      <c r="B3063" t="str">
        <f>IF(ISERROR(MATCH(0,INDEX(COUNTIF($B$1:B3062,$A$2:$A$4629),0,0),0)),"",INDEX($A$2:$A$4629,MATCH(0,INDEX(COUNTIF($B$1:B3062,$A$2:$A$4629),0,0),0)))</f>
        <v/>
      </c>
      <c r="C3063" t="str">
        <f t="shared" si="47"/>
        <v/>
      </c>
    </row>
    <row r="3064" spans="1:3" x14ac:dyDescent="0.25">
      <c r="A3064" t="str">
        <f>IF(Scan2VK!U154&lt;&gt;"",Scan2VK!U154,"")</f>
        <v>CANCEL</v>
      </c>
      <c r="B3064" t="str">
        <f>IF(ISERROR(MATCH(0,INDEX(COUNTIF($B$1:B3063,$A$2:$A$4629),0,0),0)),"",INDEX($A$2:$A$4629,MATCH(0,INDEX(COUNTIF($B$1:B3063,$A$2:$A$4629),0,0),0)))</f>
        <v/>
      </c>
      <c r="C3064" t="str">
        <f t="shared" si="47"/>
        <v/>
      </c>
    </row>
    <row r="3065" spans="1:3" x14ac:dyDescent="0.25">
      <c r="A3065" t="str">
        <f>IF(Scan2VK!U155&lt;&gt;"",Scan2VK!U155,"")</f>
        <v>HOME</v>
      </c>
      <c r="B3065" t="str">
        <f>IF(ISERROR(MATCH(0,INDEX(COUNTIF($B$1:B3064,$A$2:$A$4629),0,0),0)),"",INDEX($A$2:$A$4629,MATCH(0,INDEX(COUNTIF($B$1:B3064,$A$2:$A$4629),0,0),0)))</f>
        <v/>
      </c>
      <c r="C3065" t="str">
        <f t="shared" si="47"/>
        <v/>
      </c>
    </row>
    <row r="3066" spans="1:3" x14ac:dyDescent="0.25">
      <c r="A3066" t="str">
        <f>IF(Scan2VK!U156&lt;&gt;"",Scan2VK!U156,"")</f>
        <v>UP</v>
      </c>
      <c r="B3066" t="str">
        <f>IF(ISERROR(MATCH(0,INDEX(COUNTIF($B$1:B3065,$A$2:$A$4629),0,0),0)),"",INDEX($A$2:$A$4629,MATCH(0,INDEX(COUNTIF($B$1:B3065,$A$2:$A$4629),0,0),0)))</f>
        <v/>
      </c>
      <c r="C3066" t="str">
        <f t="shared" si="47"/>
        <v/>
      </c>
    </row>
    <row r="3067" spans="1:3" x14ac:dyDescent="0.25">
      <c r="A3067" t="str">
        <f>IF(Scan2VK!U157&lt;&gt;"",Scan2VK!U157,"")</f>
        <v>PRIOR</v>
      </c>
      <c r="B3067" t="str">
        <f>IF(ISERROR(MATCH(0,INDEX(COUNTIF($B$1:B3066,$A$2:$A$4629),0,0),0)),"",INDEX($A$2:$A$4629,MATCH(0,INDEX(COUNTIF($B$1:B3066,$A$2:$A$4629),0,0),0)))</f>
        <v/>
      </c>
      <c r="C3067" t="str">
        <f t="shared" si="47"/>
        <v/>
      </c>
    </row>
    <row r="3068" spans="1:3" x14ac:dyDescent="0.25">
      <c r="A3068" t="str">
        <f>IF(Scan2VK!U158&lt;&gt;"",Scan2VK!U158,"")</f>
        <v>LEFT</v>
      </c>
      <c r="B3068" t="str">
        <f>IF(ISERROR(MATCH(0,INDEX(COUNTIF($B$1:B3067,$A$2:$A$4629),0,0),0)),"",INDEX($A$2:$A$4629,MATCH(0,INDEX(COUNTIF($B$1:B3067,$A$2:$A$4629),0,0),0)))</f>
        <v/>
      </c>
      <c r="C3068" t="str">
        <f t="shared" si="47"/>
        <v/>
      </c>
    </row>
    <row r="3069" spans="1:3" x14ac:dyDescent="0.25">
      <c r="A3069" t="str">
        <f>IF(Scan2VK!U159&lt;&gt;"",Scan2VK!U159,"")</f>
        <v>RIGHT</v>
      </c>
      <c r="B3069" t="str">
        <f>IF(ISERROR(MATCH(0,INDEX(COUNTIF($B$1:B3068,$A$2:$A$4629),0,0),0)),"",INDEX($A$2:$A$4629,MATCH(0,INDEX(COUNTIF($B$1:B3068,$A$2:$A$4629),0,0),0)))</f>
        <v/>
      </c>
      <c r="C3069" t="str">
        <f t="shared" si="47"/>
        <v/>
      </c>
    </row>
    <row r="3070" spans="1:3" x14ac:dyDescent="0.25">
      <c r="A3070" t="str">
        <f>IF(Scan2VK!U160&lt;&gt;"",Scan2VK!U160,"")</f>
        <v>END</v>
      </c>
      <c r="B3070" t="str">
        <f>IF(ISERROR(MATCH(0,INDEX(COUNTIF($B$1:B3069,$A$2:$A$4629),0,0),0)),"",INDEX($A$2:$A$4629,MATCH(0,INDEX(COUNTIF($B$1:B3069,$A$2:$A$4629),0,0),0)))</f>
        <v/>
      </c>
      <c r="C3070" t="str">
        <f t="shared" si="47"/>
        <v/>
      </c>
    </row>
    <row r="3071" spans="1:3" x14ac:dyDescent="0.25">
      <c r="A3071" t="str">
        <f>IF(Scan2VK!U161&lt;&gt;"",Scan2VK!U161,"")</f>
        <v>DOWN</v>
      </c>
      <c r="B3071" t="str">
        <f>IF(ISERROR(MATCH(0,INDEX(COUNTIF($B$1:B3070,$A$2:$A$4629),0,0),0)),"",INDEX($A$2:$A$4629,MATCH(0,INDEX(COUNTIF($B$1:B3070,$A$2:$A$4629),0,0),0)))</f>
        <v/>
      </c>
      <c r="C3071" t="str">
        <f t="shared" si="47"/>
        <v/>
      </c>
    </row>
    <row r="3072" spans="1:3" x14ac:dyDescent="0.25">
      <c r="A3072" t="str">
        <f>IF(Scan2VK!U162&lt;&gt;"",Scan2VK!U162,"")</f>
        <v>NEXT</v>
      </c>
      <c r="B3072" t="str">
        <f>IF(ISERROR(MATCH(0,INDEX(COUNTIF($B$1:B3071,$A$2:$A$4629),0,0),0)),"",INDEX($A$2:$A$4629,MATCH(0,INDEX(COUNTIF($B$1:B3071,$A$2:$A$4629),0,0),0)))</f>
        <v/>
      </c>
      <c r="C3072" t="str">
        <f t="shared" si="47"/>
        <v/>
      </c>
    </row>
    <row r="3073" spans="1:3" x14ac:dyDescent="0.25">
      <c r="A3073" t="str">
        <f>IF(Scan2VK!U163&lt;&gt;"",Scan2VK!U163,"")</f>
        <v>INSERT</v>
      </c>
      <c r="B3073" t="str">
        <f>IF(ISERROR(MATCH(0,INDEX(COUNTIF($B$1:B3072,$A$2:$A$4629),0,0),0)),"",INDEX($A$2:$A$4629,MATCH(0,INDEX(COUNTIF($B$1:B3072,$A$2:$A$4629),0,0),0)))</f>
        <v/>
      </c>
      <c r="C3073" t="str">
        <f t="shared" si="47"/>
        <v/>
      </c>
    </row>
    <row r="3074" spans="1:3" x14ac:dyDescent="0.25">
      <c r="A3074" t="str">
        <f>IF(Scan2VK!U164&lt;&gt;"",Scan2VK!U164,"")</f>
        <v>DELETE</v>
      </c>
      <c r="B3074" t="str">
        <f>IF(ISERROR(MATCH(0,INDEX(COUNTIF($B$1:B3073,$A$2:$A$4629),0,0),0)),"",INDEX($A$2:$A$4629,MATCH(0,INDEX(COUNTIF($B$1:B3073,$A$2:$A$4629),0,0),0)))</f>
        <v/>
      </c>
      <c r="C3074" t="str">
        <f t="shared" si="47"/>
        <v/>
      </c>
    </row>
    <row r="3075" spans="1:3" x14ac:dyDescent="0.25">
      <c r="A3075" t="str">
        <f>IF(Scan2VK!U165&lt;&gt;"",Scan2VK!U165,"")</f>
        <v>LWIN</v>
      </c>
      <c r="B3075" t="str">
        <f>IF(ISERROR(MATCH(0,INDEX(COUNTIF($B$1:B3074,$A$2:$A$4629),0,0),0)),"",INDEX($A$2:$A$4629,MATCH(0,INDEX(COUNTIF($B$1:B3074,$A$2:$A$4629),0,0),0)))</f>
        <v/>
      </c>
      <c r="C3075" t="str">
        <f t="shared" ref="C3075:C3138" si="48">IF(B3075&lt;&gt;"","&lt;xs:enumeration value="""&amp;B3075&amp;"""/&gt;","")</f>
        <v/>
      </c>
    </row>
    <row r="3076" spans="1:3" x14ac:dyDescent="0.25">
      <c r="A3076" t="str">
        <f>IF(Scan2VK!U166&lt;&gt;"",Scan2VK!U166,"")</f>
        <v>RWIN</v>
      </c>
      <c r="B3076" t="str">
        <f>IF(ISERROR(MATCH(0,INDEX(COUNTIF($B$1:B3075,$A$2:$A$4629),0,0),0)),"",INDEX($A$2:$A$4629,MATCH(0,INDEX(COUNTIF($B$1:B3075,$A$2:$A$4629),0,0),0)))</f>
        <v/>
      </c>
      <c r="C3076" t="str">
        <f t="shared" si="48"/>
        <v/>
      </c>
    </row>
    <row r="3077" spans="1:3" x14ac:dyDescent="0.25">
      <c r="A3077" t="str">
        <f>IF(Scan2VK!U167&lt;&gt;"",Scan2VK!U167,"")</f>
        <v>APPS</v>
      </c>
      <c r="B3077" t="str">
        <f>IF(ISERROR(MATCH(0,INDEX(COUNTIF($B$1:B3076,$A$2:$A$4629),0,0),0)),"",INDEX($A$2:$A$4629,MATCH(0,INDEX(COUNTIF($B$1:B3076,$A$2:$A$4629),0,0),0)))</f>
        <v/>
      </c>
      <c r="C3077" t="str">
        <f t="shared" si="48"/>
        <v/>
      </c>
    </row>
    <row r="3078" spans="1:3" x14ac:dyDescent="0.25">
      <c r="A3078" t="str">
        <f>IF(Scan2VK!U168&lt;&gt;"",Scan2VK!U168,"")</f>
        <v>POWER</v>
      </c>
      <c r="B3078" t="str">
        <f>IF(ISERROR(MATCH(0,INDEX(COUNTIF($B$1:B3077,$A$2:$A$4629),0,0),0)),"",INDEX($A$2:$A$4629,MATCH(0,INDEX(COUNTIF($B$1:B3077,$A$2:$A$4629),0,0),0)))</f>
        <v/>
      </c>
      <c r="C3078" t="str">
        <f t="shared" si="48"/>
        <v/>
      </c>
    </row>
    <row r="3079" spans="1:3" x14ac:dyDescent="0.25">
      <c r="A3079" t="str">
        <f>IF(Scan2VK!U169&lt;&gt;"",Scan2VK!U169,"")</f>
        <v>SLEEP</v>
      </c>
      <c r="B3079" t="str">
        <f>IF(ISERROR(MATCH(0,INDEX(COUNTIF($B$1:B3078,$A$2:$A$4629),0,0),0)),"",INDEX($A$2:$A$4629,MATCH(0,INDEX(COUNTIF($B$1:B3078,$A$2:$A$4629),0,0),0)))</f>
        <v/>
      </c>
      <c r="C3079" t="str">
        <f t="shared" si="48"/>
        <v/>
      </c>
    </row>
    <row r="3080" spans="1:3" x14ac:dyDescent="0.25">
      <c r="A3080" t="str">
        <f>IF(Scan2VK!U170&lt;&gt;"",Scan2VK!U170,"")</f>
        <v/>
      </c>
      <c r="B3080" t="str">
        <f>IF(ISERROR(MATCH(0,INDEX(COUNTIF($B$1:B3079,$A$2:$A$4629),0,0),0)),"",INDEX($A$2:$A$4629,MATCH(0,INDEX(COUNTIF($B$1:B3079,$A$2:$A$4629),0,0),0)))</f>
        <v/>
      </c>
      <c r="C3080" t="str">
        <f t="shared" si="48"/>
        <v/>
      </c>
    </row>
    <row r="3081" spans="1:3" x14ac:dyDescent="0.25">
      <c r="A3081" t="str">
        <f>IF(Scan2VK!U171&lt;&gt;"",Scan2VK!U171,"")</f>
        <v/>
      </c>
      <c r="B3081" t="str">
        <f>IF(ISERROR(MATCH(0,INDEX(COUNTIF($B$1:B3080,$A$2:$A$4629),0,0),0)),"",INDEX($A$2:$A$4629,MATCH(0,INDEX(COUNTIF($B$1:B3080,$A$2:$A$4629),0,0),0)))</f>
        <v/>
      </c>
      <c r="C3081" t="str">
        <f t="shared" si="48"/>
        <v/>
      </c>
    </row>
    <row r="3082" spans="1:3" x14ac:dyDescent="0.25">
      <c r="A3082" t="str">
        <f>IF(Scan2VK!U172&lt;&gt;"",Scan2VK!U172,"")</f>
        <v/>
      </c>
      <c r="B3082" t="str">
        <f>IF(ISERROR(MATCH(0,INDEX(COUNTIF($B$1:B3081,$A$2:$A$4629),0,0),0)),"",INDEX($A$2:$A$4629,MATCH(0,INDEX(COUNTIF($B$1:B3081,$A$2:$A$4629),0,0),0)))</f>
        <v/>
      </c>
      <c r="C3082" t="str">
        <f t="shared" si="48"/>
        <v/>
      </c>
    </row>
    <row r="3083" spans="1:3" x14ac:dyDescent="0.25">
      <c r="A3083" t="str">
        <f>IF(Scan2VK!U173&lt;&gt;"",Scan2VK!U173,"")</f>
        <v/>
      </c>
      <c r="B3083" t="str">
        <f>IF(ISERROR(MATCH(0,INDEX(COUNTIF($B$1:B3082,$A$2:$A$4629),0,0),0)),"",INDEX($A$2:$A$4629,MATCH(0,INDEX(COUNTIF($B$1:B3082,$A$2:$A$4629),0,0),0)))</f>
        <v/>
      </c>
      <c r="C3083" t="str">
        <f t="shared" si="48"/>
        <v/>
      </c>
    </row>
    <row r="3084" spans="1:3" x14ac:dyDescent="0.25">
      <c r="A3084" t="str">
        <f>IF(Scan2VK!U174&lt;&gt;"",Scan2VK!U174,"")</f>
        <v/>
      </c>
      <c r="B3084" t="str">
        <f>IF(ISERROR(MATCH(0,INDEX(COUNTIF($B$1:B3083,$A$2:$A$4629),0,0),0)),"",INDEX($A$2:$A$4629,MATCH(0,INDEX(COUNTIF($B$1:B3083,$A$2:$A$4629),0,0),0)))</f>
        <v/>
      </c>
      <c r="C3084" t="str">
        <f t="shared" si="48"/>
        <v/>
      </c>
    </row>
    <row r="3085" spans="1:3" x14ac:dyDescent="0.25">
      <c r="A3085" t="str">
        <f>IF(Scan2VK!U175&lt;&gt;"",Scan2VK!U175,"")</f>
        <v>_none_</v>
      </c>
      <c r="B3085" t="str">
        <f>IF(ISERROR(MATCH(0,INDEX(COUNTIF($B$1:B3084,$A$2:$A$4629),0,0),0)),"",INDEX($A$2:$A$4629,MATCH(0,INDEX(COUNTIF($B$1:B3084,$A$2:$A$4629),0,0),0)))</f>
        <v/>
      </c>
      <c r="C3085" t="str">
        <f t="shared" si="48"/>
        <v/>
      </c>
    </row>
    <row r="3086" spans="1:3" x14ac:dyDescent="0.25">
      <c r="A3086" t="str">
        <f>IF(Scan2VK!U176&lt;&gt;"",Scan2VK!U176,"")</f>
        <v>_none_</v>
      </c>
      <c r="B3086" t="str">
        <f>IF(ISERROR(MATCH(0,INDEX(COUNTIF($B$1:B3085,$A$2:$A$4629),0,0),0)),"",INDEX($A$2:$A$4629,MATCH(0,INDEX(COUNTIF($B$1:B3085,$A$2:$A$4629),0,0),0)))</f>
        <v/>
      </c>
      <c r="C3086" t="str">
        <f t="shared" si="48"/>
        <v/>
      </c>
    </row>
    <row r="3087" spans="1:3" x14ac:dyDescent="0.25">
      <c r="A3087" t="str">
        <f>IF(Scan2VK!U177&lt;&gt;"",Scan2VK!U177,"")</f>
        <v/>
      </c>
      <c r="B3087" t="str">
        <f>IF(ISERROR(MATCH(0,INDEX(COUNTIF($B$1:B3086,$A$2:$A$4629),0,0),0)),"",INDEX($A$2:$A$4629,MATCH(0,INDEX(COUNTIF($B$1:B3086,$A$2:$A$4629),0,0),0)))</f>
        <v/>
      </c>
      <c r="C3087" t="str">
        <f t="shared" si="48"/>
        <v/>
      </c>
    </row>
    <row r="3088" spans="1:3" x14ac:dyDescent="0.25">
      <c r="A3088" t="str">
        <f>IF(Scan2VK!U178&lt;&gt;"",Scan2VK!U178,"")</f>
        <v/>
      </c>
      <c r="B3088" t="str">
        <f>IF(ISERROR(MATCH(0,INDEX(COUNTIF($B$1:B3087,$A$2:$A$4629),0,0),0)),"",INDEX($A$2:$A$4629,MATCH(0,INDEX(COUNTIF($B$1:B3087,$A$2:$A$4629),0,0),0)))</f>
        <v/>
      </c>
      <c r="C3088" t="str">
        <f t="shared" si="48"/>
        <v/>
      </c>
    </row>
    <row r="3089" spans="1:3" x14ac:dyDescent="0.25">
      <c r="A3089" t="str">
        <f>IF(Scan2VK!U179&lt;&gt;"",Scan2VK!U179,"")</f>
        <v/>
      </c>
      <c r="B3089" t="str">
        <f>IF(ISERROR(MATCH(0,INDEX(COUNTIF($B$1:B3088,$A$2:$A$4629),0,0),0)),"",INDEX($A$2:$A$4629,MATCH(0,INDEX(COUNTIF($B$1:B3088,$A$2:$A$4629),0,0),0)))</f>
        <v/>
      </c>
      <c r="C3089" t="str">
        <f t="shared" si="48"/>
        <v/>
      </c>
    </row>
    <row r="3090" spans="1:3" x14ac:dyDescent="0.25">
      <c r="A3090" t="str">
        <f>IF(Scan2VK!U180&lt;&gt;"",Scan2VK!U180,"")</f>
        <v/>
      </c>
      <c r="B3090" t="str">
        <f>IF(ISERROR(MATCH(0,INDEX(COUNTIF($B$1:B3089,$A$2:$A$4629),0,0),0)),"",INDEX($A$2:$A$4629,MATCH(0,INDEX(COUNTIF($B$1:B3089,$A$2:$A$4629),0,0),0)))</f>
        <v/>
      </c>
      <c r="C3090" t="str">
        <f t="shared" si="48"/>
        <v/>
      </c>
    </row>
    <row r="3091" spans="1:3" x14ac:dyDescent="0.25">
      <c r="A3091" t="str">
        <f>IF(Scan2VK!U181&lt;&gt;"",Scan2VK!U181,"")</f>
        <v/>
      </c>
      <c r="B3091" t="str">
        <f>IF(ISERROR(MATCH(0,INDEX(COUNTIF($B$1:B3090,$A$2:$A$4629),0,0),0)),"",INDEX($A$2:$A$4629,MATCH(0,INDEX(COUNTIF($B$1:B3090,$A$2:$A$4629),0,0),0)))</f>
        <v/>
      </c>
      <c r="C3091" t="str">
        <f t="shared" si="48"/>
        <v/>
      </c>
    </row>
    <row r="3092" spans="1:3" x14ac:dyDescent="0.25">
      <c r="A3092" t="str">
        <f>IF(Scan2VK!U182&lt;&gt;"",Scan2VK!U182,"")</f>
        <v/>
      </c>
      <c r="B3092" t="str">
        <f>IF(ISERROR(MATCH(0,INDEX(COUNTIF($B$1:B3091,$A$2:$A$4629),0,0),0)),"",INDEX($A$2:$A$4629,MATCH(0,INDEX(COUNTIF($B$1:B3091,$A$2:$A$4629),0,0),0)))</f>
        <v/>
      </c>
      <c r="C3092" t="str">
        <f t="shared" si="48"/>
        <v/>
      </c>
    </row>
    <row r="3093" spans="1:3" x14ac:dyDescent="0.25">
      <c r="A3093" t="str">
        <f>IF(Scan2VK!U183&lt;&gt;"",Scan2VK!U183,"")</f>
        <v>_none_</v>
      </c>
      <c r="B3093" t="str">
        <f>IF(ISERROR(MATCH(0,INDEX(COUNTIF($B$1:B3092,$A$2:$A$4629),0,0),0)),"",INDEX($A$2:$A$4629,MATCH(0,INDEX(COUNTIF($B$1:B3092,$A$2:$A$4629),0,0),0)))</f>
        <v/>
      </c>
      <c r="C3093" t="str">
        <f t="shared" si="48"/>
        <v/>
      </c>
    </row>
    <row r="3094" spans="1:3" x14ac:dyDescent="0.25">
      <c r="A3094" t="str">
        <f>IF(Scan2VK!U184&lt;&gt;"",Scan2VK!U184,"")</f>
        <v/>
      </c>
      <c r="B3094" t="str">
        <f>IF(ISERROR(MATCH(0,INDEX(COUNTIF($B$1:B3093,$A$2:$A$4629),0,0),0)),"",INDEX($A$2:$A$4629,MATCH(0,INDEX(COUNTIF($B$1:B3093,$A$2:$A$4629),0,0),0)))</f>
        <v/>
      </c>
      <c r="C3094" t="str">
        <f t="shared" si="48"/>
        <v/>
      </c>
    </row>
    <row r="3095" spans="1:3" x14ac:dyDescent="0.25">
      <c r="A3095" t="str">
        <f>IF(Scan2VK!U185&lt;&gt;"",Scan2VK!U185,"")</f>
        <v/>
      </c>
      <c r="B3095" t="str">
        <f>IF(ISERROR(MATCH(0,INDEX(COUNTIF($B$1:B3094,$A$2:$A$4629),0,0),0)),"",INDEX($A$2:$A$4629,MATCH(0,INDEX(COUNTIF($B$1:B3094,$A$2:$A$4629),0,0),0)))</f>
        <v/>
      </c>
      <c r="C3095" t="str">
        <f t="shared" si="48"/>
        <v/>
      </c>
    </row>
    <row r="3096" spans="1:3" x14ac:dyDescent="0.25">
      <c r="A3096" t="str">
        <f>IF(Scan2VK!U186&lt;&gt;"",Scan2VK!U186,"")</f>
        <v/>
      </c>
      <c r="B3096" t="str">
        <f>IF(ISERROR(MATCH(0,INDEX(COUNTIF($B$1:B3095,$A$2:$A$4629),0,0),0)),"",INDEX($A$2:$A$4629,MATCH(0,INDEX(COUNTIF($B$1:B3095,$A$2:$A$4629),0,0),0)))</f>
        <v/>
      </c>
      <c r="C3096" t="str">
        <f t="shared" si="48"/>
        <v/>
      </c>
    </row>
    <row r="3097" spans="1:3" x14ac:dyDescent="0.25">
      <c r="A3097" t="str">
        <f>IF(Scan2VK!U187&lt;&gt;"",Scan2VK!U187,"")</f>
        <v/>
      </c>
      <c r="B3097" t="str">
        <f>IF(ISERROR(MATCH(0,INDEX(COUNTIF($B$1:B3096,$A$2:$A$4629),0,0),0)),"",INDEX($A$2:$A$4629,MATCH(0,INDEX(COUNTIF($B$1:B3096,$A$2:$A$4629),0,0),0)))</f>
        <v/>
      </c>
      <c r="C3097" t="str">
        <f t="shared" si="48"/>
        <v/>
      </c>
    </row>
    <row r="3098" spans="1:3" x14ac:dyDescent="0.25">
      <c r="A3098" t="str">
        <f>IF(Scan2VK!U188&lt;&gt;"",Scan2VK!U188,"")</f>
        <v/>
      </c>
      <c r="B3098" t="str">
        <f>IF(ISERROR(MATCH(0,INDEX(COUNTIF($B$1:B3097,$A$2:$A$4629),0,0),0)),"",INDEX($A$2:$A$4629,MATCH(0,INDEX(COUNTIF($B$1:B3097,$A$2:$A$4629),0,0),0)))</f>
        <v/>
      </c>
      <c r="C3098" t="str">
        <f t="shared" si="48"/>
        <v/>
      </c>
    </row>
    <row r="3099" spans="1:3" x14ac:dyDescent="0.25">
      <c r="A3099" t="str">
        <f>IF(Scan2VK!U189&lt;&gt;"",Scan2VK!U189,"")</f>
        <v/>
      </c>
      <c r="B3099" t="str">
        <f>IF(ISERROR(MATCH(0,INDEX(COUNTIF($B$1:B3098,$A$2:$A$4629),0,0),0)),"",INDEX($A$2:$A$4629,MATCH(0,INDEX(COUNTIF($B$1:B3098,$A$2:$A$4629),0,0),0)))</f>
        <v/>
      </c>
      <c r="C3099" t="str">
        <f t="shared" si="48"/>
        <v/>
      </c>
    </row>
    <row r="3100" spans="1:3" x14ac:dyDescent="0.25">
      <c r="A3100" t="str">
        <f>IF(Scan2VK!U190&lt;&gt;"",Scan2VK!U190,"")</f>
        <v/>
      </c>
      <c r="B3100" t="str">
        <f>IF(ISERROR(MATCH(0,INDEX(COUNTIF($B$1:B3099,$A$2:$A$4629),0,0),0)),"",INDEX($A$2:$A$4629,MATCH(0,INDEX(COUNTIF($B$1:B3099,$A$2:$A$4629),0,0),0)))</f>
        <v/>
      </c>
      <c r="C3100" t="str">
        <f t="shared" si="48"/>
        <v/>
      </c>
    </row>
    <row r="3101" spans="1:3" x14ac:dyDescent="0.25">
      <c r="A3101" t="str">
        <f>IF(Scan2VK!U191&lt;&gt;"",Scan2VK!U191,"")</f>
        <v/>
      </c>
      <c r="B3101" t="str">
        <f>IF(ISERROR(MATCH(0,INDEX(COUNTIF($B$1:B3100,$A$2:$A$4629),0,0),0)),"",INDEX($A$2:$A$4629,MATCH(0,INDEX(COUNTIF($B$1:B3100,$A$2:$A$4629),0,0),0)))</f>
        <v/>
      </c>
      <c r="C3101" t="str">
        <f t="shared" si="48"/>
        <v/>
      </c>
    </row>
    <row r="3102" spans="1:3" x14ac:dyDescent="0.25">
      <c r="A3102" t="str">
        <f>IF(Scan2VK!U192&lt;&gt;"",Scan2VK!U192,"")</f>
        <v/>
      </c>
      <c r="B3102" t="str">
        <f>IF(ISERROR(MATCH(0,INDEX(COUNTIF($B$1:B3101,$A$2:$A$4629),0,0),0)),"",INDEX($A$2:$A$4629,MATCH(0,INDEX(COUNTIF($B$1:B3101,$A$2:$A$4629),0,0),0)))</f>
        <v/>
      </c>
      <c r="C3102" t="str">
        <f t="shared" si="48"/>
        <v/>
      </c>
    </row>
    <row r="3103" spans="1:3" x14ac:dyDescent="0.25">
      <c r="A3103" t="str">
        <f>IF(Scan2VK!U193&lt;&gt;"",Scan2VK!U193,"")</f>
        <v/>
      </c>
      <c r="B3103" t="str">
        <f>IF(ISERROR(MATCH(0,INDEX(COUNTIF($B$1:B3102,$A$2:$A$4629),0,0),0)),"",INDEX($A$2:$A$4629,MATCH(0,INDEX(COUNTIF($B$1:B3102,$A$2:$A$4629),0,0),0)))</f>
        <v/>
      </c>
      <c r="C3103" t="str">
        <f t="shared" si="48"/>
        <v/>
      </c>
    </row>
    <row r="3104" spans="1:3" x14ac:dyDescent="0.25">
      <c r="A3104" t="str">
        <f>IF(Scan2VK!U194&lt;&gt;"",Scan2VK!U194,"")</f>
        <v/>
      </c>
      <c r="B3104" t="str">
        <f>IF(ISERROR(MATCH(0,INDEX(COUNTIF($B$1:B3103,$A$2:$A$4629),0,0),0)),"",INDEX($A$2:$A$4629,MATCH(0,INDEX(COUNTIF($B$1:B3103,$A$2:$A$4629),0,0),0)))</f>
        <v/>
      </c>
      <c r="C3104" t="str">
        <f t="shared" si="48"/>
        <v/>
      </c>
    </row>
    <row r="3105" spans="1:3" x14ac:dyDescent="0.25">
      <c r="A3105" t="str">
        <f>IF(Scan2VK!U195&lt;&gt;"",Scan2VK!U195,"")</f>
        <v>PAUSE</v>
      </c>
      <c r="B3105" t="str">
        <f>IF(ISERROR(MATCH(0,INDEX(COUNTIF($B$1:B3104,$A$2:$A$4629),0,0),0)),"",INDEX($A$2:$A$4629,MATCH(0,INDEX(COUNTIF($B$1:B3104,$A$2:$A$4629),0,0),0)))</f>
        <v/>
      </c>
      <c r="C3105" t="str">
        <f t="shared" si="48"/>
        <v/>
      </c>
    </row>
    <row r="3106" spans="1:3" x14ac:dyDescent="0.25">
      <c r="A3106" t="str">
        <f>IF(Scan2VK!W2&lt;&gt;"",Scan2VK!W2,"")</f>
        <v>_none_</v>
      </c>
      <c r="B3106" t="str">
        <f>IF(ISERROR(MATCH(0,INDEX(COUNTIF($B$1:B3105,$A$2:$A$4629),0,0),0)),"",INDEX($A$2:$A$4629,MATCH(0,INDEX(COUNTIF($B$1:B3105,$A$2:$A$4629),0,0),0)))</f>
        <v/>
      </c>
      <c r="C3106" t="str">
        <f t="shared" si="48"/>
        <v/>
      </c>
    </row>
    <row r="3107" spans="1:3" x14ac:dyDescent="0.25">
      <c r="A3107" t="str">
        <f>IF(Scan2VK!W3&lt;&gt;"",Scan2VK!W3,"")</f>
        <v>ESCAPE</v>
      </c>
      <c r="B3107" t="str">
        <f>IF(ISERROR(MATCH(0,INDEX(COUNTIF($B$1:B3106,$A$2:$A$4629),0,0),0)),"",INDEX($A$2:$A$4629,MATCH(0,INDEX(COUNTIF($B$1:B3106,$A$2:$A$4629),0,0),0)))</f>
        <v/>
      </c>
      <c r="C3107" t="str">
        <f t="shared" si="48"/>
        <v/>
      </c>
    </row>
    <row r="3108" spans="1:3" x14ac:dyDescent="0.25">
      <c r="A3108" t="str">
        <f>IF(Scan2VK!W4&lt;&gt;"",Scan2VK!W4,"")</f>
        <v>'1'</v>
      </c>
      <c r="B3108" t="str">
        <f>IF(ISERROR(MATCH(0,INDEX(COUNTIF($B$1:B3107,$A$2:$A$4629),0,0),0)),"",INDEX($A$2:$A$4629,MATCH(0,INDEX(COUNTIF($B$1:B3107,$A$2:$A$4629),0,0),0)))</f>
        <v/>
      </c>
      <c r="C3108" t="str">
        <f t="shared" si="48"/>
        <v/>
      </c>
    </row>
    <row r="3109" spans="1:3" x14ac:dyDescent="0.25">
      <c r="A3109" t="str">
        <f>IF(Scan2VK!W5&lt;&gt;"",Scan2VK!W5,"")</f>
        <v>'2'</v>
      </c>
      <c r="B3109" t="str">
        <f>IF(ISERROR(MATCH(0,INDEX(COUNTIF($B$1:B3108,$A$2:$A$4629),0,0),0)),"",INDEX($A$2:$A$4629,MATCH(0,INDEX(COUNTIF($B$1:B3108,$A$2:$A$4629),0,0),0)))</f>
        <v/>
      </c>
      <c r="C3109" t="str">
        <f t="shared" si="48"/>
        <v/>
      </c>
    </row>
    <row r="3110" spans="1:3" x14ac:dyDescent="0.25">
      <c r="A3110" t="str">
        <f>IF(Scan2VK!W6&lt;&gt;"",Scan2VK!W6,"")</f>
        <v>'3'</v>
      </c>
      <c r="B3110" t="str">
        <f>IF(ISERROR(MATCH(0,INDEX(COUNTIF($B$1:B3109,$A$2:$A$4629),0,0),0)),"",INDEX($A$2:$A$4629,MATCH(0,INDEX(COUNTIF($B$1:B3109,$A$2:$A$4629),0,0),0)))</f>
        <v/>
      </c>
      <c r="C3110" t="str">
        <f t="shared" si="48"/>
        <v/>
      </c>
    </row>
    <row r="3111" spans="1:3" x14ac:dyDescent="0.25">
      <c r="A3111" t="str">
        <f>IF(Scan2VK!W7&lt;&gt;"",Scan2VK!W7,"")</f>
        <v>'4'</v>
      </c>
      <c r="B3111" t="str">
        <f>IF(ISERROR(MATCH(0,INDEX(COUNTIF($B$1:B3110,$A$2:$A$4629),0,0),0)),"",INDEX($A$2:$A$4629,MATCH(0,INDEX(COUNTIF($B$1:B3110,$A$2:$A$4629),0,0),0)))</f>
        <v/>
      </c>
      <c r="C3111" t="str">
        <f t="shared" si="48"/>
        <v/>
      </c>
    </row>
    <row r="3112" spans="1:3" x14ac:dyDescent="0.25">
      <c r="A3112" t="str">
        <f>IF(Scan2VK!W8&lt;&gt;"",Scan2VK!W8,"")</f>
        <v>'5'</v>
      </c>
      <c r="B3112" t="str">
        <f>IF(ISERROR(MATCH(0,INDEX(COUNTIF($B$1:B3111,$A$2:$A$4629),0,0),0)),"",INDEX($A$2:$A$4629,MATCH(0,INDEX(COUNTIF($B$1:B3111,$A$2:$A$4629),0,0),0)))</f>
        <v/>
      </c>
      <c r="C3112" t="str">
        <f t="shared" si="48"/>
        <v/>
      </c>
    </row>
    <row r="3113" spans="1:3" x14ac:dyDescent="0.25">
      <c r="A3113" t="str">
        <f>IF(Scan2VK!W9&lt;&gt;"",Scan2VK!W9,"")</f>
        <v>'6'</v>
      </c>
      <c r="B3113" t="str">
        <f>IF(ISERROR(MATCH(0,INDEX(COUNTIF($B$1:B3112,$A$2:$A$4629),0,0),0)),"",INDEX($A$2:$A$4629,MATCH(0,INDEX(COUNTIF($B$1:B3112,$A$2:$A$4629),0,0),0)))</f>
        <v/>
      </c>
      <c r="C3113" t="str">
        <f t="shared" si="48"/>
        <v/>
      </c>
    </row>
    <row r="3114" spans="1:3" x14ac:dyDescent="0.25">
      <c r="A3114" t="str">
        <f>IF(Scan2VK!W10&lt;&gt;"",Scan2VK!W10,"")</f>
        <v>'7'</v>
      </c>
      <c r="B3114" t="str">
        <f>IF(ISERROR(MATCH(0,INDEX(COUNTIF($B$1:B3113,$A$2:$A$4629),0,0),0)),"",INDEX($A$2:$A$4629,MATCH(0,INDEX(COUNTIF($B$1:B3113,$A$2:$A$4629),0,0),0)))</f>
        <v/>
      </c>
      <c r="C3114" t="str">
        <f t="shared" si="48"/>
        <v/>
      </c>
    </row>
    <row r="3115" spans="1:3" x14ac:dyDescent="0.25">
      <c r="A3115" t="str">
        <f>IF(Scan2VK!W11&lt;&gt;"",Scan2VK!W11,"")</f>
        <v>'8'</v>
      </c>
      <c r="B3115" t="str">
        <f>IF(ISERROR(MATCH(0,INDEX(COUNTIF($B$1:B3114,$A$2:$A$4629),0,0),0)),"",INDEX($A$2:$A$4629,MATCH(0,INDEX(COUNTIF($B$1:B3114,$A$2:$A$4629),0,0),0)))</f>
        <v/>
      </c>
      <c r="C3115" t="str">
        <f t="shared" si="48"/>
        <v/>
      </c>
    </row>
    <row r="3116" spans="1:3" x14ac:dyDescent="0.25">
      <c r="A3116" t="str">
        <f>IF(Scan2VK!W12&lt;&gt;"",Scan2VK!W12,"")</f>
        <v>'9'</v>
      </c>
      <c r="B3116" t="str">
        <f>IF(ISERROR(MATCH(0,INDEX(COUNTIF($B$1:B3115,$A$2:$A$4629),0,0),0)),"",INDEX($A$2:$A$4629,MATCH(0,INDEX(COUNTIF($B$1:B3115,$A$2:$A$4629),0,0),0)))</f>
        <v/>
      </c>
      <c r="C3116" t="str">
        <f t="shared" si="48"/>
        <v/>
      </c>
    </row>
    <row r="3117" spans="1:3" x14ac:dyDescent="0.25">
      <c r="A3117" t="str">
        <f>IF(Scan2VK!W13&lt;&gt;"",Scan2VK!W13,"")</f>
        <v>'0'</v>
      </c>
      <c r="B3117" t="str">
        <f>IF(ISERROR(MATCH(0,INDEX(COUNTIF($B$1:B3116,$A$2:$A$4629),0,0),0)),"",INDEX($A$2:$A$4629,MATCH(0,INDEX(COUNTIF($B$1:B3116,$A$2:$A$4629),0,0),0)))</f>
        <v/>
      </c>
      <c r="C3117" t="str">
        <f t="shared" si="48"/>
        <v/>
      </c>
    </row>
    <row r="3118" spans="1:3" x14ac:dyDescent="0.25">
      <c r="A3118" t="str">
        <f>IF(Scan2VK!W14&lt;&gt;"",Scan2VK!W14,"")</f>
        <v>OEM_MINUS</v>
      </c>
      <c r="B3118" t="str">
        <f>IF(ISERROR(MATCH(0,INDEX(COUNTIF($B$1:B3117,$A$2:$A$4629),0,0),0)),"",INDEX($A$2:$A$4629,MATCH(0,INDEX(COUNTIF($B$1:B3117,$A$2:$A$4629),0,0),0)))</f>
        <v/>
      </c>
      <c r="C3118" t="str">
        <f t="shared" si="48"/>
        <v/>
      </c>
    </row>
    <row r="3119" spans="1:3" x14ac:dyDescent="0.25">
      <c r="A3119" t="str">
        <f>IF(Scan2VK!W15&lt;&gt;"",Scan2VK!W15,"")</f>
        <v>OEM_7</v>
      </c>
      <c r="B3119" t="str">
        <f>IF(ISERROR(MATCH(0,INDEX(COUNTIF($B$1:B3118,$A$2:$A$4629),0,0),0)),"",INDEX($A$2:$A$4629,MATCH(0,INDEX(COUNTIF($B$1:B3118,$A$2:$A$4629),0,0),0)))</f>
        <v/>
      </c>
      <c r="C3119" t="str">
        <f t="shared" si="48"/>
        <v/>
      </c>
    </row>
    <row r="3120" spans="1:3" x14ac:dyDescent="0.25">
      <c r="A3120" t="str">
        <f>IF(Scan2VK!W16&lt;&gt;"",Scan2VK!W16,"")</f>
        <v>BACK</v>
      </c>
      <c r="B3120" t="str">
        <f>IF(ISERROR(MATCH(0,INDEX(COUNTIF($B$1:B3119,$A$2:$A$4629),0,0),0)),"",INDEX($A$2:$A$4629,MATCH(0,INDEX(COUNTIF($B$1:B3119,$A$2:$A$4629),0,0),0)))</f>
        <v/>
      </c>
      <c r="C3120" t="str">
        <f t="shared" si="48"/>
        <v/>
      </c>
    </row>
    <row r="3121" spans="1:3" x14ac:dyDescent="0.25">
      <c r="A3121" t="str">
        <f>IF(Scan2VK!W17&lt;&gt;"",Scan2VK!W17,"")</f>
        <v>TAB</v>
      </c>
      <c r="B3121" t="str">
        <f>IF(ISERROR(MATCH(0,INDEX(COUNTIF($B$1:B3120,$A$2:$A$4629),0,0),0)),"",INDEX($A$2:$A$4629,MATCH(0,INDEX(COUNTIF($B$1:B3120,$A$2:$A$4629),0,0),0)))</f>
        <v/>
      </c>
      <c r="C3121" t="str">
        <f t="shared" si="48"/>
        <v/>
      </c>
    </row>
    <row r="3122" spans="1:3" x14ac:dyDescent="0.25">
      <c r="A3122" t="str">
        <f>IF(Scan2VK!W18&lt;&gt;"",Scan2VK!W18,"")</f>
        <v>'Q'</v>
      </c>
      <c r="B3122" t="str">
        <f>IF(ISERROR(MATCH(0,INDEX(COUNTIF($B$1:B3121,$A$2:$A$4629),0,0),0)),"",INDEX($A$2:$A$4629,MATCH(0,INDEX(COUNTIF($B$1:B3121,$A$2:$A$4629),0,0),0)))</f>
        <v/>
      </c>
      <c r="C3122" t="str">
        <f t="shared" si="48"/>
        <v/>
      </c>
    </row>
    <row r="3123" spans="1:3" x14ac:dyDescent="0.25">
      <c r="A3123" t="str">
        <f>IF(Scan2VK!W19&lt;&gt;"",Scan2VK!W19,"")</f>
        <v>'W'</v>
      </c>
      <c r="B3123" t="str">
        <f>IF(ISERROR(MATCH(0,INDEX(COUNTIF($B$1:B3122,$A$2:$A$4629),0,0),0)),"",INDEX($A$2:$A$4629,MATCH(0,INDEX(COUNTIF($B$1:B3122,$A$2:$A$4629),0,0),0)))</f>
        <v/>
      </c>
      <c r="C3123" t="str">
        <f t="shared" si="48"/>
        <v/>
      </c>
    </row>
    <row r="3124" spans="1:3" x14ac:dyDescent="0.25">
      <c r="A3124" t="str">
        <f>IF(Scan2VK!W20&lt;&gt;"",Scan2VK!W20,"")</f>
        <v>'E'</v>
      </c>
      <c r="B3124" t="str">
        <f>IF(ISERROR(MATCH(0,INDEX(COUNTIF($B$1:B3123,$A$2:$A$4629),0,0),0)),"",INDEX($A$2:$A$4629,MATCH(0,INDEX(COUNTIF($B$1:B3123,$A$2:$A$4629),0,0),0)))</f>
        <v/>
      </c>
      <c r="C3124" t="str">
        <f t="shared" si="48"/>
        <v/>
      </c>
    </row>
    <row r="3125" spans="1:3" x14ac:dyDescent="0.25">
      <c r="A3125" t="str">
        <f>IF(Scan2VK!W21&lt;&gt;"",Scan2VK!W21,"")</f>
        <v>'R'</v>
      </c>
      <c r="B3125" t="str">
        <f>IF(ISERROR(MATCH(0,INDEX(COUNTIF($B$1:B3124,$A$2:$A$4629),0,0),0)),"",INDEX($A$2:$A$4629,MATCH(0,INDEX(COUNTIF($B$1:B3124,$A$2:$A$4629),0,0),0)))</f>
        <v/>
      </c>
      <c r="C3125" t="str">
        <f t="shared" si="48"/>
        <v/>
      </c>
    </row>
    <row r="3126" spans="1:3" x14ac:dyDescent="0.25">
      <c r="A3126" t="str">
        <f>IF(Scan2VK!W22&lt;&gt;"",Scan2VK!W22,"")</f>
        <v>'T'</v>
      </c>
      <c r="B3126" t="str">
        <f>IF(ISERROR(MATCH(0,INDEX(COUNTIF($B$1:B3125,$A$2:$A$4629),0,0),0)),"",INDEX($A$2:$A$4629,MATCH(0,INDEX(COUNTIF($B$1:B3125,$A$2:$A$4629),0,0),0)))</f>
        <v/>
      </c>
      <c r="C3126" t="str">
        <f t="shared" si="48"/>
        <v/>
      </c>
    </row>
    <row r="3127" spans="1:3" x14ac:dyDescent="0.25">
      <c r="A3127" t="str">
        <f>IF(Scan2VK!W23&lt;&gt;"",Scan2VK!W23,"")</f>
        <v>'Y'</v>
      </c>
      <c r="B3127" t="str">
        <f>IF(ISERROR(MATCH(0,INDEX(COUNTIF($B$1:B3126,$A$2:$A$4629),0,0),0)),"",INDEX($A$2:$A$4629,MATCH(0,INDEX(COUNTIF($B$1:B3126,$A$2:$A$4629),0,0),0)))</f>
        <v/>
      </c>
      <c r="C3127" t="str">
        <f t="shared" si="48"/>
        <v/>
      </c>
    </row>
    <row r="3128" spans="1:3" x14ac:dyDescent="0.25">
      <c r="A3128" t="str">
        <f>IF(Scan2VK!W24&lt;&gt;"",Scan2VK!W24,"")</f>
        <v>'U'</v>
      </c>
      <c r="B3128" t="str">
        <f>IF(ISERROR(MATCH(0,INDEX(COUNTIF($B$1:B3127,$A$2:$A$4629),0,0),0)),"",INDEX($A$2:$A$4629,MATCH(0,INDEX(COUNTIF($B$1:B3127,$A$2:$A$4629),0,0),0)))</f>
        <v/>
      </c>
      <c r="C3128" t="str">
        <f t="shared" si="48"/>
        <v/>
      </c>
    </row>
    <row r="3129" spans="1:3" x14ac:dyDescent="0.25">
      <c r="A3129" t="str">
        <f>IF(Scan2VK!W25&lt;&gt;"",Scan2VK!W25,"")</f>
        <v>'I'</v>
      </c>
      <c r="B3129" t="str">
        <f>IF(ISERROR(MATCH(0,INDEX(COUNTIF($B$1:B3128,$A$2:$A$4629),0,0),0)),"",INDEX($A$2:$A$4629,MATCH(0,INDEX(COUNTIF($B$1:B3128,$A$2:$A$4629),0,0),0)))</f>
        <v/>
      </c>
      <c r="C3129" t="str">
        <f t="shared" si="48"/>
        <v/>
      </c>
    </row>
    <row r="3130" spans="1:3" x14ac:dyDescent="0.25">
      <c r="A3130" t="str">
        <f>IF(Scan2VK!W26&lt;&gt;"",Scan2VK!W26,"")</f>
        <v>'O'</v>
      </c>
      <c r="B3130" t="str">
        <f>IF(ISERROR(MATCH(0,INDEX(COUNTIF($B$1:B3129,$A$2:$A$4629),0,0),0)),"",INDEX($A$2:$A$4629,MATCH(0,INDEX(COUNTIF($B$1:B3129,$A$2:$A$4629),0,0),0)))</f>
        <v/>
      </c>
      <c r="C3130" t="str">
        <f t="shared" si="48"/>
        <v/>
      </c>
    </row>
    <row r="3131" spans="1:3" x14ac:dyDescent="0.25">
      <c r="A3131" t="str">
        <f>IF(Scan2VK!W27&lt;&gt;"",Scan2VK!W27,"")</f>
        <v>'P'</v>
      </c>
      <c r="B3131" t="str">
        <f>IF(ISERROR(MATCH(0,INDEX(COUNTIF($B$1:B3130,$A$2:$A$4629),0,0),0)),"",INDEX($A$2:$A$4629,MATCH(0,INDEX(COUNTIF($B$1:B3130,$A$2:$A$4629),0,0),0)))</f>
        <v/>
      </c>
      <c r="C3131" t="str">
        <f t="shared" si="48"/>
        <v/>
      </c>
    </row>
    <row r="3132" spans="1:3" x14ac:dyDescent="0.25">
      <c r="A3132" t="str">
        <f>IF(Scan2VK!W28&lt;&gt;"",Scan2VK!W28,"")</f>
        <v>OEM_3</v>
      </c>
      <c r="B3132" t="str">
        <f>IF(ISERROR(MATCH(0,INDEX(COUNTIF($B$1:B3131,$A$2:$A$4629),0,0),0)),"",INDEX($A$2:$A$4629,MATCH(0,INDEX(COUNTIF($B$1:B3131,$A$2:$A$4629),0,0),0)))</f>
        <v/>
      </c>
      <c r="C3132" t="str">
        <f t="shared" si="48"/>
        <v/>
      </c>
    </row>
    <row r="3133" spans="1:3" x14ac:dyDescent="0.25">
      <c r="A3133" t="str">
        <f>IF(Scan2VK!W29&lt;&gt;"",Scan2VK!W29,"")</f>
        <v>OEM_4</v>
      </c>
      <c r="B3133" t="str">
        <f>IF(ISERROR(MATCH(0,INDEX(COUNTIF($B$1:B3132,$A$2:$A$4629),0,0),0)),"",INDEX($A$2:$A$4629,MATCH(0,INDEX(COUNTIF($B$1:B3132,$A$2:$A$4629),0,0),0)))</f>
        <v/>
      </c>
      <c r="C3133" t="str">
        <f t="shared" si="48"/>
        <v/>
      </c>
    </row>
    <row r="3134" spans="1:3" x14ac:dyDescent="0.25">
      <c r="A3134" t="str">
        <f>IF(Scan2VK!W30&lt;&gt;"",Scan2VK!W30,"")</f>
        <v>RETURN</v>
      </c>
      <c r="B3134" t="str">
        <f>IF(ISERROR(MATCH(0,INDEX(COUNTIF($B$1:B3133,$A$2:$A$4629),0,0),0)),"",INDEX($A$2:$A$4629,MATCH(0,INDEX(COUNTIF($B$1:B3133,$A$2:$A$4629),0,0),0)))</f>
        <v/>
      </c>
      <c r="C3134" t="str">
        <f t="shared" si="48"/>
        <v/>
      </c>
    </row>
    <row r="3135" spans="1:3" x14ac:dyDescent="0.25">
      <c r="A3135" t="str">
        <f>IF(Scan2VK!W31&lt;&gt;"",Scan2VK!W31,"")</f>
        <v>LCONTROL</v>
      </c>
      <c r="B3135" t="str">
        <f>IF(ISERROR(MATCH(0,INDEX(COUNTIF($B$1:B3134,$A$2:$A$4629),0,0),0)),"",INDEX($A$2:$A$4629,MATCH(0,INDEX(COUNTIF($B$1:B3134,$A$2:$A$4629),0,0),0)))</f>
        <v/>
      </c>
      <c r="C3135" t="str">
        <f t="shared" si="48"/>
        <v/>
      </c>
    </row>
    <row r="3136" spans="1:3" x14ac:dyDescent="0.25">
      <c r="A3136" t="str">
        <f>IF(Scan2VK!W32&lt;&gt;"",Scan2VK!W32,"")</f>
        <v>'A'</v>
      </c>
      <c r="B3136" t="str">
        <f>IF(ISERROR(MATCH(0,INDEX(COUNTIF($B$1:B3135,$A$2:$A$4629),0,0),0)),"",INDEX($A$2:$A$4629,MATCH(0,INDEX(COUNTIF($B$1:B3135,$A$2:$A$4629),0,0),0)))</f>
        <v/>
      </c>
      <c r="C3136" t="str">
        <f t="shared" si="48"/>
        <v/>
      </c>
    </row>
    <row r="3137" spans="1:3" x14ac:dyDescent="0.25">
      <c r="A3137" t="str">
        <f>IF(Scan2VK!W33&lt;&gt;"",Scan2VK!W33,"")</f>
        <v>'S'</v>
      </c>
      <c r="B3137" t="str">
        <f>IF(ISERROR(MATCH(0,INDEX(COUNTIF($B$1:B3136,$A$2:$A$4629),0,0),0)),"",INDEX($A$2:$A$4629,MATCH(0,INDEX(COUNTIF($B$1:B3136,$A$2:$A$4629),0,0),0)))</f>
        <v/>
      </c>
      <c r="C3137" t="str">
        <f t="shared" si="48"/>
        <v/>
      </c>
    </row>
    <row r="3138" spans="1:3" x14ac:dyDescent="0.25">
      <c r="A3138" t="str">
        <f>IF(Scan2VK!W34&lt;&gt;"",Scan2VK!W34,"")</f>
        <v>'D'</v>
      </c>
      <c r="B3138" t="str">
        <f>IF(ISERROR(MATCH(0,INDEX(COUNTIF($B$1:B3137,$A$2:$A$4629),0,0),0)),"",INDEX($A$2:$A$4629,MATCH(0,INDEX(COUNTIF($B$1:B3137,$A$2:$A$4629),0,0),0)))</f>
        <v/>
      </c>
      <c r="C3138" t="str">
        <f t="shared" si="48"/>
        <v/>
      </c>
    </row>
    <row r="3139" spans="1:3" x14ac:dyDescent="0.25">
      <c r="A3139" t="str">
        <f>IF(Scan2VK!W35&lt;&gt;"",Scan2VK!W35,"")</f>
        <v>'F'</v>
      </c>
      <c r="B3139" t="str">
        <f>IF(ISERROR(MATCH(0,INDEX(COUNTIF($B$1:B3138,$A$2:$A$4629),0,0),0)),"",INDEX($A$2:$A$4629,MATCH(0,INDEX(COUNTIF($B$1:B3138,$A$2:$A$4629),0,0),0)))</f>
        <v/>
      </c>
      <c r="C3139" t="str">
        <f t="shared" ref="C3139:C3202" si="49">IF(B3139&lt;&gt;"","&lt;xs:enumeration value="""&amp;B3139&amp;"""/&gt;","")</f>
        <v/>
      </c>
    </row>
    <row r="3140" spans="1:3" x14ac:dyDescent="0.25">
      <c r="A3140" t="str">
        <f>IF(Scan2VK!W36&lt;&gt;"",Scan2VK!W36,"")</f>
        <v>'G'</v>
      </c>
      <c r="B3140" t="str">
        <f>IF(ISERROR(MATCH(0,INDEX(COUNTIF($B$1:B3139,$A$2:$A$4629),0,0),0)),"",INDEX($A$2:$A$4629,MATCH(0,INDEX(COUNTIF($B$1:B3139,$A$2:$A$4629),0,0),0)))</f>
        <v/>
      </c>
      <c r="C3140" t="str">
        <f t="shared" si="49"/>
        <v/>
      </c>
    </row>
    <row r="3141" spans="1:3" x14ac:dyDescent="0.25">
      <c r="A3141" t="str">
        <f>IF(Scan2VK!W37&lt;&gt;"",Scan2VK!W37,"")</f>
        <v>'H'</v>
      </c>
      <c r="B3141" t="str">
        <f>IF(ISERROR(MATCH(0,INDEX(COUNTIF($B$1:B3140,$A$2:$A$4629),0,0),0)),"",INDEX($A$2:$A$4629,MATCH(0,INDEX(COUNTIF($B$1:B3140,$A$2:$A$4629),0,0),0)))</f>
        <v/>
      </c>
      <c r="C3141" t="str">
        <f t="shared" si="49"/>
        <v/>
      </c>
    </row>
    <row r="3142" spans="1:3" x14ac:dyDescent="0.25">
      <c r="A3142" t="str">
        <f>IF(Scan2VK!W38&lt;&gt;"",Scan2VK!W38,"")</f>
        <v>'J'</v>
      </c>
      <c r="B3142" t="str">
        <f>IF(ISERROR(MATCH(0,INDEX(COUNTIF($B$1:B3141,$A$2:$A$4629),0,0),0)),"",INDEX($A$2:$A$4629,MATCH(0,INDEX(COUNTIF($B$1:B3141,$A$2:$A$4629),0,0),0)))</f>
        <v/>
      </c>
      <c r="C3142" t="str">
        <f t="shared" si="49"/>
        <v/>
      </c>
    </row>
    <row r="3143" spans="1:3" x14ac:dyDescent="0.25">
      <c r="A3143" t="str">
        <f>IF(Scan2VK!W39&lt;&gt;"",Scan2VK!W39,"")</f>
        <v>'K'</v>
      </c>
      <c r="B3143" t="str">
        <f>IF(ISERROR(MATCH(0,INDEX(COUNTIF($B$1:B3142,$A$2:$A$4629),0,0),0)),"",INDEX($A$2:$A$4629,MATCH(0,INDEX(COUNTIF($B$1:B3142,$A$2:$A$4629),0,0),0)))</f>
        <v/>
      </c>
      <c r="C3143" t="str">
        <f t="shared" si="49"/>
        <v/>
      </c>
    </row>
    <row r="3144" spans="1:3" x14ac:dyDescent="0.25">
      <c r="A3144" t="str">
        <f>IF(Scan2VK!W40&lt;&gt;"",Scan2VK!W40,"")</f>
        <v>'L'</v>
      </c>
      <c r="B3144" t="str">
        <f>IF(ISERROR(MATCH(0,INDEX(COUNTIF($B$1:B3143,$A$2:$A$4629),0,0),0)),"",INDEX($A$2:$A$4629,MATCH(0,INDEX(COUNTIF($B$1:B3143,$A$2:$A$4629),0,0),0)))</f>
        <v/>
      </c>
      <c r="C3144" t="str">
        <f t="shared" si="49"/>
        <v/>
      </c>
    </row>
    <row r="3145" spans="1:3" x14ac:dyDescent="0.25">
      <c r="A3145" t="str">
        <f>IF(Scan2VK!W41&lt;&gt;"",Scan2VK!W41,"")</f>
        <v>OEM_PLUS</v>
      </c>
      <c r="B3145" t="str">
        <f>IF(ISERROR(MATCH(0,INDEX(COUNTIF($B$1:B3144,$A$2:$A$4629),0,0),0)),"",INDEX($A$2:$A$4629,MATCH(0,INDEX(COUNTIF($B$1:B3144,$A$2:$A$4629),0,0),0)))</f>
        <v/>
      </c>
      <c r="C3145" t="str">
        <f t="shared" si="49"/>
        <v/>
      </c>
    </row>
    <row r="3146" spans="1:3" x14ac:dyDescent="0.25">
      <c r="A3146" t="str">
        <f>IF(Scan2VK!W42&lt;&gt;"",Scan2VK!W42,"")</f>
        <v>OEM_1</v>
      </c>
      <c r="B3146" t="str">
        <f>IF(ISERROR(MATCH(0,INDEX(COUNTIF($B$1:B3145,$A$2:$A$4629),0,0),0)),"",INDEX($A$2:$A$4629,MATCH(0,INDEX(COUNTIF($B$1:B3145,$A$2:$A$4629),0,0),0)))</f>
        <v/>
      </c>
      <c r="C3146" t="str">
        <f t="shared" si="49"/>
        <v/>
      </c>
    </row>
    <row r="3147" spans="1:3" x14ac:dyDescent="0.25">
      <c r="A3147" t="str">
        <f>IF(Scan2VK!W43&lt;&gt;"",Scan2VK!W43,"")</f>
        <v>DBE_SBCSCHAR</v>
      </c>
      <c r="B3147" t="str">
        <f>IF(ISERROR(MATCH(0,INDEX(COUNTIF($B$1:B3146,$A$2:$A$4629),0,0),0)),"",INDEX($A$2:$A$4629,MATCH(0,INDEX(COUNTIF($B$1:B3146,$A$2:$A$4629),0,0),0)))</f>
        <v/>
      </c>
      <c r="C3147" t="str">
        <f t="shared" si="49"/>
        <v/>
      </c>
    </row>
    <row r="3148" spans="1:3" x14ac:dyDescent="0.25">
      <c r="A3148" t="str">
        <f>IF(Scan2VK!W44&lt;&gt;"",Scan2VK!W44,"")</f>
        <v>LSHIFT</v>
      </c>
      <c r="B3148" t="str">
        <f>IF(ISERROR(MATCH(0,INDEX(COUNTIF($B$1:B3147,$A$2:$A$4629),0,0),0)),"",INDEX($A$2:$A$4629,MATCH(0,INDEX(COUNTIF($B$1:B3147,$A$2:$A$4629),0,0),0)))</f>
        <v/>
      </c>
      <c r="C3148" t="str">
        <f t="shared" si="49"/>
        <v/>
      </c>
    </row>
    <row r="3149" spans="1:3" x14ac:dyDescent="0.25">
      <c r="A3149" t="str">
        <f>IF(Scan2VK!W45&lt;&gt;"",Scan2VK!W45,"")</f>
        <v>OEM_6</v>
      </c>
      <c r="B3149" t="str">
        <f>IF(ISERROR(MATCH(0,INDEX(COUNTIF($B$1:B3148,$A$2:$A$4629),0,0),0)),"",INDEX($A$2:$A$4629,MATCH(0,INDEX(COUNTIF($B$1:B3148,$A$2:$A$4629),0,0),0)))</f>
        <v/>
      </c>
      <c r="C3149" t="str">
        <f t="shared" si="49"/>
        <v/>
      </c>
    </row>
    <row r="3150" spans="1:3" x14ac:dyDescent="0.25">
      <c r="A3150" t="str">
        <f>IF(Scan2VK!W46&lt;&gt;"",Scan2VK!W46,"")</f>
        <v>'Z'</v>
      </c>
      <c r="B3150" t="str">
        <f>IF(ISERROR(MATCH(0,INDEX(COUNTIF($B$1:B3149,$A$2:$A$4629),0,0),0)),"",INDEX($A$2:$A$4629,MATCH(0,INDEX(COUNTIF($B$1:B3149,$A$2:$A$4629),0,0),0)))</f>
        <v/>
      </c>
      <c r="C3150" t="str">
        <f t="shared" si="49"/>
        <v/>
      </c>
    </row>
    <row r="3151" spans="1:3" x14ac:dyDescent="0.25">
      <c r="A3151" t="str">
        <f>IF(Scan2VK!W47&lt;&gt;"",Scan2VK!W47,"")</f>
        <v>'X'</v>
      </c>
      <c r="B3151" t="str">
        <f>IF(ISERROR(MATCH(0,INDEX(COUNTIF($B$1:B3150,$A$2:$A$4629),0,0),0)),"",INDEX($A$2:$A$4629,MATCH(0,INDEX(COUNTIF($B$1:B3150,$A$2:$A$4629),0,0),0)))</f>
        <v/>
      </c>
      <c r="C3151" t="str">
        <f t="shared" si="49"/>
        <v/>
      </c>
    </row>
    <row r="3152" spans="1:3" x14ac:dyDescent="0.25">
      <c r="A3152" t="str">
        <f>IF(Scan2VK!W48&lt;&gt;"",Scan2VK!W48,"")</f>
        <v>'C'</v>
      </c>
      <c r="B3152" t="str">
        <f>IF(ISERROR(MATCH(0,INDEX(COUNTIF($B$1:B3151,$A$2:$A$4629),0,0),0)),"",INDEX($A$2:$A$4629,MATCH(0,INDEX(COUNTIF($B$1:B3151,$A$2:$A$4629),0,0),0)))</f>
        <v/>
      </c>
      <c r="C3152" t="str">
        <f t="shared" si="49"/>
        <v/>
      </c>
    </row>
    <row r="3153" spans="1:3" x14ac:dyDescent="0.25">
      <c r="A3153" t="str">
        <f>IF(Scan2VK!W49&lt;&gt;"",Scan2VK!W49,"")</f>
        <v>'V'</v>
      </c>
      <c r="B3153" t="str">
        <f>IF(ISERROR(MATCH(0,INDEX(COUNTIF($B$1:B3152,$A$2:$A$4629),0,0),0)),"",INDEX($A$2:$A$4629,MATCH(0,INDEX(COUNTIF($B$1:B3152,$A$2:$A$4629),0,0),0)))</f>
        <v/>
      </c>
      <c r="C3153" t="str">
        <f t="shared" si="49"/>
        <v/>
      </c>
    </row>
    <row r="3154" spans="1:3" x14ac:dyDescent="0.25">
      <c r="A3154" t="str">
        <f>IF(Scan2VK!W50&lt;&gt;"",Scan2VK!W50,"")</f>
        <v>'B'</v>
      </c>
      <c r="B3154" t="str">
        <f>IF(ISERROR(MATCH(0,INDEX(COUNTIF($B$1:B3153,$A$2:$A$4629),0,0),0)),"",INDEX($A$2:$A$4629,MATCH(0,INDEX(COUNTIF($B$1:B3153,$A$2:$A$4629),0,0),0)))</f>
        <v/>
      </c>
      <c r="C3154" t="str">
        <f t="shared" si="49"/>
        <v/>
      </c>
    </row>
    <row r="3155" spans="1:3" x14ac:dyDescent="0.25">
      <c r="A3155" t="str">
        <f>IF(Scan2VK!W51&lt;&gt;"",Scan2VK!W51,"")</f>
        <v>'N'</v>
      </c>
      <c r="B3155" t="str">
        <f>IF(ISERROR(MATCH(0,INDEX(COUNTIF($B$1:B3154,$A$2:$A$4629),0,0),0)),"",INDEX($A$2:$A$4629,MATCH(0,INDEX(COUNTIF($B$1:B3154,$A$2:$A$4629),0,0),0)))</f>
        <v/>
      </c>
      <c r="C3155" t="str">
        <f t="shared" si="49"/>
        <v/>
      </c>
    </row>
    <row r="3156" spans="1:3" x14ac:dyDescent="0.25">
      <c r="A3156" t="str">
        <f>IF(Scan2VK!W52&lt;&gt;"",Scan2VK!W52,"")</f>
        <v>'M'</v>
      </c>
      <c r="B3156" t="str">
        <f>IF(ISERROR(MATCH(0,INDEX(COUNTIF($B$1:B3155,$A$2:$A$4629),0,0),0)),"",INDEX($A$2:$A$4629,MATCH(0,INDEX(COUNTIF($B$1:B3155,$A$2:$A$4629),0,0),0)))</f>
        <v/>
      </c>
      <c r="C3156" t="str">
        <f t="shared" si="49"/>
        <v/>
      </c>
    </row>
    <row r="3157" spans="1:3" x14ac:dyDescent="0.25">
      <c r="A3157" t="str">
        <f>IF(Scan2VK!W53&lt;&gt;"",Scan2VK!W53,"")</f>
        <v>OEM_COMMA</v>
      </c>
      <c r="B3157" t="str">
        <f>IF(ISERROR(MATCH(0,INDEX(COUNTIF($B$1:B3156,$A$2:$A$4629),0,0),0)),"",INDEX($A$2:$A$4629,MATCH(0,INDEX(COUNTIF($B$1:B3156,$A$2:$A$4629),0,0),0)))</f>
        <v/>
      </c>
      <c r="C3157" t="str">
        <f t="shared" si="49"/>
        <v/>
      </c>
    </row>
    <row r="3158" spans="1:3" x14ac:dyDescent="0.25">
      <c r="A3158" t="str">
        <f>IF(Scan2VK!W54&lt;&gt;"",Scan2VK!W54,"")</f>
        <v>OEM_PERIOD</v>
      </c>
      <c r="B3158" t="str">
        <f>IF(ISERROR(MATCH(0,INDEX(COUNTIF($B$1:B3157,$A$2:$A$4629),0,0),0)),"",INDEX($A$2:$A$4629,MATCH(0,INDEX(COUNTIF($B$1:B3157,$A$2:$A$4629),0,0),0)))</f>
        <v/>
      </c>
      <c r="C3158" t="str">
        <f t="shared" si="49"/>
        <v/>
      </c>
    </row>
    <row r="3159" spans="1:3" x14ac:dyDescent="0.25">
      <c r="A3159" t="str">
        <f>IF(Scan2VK!W55&lt;&gt;"",Scan2VK!W55,"")</f>
        <v>OEM_2</v>
      </c>
      <c r="B3159" t="str">
        <f>IF(ISERROR(MATCH(0,INDEX(COUNTIF($B$1:B3158,$A$2:$A$4629),0,0),0)),"",INDEX($A$2:$A$4629,MATCH(0,INDEX(COUNTIF($B$1:B3158,$A$2:$A$4629),0,0),0)))</f>
        <v/>
      </c>
      <c r="C3159" t="str">
        <f t="shared" si="49"/>
        <v/>
      </c>
    </row>
    <row r="3160" spans="1:3" x14ac:dyDescent="0.25">
      <c r="A3160" t="str">
        <f>IF(Scan2VK!W56&lt;&gt;"",Scan2VK!W56,"")</f>
        <v>RSHIFT</v>
      </c>
      <c r="B3160" t="str">
        <f>IF(ISERROR(MATCH(0,INDEX(COUNTIF($B$1:B3159,$A$2:$A$4629),0,0),0)),"",INDEX($A$2:$A$4629,MATCH(0,INDEX(COUNTIF($B$1:B3159,$A$2:$A$4629),0,0),0)))</f>
        <v/>
      </c>
      <c r="C3160" t="str">
        <f t="shared" si="49"/>
        <v/>
      </c>
    </row>
    <row r="3161" spans="1:3" x14ac:dyDescent="0.25">
      <c r="A3161" t="str">
        <f>IF(Scan2VK!W57&lt;&gt;"",Scan2VK!W57,"")</f>
        <v>MULTIPLY</v>
      </c>
      <c r="B3161" t="str">
        <f>IF(ISERROR(MATCH(0,INDEX(COUNTIF($B$1:B3160,$A$2:$A$4629),0,0),0)),"",INDEX($A$2:$A$4629,MATCH(0,INDEX(COUNTIF($B$1:B3160,$A$2:$A$4629),0,0),0)))</f>
        <v/>
      </c>
      <c r="C3161" t="str">
        <f t="shared" si="49"/>
        <v/>
      </c>
    </row>
    <row r="3162" spans="1:3" x14ac:dyDescent="0.25">
      <c r="A3162" t="str">
        <f>IF(Scan2VK!W58&lt;&gt;"",Scan2VK!W58,"")</f>
        <v>LMENU</v>
      </c>
      <c r="B3162" t="str">
        <f>IF(ISERROR(MATCH(0,INDEX(COUNTIF($B$1:B3161,$A$2:$A$4629),0,0),0)),"",INDEX($A$2:$A$4629,MATCH(0,INDEX(COUNTIF($B$1:B3161,$A$2:$A$4629),0,0),0)))</f>
        <v/>
      </c>
      <c r="C3162" t="str">
        <f t="shared" si="49"/>
        <v/>
      </c>
    </row>
    <row r="3163" spans="1:3" x14ac:dyDescent="0.25">
      <c r="A3163" t="str">
        <f>IF(Scan2VK!W59&lt;&gt;"",Scan2VK!W59,"")</f>
        <v>''</v>
      </c>
      <c r="B3163" t="str">
        <f>IF(ISERROR(MATCH(0,INDEX(COUNTIF($B$1:B3162,$A$2:$A$4629),0,0),0)),"",INDEX($A$2:$A$4629,MATCH(0,INDEX(COUNTIF($B$1:B3162,$A$2:$A$4629),0,0),0)))</f>
        <v/>
      </c>
      <c r="C3163" t="str">
        <f t="shared" si="49"/>
        <v/>
      </c>
    </row>
    <row r="3164" spans="1:3" x14ac:dyDescent="0.25">
      <c r="A3164" t="str">
        <f>IF(Scan2VK!W60&lt;&gt;"",Scan2VK!W60,"")</f>
        <v>CAPITAL</v>
      </c>
      <c r="B3164" t="str">
        <f>IF(ISERROR(MATCH(0,INDEX(COUNTIF($B$1:B3163,$A$2:$A$4629),0,0),0)),"",INDEX($A$2:$A$4629,MATCH(0,INDEX(COUNTIF($B$1:B3163,$A$2:$A$4629),0,0),0)))</f>
        <v/>
      </c>
      <c r="C3164" t="str">
        <f t="shared" si="49"/>
        <v/>
      </c>
    </row>
    <row r="3165" spans="1:3" x14ac:dyDescent="0.25">
      <c r="A3165" t="str">
        <f>IF(Scan2VK!W61&lt;&gt;"",Scan2VK!W61,"")</f>
        <v>F1</v>
      </c>
      <c r="B3165" t="str">
        <f>IF(ISERROR(MATCH(0,INDEX(COUNTIF($B$1:B3164,$A$2:$A$4629),0,0),0)),"",INDEX($A$2:$A$4629,MATCH(0,INDEX(COUNTIF($B$1:B3164,$A$2:$A$4629),0,0),0)))</f>
        <v/>
      </c>
      <c r="C3165" t="str">
        <f t="shared" si="49"/>
        <v/>
      </c>
    </row>
    <row r="3166" spans="1:3" x14ac:dyDescent="0.25">
      <c r="A3166" t="str">
        <f>IF(Scan2VK!W62&lt;&gt;"",Scan2VK!W62,"")</f>
        <v>F2</v>
      </c>
      <c r="B3166" t="str">
        <f>IF(ISERROR(MATCH(0,INDEX(COUNTIF($B$1:B3165,$A$2:$A$4629),0,0),0)),"",INDEX($A$2:$A$4629,MATCH(0,INDEX(COUNTIF($B$1:B3165,$A$2:$A$4629),0,0),0)))</f>
        <v/>
      </c>
      <c r="C3166" t="str">
        <f t="shared" si="49"/>
        <v/>
      </c>
    </row>
    <row r="3167" spans="1:3" x14ac:dyDescent="0.25">
      <c r="A3167" t="str">
        <f>IF(Scan2VK!W63&lt;&gt;"",Scan2VK!W63,"")</f>
        <v>F3</v>
      </c>
      <c r="B3167" t="str">
        <f>IF(ISERROR(MATCH(0,INDEX(COUNTIF($B$1:B3166,$A$2:$A$4629),0,0),0)),"",INDEX($A$2:$A$4629,MATCH(0,INDEX(COUNTIF($B$1:B3166,$A$2:$A$4629),0,0),0)))</f>
        <v/>
      </c>
      <c r="C3167" t="str">
        <f t="shared" si="49"/>
        <v/>
      </c>
    </row>
    <row r="3168" spans="1:3" x14ac:dyDescent="0.25">
      <c r="A3168" t="str">
        <f>IF(Scan2VK!W64&lt;&gt;"",Scan2VK!W64,"")</f>
        <v>F4</v>
      </c>
      <c r="B3168" t="str">
        <f>IF(ISERROR(MATCH(0,INDEX(COUNTIF($B$1:B3167,$A$2:$A$4629),0,0),0)),"",INDEX($A$2:$A$4629,MATCH(0,INDEX(COUNTIF($B$1:B3167,$A$2:$A$4629),0,0),0)))</f>
        <v/>
      </c>
      <c r="C3168" t="str">
        <f t="shared" si="49"/>
        <v/>
      </c>
    </row>
    <row r="3169" spans="1:3" x14ac:dyDescent="0.25">
      <c r="A3169" t="str">
        <f>IF(Scan2VK!W65&lt;&gt;"",Scan2VK!W65,"")</f>
        <v>F5</v>
      </c>
      <c r="B3169" t="str">
        <f>IF(ISERROR(MATCH(0,INDEX(COUNTIF($B$1:B3168,$A$2:$A$4629),0,0),0)),"",INDEX($A$2:$A$4629,MATCH(0,INDEX(COUNTIF($B$1:B3168,$A$2:$A$4629),0,0),0)))</f>
        <v/>
      </c>
      <c r="C3169" t="str">
        <f t="shared" si="49"/>
        <v/>
      </c>
    </row>
    <row r="3170" spans="1:3" x14ac:dyDescent="0.25">
      <c r="A3170" t="str">
        <f>IF(Scan2VK!W66&lt;&gt;"",Scan2VK!W66,"")</f>
        <v>F6</v>
      </c>
      <c r="B3170" t="str">
        <f>IF(ISERROR(MATCH(0,INDEX(COUNTIF($B$1:B3169,$A$2:$A$4629),0,0),0)),"",INDEX($A$2:$A$4629,MATCH(0,INDEX(COUNTIF($B$1:B3169,$A$2:$A$4629),0,0),0)))</f>
        <v/>
      </c>
      <c r="C3170" t="str">
        <f t="shared" si="49"/>
        <v/>
      </c>
    </row>
    <row r="3171" spans="1:3" x14ac:dyDescent="0.25">
      <c r="A3171" t="str">
        <f>IF(Scan2VK!W67&lt;&gt;"",Scan2VK!W67,"")</f>
        <v>F7</v>
      </c>
      <c r="B3171" t="str">
        <f>IF(ISERROR(MATCH(0,INDEX(COUNTIF($B$1:B3170,$A$2:$A$4629),0,0),0)),"",INDEX($A$2:$A$4629,MATCH(0,INDEX(COUNTIF($B$1:B3170,$A$2:$A$4629),0,0),0)))</f>
        <v/>
      </c>
      <c r="C3171" t="str">
        <f t="shared" si="49"/>
        <v/>
      </c>
    </row>
    <row r="3172" spans="1:3" x14ac:dyDescent="0.25">
      <c r="A3172" t="str">
        <f>IF(Scan2VK!W68&lt;&gt;"",Scan2VK!W68,"")</f>
        <v>F8</v>
      </c>
      <c r="B3172" t="str">
        <f>IF(ISERROR(MATCH(0,INDEX(COUNTIF($B$1:B3171,$A$2:$A$4629),0,0),0)),"",INDEX($A$2:$A$4629,MATCH(0,INDEX(COUNTIF($B$1:B3171,$A$2:$A$4629),0,0),0)))</f>
        <v/>
      </c>
      <c r="C3172" t="str">
        <f t="shared" si="49"/>
        <v/>
      </c>
    </row>
    <row r="3173" spans="1:3" x14ac:dyDescent="0.25">
      <c r="A3173" t="str">
        <f>IF(Scan2VK!W69&lt;&gt;"",Scan2VK!W69,"")</f>
        <v>F9</v>
      </c>
      <c r="B3173" t="str">
        <f>IF(ISERROR(MATCH(0,INDEX(COUNTIF($B$1:B3172,$A$2:$A$4629),0,0),0)),"",INDEX($A$2:$A$4629,MATCH(0,INDEX(COUNTIF($B$1:B3172,$A$2:$A$4629),0,0),0)))</f>
        <v/>
      </c>
      <c r="C3173" t="str">
        <f t="shared" si="49"/>
        <v/>
      </c>
    </row>
    <row r="3174" spans="1:3" x14ac:dyDescent="0.25">
      <c r="A3174" t="str">
        <f>IF(Scan2VK!W70&lt;&gt;"",Scan2VK!W70,"")</f>
        <v>F10</v>
      </c>
      <c r="B3174" t="str">
        <f>IF(ISERROR(MATCH(0,INDEX(COUNTIF($B$1:B3173,$A$2:$A$4629),0,0),0)),"",INDEX($A$2:$A$4629,MATCH(0,INDEX(COUNTIF($B$1:B3173,$A$2:$A$4629),0,0),0)))</f>
        <v/>
      </c>
      <c r="C3174" t="str">
        <f t="shared" si="49"/>
        <v/>
      </c>
    </row>
    <row r="3175" spans="1:3" x14ac:dyDescent="0.25">
      <c r="A3175" t="str">
        <f>IF(Scan2VK!W71&lt;&gt;"",Scan2VK!W71,"")</f>
        <v>NUMLOCK</v>
      </c>
      <c r="B3175" t="str">
        <f>IF(ISERROR(MATCH(0,INDEX(COUNTIF($B$1:B3174,$A$2:$A$4629),0,0),0)),"",INDEX($A$2:$A$4629,MATCH(0,INDEX(COUNTIF($B$1:B3174,$A$2:$A$4629),0,0),0)))</f>
        <v/>
      </c>
      <c r="C3175" t="str">
        <f t="shared" si="49"/>
        <v/>
      </c>
    </row>
    <row r="3176" spans="1:3" x14ac:dyDescent="0.25">
      <c r="A3176" t="str">
        <f>IF(Scan2VK!W72&lt;&gt;"",Scan2VK!W72,"")</f>
        <v>SCROLL</v>
      </c>
      <c r="B3176" t="str">
        <f>IF(ISERROR(MATCH(0,INDEX(COUNTIF($B$1:B3175,$A$2:$A$4629),0,0),0)),"",INDEX($A$2:$A$4629,MATCH(0,INDEX(COUNTIF($B$1:B3175,$A$2:$A$4629),0,0),0)))</f>
        <v/>
      </c>
      <c r="C3176" t="str">
        <f t="shared" si="49"/>
        <v/>
      </c>
    </row>
    <row r="3177" spans="1:3" x14ac:dyDescent="0.25">
      <c r="A3177" t="str">
        <f>IF(Scan2VK!W73&lt;&gt;"",Scan2VK!W73,"")</f>
        <v>HOME</v>
      </c>
      <c r="B3177" t="str">
        <f>IF(ISERROR(MATCH(0,INDEX(COUNTIF($B$1:B3176,$A$2:$A$4629),0,0),0)),"",INDEX($A$2:$A$4629,MATCH(0,INDEX(COUNTIF($B$1:B3176,$A$2:$A$4629),0,0),0)))</f>
        <v/>
      </c>
      <c r="C3177" t="str">
        <f t="shared" si="49"/>
        <v/>
      </c>
    </row>
    <row r="3178" spans="1:3" x14ac:dyDescent="0.25">
      <c r="A3178" t="str">
        <f>IF(Scan2VK!W74&lt;&gt;"",Scan2VK!W74,"")</f>
        <v>UP</v>
      </c>
      <c r="B3178" t="str">
        <f>IF(ISERROR(MATCH(0,INDEX(COUNTIF($B$1:B3177,$A$2:$A$4629),0,0),0)),"",INDEX($A$2:$A$4629,MATCH(0,INDEX(COUNTIF($B$1:B3177,$A$2:$A$4629),0,0),0)))</f>
        <v/>
      </c>
      <c r="C3178" t="str">
        <f t="shared" si="49"/>
        <v/>
      </c>
    </row>
    <row r="3179" spans="1:3" x14ac:dyDescent="0.25">
      <c r="A3179" t="str">
        <f>IF(Scan2VK!W75&lt;&gt;"",Scan2VK!W75,"")</f>
        <v>PRIOR</v>
      </c>
      <c r="B3179" t="str">
        <f>IF(ISERROR(MATCH(0,INDEX(COUNTIF($B$1:B3178,$A$2:$A$4629),0,0),0)),"",INDEX($A$2:$A$4629,MATCH(0,INDEX(COUNTIF($B$1:B3178,$A$2:$A$4629),0,0),0)))</f>
        <v/>
      </c>
      <c r="C3179" t="str">
        <f t="shared" si="49"/>
        <v/>
      </c>
    </row>
    <row r="3180" spans="1:3" x14ac:dyDescent="0.25">
      <c r="A3180" t="str">
        <f>IF(Scan2VK!W76&lt;&gt;"",Scan2VK!W76,"")</f>
        <v>SUBTRACT</v>
      </c>
      <c r="B3180" t="str">
        <f>IF(ISERROR(MATCH(0,INDEX(COUNTIF($B$1:B3179,$A$2:$A$4629),0,0),0)),"",INDEX($A$2:$A$4629,MATCH(0,INDEX(COUNTIF($B$1:B3179,$A$2:$A$4629),0,0),0)))</f>
        <v/>
      </c>
      <c r="C3180" t="str">
        <f t="shared" si="49"/>
        <v/>
      </c>
    </row>
    <row r="3181" spans="1:3" x14ac:dyDescent="0.25">
      <c r="A3181" t="str">
        <f>IF(Scan2VK!W77&lt;&gt;"",Scan2VK!W77,"")</f>
        <v>LEFT</v>
      </c>
      <c r="B3181" t="str">
        <f>IF(ISERROR(MATCH(0,INDEX(COUNTIF($B$1:B3180,$A$2:$A$4629),0,0),0)),"",INDEX($A$2:$A$4629,MATCH(0,INDEX(COUNTIF($B$1:B3180,$A$2:$A$4629),0,0),0)))</f>
        <v/>
      </c>
      <c r="C3181" t="str">
        <f t="shared" si="49"/>
        <v/>
      </c>
    </row>
    <row r="3182" spans="1:3" x14ac:dyDescent="0.25">
      <c r="A3182" t="str">
        <f>IF(Scan2VK!W78&lt;&gt;"",Scan2VK!W78,"")</f>
        <v>CLEAR</v>
      </c>
      <c r="B3182" t="str">
        <f>IF(ISERROR(MATCH(0,INDEX(COUNTIF($B$1:B3181,$A$2:$A$4629),0,0),0)),"",INDEX($A$2:$A$4629,MATCH(0,INDEX(COUNTIF($B$1:B3181,$A$2:$A$4629),0,0),0)))</f>
        <v/>
      </c>
      <c r="C3182" t="str">
        <f t="shared" si="49"/>
        <v/>
      </c>
    </row>
    <row r="3183" spans="1:3" x14ac:dyDescent="0.25">
      <c r="A3183" t="str">
        <f>IF(Scan2VK!W79&lt;&gt;"",Scan2VK!W79,"")</f>
        <v>RIGHT</v>
      </c>
      <c r="B3183" t="str">
        <f>IF(ISERROR(MATCH(0,INDEX(COUNTIF($B$1:B3182,$A$2:$A$4629),0,0),0)),"",INDEX($A$2:$A$4629,MATCH(0,INDEX(COUNTIF($B$1:B3182,$A$2:$A$4629),0,0),0)))</f>
        <v/>
      </c>
      <c r="C3183" t="str">
        <f t="shared" si="49"/>
        <v/>
      </c>
    </row>
    <row r="3184" spans="1:3" x14ac:dyDescent="0.25">
      <c r="A3184" t="str">
        <f>IF(Scan2VK!W80&lt;&gt;"",Scan2VK!W80,"")</f>
        <v>ADD</v>
      </c>
      <c r="B3184" t="str">
        <f>IF(ISERROR(MATCH(0,INDEX(COUNTIF($B$1:B3183,$A$2:$A$4629),0,0),0)),"",INDEX($A$2:$A$4629,MATCH(0,INDEX(COUNTIF($B$1:B3183,$A$2:$A$4629),0,0),0)))</f>
        <v/>
      </c>
      <c r="C3184" t="str">
        <f t="shared" si="49"/>
        <v/>
      </c>
    </row>
    <row r="3185" spans="1:3" x14ac:dyDescent="0.25">
      <c r="A3185" t="str">
        <f>IF(Scan2VK!W81&lt;&gt;"",Scan2VK!W81,"")</f>
        <v>END</v>
      </c>
      <c r="B3185" t="str">
        <f>IF(ISERROR(MATCH(0,INDEX(COUNTIF($B$1:B3184,$A$2:$A$4629),0,0),0)),"",INDEX($A$2:$A$4629,MATCH(0,INDEX(COUNTIF($B$1:B3184,$A$2:$A$4629),0,0),0)))</f>
        <v/>
      </c>
      <c r="C3185" t="str">
        <f t="shared" si="49"/>
        <v/>
      </c>
    </row>
    <row r="3186" spans="1:3" x14ac:dyDescent="0.25">
      <c r="A3186" t="str">
        <f>IF(Scan2VK!W82&lt;&gt;"",Scan2VK!W82,"")</f>
        <v>DOWN</v>
      </c>
      <c r="B3186" t="str">
        <f>IF(ISERROR(MATCH(0,INDEX(COUNTIF($B$1:B3185,$A$2:$A$4629),0,0),0)),"",INDEX($A$2:$A$4629,MATCH(0,INDEX(COUNTIF($B$1:B3185,$A$2:$A$4629),0,0),0)))</f>
        <v/>
      </c>
      <c r="C3186" t="str">
        <f t="shared" si="49"/>
        <v/>
      </c>
    </row>
    <row r="3187" spans="1:3" x14ac:dyDescent="0.25">
      <c r="A3187" t="str">
        <f>IF(Scan2VK!W83&lt;&gt;"",Scan2VK!W83,"")</f>
        <v>NEXT</v>
      </c>
      <c r="B3187" t="str">
        <f>IF(ISERROR(MATCH(0,INDEX(COUNTIF($B$1:B3186,$A$2:$A$4629),0,0),0)),"",INDEX($A$2:$A$4629,MATCH(0,INDEX(COUNTIF($B$1:B3186,$A$2:$A$4629),0,0),0)))</f>
        <v/>
      </c>
      <c r="C3187" t="str">
        <f t="shared" si="49"/>
        <v/>
      </c>
    </row>
    <row r="3188" spans="1:3" x14ac:dyDescent="0.25">
      <c r="A3188" t="str">
        <f>IF(Scan2VK!W84&lt;&gt;"",Scan2VK!W84,"")</f>
        <v>INSERT</v>
      </c>
      <c r="B3188" t="str">
        <f>IF(ISERROR(MATCH(0,INDEX(COUNTIF($B$1:B3187,$A$2:$A$4629),0,0),0)),"",INDEX($A$2:$A$4629,MATCH(0,INDEX(COUNTIF($B$1:B3187,$A$2:$A$4629),0,0),0)))</f>
        <v/>
      </c>
      <c r="C3188" t="str">
        <f t="shared" si="49"/>
        <v/>
      </c>
    </row>
    <row r="3189" spans="1:3" x14ac:dyDescent="0.25">
      <c r="A3189" t="str">
        <f>IF(Scan2VK!W85&lt;&gt;"",Scan2VK!W85,"")</f>
        <v>DELETE</v>
      </c>
      <c r="B3189" t="str">
        <f>IF(ISERROR(MATCH(0,INDEX(COUNTIF($B$1:B3188,$A$2:$A$4629),0,0),0)),"",INDEX($A$2:$A$4629,MATCH(0,INDEX(COUNTIF($B$1:B3188,$A$2:$A$4629),0,0),0)))</f>
        <v/>
      </c>
      <c r="C3189" t="str">
        <f t="shared" si="49"/>
        <v/>
      </c>
    </row>
    <row r="3190" spans="1:3" x14ac:dyDescent="0.25">
      <c r="A3190" t="str">
        <f>IF(Scan2VK!W86&lt;&gt;"",Scan2VK!W86,"")</f>
        <v>SNAPSHOT</v>
      </c>
      <c r="B3190" t="str">
        <f>IF(ISERROR(MATCH(0,INDEX(COUNTIF($B$1:B3189,$A$2:$A$4629),0,0),0)),"",INDEX($A$2:$A$4629,MATCH(0,INDEX(COUNTIF($B$1:B3189,$A$2:$A$4629),0,0),0)))</f>
        <v/>
      </c>
      <c r="C3190" t="str">
        <f t="shared" si="49"/>
        <v/>
      </c>
    </row>
    <row r="3191" spans="1:3" x14ac:dyDescent="0.25">
      <c r="A3191" t="str">
        <f>IF(Scan2VK!W87&lt;&gt;"",Scan2VK!W87,"")</f>
        <v>_none_</v>
      </c>
      <c r="B3191" t="str">
        <f>IF(ISERROR(MATCH(0,INDEX(COUNTIF($B$1:B3190,$A$2:$A$4629),0,0),0)),"",INDEX($A$2:$A$4629,MATCH(0,INDEX(COUNTIF($B$1:B3190,$A$2:$A$4629),0,0),0)))</f>
        <v/>
      </c>
      <c r="C3191" t="str">
        <f t="shared" si="49"/>
        <v/>
      </c>
    </row>
    <row r="3192" spans="1:3" x14ac:dyDescent="0.25">
      <c r="A3192" t="str">
        <f>IF(Scan2VK!W88&lt;&gt;"",Scan2VK!W88,"")</f>
        <v>_none_</v>
      </c>
      <c r="B3192" t="str">
        <f>IF(ISERROR(MATCH(0,INDEX(COUNTIF($B$1:B3191,$A$2:$A$4629),0,0),0)),"",INDEX($A$2:$A$4629,MATCH(0,INDEX(COUNTIF($B$1:B3191,$A$2:$A$4629),0,0),0)))</f>
        <v/>
      </c>
      <c r="C3192" t="str">
        <f t="shared" si="49"/>
        <v/>
      </c>
    </row>
    <row r="3193" spans="1:3" x14ac:dyDescent="0.25">
      <c r="A3193" t="str">
        <f>IF(Scan2VK!W89&lt;&gt;"",Scan2VK!W89,"")</f>
        <v>F11</v>
      </c>
      <c r="B3193" t="str">
        <f>IF(ISERROR(MATCH(0,INDEX(COUNTIF($B$1:B3192,$A$2:$A$4629),0,0),0)),"",INDEX($A$2:$A$4629,MATCH(0,INDEX(COUNTIF($B$1:B3192,$A$2:$A$4629),0,0),0)))</f>
        <v/>
      </c>
      <c r="C3193" t="str">
        <f t="shared" si="49"/>
        <v/>
      </c>
    </row>
    <row r="3194" spans="1:3" x14ac:dyDescent="0.25">
      <c r="A3194" t="str">
        <f>IF(Scan2VK!W90&lt;&gt;"",Scan2VK!W90,"")</f>
        <v>F12</v>
      </c>
      <c r="B3194" t="str">
        <f>IF(ISERROR(MATCH(0,INDEX(COUNTIF($B$1:B3193,$A$2:$A$4629),0,0),0)),"",INDEX($A$2:$A$4629,MATCH(0,INDEX(COUNTIF($B$1:B3193,$A$2:$A$4629),0,0),0)))</f>
        <v/>
      </c>
      <c r="C3194" t="str">
        <f t="shared" si="49"/>
        <v/>
      </c>
    </row>
    <row r="3195" spans="1:3" x14ac:dyDescent="0.25">
      <c r="A3195" t="str">
        <f>IF(Scan2VK!W91&lt;&gt;"",Scan2VK!W91,"")</f>
        <v>OEM_NEC_EQUAL</v>
      </c>
      <c r="B3195" t="str">
        <f>IF(ISERROR(MATCH(0,INDEX(COUNTIF($B$1:B3194,$A$2:$A$4629),0,0),0)),"",INDEX($A$2:$A$4629,MATCH(0,INDEX(COUNTIF($B$1:B3194,$A$2:$A$4629),0,0),0)))</f>
        <v/>
      </c>
      <c r="C3195" t="str">
        <f t="shared" si="49"/>
        <v/>
      </c>
    </row>
    <row r="3196" spans="1:3" x14ac:dyDescent="0.25">
      <c r="A3196" t="str">
        <f>IF(Scan2VK!W92&lt;&gt;"",Scan2VK!W92,"")</f>
        <v>NONAME</v>
      </c>
      <c r="B3196" t="str">
        <f>IF(ISERROR(MATCH(0,INDEX(COUNTIF($B$1:B3195,$A$2:$A$4629),0,0),0)),"",INDEX($A$2:$A$4629,MATCH(0,INDEX(COUNTIF($B$1:B3195,$A$2:$A$4629),0,0),0)))</f>
        <v/>
      </c>
      <c r="C3196" t="str">
        <f t="shared" si="49"/>
        <v/>
      </c>
    </row>
    <row r="3197" spans="1:3" x14ac:dyDescent="0.25">
      <c r="A3197" t="str">
        <f>IF(Scan2VK!W93&lt;&gt;"",Scan2VK!W93,"")</f>
        <v>_none_</v>
      </c>
      <c r="B3197" t="str">
        <f>IF(ISERROR(MATCH(0,INDEX(COUNTIF($B$1:B3196,$A$2:$A$4629),0,0),0)),"",INDEX($A$2:$A$4629,MATCH(0,INDEX(COUNTIF($B$1:B3196,$A$2:$A$4629),0,0),0)))</f>
        <v/>
      </c>
      <c r="C3197" t="str">
        <f t="shared" si="49"/>
        <v/>
      </c>
    </row>
    <row r="3198" spans="1:3" x14ac:dyDescent="0.25">
      <c r="A3198" t="str">
        <f>IF(Scan2VK!W94&lt;&gt;"",Scan2VK!W94,"")</f>
        <v>SEPARATOR</v>
      </c>
      <c r="B3198" t="str">
        <f>IF(ISERROR(MATCH(0,INDEX(COUNTIF($B$1:B3197,$A$2:$A$4629),0,0),0)),"",INDEX($A$2:$A$4629,MATCH(0,INDEX(COUNTIF($B$1:B3197,$A$2:$A$4629),0,0),0)))</f>
        <v/>
      </c>
      <c r="C3198" t="str">
        <f t="shared" si="49"/>
        <v/>
      </c>
    </row>
    <row r="3199" spans="1:3" x14ac:dyDescent="0.25">
      <c r="A3199" t="str">
        <f>IF(Scan2VK!W95&lt;&gt;"",Scan2VK!W95,"")</f>
        <v>F13</v>
      </c>
      <c r="B3199" t="str">
        <f>IF(ISERROR(MATCH(0,INDEX(COUNTIF($B$1:B3198,$A$2:$A$4629),0,0),0)),"",INDEX($A$2:$A$4629,MATCH(0,INDEX(COUNTIF($B$1:B3198,$A$2:$A$4629),0,0),0)))</f>
        <v/>
      </c>
      <c r="C3199" t="str">
        <f t="shared" si="49"/>
        <v/>
      </c>
    </row>
    <row r="3200" spans="1:3" x14ac:dyDescent="0.25">
      <c r="A3200" t="str">
        <f>IF(Scan2VK!W96&lt;&gt;"",Scan2VK!W96,"")</f>
        <v>F14</v>
      </c>
      <c r="B3200" t="str">
        <f>IF(ISERROR(MATCH(0,INDEX(COUNTIF($B$1:B3199,$A$2:$A$4629),0,0),0)),"",INDEX($A$2:$A$4629,MATCH(0,INDEX(COUNTIF($B$1:B3199,$A$2:$A$4629),0,0),0)))</f>
        <v/>
      </c>
      <c r="C3200" t="str">
        <f t="shared" si="49"/>
        <v/>
      </c>
    </row>
    <row r="3201" spans="1:3" x14ac:dyDescent="0.25">
      <c r="A3201" t="str">
        <f>IF(Scan2VK!W97&lt;&gt;"",Scan2VK!W97,"")</f>
        <v>F15</v>
      </c>
      <c r="B3201" t="str">
        <f>IF(ISERROR(MATCH(0,INDEX(COUNTIF($B$1:B3200,$A$2:$A$4629),0,0),0)),"",INDEX($A$2:$A$4629,MATCH(0,INDEX(COUNTIF($B$1:B3200,$A$2:$A$4629),0,0),0)))</f>
        <v/>
      </c>
      <c r="C3201" t="str">
        <f t="shared" si="49"/>
        <v/>
      </c>
    </row>
    <row r="3202" spans="1:3" x14ac:dyDescent="0.25">
      <c r="A3202" t="str">
        <f>IF(Scan2VK!W98&lt;&gt;"",Scan2VK!W98,"")</f>
        <v>_none_</v>
      </c>
      <c r="B3202" t="str">
        <f>IF(ISERROR(MATCH(0,INDEX(COUNTIF($B$1:B3201,$A$2:$A$4629),0,0),0)),"",INDEX($A$2:$A$4629,MATCH(0,INDEX(COUNTIF($B$1:B3201,$A$2:$A$4629),0,0),0)))</f>
        <v/>
      </c>
      <c r="C3202" t="str">
        <f t="shared" si="49"/>
        <v/>
      </c>
    </row>
    <row r="3203" spans="1:3" x14ac:dyDescent="0.25">
      <c r="A3203" t="str">
        <f>IF(Scan2VK!W99&lt;&gt;"",Scan2VK!W99,"")</f>
        <v>_none_</v>
      </c>
      <c r="B3203" t="str">
        <f>IF(ISERROR(MATCH(0,INDEX(COUNTIF($B$1:B3202,$A$2:$A$4629),0,0),0)),"",INDEX($A$2:$A$4629,MATCH(0,INDEX(COUNTIF($B$1:B3202,$A$2:$A$4629),0,0),0)))</f>
        <v/>
      </c>
      <c r="C3203" t="str">
        <f t="shared" ref="C3203:C3266" si="50">IF(B3203&lt;&gt;"","&lt;xs:enumeration value="""&amp;B3203&amp;"""/&gt;","")</f>
        <v/>
      </c>
    </row>
    <row r="3204" spans="1:3" x14ac:dyDescent="0.25">
      <c r="A3204" t="str">
        <f>IF(Scan2VK!W100&lt;&gt;"",Scan2VK!W100,"")</f>
        <v>_none_</v>
      </c>
      <c r="B3204" t="str">
        <f>IF(ISERROR(MATCH(0,INDEX(COUNTIF($B$1:B3203,$A$2:$A$4629),0,0),0)),"",INDEX($A$2:$A$4629,MATCH(0,INDEX(COUNTIF($B$1:B3203,$A$2:$A$4629),0,0),0)))</f>
        <v/>
      </c>
      <c r="C3204" t="str">
        <f t="shared" si="50"/>
        <v/>
      </c>
    </row>
    <row r="3205" spans="1:3" x14ac:dyDescent="0.25">
      <c r="A3205" t="str">
        <f>IF(Scan2VK!W101&lt;&gt;"",Scan2VK!W101,"")</f>
        <v>_none_</v>
      </c>
      <c r="B3205" t="str">
        <f>IF(ISERROR(MATCH(0,INDEX(COUNTIF($B$1:B3204,$A$2:$A$4629),0,0),0)),"",INDEX($A$2:$A$4629,MATCH(0,INDEX(COUNTIF($B$1:B3204,$A$2:$A$4629),0,0),0)))</f>
        <v/>
      </c>
      <c r="C3205" t="str">
        <f t="shared" si="50"/>
        <v/>
      </c>
    </row>
    <row r="3206" spans="1:3" x14ac:dyDescent="0.25">
      <c r="A3206" t="str">
        <f>IF(Scan2VK!W102&lt;&gt;"",Scan2VK!W102,"")</f>
        <v>_none_</v>
      </c>
      <c r="B3206" t="str">
        <f>IF(ISERROR(MATCH(0,INDEX(COUNTIF($B$1:B3205,$A$2:$A$4629),0,0),0)),"",INDEX($A$2:$A$4629,MATCH(0,INDEX(COUNTIF($B$1:B3205,$A$2:$A$4629),0,0),0)))</f>
        <v/>
      </c>
      <c r="C3206" t="str">
        <f t="shared" si="50"/>
        <v/>
      </c>
    </row>
    <row r="3207" spans="1:3" x14ac:dyDescent="0.25">
      <c r="A3207" t="str">
        <f>IF(Scan2VK!W103&lt;&gt;"",Scan2VK!W103,"")</f>
        <v>_none_</v>
      </c>
      <c r="B3207" t="str">
        <f>IF(ISERROR(MATCH(0,INDEX(COUNTIF($B$1:B3206,$A$2:$A$4629),0,0),0)),"",INDEX($A$2:$A$4629,MATCH(0,INDEX(COUNTIF($B$1:B3206,$A$2:$A$4629),0,0),0)))</f>
        <v/>
      </c>
      <c r="C3207" t="str">
        <f t="shared" si="50"/>
        <v/>
      </c>
    </row>
    <row r="3208" spans="1:3" x14ac:dyDescent="0.25">
      <c r="A3208" t="str">
        <f>IF(Scan2VK!W104&lt;&gt;"",Scan2VK!W104,"")</f>
        <v>_none_</v>
      </c>
      <c r="B3208" t="str">
        <f>IF(ISERROR(MATCH(0,INDEX(COUNTIF($B$1:B3207,$A$2:$A$4629),0,0),0)),"",INDEX($A$2:$A$4629,MATCH(0,INDEX(COUNTIF($B$1:B3207,$A$2:$A$4629),0,0),0)))</f>
        <v/>
      </c>
      <c r="C3208" t="str">
        <f t="shared" si="50"/>
        <v/>
      </c>
    </row>
    <row r="3209" spans="1:3" x14ac:dyDescent="0.25">
      <c r="A3209" t="str">
        <f>IF(Scan2VK!W105&lt;&gt;"",Scan2VK!W105,"")</f>
        <v>_none_</v>
      </c>
      <c r="B3209" t="str">
        <f>IF(ISERROR(MATCH(0,INDEX(COUNTIF($B$1:B3208,$A$2:$A$4629),0,0),0)),"",INDEX($A$2:$A$4629,MATCH(0,INDEX(COUNTIF($B$1:B3208,$A$2:$A$4629),0,0),0)))</f>
        <v/>
      </c>
      <c r="C3209" t="str">
        <f t="shared" si="50"/>
        <v/>
      </c>
    </row>
    <row r="3210" spans="1:3" x14ac:dyDescent="0.25">
      <c r="A3210" t="str">
        <f>IF(Scan2VK!W106&lt;&gt;"",Scan2VK!W106,"")</f>
        <v>_none_</v>
      </c>
      <c r="B3210" t="str">
        <f>IF(ISERROR(MATCH(0,INDEX(COUNTIF($B$1:B3209,$A$2:$A$4629),0,0),0)),"",INDEX($A$2:$A$4629,MATCH(0,INDEX(COUNTIF($B$1:B3209,$A$2:$A$4629),0,0),0)))</f>
        <v/>
      </c>
      <c r="C3210" t="str">
        <f t="shared" si="50"/>
        <v/>
      </c>
    </row>
    <row r="3211" spans="1:3" x14ac:dyDescent="0.25">
      <c r="A3211" t="str">
        <f>IF(Scan2VK!W107&lt;&gt;"",Scan2VK!W107,"")</f>
        <v>_none_</v>
      </c>
      <c r="B3211" t="str">
        <f>IF(ISERROR(MATCH(0,INDEX(COUNTIF($B$1:B3210,$A$2:$A$4629),0,0),0)),"",INDEX($A$2:$A$4629,MATCH(0,INDEX(COUNTIF($B$1:B3210,$A$2:$A$4629),0,0),0)))</f>
        <v/>
      </c>
      <c r="C3211" t="str">
        <f t="shared" si="50"/>
        <v/>
      </c>
    </row>
    <row r="3212" spans="1:3" x14ac:dyDescent="0.25">
      <c r="A3212" t="str">
        <f>IF(Scan2VK!W108&lt;&gt;"",Scan2VK!W108,"")</f>
        <v>_none_</v>
      </c>
      <c r="B3212" t="str">
        <f>IF(ISERROR(MATCH(0,INDEX(COUNTIF($B$1:B3211,$A$2:$A$4629),0,0),0)),"",INDEX($A$2:$A$4629,MATCH(0,INDEX(COUNTIF($B$1:B3211,$A$2:$A$4629),0,0),0)))</f>
        <v/>
      </c>
      <c r="C3212" t="str">
        <f t="shared" si="50"/>
        <v/>
      </c>
    </row>
    <row r="3213" spans="1:3" x14ac:dyDescent="0.25">
      <c r="A3213" t="str">
        <f>IF(Scan2VK!W109&lt;&gt;"",Scan2VK!W109,"")</f>
        <v>_none_</v>
      </c>
      <c r="B3213" t="str">
        <f>IF(ISERROR(MATCH(0,INDEX(COUNTIF($B$1:B3212,$A$2:$A$4629),0,0),0)),"",INDEX($A$2:$A$4629,MATCH(0,INDEX(COUNTIF($B$1:B3212,$A$2:$A$4629),0,0),0)))</f>
        <v/>
      </c>
      <c r="C3213" t="str">
        <f t="shared" si="50"/>
        <v/>
      </c>
    </row>
    <row r="3214" spans="1:3" x14ac:dyDescent="0.25">
      <c r="A3214" t="str">
        <f>IF(Scan2VK!W110&lt;&gt;"",Scan2VK!W110,"")</f>
        <v>_none_</v>
      </c>
      <c r="B3214" t="str">
        <f>IF(ISERROR(MATCH(0,INDEX(COUNTIF($B$1:B3213,$A$2:$A$4629),0,0),0)),"",INDEX($A$2:$A$4629,MATCH(0,INDEX(COUNTIF($B$1:B3213,$A$2:$A$4629),0,0),0)))</f>
        <v/>
      </c>
      <c r="C3214" t="str">
        <f t="shared" si="50"/>
        <v/>
      </c>
    </row>
    <row r="3215" spans="1:3" x14ac:dyDescent="0.25">
      <c r="A3215" t="str">
        <f>IF(Scan2VK!W111&lt;&gt;"",Scan2VK!W111,"")</f>
        <v>_none_</v>
      </c>
      <c r="B3215" t="str">
        <f>IF(ISERROR(MATCH(0,INDEX(COUNTIF($B$1:B3214,$A$2:$A$4629),0,0),0)),"",INDEX($A$2:$A$4629,MATCH(0,INDEX(COUNTIF($B$1:B3214,$A$2:$A$4629),0,0),0)))</f>
        <v/>
      </c>
      <c r="C3215" t="str">
        <f t="shared" si="50"/>
        <v/>
      </c>
    </row>
    <row r="3216" spans="1:3" x14ac:dyDescent="0.25">
      <c r="A3216" t="str">
        <f>IF(Scan2VK!W112&lt;&gt;"",Scan2VK!W112,"")</f>
        <v>_none_</v>
      </c>
      <c r="B3216" t="str">
        <f>IF(ISERROR(MATCH(0,INDEX(COUNTIF($B$1:B3215,$A$2:$A$4629),0,0),0)),"",INDEX($A$2:$A$4629,MATCH(0,INDEX(COUNTIF($B$1:B3215,$A$2:$A$4629),0,0),0)))</f>
        <v/>
      </c>
      <c r="C3216" t="str">
        <f t="shared" si="50"/>
        <v/>
      </c>
    </row>
    <row r="3217" spans="1:3" x14ac:dyDescent="0.25">
      <c r="A3217" t="str">
        <f>IF(Scan2VK!W113&lt;&gt;"",Scan2VK!W113,"")</f>
        <v>_none_</v>
      </c>
      <c r="B3217" t="str">
        <f>IF(ISERROR(MATCH(0,INDEX(COUNTIF($B$1:B3216,$A$2:$A$4629),0,0),0)),"",INDEX($A$2:$A$4629,MATCH(0,INDEX(COUNTIF($B$1:B3216,$A$2:$A$4629),0,0),0)))</f>
        <v/>
      </c>
      <c r="C3217" t="str">
        <f t="shared" si="50"/>
        <v/>
      </c>
    </row>
    <row r="3218" spans="1:3" x14ac:dyDescent="0.25">
      <c r="A3218" t="str">
        <f>IF(Scan2VK!W114&lt;&gt;"",Scan2VK!W114,"")</f>
        <v>KANA</v>
      </c>
      <c r="B3218" t="str">
        <f>IF(ISERROR(MATCH(0,INDEX(COUNTIF($B$1:B3217,$A$2:$A$4629),0,0),0)),"",INDEX($A$2:$A$4629,MATCH(0,INDEX(COUNTIF($B$1:B3217,$A$2:$A$4629),0,0),0)))</f>
        <v/>
      </c>
      <c r="C3218" t="str">
        <f t="shared" si="50"/>
        <v/>
      </c>
    </row>
    <row r="3219" spans="1:3" x14ac:dyDescent="0.25">
      <c r="A3219" t="str">
        <f>IF(Scan2VK!W115&lt;&gt;"",Scan2VK!W115,"")</f>
        <v>_none_</v>
      </c>
      <c r="B3219" t="str">
        <f>IF(ISERROR(MATCH(0,INDEX(COUNTIF($B$1:B3218,$A$2:$A$4629),0,0),0)),"",INDEX($A$2:$A$4629,MATCH(0,INDEX(COUNTIF($B$1:B3218,$A$2:$A$4629),0,0),0)))</f>
        <v/>
      </c>
      <c r="C3219" t="str">
        <f t="shared" si="50"/>
        <v/>
      </c>
    </row>
    <row r="3220" spans="1:3" x14ac:dyDescent="0.25">
      <c r="A3220" t="str">
        <f>IF(Scan2VK!W116&lt;&gt;"",Scan2VK!W116,"")</f>
        <v>_none_</v>
      </c>
      <c r="B3220" t="str">
        <f>IF(ISERROR(MATCH(0,INDEX(COUNTIF($B$1:B3219,$A$2:$A$4629),0,0),0)),"",INDEX($A$2:$A$4629,MATCH(0,INDEX(COUNTIF($B$1:B3219,$A$2:$A$4629),0,0),0)))</f>
        <v/>
      </c>
      <c r="C3220" t="str">
        <f t="shared" si="50"/>
        <v/>
      </c>
    </row>
    <row r="3221" spans="1:3" x14ac:dyDescent="0.25">
      <c r="A3221" t="str">
        <f>IF(Scan2VK!W117&lt;&gt;"",Scan2VK!W117,"")</f>
        <v>OEM_8</v>
      </c>
      <c r="B3221" t="str">
        <f>IF(ISERROR(MATCH(0,INDEX(COUNTIF($B$1:B3220,$A$2:$A$4629),0,0),0)),"",INDEX($A$2:$A$4629,MATCH(0,INDEX(COUNTIF($B$1:B3220,$A$2:$A$4629),0,0),0)))</f>
        <v/>
      </c>
      <c r="C3221" t="str">
        <f t="shared" si="50"/>
        <v/>
      </c>
    </row>
    <row r="3222" spans="1:3" x14ac:dyDescent="0.25">
      <c r="A3222" t="str">
        <f>IF(Scan2VK!W118&lt;&gt;"",Scan2VK!W118,"")</f>
        <v>_none_</v>
      </c>
      <c r="B3222" t="str">
        <f>IF(ISERROR(MATCH(0,INDEX(COUNTIF($B$1:B3221,$A$2:$A$4629),0,0),0)),"",INDEX($A$2:$A$4629,MATCH(0,INDEX(COUNTIF($B$1:B3221,$A$2:$A$4629),0,0),0)))</f>
        <v/>
      </c>
      <c r="C3222" t="str">
        <f t="shared" si="50"/>
        <v/>
      </c>
    </row>
    <row r="3223" spans="1:3" x14ac:dyDescent="0.25">
      <c r="A3223" t="str">
        <f>IF(Scan2VK!W119&lt;&gt;"",Scan2VK!W119,"")</f>
        <v>_none_</v>
      </c>
      <c r="B3223" t="str">
        <f>IF(ISERROR(MATCH(0,INDEX(COUNTIF($B$1:B3222,$A$2:$A$4629),0,0),0)),"",INDEX($A$2:$A$4629,MATCH(0,INDEX(COUNTIF($B$1:B3222,$A$2:$A$4629),0,0),0)))</f>
        <v/>
      </c>
      <c r="C3223" t="str">
        <f t="shared" si="50"/>
        <v/>
      </c>
    </row>
    <row r="3224" spans="1:3" x14ac:dyDescent="0.25">
      <c r="A3224" t="str">
        <f>IF(Scan2VK!W120&lt;&gt;"",Scan2VK!W120,"")</f>
        <v>_none_</v>
      </c>
      <c r="B3224" t="str">
        <f>IF(ISERROR(MATCH(0,INDEX(COUNTIF($B$1:B3223,$A$2:$A$4629),0,0),0)),"",INDEX($A$2:$A$4629,MATCH(0,INDEX(COUNTIF($B$1:B3223,$A$2:$A$4629),0,0),0)))</f>
        <v/>
      </c>
      <c r="C3224" t="str">
        <f t="shared" si="50"/>
        <v/>
      </c>
    </row>
    <row r="3225" spans="1:3" x14ac:dyDescent="0.25">
      <c r="A3225" t="str">
        <f>IF(Scan2VK!W121&lt;&gt;"",Scan2VK!W121,"")</f>
        <v>_none_</v>
      </c>
      <c r="B3225" t="str">
        <f>IF(ISERROR(MATCH(0,INDEX(COUNTIF($B$1:B3224,$A$2:$A$4629),0,0),0)),"",INDEX($A$2:$A$4629,MATCH(0,INDEX(COUNTIF($B$1:B3224,$A$2:$A$4629),0,0),0)))</f>
        <v/>
      </c>
      <c r="C3225" t="str">
        <f t="shared" si="50"/>
        <v/>
      </c>
    </row>
    <row r="3226" spans="1:3" x14ac:dyDescent="0.25">
      <c r="A3226" t="str">
        <f>IF(Scan2VK!W122&lt;&gt;"",Scan2VK!W122,"")</f>
        <v>_none_</v>
      </c>
      <c r="B3226" t="str">
        <f>IF(ISERROR(MATCH(0,INDEX(COUNTIF($B$1:B3225,$A$2:$A$4629),0,0),0)),"",INDEX($A$2:$A$4629,MATCH(0,INDEX(COUNTIF($B$1:B3225,$A$2:$A$4629),0,0),0)))</f>
        <v/>
      </c>
      <c r="C3226" t="str">
        <f t="shared" si="50"/>
        <v/>
      </c>
    </row>
    <row r="3227" spans="1:3" x14ac:dyDescent="0.25">
      <c r="A3227" t="str">
        <f>IF(Scan2VK!W123&lt;&gt;"",Scan2VK!W123,"")</f>
        <v>CONVERT</v>
      </c>
      <c r="B3227" t="str">
        <f>IF(ISERROR(MATCH(0,INDEX(COUNTIF($B$1:B3226,$A$2:$A$4629),0,0),0)),"",INDEX($A$2:$A$4629,MATCH(0,INDEX(COUNTIF($B$1:B3226,$A$2:$A$4629),0,0),0)))</f>
        <v/>
      </c>
      <c r="C3227" t="str">
        <f t="shared" si="50"/>
        <v/>
      </c>
    </row>
    <row r="3228" spans="1:3" x14ac:dyDescent="0.25">
      <c r="A3228" t="str">
        <f>IF(Scan2VK!W124&lt;&gt;"",Scan2VK!W124,"")</f>
        <v>_none_</v>
      </c>
      <c r="B3228" t="str">
        <f>IF(ISERROR(MATCH(0,INDEX(COUNTIF($B$1:B3227,$A$2:$A$4629),0,0),0)),"",INDEX($A$2:$A$4629,MATCH(0,INDEX(COUNTIF($B$1:B3227,$A$2:$A$4629),0,0),0)))</f>
        <v/>
      </c>
      <c r="C3228" t="str">
        <f t="shared" si="50"/>
        <v/>
      </c>
    </row>
    <row r="3229" spans="1:3" x14ac:dyDescent="0.25">
      <c r="A3229" t="str">
        <f>IF(Scan2VK!W125&lt;&gt;"",Scan2VK!W125,"")</f>
        <v>NONCONVERT</v>
      </c>
      <c r="B3229" t="str">
        <f>IF(ISERROR(MATCH(0,INDEX(COUNTIF($B$1:B3228,$A$2:$A$4629),0,0),0)),"",INDEX($A$2:$A$4629,MATCH(0,INDEX(COUNTIF($B$1:B3228,$A$2:$A$4629),0,0),0)))</f>
        <v/>
      </c>
      <c r="C3229" t="str">
        <f t="shared" si="50"/>
        <v/>
      </c>
    </row>
    <row r="3230" spans="1:3" x14ac:dyDescent="0.25">
      <c r="A3230" t="str">
        <f>IF(Scan2VK!W126&lt;&gt;"",Scan2VK!W126,"")</f>
        <v>TAB</v>
      </c>
      <c r="B3230" t="str">
        <f>IF(ISERROR(MATCH(0,INDEX(COUNTIF($B$1:B3229,$A$2:$A$4629),0,0),0)),"",INDEX($A$2:$A$4629,MATCH(0,INDEX(COUNTIF($B$1:B3229,$A$2:$A$4629),0,0),0)))</f>
        <v/>
      </c>
      <c r="C3230" t="str">
        <f t="shared" si="50"/>
        <v/>
      </c>
    </row>
    <row r="3231" spans="1:3" x14ac:dyDescent="0.25">
      <c r="A3231" t="str">
        <f>IF(Scan2VK!W127&lt;&gt;"",Scan2VK!W127,"")</f>
        <v>OEM_5</v>
      </c>
      <c r="B3231" t="str">
        <f>IF(ISERROR(MATCH(0,INDEX(COUNTIF($B$1:B3230,$A$2:$A$4629),0,0),0)),"",INDEX($A$2:$A$4629,MATCH(0,INDEX(COUNTIF($B$1:B3230,$A$2:$A$4629),0,0),0)))</f>
        <v/>
      </c>
      <c r="C3231" t="str">
        <f t="shared" si="50"/>
        <v/>
      </c>
    </row>
    <row r="3232" spans="1:3" x14ac:dyDescent="0.25">
      <c r="A3232" t="str">
        <f>IF(Scan2VK!W128&lt;&gt;"",Scan2VK!W128,"")</f>
        <v>ABNT_C2</v>
      </c>
      <c r="B3232" t="str">
        <f>IF(ISERROR(MATCH(0,INDEX(COUNTIF($B$1:B3231,$A$2:$A$4629),0,0),0)),"",INDEX($A$2:$A$4629,MATCH(0,INDEX(COUNTIF($B$1:B3231,$A$2:$A$4629),0,0),0)))</f>
        <v/>
      </c>
      <c r="C3232" t="str">
        <f t="shared" si="50"/>
        <v/>
      </c>
    </row>
    <row r="3233" spans="1:3" x14ac:dyDescent="0.25">
      <c r="A3233" t="str">
        <f>IF(Scan2VK!W129&lt;&gt;"",Scan2VK!W129,"")</f>
        <v>OEM_PA2</v>
      </c>
      <c r="B3233" t="str">
        <f>IF(ISERROR(MATCH(0,INDEX(COUNTIF($B$1:B3232,$A$2:$A$4629),0,0),0)),"",INDEX($A$2:$A$4629,MATCH(0,INDEX(COUNTIF($B$1:B3232,$A$2:$A$4629),0,0),0)))</f>
        <v/>
      </c>
      <c r="C3233" t="str">
        <f t="shared" si="50"/>
        <v/>
      </c>
    </row>
    <row r="3234" spans="1:3" x14ac:dyDescent="0.25">
      <c r="A3234" t="str">
        <f>IF(Scan2VK!W130&lt;&gt;"",Scan2VK!W130,"")</f>
        <v/>
      </c>
      <c r="B3234" t="str">
        <f>IF(ISERROR(MATCH(0,INDEX(COUNTIF($B$1:B3233,$A$2:$A$4629),0,0),0)),"",INDEX($A$2:$A$4629,MATCH(0,INDEX(COUNTIF($B$1:B3233,$A$2:$A$4629),0,0),0)))</f>
        <v/>
      </c>
      <c r="C3234" t="str">
        <f t="shared" si="50"/>
        <v/>
      </c>
    </row>
    <row r="3235" spans="1:3" x14ac:dyDescent="0.25">
      <c r="A3235" t="str">
        <f>IF(Scan2VK!W131&lt;&gt;"",Scan2VK!W131,"")</f>
        <v/>
      </c>
      <c r="B3235" t="str">
        <f>IF(ISERROR(MATCH(0,INDEX(COUNTIF($B$1:B3234,$A$2:$A$4629),0,0),0)),"",INDEX($A$2:$A$4629,MATCH(0,INDEX(COUNTIF($B$1:B3234,$A$2:$A$4629),0,0),0)))</f>
        <v/>
      </c>
      <c r="C3235" t="str">
        <f t="shared" si="50"/>
        <v/>
      </c>
    </row>
    <row r="3236" spans="1:3" x14ac:dyDescent="0.25">
      <c r="A3236" t="str">
        <f>IF(Scan2VK!W132&lt;&gt;"",Scan2VK!W132,"")</f>
        <v/>
      </c>
      <c r="B3236" t="str">
        <f>IF(ISERROR(MATCH(0,INDEX(COUNTIF($B$1:B3235,$A$2:$A$4629),0,0),0)),"",INDEX($A$2:$A$4629,MATCH(0,INDEX(COUNTIF($B$1:B3235,$A$2:$A$4629),0,0),0)))</f>
        <v/>
      </c>
      <c r="C3236" t="str">
        <f t="shared" si="50"/>
        <v/>
      </c>
    </row>
    <row r="3237" spans="1:3" x14ac:dyDescent="0.25">
      <c r="A3237" t="str">
        <f>IF(Scan2VK!W133&lt;&gt;"",Scan2VK!W133,"")</f>
        <v>RETURN</v>
      </c>
      <c r="B3237" t="str">
        <f>IF(ISERROR(MATCH(0,INDEX(COUNTIF($B$1:B3236,$A$2:$A$4629),0,0),0)),"",INDEX($A$2:$A$4629,MATCH(0,INDEX(COUNTIF($B$1:B3236,$A$2:$A$4629),0,0),0)))</f>
        <v/>
      </c>
      <c r="C3237" t="str">
        <f t="shared" si="50"/>
        <v/>
      </c>
    </row>
    <row r="3238" spans="1:3" x14ac:dyDescent="0.25">
      <c r="A3238" t="str">
        <f>IF(Scan2VK!W134&lt;&gt;"",Scan2VK!W134,"")</f>
        <v>RCONTROL</v>
      </c>
      <c r="B3238" t="str">
        <f>IF(ISERROR(MATCH(0,INDEX(COUNTIF($B$1:B3237,$A$2:$A$4629),0,0),0)),"",INDEX($A$2:$A$4629,MATCH(0,INDEX(COUNTIF($B$1:B3237,$A$2:$A$4629),0,0),0)))</f>
        <v/>
      </c>
      <c r="C3238" t="str">
        <f t="shared" si="50"/>
        <v/>
      </c>
    </row>
    <row r="3239" spans="1:3" x14ac:dyDescent="0.25">
      <c r="A3239" t="str">
        <f>IF(Scan2VK!W135&lt;&gt;"",Scan2VK!W135,"")</f>
        <v/>
      </c>
      <c r="B3239" t="str">
        <f>IF(ISERROR(MATCH(0,INDEX(COUNTIF($B$1:B3238,$A$2:$A$4629),0,0),0)),"",INDEX($A$2:$A$4629,MATCH(0,INDEX(COUNTIF($B$1:B3238,$A$2:$A$4629),0,0),0)))</f>
        <v/>
      </c>
      <c r="C3239" t="str">
        <f t="shared" si="50"/>
        <v/>
      </c>
    </row>
    <row r="3240" spans="1:3" x14ac:dyDescent="0.25">
      <c r="A3240" t="str">
        <f>IF(Scan2VK!W136&lt;&gt;"",Scan2VK!W136,"")</f>
        <v/>
      </c>
      <c r="B3240" t="str">
        <f>IF(ISERROR(MATCH(0,INDEX(COUNTIF($B$1:B3239,$A$2:$A$4629),0,0),0)),"",INDEX($A$2:$A$4629,MATCH(0,INDEX(COUNTIF($B$1:B3239,$A$2:$A$4629),0,0),0)))</f>
        <v/>
      </c>
      <c r="C3240" t="str">
        <f t="shared" si="50"/>
        <v/>
      </c>
    </row>
    <row r="3241" spans="1:3" x14ac:dyDescent="0.25">
      <c r="A3241" t="str">
        <f>IF(Scan2VK!W137&lt;&gt;"",Scan2VK!W137,"")</f>
        <v/>
      </c>
      <c r="B3241" t="str">
        <f>IF(ISERROR(MATCH(0,INDEX(COUNTIF($B$1:B3240,$A$2:$A$4629),0,0),0)),"",INDEX($A$2:$A$4629,MATCH(0,INDEX(COUNTIF($B$1:B3240,$A$2:$A$4629),0,0),0)))</f>
        <v/>
      </c>
      <c r="C3241" t="str">
        <f t="shared" si="50"/>
        <v/>
      </c>
    </row>
    <row r="3242" spans="1:3" x14ac:dyDescent="0.25">
      <c r="A3242" t="str">
        <f>IF(Scan2VK!W138&lt;&gt;"",Scan2VK!W138,"")</f>
        <v/>
      </c>
      <c r="B3242" t="str">
        <f>IF(ISERROR(MATCH(0,INDEX(COUNTIF($B$1:B3241,$A$2:$A$4629),0,0),0)),"",INDEX($A$2:$A$4629,MATCH(0,INDEX(COUNTIF($B$1:B3241,$A$2:$A$4629),0,0),0)))</f>
        <v/>
      </c>
      <c r="C3242" t="str">
        <f t="shared" si="50"/>
        <v/>
      </c>
    </row>
    <row r="3243" spans="1:3" x14ac:dyDescent="0.25">
      <c r="A3243" t="str">
        <f>IF(Scan2VK!W139&lt;&gt;"",Scan2VK!W139,"")</f>
        <v/>
      </c>
      <c r="B3243" t="str">
        <f>IF(ISERROR(MATCH(0,INDEX(COUNTIF($B$1:B3242,$A$2:$A$4629),0,0),0)),"",INDEX($A$2:$A$4629,MATCH(0,INDEX(COUNTIF($B$1:B3242,$A$2:$A$4629),0,0),0)))</f>
        <v/>
      </c>
      <c r="C3243" t="str">
        <f t="shared" si="50"/>
        <v/>
      </c>
    </row>
    <row r="3244" spans="1:3" x14ac:dyDescent="0.25">
      <c r="A3244" t="str">
        <f>IF(Scan2VK!W140&lt;&gt;"",Scan2VK!W140,"")</f>
        <v/>
      </c>
      <c r="B3244" t="str">
        <f>IF(ISERROR(MATCH(0,INDEX(COUNTIF($B$1:B3243,$A$2:$A$4629),0,0),0)),"",INDEX($A$2:$A$4629,MATCH(0,INDEX(COUNTIF($B$1:B3243,$A$2:$A$4629),0,0),0)))</f>
        <v/>
      </c>
      <c r="C3244" t="str">
        <f t="shared" si="50"/>
        <v/>
      </c>
    </row>
    <row r="3245" spans="1:3" x14ac:dyDescent="0.25">
      <c r="A3245" t="str">
        <f>IF(Scan2VK!W141&lt;&gt;"",Scan2VK!W141,"")</f>
        <v/>
      </c>
      <c r="B3245" t="str">
        <f>IF(ISERROR(MATCH(0,INDEX(COUNTIF($B$1:B3244,$A$2:$A$4629),0,0),0)),"",INDEX($A$2:$A$4629,MATCH(0,INDEX(COUNTIF($B$1:B3244,$A$2:$A$4629),0,0),0)))</f>
        <v/>
      </c>
      <c r="C3245" t="str">
        <f t="shared" si="50"/>
        <v/>
      </c>
    </row>
    <row r="3246" spans="1:3" x14ac:dyDescent="0.25">
      <c r="A3246" t="str">
        <f>IF(Scan2VK!W142&lt;&gt;"",Scan2VK!W142,"")</f>
        <v>_none_</v>
      </c>
      <c r="B3246" t="str">
        <f>IF(ISERROR(MATCH(0,INDEX(COUNTIF($B$1:B3245,$A$2:$A$4629),0,0),0)),"",INDEX($A$2:$A$4629,MATCH(0,INDEX(COUNTIF($B$1:B3245,$A$2:$A$4629),0,0),0)))</f>
        <v/>
      </c>
      <c r="C3246" t="str">
        <f t="shared" si="50"/>
        <v/>
      </c>
    </row>
    <row r="3247" spans="1:3" x14ac:dyDescent="0.25">
      <c r="A3247" t="str">
        <f>IF(Scan2VK!W143&lt;&gt;"",Scan2VK!W143,"")</f>
        <v>DIVIDE</v>
      </c>
      <c r="B3247" t="str">
        <f>IF(ISERROR(MATCH(0,INDEX(COUNTIF($B$1:B3246,$A$2:$A$4629),0,0),0)),"",INDEX($A$2:$A$4629,MATCH(0,INDEX(COUNTIF($B$1:B3246,$A$2:$A$4629),0,0),0)))</f>
        <v/>
      </c>
      <c r="C3247" t="str">
        <f t="shared" si="50"/>
        <v/>
      </c>
    </row>
    <row r="3248" spans="1:3" x14ac:dyDescent="0.25">
      <c r="A3248" t="str">
        <f>IF(Scan2VK!W144&lt;&gt;"",Scan2VK!W144,"")</f>
        <v>SNAPSHOT</v>
      </c>
      <c r="B3248" t="str">
        <f>IF(ISERROR(MATCH(0,INDEX(COUNTIF($B$1:B3247,$A$2:$A$4629),0,0),0)),"",INDEX($A$2:$A$4629,MATCH(0,INDEX(COUNTIF($B$1:B3247,$A$2:$A$4629),0,0),0)))</f>
        <v/>
      </c>
      <c r="C3248" t="str">
        <f t="shared" si="50"/>
        <v/>
      </c>
    </row>
    <row r="3249" spans="1:3" x14ac:dyDescent="0.25">
      <c r="A3249" t="str">
        <f>IF(Scan2VK!W145&lt;&gt;"",Scan2VK!W145,"")</f>
        <v>_none_</v>
      </c>
      <c r="B3249" t="str">
        <f>IF(ISERROR(MATCH(0,INDEX(COUNTIF($B$1:B3248,$A$2:$A$4629),0,0),0)),"",INDEX($A$2:$A$4629,MATCH(0,INDEX(COUNTIF($B$1:B3248,$A$2:$A$4629),0,0),0)))</f>
        <v/>
      </c>
      <c r="C3249" t="str">
        <f t="shared" si="50"/>
        <v/>
      </c>
    </row>
    <row r="3250" spans="1:3" x14ac:dyDescent="0.25">
      <c r="A3250" t="str">
        <f>IF(Scan2VK!W146&lt;&gt;"",Scan2VK!W146,"")</f>
        <v/>
      </c>
      <c r="B3250" t="str">
        <f>IF(ISERROR(MATCH(0,INDEX(COUNTIF($B$1:B3249,$A$2:$A$4629),0,0),0)),"",INDEX($A$2:$A$4629,MATCH(0,INDEX(COUNTIF($B$1:B3249,$A$2:$A$4629),0,0),0)))</f>
        <v/>
      </c>
      <c r="C3250" t="str">
        <f t="shared" si="50"/>
        <v/>
      </c>
    </row>
    <row r="3251" spans="1:3" x14ac:dyDescent="0.25">
      <c r="A3251" t="str">
        <f>IF(Scan2VK!W147&lt;&gt;"",Scan2VK!W147,"")</f>
        <v/>
      </c>
      <c r="B3251" t="str">
        <f>IF(ISERROR(MATCH(0,INDEX(COUNTIF($B$1:B3250,$A$2:$A$4629),0,0),0)),"",INDEX($A$2:$A$4629,MATCH(0,INDEX(COUNTIF($B$1:B3250,$A$2:$A$4629),0,0),0)))</f>
        <v/>
      </c>
      <c r="C3251" t="str">
        <f t="shared" si="50"/>
        <v/>
      </c>
    </row>
    <row r="3252" spans="1:3" x14ac:dyDescent="0.25">
      <c r="A3252" t="str">
        <f>IF(Scan2VK!W148&lt;&gt;"",Scan2VK!W148,"")</f>
        <v/>
      </c>
      <c r="B3252" t="str">
        <f>IF(ISERROR(MATCH(0,INDEX(COUNTIF($B$1:B3251,$A$2:$A$4629),0,0),0)),"",INDEX($A$2:$A$4629,MATCH(0,INDEX(COUNTIF($B$1:B3251,$A$2:$A$4629),0,0),0)))</f>
        <v/>
      </c>
      <c r="C3252" t="str">
        <f t="shared" si="50"/>
        <v/>
      </c>
    </row>
    <row r="3253" spans="1:3" x14ac:dyDescent="0.25">
      <c r="A3253" t="str">
        <f>IF(Scan2VK!W149&lt;&gt;"",Scan2VK!W149,"")</f>
        <v/>
      </c>
      <c r="B3253" t="str">
        <f>IF(ISERROR(MATCH(0,INDEX(COUNTIF($B$1:B3252,$A$2:$A$4629),0,0),0)),"",INDEX($A$2:$A$4629,MATCH(0,INDEX(COUNTIF($B$1:B3252,$A$2:$A$4629),0,0),0)))</f>
        <v/>
      </c>
      <c r="C3253" t="str">
        <f t="shared" si="50"/>
        <v/>
      </c>
    </row>
    <row r="3254" spans="1:3" x14ac:dyDescent="0.25">
      <c r="A3254" t="str">
        <f>IF(Scan2VK!W150&lt;&gt;"",Scan2VK!W150,"")</f>
        <v/>
      </c>
      <c r="B3254" t="str">
        <f>IF(ISERROR(MATCH(0,INDEX(COUNTIF($B$1:B3253,$A$2:$A$4629),0,0),0)),"",INDEX($A$2:$A$4629,MATCH(0,INDEX(COUNTIF($B$1:B3253,$A$2:$A$4629),0,0),0)))</f>
        <v/>
      </c>
      <c r="C3254" t="str">
        <f t="shared" si="50"/>
        <v/>
      </c>
    </row>
    <row r="3255" spans="1:3" x14ac:dyDescent="0.25">
      <c r="A3255" t="str">
        <f>IF(Scan2VK!W151&lt;&gt;"",Scan2VK!W151,"")</f>
        <v>_none_</v>
      </c>
      <c r="B3255" t="str">
        <f>IF(ISERROR(MATCH(0,INDEX(COUNTIF($B$1:B3254,$A$2:$A$4629),0,0),0)),"",INDEX($A$2:$A$4629,MATCH(0,INDEX(COUNTIF($B$1:B3254,$A$2:$A$4629),0,0),0)))</f>
        <v/>
      </c>
      <c r="C3255" t="str">
        <f t="shared" si="50"/>
        <v/>
      </c>
    </row>
    <row r="3256" spans="1:3" x14ac:dyDescent="0.25">
      <c r="A3256" t="str">
        <f>IF(Scan2VK!W152&lt;&gt;"",Scan2VK!W152,"")</f>
        <v>_none_</v>
      </c>
      <c r="B3256" t="str">
        <f>IF(ISERROR(MATCH(0,INDEX(COUNTIF($B$1:B3255,$A$2:$A$4629),0,0),0)),"",INDEX($A$2:$A$4629,MATCH(0,INDEX(COUNTIF($B$1:B3255,$A$2:$A$4629),0,0),0)))</f>
        <v/>
      </c>
      <c r="C3256" t="str">
        <f t="shared" si="50"/>
        <v/>
      </c>
    </row>
    <row r="3257" spans="1:3" x14ac:dyDescent="0.25">
      <c r="A3257" t="str">
        <f>IF(Scan2VK!W153&lt;&gt;"",Scan2VK!W153,"")</f>
        <v>_none_</v>
      </c>
      <c r="B3257" t="str">
        <f>IF(ISERROR(MATCH(0,INDEX(COUNTIF($B$1:B3256,$A$2:$A$4629),0,0),0)),"",INDEX($A$2:$A$4629,MATCH(0,INDEX(COUNTIF($B$1:B3256,$A$2:$A$4629),0,0),0)))</f>
        <v/>
      </c>
      <c r="C3257" t="str">
        <f t="shared" si="50"/>
        <v/>
      </c>
    </row>
    <row r="3258" spans="1:3" x14ac:dyDescent="0.25">
      <c r="A3258" t="str">
        <f>IF(Scan2VK!W154&lt;&gt;"",Scan2VK!W154,"")</f>
        <v>CANCEL</v>
      </c>
      <c r="B3258" t="str">
        <f>IF(ISERROR(MATCH(0,INDEX(COUNTIF($B$1:B3257,$A$2:$A$4629),0,0),0)),"",INDEX($A$2:$A$4629,MATCH(0,INDEX(COUNTIF($B$1:B3257,$A$2:$A$4629),0,0),0)))</f>
        <v/>
      </c>
      <c r="C3258" t="str">
        <f t="shared" si="50"/>
        <v/>
      </c>
    </row>
    <row r="3259" spans="1:3" x14ac:dyDescent="0.25">
      <c r="A3259" t="str">
        <f>IF(Scan2VK!W155&lt;&gt;"",Scan2VK!W155,"")</f>
        <v>HOME</v>
      </c>
      <c r="B3259" t="str">
        <f>IF(ISERROR(MATCH(0,INDEX(COUNTIF($B$1:B3258,$A$2:$A$4629),0,0),0)),"",INDEX($A$2:$A$4629,MATCH(0,INDEX(COUNTIF($B$1:B3258,$A$2:$A$4629),0,0),0)))</f>
        <v/>
      </c>
      <c r="C3259" t="str">
        <f t="shared" si="50"/>
        <v/>
      </c>
    </row>
    <row r="3260" spans="1:3" x14ac:dyDescent="0.25">
      <c r="A3260" t="str">
        <f>IF(Scan2VK!W156&lt;&gt;"",Scan2VK!W156,"")</f>
        <v>UP</v>
      </c>
      <c r="B3260" t="str">
        <f>IF(ISERROR(MATCH(0,INDEX(COUNTIF($B$1:B3259,$A$2:$A$4629),0,0),0)),"",INDEX($A$2:$A$4629,MATCH(0,INDEX(COUNTIF($B$1:B3259,$A$2:$A$4629),0,0),0)))</f>
        <v/>
      </c>
      <c r="C3260" t="str">
        <f t="shared" si="50"/>
        <v/>
      </c>
    </row>
    <row r="3261" spans="1:3" x14ac:dyDescent="0.25">
      <c r="A3261" t="str">
        <f>IF(Scan2VK!W157&lt;&gt;"",Scan2VK!W157,"")</f>
        <v>PRIOR</v>
      </c>
      <c r="B3261" t="str">
        <f>IF(ISERROR(MATCH(0,INDEX(COUNTIF($B$1:B3260,$A$2:$A$4629),0,0),0)),"",INDEX($A$2:$A$4629,MATCH(0,INDEX(COUNTIF($B$1:B3260,$A$2:$A$4629),0,0),0)))</f>
        <v/>
      </c>
      <c r="C3261" t="str">
        <f t="shared" si="50"/>
        <v/>
      </c>
    </row>
    <row r="3262" spans="1:3" x14ac:dyDescent="0.25">
      <c r="A3262" t="str">
        <f>IF(Scan2VK!W158&lt;&gt;"",Scan2VK!W158,"")</f>
        <v>LEFT</v>
      </c>
      <c r="B3262" t="str">
        <f>IF(ISERROR(MATCH(0,INDEX(COUNTIF($B$1:B3261,$A$2:$A$4629),0,0),0)),"",INDEX($A$2:$A$4629,MATCH(0,INDEX(COUNTIF($B$1:B3261,$A$2:$A$4629),0,0),0)))</f>
        <v/>
      </c>
      <c r="C3262" t="str">
        <f t="shared" si="50"/>
        <v/>
      </c>
    </row>
    <row r="3263" spans="1:3" x14ac:dyDescent="0.25">
      <c r="A3263" t="str">
        <f>IF(Scan2VK!W159&lt;&gt;"",Scan2VK!W159,"")</f>
        <v>RIGHT</v>
      </c>
      <c r="B3263" t="str">
        <f>IF(ISERROR(MATCH(0,INDEX(COUNTIF($B$1:B3262,$A$2:$A$4629),0,0),0)),"",INDEX($A$2:$A$4629,MATCH(0,INDEX(COUNTIF($B$1:B3262,$A$2:$A$4629),0,0),0)))</f>
        <v/>
      </c>
      <c r="C3263" t="str">
        <f t="shared" si="50"/>
        <v/>
      </c>
    </row>
    <row r="3264" spans="1:3" x14ac:dyDescent="0.25">
      <c r="A3264" t="str">
        <f>IF(Scan2VK!W160&lt;&gt;"",Scan2VK!W160,"")</f>
        <v>END</v>
      </c>
      <c r="B3264" t="str">
        <f>IF(ISERROR(MATCH(0,INDEX(COUNTIF($B$1:B3263,$A$2:$A$4629),0,0),0)),"",INDEX($A$2:$A$4629,MATCH(0,INDEX(COUNTIF($B$1:B3263,$A$2:$A$4629),0,0),0)))</f>
        <v/>
      </c>
      <c r="C3264" t="str">
        <f t="shared" si="50"/>
        <v/>
      </c>
    </row>
    <row r="3265" spans="1:3" x14ac:dyDescent="0.25">
      <c r="A3265" t="str">
        <f>IF(Scan2VK!W161&lt;&gt;"",Scan2VK!W161,"")</f>
        <v>DOWN</v>
      </c>
      <c r="B3265" t="str">
        <f>IF(ISERROR(MATCH(0,INDEX(COUNTIF($B$1:B3264,$A$2:$A$4629),0,0),0)),"",INDEX($A$2:$A$4629,MATCH(0,INDEX(COUNTIF($B$1:B3264,$A$2:$A$4629),0,0),0)))</f>
        <v/>
      </c>
      <c r="C3265" t="str">
        <f t="shared" si="50"/>
        <v/>
      </c>
    </row>
    <row r="3266" spans="1:3" x14ac:dyDescent="0.25">
      <c r="A3266" t="str">
        <f>IF(Scan2VK!W162&lt;&gt;"",Scan2VK!W162,"")</f>
        <v>NEXT</v>
      </c>
      <c r="B3266" t="str">
        <f>IF(ISERROR(MATCH(0,INDEX(COUNTIF($B$1:B3265,$A$2:$A$4629),0,0),0)),"",INDEX($A$2:$A$4629,MATCH(0,INDEX(COUNTIF($B$1:B3265,$A$2:$A$4629),0,0),0)))</f>
        <v/>
      </c>
      <c r="C3266" t="str">
        <f t="shared" si="50"/>
        <v/>
      </c>
    </row>
    <row r="3267" spans="1:3" x14ac:dyDescent="0.25">
      <c r="A3267" t="str">
        <f>IF(Scan2VK!W163&lt;&gt;"",Scan2VK!W163,"")</f>
        <v>INSERT</v>
      </c>
      <c r="B3267" t="str">
        <f>IF(ISERROR(MATCH(0,INDEX(COUNTIF($B$1:B3266,$A$2:$A$4629),0,0),0)),"",INDEX($A$2:$A$4629,MATCH(0,INDEX(COUNTIF($B$1:B3266,$A$2:$A$4629),0,0),0)))</f>
        <v/>
      </c>
      <c r="C3267" t="str">
        <f t="shared" ref="C3267:C3330" si="51">IF(B3267&lt;&gt;"","&lt;xs:enumeration value="""&amp;B3267&amp;"""/&gt;","")</f>
        <v/>
      </c>
    </row>
    <row r="3268" spans="1:3" x14ac:dyDescent="0.25">
      <c r="A3268" t="str">
        <f>IF(Scan2VK!W164&lt;&gt;"",Scan2VK!W164,"")</f>
        <v>DELETE</v>
      </c>
      <c r="B3268" t="str">
        <f>IF(ISERROR(MATCH(0,INDEX(COUNTIF($B$1:B3267,$A$2:$A$4629),0,0),0)),"",INDEX($A$2:$A$4629,MATCH(0,INDEX(COUNTIF($B$1:B3267,$A$2:$A$4629),0,0),0)))</f>
        <v/>
      </c>
      <c r="C3268" t="str">
        <f t="shared" si="51"/>
        <v/>
      </c>
    </row>
    <row r="3269" spans="1:3" x14ac:dyDescent="0.25">
      <c r="A3269" t="str">
        <f>IF(Scan2VK!W165&lt;&gt;"",Scan2VK!W165,"")</f>
        <v>LWIN</v>
      </c>
      <c r="B3269" t="str">
        <f>IF(ISERROR(MATCH(0,INDEX(COUNTIF($B$1:B3268,$A$2:$A$4629),0,0),0)),"",INDEX($A$2:$A$4629,MATCH(0,INDEX(COUNTIF($B$1:B3268,$A$2:$A$4629),0,0),0)))</f>
        <v/>
      </c>
      <c r="C3269" t="str">
        <f t="shared" si="51"/>
        <v/>
      </c>
    </row>
    <row r="3270" spans="1:3" x14ac:dyDescent="0.25">
      <c r="A3270" t="str">
        <f>IF(Scan2VK!W166&lt;&gt;"",Scan2VK!W166,"")</f>
        <v>RWIN</v>
      </c>
      <c r="B3270" t="str">
        <f>IF(ISERROR(MATCH(0,INDEX(COUNTIF($B$1:B3269,$A$2:$A$4629),0,0),0)),"",INDEX($A$2:$A$4629,MATCH(0,INDEX(COUNTIF($B$1:B3269,$A$2:$A$4629),0,0),0)))</f>
        <v/>
      </c>
      <c r="C3270" t="str">
        <f t="shared" si="51"/>
        <v/>
      </c>
    </row>
    <row r="3271" spans="1:3" x14ac:dyDescent="0.25">
      <c r="A3271" t="str">
        <f>IF(Scan2VK!W167&lt;&gt;"",Scan2VK!W167,"")</f>
        <v>APPS</v>
      </c>
      <c r="B3271" t="str">
        <f>IF(ISERROR(MATCH(0,INDEX(COUNTIF($B$1:B3270,$A$2:$A$4629),0,0),0)),"",INDEX($A$2:$A$4629,MATCH(0,INDEX(COUNTIF($B$1:B3270,$A$2:$A$4629),0,0),0)))</f>
        <v/>
      </c>
      <c r="C3271" t="str">
        <f t="shared" si="51"/>
        <v/>
      </c>
    </row>
    <row r="3272" spans="1:3" x14ac:dyDescent="0.25">
      <c r="A3272" t="str">
        <f>IF(Scan2VK!W168&lt;&gt;"",Scan2VK!W168,"")</f>
        <v>POWER</v>
      </c>
      <c r="B3272" t="str">
        <f>IF(ISERROR(MATCH(0,INDEX(COUNTIF($B$1:B3271,$A$2:$A$4629),0,0),0)),"",INDEX($A$2:$A$4629,MATCH(0,INDEX(COUNTIF($B$1:B3271,$A$2:$A$4629),0,0),0)))</f>
        <v/>
      </c>
      <c r="C3272" t="str">
        <f t="shared" si="51"/>
        <v/>
      </c>
    </row>
    <row r="3273" spans="1:3" x14ac:dyDescent="0.25">
      <c r="A3273" t="str">
        <f>IF(Scan2VK!W169&lt;&gt;"",Scan2VK!W169,"")</f>
        <v>SLEEP</v>
      </c>
      <c r="B3273" t="str">
        <f>IF(ISERROR(MATCH(0,INDEX(COUNTIF($B$1:B3272,$A$2:$A$4629),0,0),0)),"",INDEX($A$2:$A$4629,MATCH(0,INDEX(COUNTIF($B$1:B3272,$A$2:$A$4629),0,0),0)))</f>
        <v/>
      </c>
      <c r="C3273" t="str">
        <f t="shared" si="51"/>
        <v/>
      </c>
    </row>
    <row r="3274" spans="1:3" x14ac:dyDescent="0.25">
      <c r="A3274" t="str">
        <f>IF(Scan2VK!W170&lt;&gt;"",Scan2VK!W170,"")</f>
        <v>_none_</v>
      </c>
      <c r="B3274" t="str">
        <f>IF(ISERROR(MATCH(0,INDEX(COUNTIF($B$1:B3273,$A$2:$A$4629),0,0),0)),"",INDEX($A$2:$A$4629,MATCH(0,INDEX(COUNTIF($B$1:B3273,$A$2:$A$4629),0,0),0)))</f>
        <v/>
      </c>
      <c r="C3274" t="str">
        <f t="shared" si="51"/>
        <v/>
      </c>
    </row>
    <row r="3275" spans="1:3" x14ac:dyDescent="0.25">
      <c r="A3275" t="str">
        <f>IF(Scan2VK!W171&lt;&gt;"",Scan2VK!W171,"")</f>
        <v>_none_</v>
      </c>
      <c r="B3275" t="str">
        <f>IF(ISERROR(MATCH(0,INDEX(COUNTIF($B$1:B3274,$A$2:$A$4629),0,0),0)),"",INDEX($A$2:$A$4629,MATCH(0,INDEX(COUNTIF($B$1:B3274,$A$2:$A$4629),0,0),0)))</f>
        <v/>
      </c>
      <c r="C3275" t="str">
        <f t="shared" si="51"/>
        <v/>
      </c>
    </row>
    <row r="3276" spans="1:3" x14ac:dyDescent="0.25">
      <c r="A3276" t="str">
        <f>IF(Scan2VK!W172&lt;&gt;"",Scan2VK!W172,"")</f>
        <v>_none_</v>
      </c>
      <c r="B3276" t="str">
        <f>IF(ISERROR(MATCH(0,INDEX(COUNTIF($B$1:B3275,$A$2:$A$4629),0,0),0)),"",INDEX($A$2:$A$4629,MATCH(0,INDEX(COUNTIF($B$1:B3275,$A$2:$A$4629),0,0),0)))</f>
        <v/>
      </c>
      <c r="C3276" t="str">
        <f t="shared" si="51"/>
        <v/>
      </c>
    </row>
    <row r="3277" spans="1:3" x14ac:dyDescent="0.25">
      <c r="A3277" t="str">
        <f>IF(Scan2VK!W173&lt;&gt;"",Scan2VK!W173,"")</f>
        <v>_none_</v>
      </c>
      <c r="B3277" t="str">
        <f>IF(ISERROR(MATCH(0,INDEX(COUNTIF($B$1:B3276,$A$2:$A$4629),0,0),0)),"",INDEX($A$2:$A$4629,MATCH(0,INDEX(COUNTIF($B$1:B3276,$A$2:$A$4629),0,0),0)))</f>
        <v/>
      </c>
      <c r="C3277" t="str">
        <f t="shared" si="51"/>
        <v/>
      </c>
    </row>
    <row r="3278" spans="1:3" x14ac:dyDescent="0.25">
      <c r="A3278" t="str">
        <f>IF(Scan2VK!W174&lt;&gt;"",Scan2VK!W174,"")</f>
        <v>_none_</v>
      </c>
      <c r="B3278" t="str">
        <f>IF(ISERROR(MATCH(0,INDEX(COUNTIF($B$1:B3277,$A$2:$A$4629),0,0),0)),"",INDEX($A$2:$A$4629,MATCH(0,INDEX(COUNTIF($B$1:B3277,$A$2:$A$4629),0,0),0)))</f>
        <v/>
      </c>
      <c r="C3278" t="str">
        <f t="shared" si="51"/>
        <v/>
      </c>
    </row>
    <row r="3279" spans="1:3" x14ac:dyDescent="0.25">
      <c r="A3279" t="str">
        <f>IF(Scan2VK!W175&lt;&gt;"",Scan2VK!W175,"")</f>
        <v>_none_</v>
      </c>
      <c r="B3279" t="str">
        <f>IF(ISERROR(MATCH(0,INDEX(COUNTIF($B$1:B3278,$A$2:$A$4629),0,0),0)),"",INDEX($A$2:$A$4629,MATCH(0,INDEX(COUNTIF($B$1:B3278,$A$2:$A$4629),0,0),0)))</f>
        <v/>
      </c>
      <c r="C3279" t="str">
        <f t="shared" si="51"/>
        <v/>
      </c>
    </row>
    <row r="3280" spans="1:3" x14ac:dyDescent="0.25">
      <c r="A3280" t="str">
        <f>IF(Scan2VK!W176&lt;&gt;"",Scan2VK!W176,"")</f>
        <v>_none_</v>
      </c>
      <c r="B3280" t="str">
        <f>IF(ISERROR(MATCH(0,INDEX(COUNTIF($B$1:B3279,$A$2:$A$4629),0,0),0)),"",INDEX($A$2:$A$4629,MATCH(0,INDEX(COUNTIF($B$1:B3279,$A$2:$A$4629),0,0),0)))</f>
        <v/>
      </c>
      <c r="C3280" t="str">
        <f t="shared" si="51"/>
        <v/>
      </c>
    </row>
    <row r="3281" spans="1:3" x14ac:dyDescent="0.25">
      <c r="A3281" t="str">
        <f>IF(Scan2VK!W177&lt;&gt;"",Scan2VK!W177,"")</f>
        <v/>
      </c>
      <c r="B3281" t="str">
        <f>IF(ISERROR(MATCH(0,INDEX(COUNTIF($B$1:B3280,$A$2:$A$4629),0,0),0)),"",INDEX($A$2:$A$4629,MATCH(0,INDEX(COUNTIF($B$1:B3280,$A$2:$A$4629),0,0),0)))</f>
        <v/>
      </c>
      <c r="C3281" t="str">
        <f t="shared" si="51"/>
        <v/>
      </c>
    </row>
    <row r="3282" spans="1:3" x14ac:dyDescent="0.25">
      <c r="A3282" t="str">
        <f>IF(Scan2VK!W178&lt;&gt;"",Scan2VK!W178,"")</f>
        <v/>
      </c>
      <c r="B3282" t="str">
        <f>IF(ISERROR(MATCH(0,INDEX(COUNTIF($B$1:B3281,$A$2:$A$4629),0,0),0)),"",INDEX($A$2:$A$4629,MATCH(0,INDEX(COUNTIF($B$1:B3281,$A$2:$A$4629),0,0),0)))</f>
        <v/>
      </c>
      <c r="C3282" t="str">
        <f t="shared" si="51"/>
        <v/>
      </c>
    </row>
    <row r="3283" spans="1:3" x14ac:dyDescent="0.25">
      <c r="A3283" t="str">
        <f>IF(Scan2VK!W179&lt;&gt;"",Scan2VK!W179,"")</f>
        <v/>
      </c>
      <c r="B3283" t="str">
        <f>IF(ISERROR(MATCH(0,INDEX(COUNTIF($B$1:B3282,$A$2:$A$4629),0,0),0)),"",INDEX($A$2:$A$4629,MATCH(0,INDEX(COUNTIF($B$1:B3282,$A$2:$A$4629),0,0),0)))</f>
        <v/>
      </c>
      <c r="C3283" t="str">
        <f t="shared" si="51"/>
        <v/>
      </c>
    </row>
    <row r="3284" spans="1:3" x14ac:dyDescent="0.25">
      <c r="A3284" t="str">
        <f>IF(Scan2VK!W180&lt;&gt;"",Scan2VK!W180,"")</f>
        <v/>
      </c>
      <c r="B3284" t="str">
        <f>IF(ISERROR(MATCH(0,INDEX(COUNTIF($B$1:B3283,$A$2:$A$4629),0,0),0)),"",INDEX($A$2:$A$4629,MATCH(0,INDEX(COUNTIF($B$1:B3283,$A$2:$A$4629),0,0),0)))</f>
        <v/>
      </c>
      <c r="C3284" t="str">
        <f t="shared" si="51"/>
        <v/>
      </c>
    </row>
    <row r="3285" spans="1:3" x14ac:dyDescent="0.25">
      <c r="A3285" t="str">
        <f>IF(Scan2VK!W181&lt;&gt;"",Scan2VK!W181,"")</f>
        <v/>
      </c>
      <c r="B3285" t="str">
        <f>IF(ISERROR(MATCH(0,INDEX(COUNTIF($B$1:B3284,$A$2:$A$4629),0,0),0)),"",INDEX($A$2:$A$4629,MATCH(0,INDEX(COUNTIF($B$1:B3284,$A$2:$A$4629),0,0),0)))</f>
        <v/>
      </c>
      <c r="C3285" t="str">
        <f t="shared" si="51"/>
        <v/>
      </c>
    </row>
    <row r="3286" spans="1:3" x14ac:dyDescent="0.25">
      <c r="A3286" t="str">
        <f>IF(Scan2VK!W182&lt;&gt;"",Scan2VK!W182,"")</f>
        <v/>
      </c>
      <c r="B3286" t="str">
        <f>IF(ISERROR(MATCH(0,INDEX(COUNTIF($B$1:B3285,$A$2:$A$4629),0,0),0)),"",INDEX($A$2:$A$4629,MATCH(0,INDEX(COUNTIF($B$1:B3285,$A$2:$A$4629),0,0),0)))</f>
        <v/>
      </c>
      <c r="C3286" t="str">
        <f t="shared" si="51"/>
        <v/>
      </c>
    </row>
    <row r="3287" spans="1:3" x14ac:dyDescent="0.25">
      <c r="A3287" t="str">
        <f>IF(Scan2VK!W183&lt;&gt;"",Scan2VK!W183,"")</f>
        <v>_none_</v>
      </c>
      <c r="B3287" t="str">
        <f>IF(ISERROR(MATCH(0,INDEX(COUNTIF($B$1:B3286,$A$2:$A$4629),0,0),0)),"",INDEX($A$2:$A$4629,MATCH(0,INDEX(COUNTIF($B$1:B3286,$A$2:$A$4629),0,0),0)))</f>
        <v/>
      </c>
      <c r="C3287" t="str">
        <f t="shared" si="51"/>
        <v/>
      </c>
    </row>
    <row r="3288" spans="1:3" x14ac:dyDescent="0.25">
      <c r="A3288" t="str">
        <f>IF(Scan2VK!W184&lt;&gt;"",Scan2VK!W184,"")</f>
        <v>_none_</v>
      </c>
      <c r="B3288" t="str">
        <f>IF(ISERROR(MATCH(0,INDEX(COUNTIF($B$1:B3287,$A$2:$A$4629),0,0),0)),"",INDEX($A$2:$A$4629,MATCH(0,INDEX(COUNTIF($B$1:B3287,$A$2:$A$4629),0,0),0)))</f>
        <v/>
      </c>
      <c r="C3288" t="str">
        <f t="shared" si="51"/>
        <v/>
      </c>
    </row>
    <row r="3289" spans="1:3" x14ac:dyDescent="0.25">
      <c r="A3289" t="str">
        <f>IF(Scan2VK!W185&lt;&gt;"",Scan2VK!W185,"")</f>
        <v>_none_</v>
      </c>
      <c r="B3289" t="str">
        <f>IF(ISERROR(MATCH(0,INDEX(COUNTIF($B$1:B3288,$A$2:$A$4629),0,0),0)),"",INDEX($A$2:$A$4629,MATCH(0,INDEX(COUNTIF($B$1:B3288,$A$2:$A$4629),0,0),0)))</f>
        <v/>
      </c>
      <c r="C3289" t="str">
        <f t="shared" si="51"/>
        <v/>
      </c>
    </row>
    <row r="3290" spans="1:3" x14ac:dyDescent="0.25">
      <c r="A3290" t="str">
        <f>IF(Scan2VK!W186&lt;&gt;"",Scan2VK!W186,"")</f>
        <v>_none_</v>
      </c>
      <c r="B3290" t="str">
        <f>IF(ISERROR(MATCH(0,INDEX(COUNTIF($B$1:B3289,$A$2:$A$4629),0,0),0)),"",INDEX($A$2:$A$4629,MATCH(0,INDEX(COUNTIF($B$1:B3289,$A$2:$A$4629),0,0),0)))</f>
        <v/>
      </c>
      <c r="C3290" t="str">
        <f t="shared" si="51"/>
        <v/>
      </c>
    </row>
    <row r="3291" spans="1:3" x14ac:dyDescent="0.25">
      <c r="A3291" t="str">
        <f>IF(Scan2VK!W187&lt;&gt;"",Scan2VK!W187,"")</f>
        <v>_none_</v>
      </c>
      <c r="B3291" t="str">
        <f>IF(ISERROR(MATCH(0,INDEX(COUNTIF($B$1:B3290,$A$2:$A$4629),0,0),0)),"",INDEX($A$2:$A$4629,MATCH(0,INDEX(COUNTIF($B$1:B3290,$A$2:$A$4629),0,0),0)))</f>
        <v/>
      </c>
      <c r="C3291" t="str">
        <f t="shared" si="51"/>
        <v/>
      </c>
    </row>
    <row r="3292" spans="1:3" x14ac:dyDescent="0.25">
      <c r="A3292" t="str">
        <f>IF(Scan2VK!W188&lt;&gt;"",Scan2VK!W188,"")</f>
        <v>_none_</v>
      </c>
      <c r="B3292" t="str">
        <f>IF(ISERROR(MATCH(0,INDEX(COUNTIF($B$1:B3291,$A$2:$A$4629),0,0),0)),"",INDEX($A$2:$A$4629,MATCH(0,INDEX(COUNTIF($B$1:B3291,$A$2:$A$4629),0,0),0)))</f>
        <v/>
      </c>
      <c r="C3292" t="str">
        <f t="shared" si="51"/>
        <v/>
      </c>
    </row>
    <row r="3293" spans="1:3" x14ac:dyDescent="0.25">
      <c r="A3293" t="str">
        <f>IF(Scan2VK!W189&lt;&gt;"",Scan2VK!W189,"")</f>
        <v>_none_</v>
      </c>
      <c r="B3293" t="str">
        <f>IF(ISERROR(MATCH(0,INDEX(COUNTIF($B$1:B3292,$A$2:$A$4629),0,0),0)),"",INDEX($A$2:$A$4629,MATCH(0,INDEX(COUNTIF($B$1:B3292,$A$2:$A$4629),0,0),0)))</f>
        <v/>
      </c>
      <c r="C3293" t="str">
        <f t="shared" si="51"/>
        <v/>
      </c>
    </row>
    <row r="3294" spans="1:3" x14ac:dyDescent="0.25">
      <c r="A3294" t="str">
        <f>IF(Scan2VK!W190&lt;&gt;"",Scan2VK!W190,"")</f>
        <v>_none_</v>
      </c>
      <c r="B3294" t="str">
        <f>IF(ISERROR(MATCH(0,INDEX(COUNTIF($B$1:B3293,$A$2:$A$4629),0,0),0)),"",INDEX($A$2:$A$4629,MATCH(0,INDEX(COUNTIF($B$1:B3293,$A$2:$A$4629),0,0),0)))</f>
        <v/>
      </c>
      <c r="C3294" t="str">
        <f t="shared" si="51"/>
        <v/>
      </c>
    </row>
    <row r="3295" spans="1:3" x14ac:dyDescent="0.25">
      <c r="A3295" t="str">
        <f>IF(Scan2VK!W191&lt;&gt;"",Scan2VK!W191,"")</f>
        <v>_none_</v>
      </c>
      <c r="B3295" t="str">
        <f>IF(ISERROR(MATCH(0,INDEX(COUNTIF($B$1:B3294,$A$2:$A$4629),0,0),0)),"",INDEX($A$2:$A$4629,MATCH(0,INDEX(COUNTIF($B$1:B3294,$A$2:$A$4629),0,0),0)))</f>
        <v/>
      </c>
      <c r="C3295" t="str">
        <f t="shared" si="51"/>
        <v/>
      </c>
    </row>
    <row r="3296" spans="1:3" x14ac:dyDescent="0.25">
      <c r="A3296" t="str">
        <f>IF(Scan2VK!W192&lt;&gt;"",Scan2VK!W192,"")</f>
        <v>_none_</v>
      </c>
      <c r="B3296" t="str">
        <f>IF(ISERROR(MATCH(0,INDEX(COUNTIF($B$1:B3295,$A$2:$A$4629),0,0),0)),"",INDEX($A$2:$A$4629,MATCH(0,INDEX(COUNTIF($B$1:B3295,$A$2:$A$4629),0,0),0)))</f>
        <v/>
      </c>
      <c r="C3296" t="str">
        <f t="shared" si="51"/>
        <v/>
      </c>
    </row>
    <row r="3297" spans="1:3" x14ac:dyDescent="0.25">
      <c r="A3297" t="str">
        <f>IF(Scan2VK!W193&lt;&gt;"",Scan2VK!W193,"")</f>
        <v/>
      </c>
      <c r="B3297" t="str">
        <f>IF(ISERROR(MATCH(0,INDEX(COUNTIF($B$1:B3296,$A$2:$A$4629),0,0),0)),"",INDEX($A$2:$A$4629,MATCH(0,INDEX(COUNTIF($B$1:B3296,$A$2:$A$4629),0,0),0)))</f>
        <v/>
      </c>
      <c r="C3297" t="str">
        <f t="shared" si="51"/>
        <v/>
      </c>
    </row>
    <row r="3298" spans="1:3" x14ac:dyDescent="0.25">
      <c r="A3298" t="str">
        <f>IF(Scan2VK!W194&lt;&gt;"",Scan2VK!W194,"")</f>
        <v/>
      </c>
      <c r="B3298" t="str">
        <f>IF(ISERROR(MATCH(0,INDEX(COUNTIF($B$1:B3297,$A$2:$A$4629),0,0),0)),"",INDEX($A$2:$A$4629,MATCH(0,INDEX(COUNTIF($B$1:B3297,$A$2:$A$4629),0,0),0)))</f>
        <v/>
      </c>
      <c r="C3298" t="str">
        <f t="shared" si="51"/>
        <v/>
      </c>
    </row>
    <row r="3299" spans="1:3" x14ac:dyDescent="0.25">
      <c r="A3299" t="str">
        <f>IF(Scan2VK!W195&lt;&gt;"",Scan2VK!W195,"")</f>
        <v>PAUSE</v>
      </c>
      <c r="B3299" t="str">
        <f>IF(ISERROR(MATCH(0,INDEX(COUNTIF($B$1:B3298,$A$2:$A$4629),0,0),0)),"",INDEX($A$2:$A$4629,MATCH(0,INDEX(COUNTIF($B$1:B3298,$A$2:$A$4629),0,0),0)))</f>
        <v/>
      </c>
      <c r="C3299" t="str">
        <f t="shared" si="51"/>
        <v/>
      </c>
    </row>
    <row r="3300" spans="1:3" x14ac:dyDescent="0.25">
      <c r="A3300" t="str">
        <f>IF(Scan2VK!X2&lt;&gt;"",Scan2VK!X2,"")</f>
        <v>_none_</v>
      </c>
      <c r="B3300" t="str">
        <f>IF(ISERROR(MATCH(0,INDEX(COUNTIF($B$1:B3299,$A$2:$A$4629),0,0),0)),"",INDEX($A$2:$A$4629,MATCH(0,INDEX(COUNTIF($B$1:B3299,$A$2:$A$4629),0,0),0)))</f>
        <v/>
      </c>
      <c r="C3300" t="str">
        <f t="shared" si="51"/>
        <v/>
      </c>
    </row>
    <row r="3301" spans="1:3" x14ac:dyDescent="0.25">
      <c r="A3301" t="str">
        <f>IF(Scan2VK!X3&lt;&gt;"",Scan2VK!X3,"")</f>
        <v>ESCAPE</v>
      </c>
      <c r="B3301" t="str">
        <f>IF(ISERROR(MATCH(0,INDEX(COUNTIF($B$1:B3300,$A$2:$A$4629),0,0),0)),"",INDEX($A$2:$A$4629,MATCH(0,INDEX(COUNTIF($B$1:B3300,$A$2:$A$4629),0,0),0)))</f>
        <v/>
      </c>
      <c r="C3301" t="str">
        <f t="shared" si="51"/>
        <v/>
      </c>
    </row>
    <row r="3302" spans="1:3" x14ac:dyDescent="0.25">
      <c r="A3302" t="str">
        <f>IF(Scan2VK!X4&lt;&gt;"",Scan2VK!X4,"")</f>
        <v>'1'</v>
      </c>
      <c r="B3302" t="str">
        <f>IF(ISERROR(MATCH(0,INDEX(COUNTIF($B$1:B3301,$A$2:$A$4629),0,0),0)),"",INDEX($A$2:$A$4629,MATCH(0,INDEX(COUNTIF($B$1:B3301,$A$2:$A$4629),0,0),0)))</f>
        <v/>
      </c>
      <c r="C3302" t="str">
        <f t="shared" si="51"/>
        <v/>
      </c>
    </row>
    <row r="3303" spans="1:3" x14ac:dyDescent="0.25">
      <c r="A3303" t="str">
        <f>IF(Scan2VK!X5&lt;&gt;"",Scan2VK!X5,"")</f>
        <v>'2'</v>
      </c>
      <c r="B3303" t="str">
        <f>IF(ISERROR(MATCH(0,INDEX(COUNTIF($B$1:B3302,$A$2:$A$4629),0,0),0)),"",INDEX($A$2:$A$4629,MATCH(0,INDEX(COUNTIF($B$1:B3302,$A$2:$A$4629),0,0),0)))</f>
        <v/>
      </c>
      <c r="C3303" t="str">
        <f t="shared" si="51"/>
        <v/>
      </c>
    </row>
    <row r="3304" spans="1:3" x14ac:dyDescent="0.25">
      <c r="A3304" t="str">
        <f>IF(Scan2VK!X6&lt;&gt;"",Scan2VK!X6,"")</f>
        <v>'3'</v>
      </c>
      <c r="B3304" t="str">
        <f>IF(ISERROR(MATCH(0,INDEX(COUNTIF($B$1:B3303,$A$2:$A$4629),0,0),0)),"",INDEX($A$2:$A$4629,MATCH(0,INDEX(COUNTIF($B$1:B3303,$A$2:$A$4629),0,0),0)))</f>
        <v/>
      </c>
      <c r="C3304" t="str">
        <f t="shared" si="51"/>
        <v/>
      </c>
    </row>
    <row r="3305" spans="1:3" x14ac:dyDescent="0.25">
      <c r="A3305" t="str">
        <f>IF(Scan2VK!X7&lt;&gt;"",Scan2VK!X7,"")</f>
        <v>'4'</v>
      </c>
      <c r="B3305" t="str">
        <f>IF(ISERROR(MATCH(0,INDEX(COUNTIF($B$1:B3304,$A$2:$A$4629),0,0),0)),"",INDEX($A$2:$A$4629,MATCH(0,INDEX(COUNTIF($B$1:B3304,$A$2:$A$4629),0,0),0)))</f>
        <v/>
      </c>
      <c r="C3305" t="str">
        <f t="shared" si="51"/>
        <v/>
      </c>
    </row>
    <row r="3306" spans="1:3" x14ac:dyDescent="0.25">
      <c r="A3306" t="str">
        <f>IF(Scan2VK!X8&lt;&gt;"",Scan2VK!X8,"")</f>
        <v>'5'</v>
      </c>
      <c r="B3306" t="str">
        <f>IF(ISERROR(MATCH(0,INDEX(COUNTIF($B$1:B3305,$A$2:$A$4629),0,0),0)),"",INDEX($A$2:$A$4629,MATCH(0,INDEX(COUNTIF($B$1:B3305,$A$2:$A$4629),0,0),0)))</f>
        <v/>
      </c>
      <c r="C3306" t="str">
        <f t="shared" si="51"/>
        <v/>
      </c>
    </row>
    <row r="3307" spans="1:3" x14ac:dyDescent="0.25">
      <c r="A3307" t="str">
        <f>IF(Scan2VK!X9&lt;&gt;"",Scan2VK!X9,"")</f>
        <v>'6'</v>
      </c>
      <c r="B3307" t="str">
        <f>IF(ISERROR(MATCH(0,INDEX(COUNTIF($B$1:B3306,$A$2:$A$4629),0,0),0)),"",INDEX($A$2:$A$4629,MATCH(0,INDEX(COUNTIF($B$1:B3306,$A$2:$A$4629),0,0),0)))</f>
        <v/>
      </c>
      <c r="C3307" t="str">
        <f t="shared" si="51"/>
        <v/>
      </c>
    </row>
    <row r="3308" spans="1:3" x14ac:dyDescent="0.25">
      <c r="A3308" t="str">
        <f>IF(Scan2VK!X10&lt;&gt;"",Scan2VK!X10,"")</f>
        <v>'7'</v>
      </c>
      <c r="B3308" t="str">
        <f>IF(ISERROR(MATCH(0,INDEX(COUNTIF($B$1:B3307,$A$2:$A$4629),0,0),0)),"",INDEX($A$2:$A$4629,MATCH(0,INDEX(COUNTIF($B$1:B3307,$A$2:$A$4629),0,0),0)))</f>
        <v/>
      </c>
      <c r="C3308" t="str">
        <f t="shared" si="51"/>
        <v/>
      </c>
    </row>
    <row r="3309" spans="1:3" x14ac:dyDescent="0.25">
      <c r="A3309" t="str">
        <f>IF(Scan2VK!X11&lt;&gt;"",Scan2VK!X11,"")</f>
        <v>'8'</v>
      </c>
      <c r="B3309" t="str">
        <f>IF(ISERROR(MATCH(0,INDEX(COUNTIF($B$1:B3308,$A$2:$A$4629),0,0),0)),"",INDEX($A$2:$A$4629,MATCH(0,INDEX(COUNTIF($B$1:B3308,$A$2:$A$4629),0,0),0)))</f>
        <v/>
      </c>
      <c r="C3309" t="str">
        <f t="shared" si="51"/>
        <v/>
      </c>
    </row>
    <row r="3310" spans="1:3" x14ac:dyDescent="0.25">
      <c r="A3310" t="str">
        <f>IF(Scan2VK!X12&lt;&gt;"",Scan2VK!X12,"")</f>
        <v>'9'</v>
      </c>
      <c r="B3310" t="str">
        <f>IF(ISERROR(MATCH(0,INDEX(COUNTIF($B$1:B3309,$A$2:$A$4629),0,0),0)),"",INDEX($A$2:$A$4629,MATCH(0,INDEX(COUNTIF($B$1:B3309,$A$2:$A$4629),0,0),0)))</f>
        <v/>
      </c>
      <c r="C3310" t="str">
        <f t="shared" si="51"/>
        <v/>
      </c>
    </row>
    <row r="3311" spans="1:3" x14ac:dyDescent="0.25">
      <c r="A3311" t="str">
        <f>IF(Scan2VK!X13&lt;&gt;"",Scan2VK!X13,"")</f>
        <v>'0'</v>
      </c>
      <c r="B3311" t="str">
        <f>IF(ISERROR(MATCH(0,INDEX(COUNTIF($B$1:B3310,$A$2:$A$4629),0,0),0)),"",INDEX($A$2:$A$4629,MATCH(0,INDEX(COUNTIF($B$1:B3310,$A$2:$A$4629),0,0),0)))</f>
        <v/>
      </c>
      <c r="C3311" t="str">
        <f t="shared" si="51"/>
        <v/>
      </c>
    </row>
    <row r="3312" spans="1:3" x14ac:dyDescent="0.25">
      <c r="A3312" t="str">
        <f>IF(Scan2VK!X14&lt;&gt;"",Scan2VK!X14,"")</f>
        <v>OEM_MINUS</v>
      </c>
      <c r="B3312" t="str">
        <f>IF(ISERROR(MATCH(0,INDEX(COUNTIF($B$1:B3311,$A$2:$A$4629),0,0),0)),"",INDEX($A$2:$A$4629,MATCH(0,INDEX(COUNTIF($B$1:B3311,$A$2:$A$4629),0,0),0)))</f>
        <v/>
      </c>
      <c r="C3312" t="str">
        <f t="shared" si="51"/>
        <v/>
      </c>
    </row>
    <row r="3313" spans="1:3" x14ac:dyDescent="0.25">
      <c r="A3313" t="str">
        <f>IF(Scan2VK!X15&lt;&gt;"",Scan2VK!X15,"")</f>
        <v>OEM_7</v>
      </c>
      <c r="B3313" t="str">
        <f>IF(ISERROR(MATCH(0,INDEX(COUNTIF($B$1:B3312,$A$2:$A$4629),0,0),0)),"",INDEX($A$2:$A$4629,MATCH(0,INDEX(COUNTIF($B$1:B3312,$A$2:$A$4629),0,0),0)))</f>
        <v/>
      </c>
      <c r="C3313" t="str">
        <f t="shared" si="51"/>
        <v/>
      </c>
    </row>
    <row r="3314" spans="1:3" x14ac:dyDescent="0.25">
      <c r="A3314" t="str">
        <f>IF(Scan2VK!X16&lt;&gt;"",Scan2VK!X16,"")</f>
        <v>BACK</v>
      </c>
      <c r="B3314" t="str">
        <f>IF(ISERROR(MATCH(0,INDEX(COUNTIF($B$1:B3313,$A$2:$A$4629),0,0),0)),"",INDEX($A$2:$A$4629,MATCH(0,INDEX(COUNTIF($B$1:B3313,$A$2:$A$4629),0,0),0)))</f>
        <v/>
      </c>
      <c r="C3314" t="str">
        <f t="shared" si="51"/>
        <v/>
      </c>
    </row>
    <row r="3315" spans="1:3" x14ac:dyDescent="0.25">
      <c r="A3315" t="str">
        <f>IF(Scan2VK!X17&lt;&gt;"",Scan2VK!X17,"")</f>
        <v>TAB</v>
      </c>
      <c r="B3315" t="str">
        <f>IF(ISERROR(MATCH(0,INDEX(COUNTIF($B$1:B3314,$A$2:$A$4629),0,0),0)),"",INDEX($A$2:$A$4629,MATCH(0,INDEX(COUNTIF($B$1:B3314,$A$2:$A$4629),0,0),0)))</f>
        <v/>
      </c>
      <c r="C3315" t="str">
        <f t="shared" si="51"/>
        <v/>
      </c>
    </row>
    <row r="3316" spans="1:3" x14ac:dyDescent="0.25">
      <c r="A3316" t="str">
        <f>IF(Scan2VK!X18&lt;&gt;"",Scan2VK!X18,"")</f>
        <v>'Q'</v>
      </c>
      <c r="B3316" t="str">
        <f>IF(ISERROR(MATCH(0,INDEX(COUNTIF($B$1:B3315,$A$2:$A$4629),0,0),0)),"",INDEX($A$2:$A$4629,MATCH(0,INDEX(COUNTIF($B$1:B3315,$A$2:$A$4629),0,0),0)))</f>
        <v/>
      </c>
      <c r="C3316" t="str">
        <f t="shared" si="51"/>
        <v/>
      </c>
    </row>
    <row r="3317" spans="1:3" x14ac:dyDescent="0.25">
      <c r="A3317" t="str">
        <f>IF(Scan2VK!X19&lt;&gt;"",Scan2VK!X19,"")</f>
        <v>'W'</v>
      </c>
      <c r="B3317" t="str">
        <f>IF(ISERROR(MATCH(0,INDEX(COUNTIF($B$1:B3316,$A$2:$A$4629),0,0),0)),"",INDEX($A$2:$A$4629,MATCH(0,INDEX(COUNTIF($B$1:B3316,$A$2:$A$4629),0,0),0)))</f>
        <v/>
      </c>
      <c r="C3317" t="str">
        <f t="shared" si="51"/>
        <v/>
      </c>
    </row>
    <row r="3318" spans="1:3" x14ac:dyDescent="0.25">
      <c r="A3318" t="str">
        <f>IF(Scan2VK!X20&lt;&gt;"",Scan2VK!X20,"")</f>
        <v>'E'</v>
      </c>
      <c r="B3318" t="str">
        <f>IF(ISERROR(MATCH(0,INDEX(COUNTIF($B$1:B3317,$A$2:$A$4629),0,0),0)),"",INDEX($A$2:$A$4629,MATCH(0,INDEX(COUNTIF($B$1:B3317,$A$2:$A$4629),0,0),0)))</f>
        <v/>
      </c>
      <c r="C3318" t="str">
        <f t="shared" si="51"/>
        <v/>
      </c>
    </row>
    <row r="3319" spans="1:3" x14ac:dyDescent="0.25">
      <c r="A3319" t="str">
        <f>IF(Scan2VK!X21&lt;&gt;"",Scan2VK!X21,"")</f>
        <v>'R'</v>
      </c>
      <c r="B3319" t="str">
        <f>IF(ISERROR(MATCH(0,INDEX(COUNTIF($B$1:B3318,$A$2:$A$4629),0,0),0)),"",INDEX($A$2:$A$4629,MATCH(0,INDEX(COUNTIF($B$1:B3318,$A$2:$A$4629),0,0),0)))</f>
        <v/>
      </c>
      <c r="C3319" t="str">
        <f t="shared" si="51"/>
        <v/>
      </c>
    </row>
    <row r="3320" spans="1:3" x14ac:dyDescent="0.25">
      <c r="A3320" t="str">
        <f>IF(Scan2VK!X22&lt;&gt;"",Scan2VK!X22,"")</f>
        <v>'T'</v>
      </c>
      <c r="B3320" t="str">
        <f>IF(ISERROR(MATCH(0,INDEX(COUNTIF($B$1:B3319,$A$2:$A$4629),0,0),0)),"",INDEX($A$2:$A$4629,MATCH(0,INDEX(COUNTIF($B$1:B3319,$A$2:$A$4629),0,0),0)))</f>
        <v/>
      </c>
      <c r="C3320" t="str">
        <f t="shared" si="51"/>
        <v/>
      </c>
    </row>
    <row r="3321" spans="1:3" x14ac:dyDescent="0.25">
      <c r="A3321" t="str">
        <f>IF(Scan2VK!X23&lt;&gt;"",Scan2VK!X23,"")</f>
        <v>'Y'</v>
      </c>
      <c r="B3321" t="str">
        <f>IF(ISERROR(MATCH(0,INDEX(COUNTIF($B$1:B3320,$A$2:$A$4629),0,0),0)),"",INDEX($A$2:$A$4629,MATCH(0,INDEX(COUNTIF($B$1:B3320,$A$2:$A$4629),0,0),0)))</f>
        <v/>
      </c>
      <c r="C3321" t="str">
        <f t="shared" si="51"/>
        <v/>
      </c>
    </row>
    <row r="3322" spans="1:3" x14ac:dyDescent="0.25">
      <c r="A3322" t="str">
        <f>IF(Scan2VK!X24&lt;&gt;"",Scan2VK!X24,"")</f>
        <v>'U'</v>
      </c>
      <c r="B3322" t="str">
        <f>IF(ISERROR(MATCH(0,INDEX(COUNTIF($B$1:B3321,$A$2:$A$4629),0,0),0)),"",INDEX($A$2:$A$4629,MATCH(0,INDEX(COUNTIF($B$1:B3321,$A$2:$A$4629),0,0),0)))</f>
        <v/>
      </c>
      <c r="C3322" t="str">
        <f t="shared" si="51"/>
        <v/>
      </c>
    </row>
    <row r="3323" spans="1:3" x14ac:dyDescent="0.25">
      <c r="A3323" t="str">
        <f>IF(Scan2VK!X25&lt;&gt;"",Scan2VK!X25,"")</f>
        <v>'I'</v>
      </c>
      <c r="B3323" t="str">
        <f>IF(ISERROR(MATCH(0,INDEX(COUNTIF($B$1:B3322,$A$2:$A$4629),0,0),0)),"",INDEX($A$2:$A$4629,MATCH(0,INDEX(COUNTIF($B$1:B3322,$A$2:$A$4629),0,0),0)))</f>
        <v/>
      </c>
      <c r="C3323" t="str">
        <f t="shared" si="51"/>
        <v/>
      </c>
    </row>
    <row r="3324" spans="1:3" x14ac:dyDescent="0.25">
      <c r="A3324" t="str">
        <f>IF(Scan2VK!X26&lt;&gt;"",Scan2VK!X26,"")</f>
        <v>'O'</v>
      </c>
      <c r="B3324" t="str">
        <f>IF(ISERROR(MATCH(0,INDEX(COUNTIF($B$1:B3323,$A$2:$A$4629),0,0),0)),"",INDEX($A$2:$A$4629,MATCH(0,INDEX(COUNTIF($B$1:B3323,$A$2:$A$4629),0,0),0)))</f>
        <v/>
      </c>
      <c r="C3324" t="str">
        <f t="shared" si="51"/>
        <v/>
      </c>
    </row>
    <row r="3325" spans="1:3" x14ac:dyDescent="0.25">
      <c r="A3325" t="str">
        <f>IF(Scan2VK!X27&lt;&gt;"",Scan2VK!X27,"")</f>
        <v>'P'</v>
      </c>
      <c r="B3325" t="str">
        <f>IF(ISERROR(MATCH(0,INDEX(COUNTIF($B$1:B3324,$A$2:$A$4629),0,0),0)),"",INDEX($A$2:$A$4629,MATCH(0,INDEX(COUNTIF($B$1:B3324,$A$2:$A$4629),0,0),0)))</f>
        <v/>
      </c>
      <c r="C3325" t="str">
        <f t="shared" si="51"/>
        <v/>
      </c>
    </row>
    <row r="3326" spans="1:3" x14ac:dyDescent="0.25">
      <c r="A3326" t="str">
        <f>IF(Scan2VK!X28&lt;&gt;"",Scan2VK!X28,"")</f>
        <v>OEM_3</v>
      </c>
      <c r="B3326" t="str">
        <f>IF(ISERROR(MATCH(0,INDEX(COUNTIF($B$1:B3325,$A$2:$A$4629),0,0),0)),"",INDEX($A$2:$A$4629,MATCH(0,INDEX(COUNTIF($B$1:B3325,$A$2:$A$4629),0,0),0)))</f>
        <v/>
      </c>
      <c r="C3326" t="str">
        <f t="shared" si="51"/>
        <v/>
      </c>
    </row>
    <row r="3327" spans="1:3" x14ac:dyDescent="0.25">
      <c r="A3327" t="str">
        <f>IF(Scan2VK!X29&lt;&gt;"",Scan2VK!X29,"")</f>
        <v>OEM_4</v>
      </c>
      <c r="B3327" t="str">
        <f>IF(ISERROR(MATCH(0,INDEX(COUNTIF($B$1:B3326,$A$2:$A$4629),0,0),0)),"",INDEX($A$2:$A$4629,MATCH(0,INDEX(COUNTIF($B$1:B3326,$A$2:$A$4629),0,0),0)))</f>
        <v/>
      </c>
      <c r="C3327" t="str">
        <f t="shared" si="51"/>
        <v/>
      </c>
    </row>
    <row r="3328" spans="1:3" x14ac:dyDescent="0.25">
      <c r="A3328" t="str">
        <f>IF(Scan2VK!X30&lt;&gt;"",Scan2VK!X30,"")</f>
        <v>RETURN</v>
      </c>
      <c r="B3328" t="str">
        <f>IF(ISERROR(MATCH(0,INDEX(COUNTIF($B$1:B3327,$A$2:$A$4629),0,0),0)),"",INDEX($A$2:$A$4629,MATCH(0,INDEX(COUNTIF($B$1:B3327,$A$2:$A$4629),0,0),0)))</f>
        <v/>
      </c>
      <c r="C3328" t="str">
        <f t="shared" si="51"/>
        <v/>
      </c>
    </row>
    <row r="3329" spans="1:3" x14ac:dyDescent="0.25">
      <c r="A3329" t="str">
        <f>IF(Scan2VK!X31&lt;&gt;"",Scan2VK!X31,"")</f>
        <v>LCONTROL</v>
      </c>
      <c r="B3329" t="str">
        <f>IF(ISERROR(MATCH(0,INDEX(COUNTIF($B$1:B3328,$A$2:$A$4629),0,0),0)),"",INDEX($A$2:$A$4629,MATCH(0,INDEX(COUNTIF($B$1:B3328,$A$2:$A$4629),0,0),0)))</f>
        <v/>
      </c>
      <c r="C3329" t="str">
        <f t="shared" si="51"/>
        <v/>
      </c>
    </row>
    <row r="3330" spans="1:3" x14ac:dyDescent="0.25">
      <c r="A3330" t="str">
        <f>IF(Scan2VK!X32&lt;&gt;"",Scan2VK!X32,"")</f>
        <v>'A'</v>
      </c>
      <c r="B3330" t="str">
        <f>IF(ISERROR(MATCH(0,INDEX(COUNTIF($B$1:B3329,$A$2:$A$4629),0,0),0)),"",INDEX($A$2:$A$4629,MATCH(0,INDEX(COUNTIF($B$1:B3329,$A$2:$A$4629),0,0),0)))</f>
        <v/>
      </c>
      <c r="C3330" t="str">
        <f t="shared" si="51"/>
        <v/>
      </c>
    </row>
    <row r="3331" spans="1:3" x14ac:dyDescent="0.25">
      <c r="A3331" t="str">
        <f>IF(Scan2VK!X33&lt;&gt;"",Scan2VK!X33,"")</f>
        <v>'S'</v>
      </c>
      <c r="B3331" t="str">
        <f>IF(ISERROR(MATCH(0,INDEX(COUNTIF($B$1:B3330,$A$2:$A$4629),0,0),0)),"",INDEX($A$2:$A$4629,MATCH(0,INDEX(COUNTIF($B$1:B3330,$A$2:$A$4629),0,0),0)))</f>
        <v/>
      </c>
      <c r="C3331" t="str">
        <f t="shared" ref="C3331:C3394" si="52">IF(B3331&lt;&gt;"","&lt;xs:enumeration value="""&amp;B3331&amp;"""/&gt;","")</f>
        <v/>
      </c>
    </row>
    <row r="3332" spans="1:3" x14ac:dyDescent="0.25">
      <c r="A3332" t="str">
        <f>IF(Scan2VK!X34&lt;&gt;"",Scan2VK!X34,"")</f>
        <v>'D'</v>
      </c>
      <c r="B3332" t="str">
        <f>IF(ISERROR(MATCH(0,INDEX(COUNTIF($B$1:B3331,$A$2:$A$4629),0,0),0)),"",INDEX($A$2:$A$4629,MATCH(0,INDEX(COUNTIF($B$1:B3331,$A$2:$A$4629),0,0),0)))</f>
        <v/>
      </c>
      <c r="C3332" t="str">
        <f t="shared" si="52"/>
        <v/>
      </c>
    </row>
    <row r="3333" spans="1:3" x14ac:dyDescent="0.25">
      <c r="A3333" t="str">
        <f>IF(Scan2VK!X35&lt;&gt;"",Scan2VK!X35,"")</f>
        <v>'F'</v>
      </c>
      <c r="B3333" t="str">
        <f>IF(ISERROR(MATCH(0,INDEX(COUNTIF($B$1:B3332,$A$2:$A$4629),0,0),0)),"",INDEX($A$2:$A$4629,MATCH(0,INDEX(COUNTIF($B$1:B3332,$A$2:$A$4629),0,0),0)))</f>
        <v/>
      </c>
      <c r="C3333" t="str">
        <f t="shared" si="52"/>
        <v/>
      </c>
    </row>
    <row r="3334" spans="1:3" x14ac:dyDescent="0.25">
      <c r="A3334" t="str">
        <f>IF(Scan2VK!X36&lt;&gt;"",Scan2VK!X36,"")</f>
        <v>'G'</v>
      </c>
      <c r="B3334" t="str">
        <f>IF(ISERROR(MATCH(0,INDEX(COUNTIF($B$1:B3333,$A$2:$A$4629),0,0),0)),"",INDEX($A$2:$A$4629,MATCH(0,INDEX(COUNTIF($B$1:B3333,$A$2:$A$4629),0,0),0)))</f>
        <v/>
      </c>
      <c r="C3334" t="str">
        <f t="shared" si="52"/>
        <v/>
      </c>
    </row>
    <row r="3335" spans="1:3" x14ac:dyDescent="0.25">
      <c r="A3335" t="str">
        <f>IF(Scan2VK!X37&lt;&gt;"",Scan2VK!X37,"")</f>
        <v>'H'</v>
      </c>
      <c r="B3335" t="str">
        <f>IF(ISERROR(MATCH(0,INDEX(COUNTIF($B$1:B3334,$A$2:$A$4629),0,0),0)),"",INDEX($A$2:$A$4629,MATCH(0,INDEX(COUNTIF($B$1:B3334,$A$2:$A$4629),0,0),0)))</f>
        <v/>
      </c>
      <c r="C3335" t="str">
        <f t="shared" si="52"/>
        <v/>
      </c>
    </row>
    <row r="3336" spans="1:3" x14ac:dyDescent="0.25">
      <c r="A3336" t="str">
        <f>IF(Scan2VK!X38&lt;&gt;"",Scan2VK!X38,"")</f>
        <v>'J'</v>
      </c>
      <c r="B3336" t="str">
        <f>IF(ISERROR(MATCH(0,INDEX(COUNTIF($B$1:B3335,$A$2:$A$4629),0,0),0)),"",INDEX($A$2:$A$4629,MATCH(0,INDEX(COUNTIF($B$1:B3335,$A$2:$A$4629),0,0),0)))</f>
        <v/>
      </c>
      <c r="C3336" t="str">
        <f t="shared" si="52"/>
        <v/>
      </c>
    </row>
    <row r="3337" spans="1:3" x14ac:dyDescent="0.25">
      <c r="A3337" t="str">
        <f>IF(Scan2VK!X39&lt;&gt;"",Scan2VK!X39,"")</f>
        <v>'K'</v>
      </c>
      <c r="B3337" t="str">
        <f>IF(ISERROR(MATCH(0,INDEX(COUNTIF($B$1:B3336,$A$2:$A$4629),0,0),0)),"",INDEX($A$2:$A$4629,MATCH(0,INDEX(COUNTIF($B$1:B3336,$A$2:$A$4629),0,0),0)))</f>
        <v/>
      </c>
      <c r="C3337" t="str">
        <f t="shared" si="52"/>
        <v/>
      </c>
    </row>
    <row r="3338" spans="1:3" x14ac:dyDescent="0.25">
      <c r="A3338" t="str">
        <f>IF(Scan2VK!X40&lt;&gt;"",Scan2VK!X40,"")</f>
        <v>'L'</v>
      </c>
      <c r="B3338" t="str">
        <f>IF(ISERROR(MATCH(0,INDEX(COUNTIF($B$1:B3337,$A$2:$A$4629),0,0),0)),"",INDEX($A$2:$A$4629,MATCH(0,INDEX(COUNTIF($B$1:B3337,$A$2:$A$4629),0,0),0)))</f>
        <v/>
      </c>
      <c r="C3338" t="str">
        <f t="shared" si="52"/>
        <v/>
      </c>
    </row>
    <row r="3339" spans="1:3" x14ac:dyDescent="0.25">
      <c r="A3339" t="str">
        <f>IF(Scan2VK!X41&lt;&gt;"",Scan2VK!X41,"")</f>
        <v>OEM_PLUS</v>
      </c>
      <c r="B3339" t="str">
        <f>IF(ISERROR(MATCH(0,INDEX(COUNTIF($B$1:B3338,$A$2:$A$4629),0,0),0)),"",INDEX($A$2:$A$4629,MATCH(0,INDEX(COUNTIF($B$1:B3338,$A$2:$A$4629),0,0),0)))</f>
        <v/>
      </c>
      <c r="C3339" t="str">
        <f t="shared" si="52"/>
        <v/>
      </c>
    </row>
    <row r="3340" spans="1:3" x14ac:dyDescent="0.25">
      <c r="A3340" t="str">
        <f>IF(Scan2VK!X42&lt;&gt;"",Scan2VK!X42,"")</f>
        <v>OEM_1</v>
      </c>
      <c r="B3340" t="str">
        <f>IF(ISERROR(MATCH(0,INDEX(COUNTIF($B$1:B3339,$A$2:$A$4629),0,0),0)),"",INDEX($A$2:$A$4629,MATCH(0,INDEX(COUNTIF($B$1:B3339,$A$2:$A$4629),0,0),0)))</f>
        <v/>
      </c>
      <c r="C3340" t="str">
        <f t="shared" si="52"/>
        <v/>
      </c>
    </row>
    <row r="3341" spans="1:3" x14ac:dyDescent="0.25">
      <c r="A3341" t="str">
        <f>IF(Scan2VK!X43&lt;&gt;"",Scan2VK!X43,"")</f>
        <v>DBE_SBCSCHAR</v>
      </c>
      <c r="B3341" t="str">
        <f>IF(ISERROR(MATCH(0,INDEX(COUNTIF($B$1:B3340,$A$2:$A$4629),0,0),0)),"",INDEX($A$2:$A$4629,MATCH(0,INDEX(COUNTIF($B$1:B3340,$A$2:$A$4629),0,0),0)))</f>
        <v/>
      </c>
      <c r="C3341" t="str">
        <f t="shared" si="52"/>
        <v/>
      </c>
    </row>
    <row r="3342" spans="1:3" x14ac:dyDescent="0.25">
      <c r="A3342" t="str">
        <f>IF(Scan2VK!X44&lt;&gt;"",Scan2VK!X44,"")</f>
        <v>LSHIFT</v>
      </c>
      <c r="B3342" t="str">
        <f>IF(ISERROR(MATCH(0,INDEX(COUNTIF($B$1:B3341,$A$2:$A$4629),0,0),0)),"",INDEX($A$2:$A$4629,MATCH(0,INDEX(COUNTIF($B$1:B3341,$A$2:$A$4629),0,0),0)))</f>
        <v/>
      </c>
      <c r="C3342" t="str">
        <f t="shared" si="52"/>
        <v/>
      </c>
    </row>
    <row r="3343" spans="1:3" x14ac:dyDescent="0.25">
      <c r="A3343" t="str">
        <f>IF(Scan2VK!X45&lt;&gt;"",Scan2VK!X45,"")</f>
        <v>OEM_6</v>
      </c>
      <c r="B3343" t="str">
        <f>IF(ISERROR(MATCH(0,INDEX(COUNTIF($B$1:B3342,$A$2:$A$4629),0,0),0)),"",INDEX($A$2:$A$4629,MATCH(0,INDEX(COUNTIF($B$1:B3342,$A$2:$A$4629),0,0),0)))</f>
        <v/>
      </c>
      <c r="C3343" t="str">
        <f t="shared" si="52"/>
        <v/>
      </c>
    </row>
    <row r="3344" spans="1:3" x14ac:dyDescent="0.25">
      <c r="A3344" t="str">
        <f>IF(Scan2VK!X46&lt;&gt;"",Scan2VK!X46,"")</f>
        <v>'Z'</v>
      </c>
      <c r="B3344" t="str">
        <f>IF(ISERROR(MATCH(0,INDEX(COUNTIF($B$1:B3343,$A$2:$A$4629),0,0),0)),"",INDEX($A$2:$A$4629,MATCH(0,INDEX(COUNTIF($B$1:B3343,$A$2:$A$4629),0,0),0)))</f>
        <v/>
      </c>
      <c r="C3344" t="str">
        <f t="shared" si="52"/>
        <v/>
      </c>
    </row>
    <row r="3345" spans="1:3" x14ac:dyDescent="0.25">
      <c r="A3345" t="str">
        <f>IF(Scan2VK!X47&lt;&gt;"",Scan2VK!X47,"")</f>
        <v>'X'</v>
      </c>
      <c r="B3345" t="str">
        <f>IF(ISERROR(MATCH(0,INDEX(COUNTIF($B$1:B3344,$A$2:$A$4629),0,0),0)),"",INDEX($A$2:$A$4629,MATCH(0,INDEX(COUNTIF($B$1:B3344,$A$2:$A$4629),0,0),0)))</f>
        <v/>
      </c>
      <c r="C3345" t="str">
        <f t="shared" si="52"/>
        <v/>
      </c>
    </row>
    <row r="3346" spans="1:3" x14ac:dyDescent="0.25">
      <c r="A3346" t="str">
        <f>IF(Scan2VK!X48&lt;&gt;"",Scan2VK!X48,"")</f>
        <v>'C'</v>
      </c>
      <c r="B3346" t="str">
        <f>IF(ISERROR(MATCH(0,INDEX(COUNTIF($B$1:B3345,$A$2:$A$4629),0,0),0)),"",INDEX($A$2:$A$4629,MATCH(0,INDEX(COUNTIF($B$1:B3345,$A$2:$A$4629),0,0),0)))</f>
        <v/>
      </c>
      <c r="C3346" t="str">
        <f t="shared" si="52"/>
        <v/>
      </c>
    </row>
    <row r="3347" spans="1:3" x14ac:dyDescent="0.25">
      <c r="A3347" t="str">
        <f>IF(Scan2VK!X49&lt;&gt;"",Scan2VK!X49,"")</f>
        <v>'V'</v>
      </c>
      <c r="B3347" t="str">
        <f>IF(ISERROR(MATCH(0,INDEX(COUNTIF($B$1:B3346,$A$2:$A$4629),0,0),0)),"",INDEX($A$2:$A$4629,MATCH(0,INDEX(COUNTIF($B$1:B3346,$A$2:$A$4629),0,0),0)))</f>
        <v/>
      </c>
      <c r="C3347" t="str">
        <f t="shared" si="52"/>
        <v/>
      </c>
    </row>
    <row r="3348" spans="1:3" x14ac:dyDescent="0.25">
      <c r="A3348" t="str">
        <f>IF(Scan2VK!X50&lt;&gt;"",Scan2VK!X50,"")</f>
        <v>'B'</v>
      </c>
      <c r="B3348" t="str">
        <f>IF(ISERROR(MATCH(0,INDEX(COUNTIF($B$1:B3347,$A$2:$A$4629),0,0),0)),"",INDEX($A$2:$A$4629,MATCH(0,INDEX(COUNTIF($B$1:B3347,$A$2:$A$4629),0,0),0)))</f>
        <v/>
      </c>
      <c r="C3348" t="str">
        <f t="shared" si="52"/>
        <v/>
      </c>
    </row>
    <row r="3349" spans="1:3" x14ac:dyDescent="0.25">
      <c r="A3349" t="str">
        <f>IF(Scan2VK!X51&lt;&gt;"",Scan2VK!X51,"")</f>
        <v>'N'</v>
      </c>
      <c r="B3349" t="str">
        <f>IF(ISERROR(MATCH(0,INDEX(COUNTIF($B$1:B3348,$A$2:$A$4629),0,0),0)),"",INDEX($A$2:$A$4629,MATCH(0,INDEX(COUNTIF($B$1:B3348,$A$2:$A$4629),0,0),0)))</f>
        <v/>
      </c>
      <c r="C3349" t="str">
        <f t="shared" si="52"/>
        <v/>
      </c>
    </row>
    <row r="3350" spans="1:3" x14ac:dyDescent="0.25">
      <c r="A3350" t="str">
        <f>IF(Scan2VK!X52&lt;&gt;"",Scan2VK!X52,"")</f>
        <v>'M'</v>
      </c>
      <c r="B3350" t="str">
        <f>IF(ISERROR(MATCH(0,INDEX(COUNTIF($B$1:B3349,$A$2:$A$4629),0,0),0)),"",INDEX($A$2:$A$4629,MATCH(0,INDEX(COUNTIF($B$1:B3349,$A$2:$A$4629),0,0),0)))</f>
        <v/>
      </c>
      <c r="C3350" t="str">
        <f t="shared" si="52"/>
        <v/>
      </c>
    </row>
    <row r="3351" spans="1:3" x14ac:dyDescent="0.25">
      <c r="A3351" t="str">
        <f>IF(Scan2VK!X53&lt;&gt;"",Scan2VK!X53,"")</f>
        <v>OEM_COMMA</v>
      </c>
      <c r="B3351" t="str">
        <f>IF(ISERROR(MATCH(0,INDEX(COUNTIF($B$1:B3350,$A$2:$A$4629),0,0),0)),"",INDEX($A$2:$A$4629,MATCH(0,INDEX(COUNTIF($B$1:B3350,$A$2:$A$4629),0,0),0)))</f>
        <v/>
      </c>
      <c r="C3351" t="str">
        <f t="shared" si="52"/>
        <v/>
      </c>
    </row>
    <row r="3352" spans="1:3" x14ac:dyDescent="0.25">
      <c r="A3352" t="str">
        <f>IF(Scan2VK!X54&lt;&gt;"",Scan2VK!X54,"")</f>
        <v>OEM_PERIOD</v>
      </c>
      <c r="B3352" t="str">
        <f>IF(ISERROR(MATCH(0,INDEX(COUNTIF($B$1:B3351,$A$2:$A$4629),0,0),0)),"",INDEX($A$2:$A$4629,MATCH(0,INDEX(COUNTIF($B$1:B3351,$A$2:$A$4629),0,0),0)))</f>
        <v/>
      </c>
      <c r="C3352" t="str">
        <f t="shared" si="52"/>
        <v/>
      </c>
    </row>
    <row r="3353" spans="1:3" x14ac:dyDescent="0.25">
      <c r="A3353" t="str">
        <f>IF(Scan2VK!X55&lt;&gt;"",Scan2VK!X55,"")</f>
        <v>OEM_2</v>
      </c>
      <c r="B3353" t="str">
        <f>IF(ISERROR(MATCH(0,INDEX(COUNTIF($B$1:B3352,$A$2:$A$4629),0,0),0)),"",INDEX($A$2:$A$4629,MATCH(0,INDEX(COUNTIF($B$1:B3352,$A$2:$A$4629),0,0),0)))</f>
        <v/>
      </c>
      <c r="C3353" t="str">
        <f t="shared" si="52"/>
        <v/>
      </c>
    </row>
    <row r="3354" spans="1:3" x14ac:dyDescent="0.25">
      <c r="A3354" t="str">
        <f>IF(Scan2VK!X56&lt;&gt;"",Scan2VK!X56,"")</f>
        <v>RSHIFT</v>
      </c>
      <c r="B3354" t="str">
        <f>IF(ISERROR(MATCH(0,INDEX(COUNTIF($B$1:B3353,$A$2:$A$4629),0,0),0)),"",INDEX($A$2:$A$4629,MATCH(0,INDEX(COUNTIF($B$1:B3353,$A$2:$A$4629),0,0),0)))</f>
        <v/>
      </c>
      <c r="C3354" t="str">
        <f t="shared" si="52"/>
        <v/>
      </c>
    </row>
    <row r="3355" spans="1:3" x14ac:dyDescent="0.25">
      <c r="A3355" t="str">
        <f>IF(Scan2VK!X57&lt;&gt;"",Scan2VK!X57,"")</f>
        <v>MULTIPLY</v>
      </c>
      <c r="B3355" t="str">
        <f>IF(ISERROR(MATCH(0,INDEX(COUNTIF($B$1:B3354,$A$2:$A$4629),0,0),0)),"",INDEX($A$2:$A$4629,MATCH(0,INDEX(COUNTIF($B$1:B3354,$A$2:$A$4629),0,0),0)))</f>
        <v/>
      </c>
      <c r="C3355" t="str">
        <f t="shared" si="52"/>
        <v/>
      </c>
    </row>
    <row r="3356" spans="1:3" x14ac:dyDescent="0.25">
      <c r="A3356" t="str">
        <f>IF(Scan2VK!X58&lt;&gt;"",Scan2VK!X58,"")</f>
        <v>LMENU</v>
      </c>
      <c r="B3356" t="str">
        <f>IF(ISERROR(MATCH(0,INDEX(COUNTIF($B$1:B3355,$A$2:$A$4629),0,0),0)),"",INDEX($A$2:$A$4629,MATCH(0,INDEX(COUNTIF($B$1:B3355,$A$2:$A$4629),0,0),0)))</f>
        <v/>
      </c>
      <c r="C3356" t="str">
        <f t="shared" si="52"/>
        <v/>
      </c>
    </row>
    <row r="3357" spans="1:3" x14ac:dyDescent="0.25">
      <c r="A3357" t="str">
        <f>IF(Scan2VK!X59&lt;&gt;"",Scan2VK!X59,"")</f>
        <v>''</v>
      </c>
      <c r="B3357" t="str">
        <f>IF(ISERROR(MATCH(0,INDEX(COUNTIF($B$1:B3356,$A$2:$A$4629),0,0),0)),"",INDEX($A$2:$A$4629,MATCH(0,INDEX(COUNTIF($B$1:B3356,$A$2:$A$4629),0,0),0)))</f>
        <v/>
      </c>
      <c r="C3357" t="str">
        <f t="shared" si="52"/>
        <v/>
      </c>
    </row>
    <row r="3358" spans="1:3" x14ac:dyDescent="0.25">
      <c r="A3358" t="str">
        <f>IF(Scan2VK!X60&lt;&gt;"",Scan2VK!X60,"")</f>
        <v>CAPITAL</v>
      </c>
      <c r="B3358" t="str">
        <f>IF(ISERROR(MATCH(0,INDEX(COUNTIF($B$1:B3357,$A$2:$A$4629),0,0),0)),"",INDEX($A$2:$A$4629,MATCH(0,INDEX(COUNTIF($B$1:B3357,$A$2:$A$4629),0,0),0)))</f>
        <v/>
      </c>
      <c r="C3358" t="str">
        <f t="shared" si="52"/>
        <v/>
      </c>
    </row>
    <row r="3359" spans="1:3" x14ac:dyDescent="0.25">
      <c r="A3359" t="str">
        <f>IF(Scan2VK!X61&lt;&gt;"",Scan2VK!X61,"")</f>
        <v>F1</v>
      </c>
      <c r="B3359" t="str">
        <f>IF(ISERROR(MATCH(0,INDEX(COUNTIF($B$1:B3358,$A$2:$A$4629),0,0),0)),"",INDEX($A$2:$A$4629,MATCH(0,INDEX(COUNTIF($B$1:B3358,$A$2:$A$4629),0,0),0)))</f>
        <v/>
      </c>
      <c r="C3359" t="str">
        <f t="shared" si="52"/>
        <v/>
      </c>
    </row>
    <row r="3360" spans="1:3" x14ac:dyDescent="0.25">
      <c r="A3360" t="str">
        <f>IF(Scan2VK!X62&lt;&gt;"",Scan2VK!X62,"")</f>
        <v>F2</v>
      </c>
      <c r="B3360" t="str">
        <f>IF(ISERROR(MATCH(0,INDEX(COUNTIF($B$1:B3359,$A$2:$A$4629),0,0),0)),"",INDEX($A$2:$A$4629,MATCH(0,INDEX(COUNTIF($B$1:B3359,$A$2:$A$4629),0,0),0)))</f>
        <v/>
      </c>
      <c r="C3360" t="str">
        <f t="shared" si="52"/>
        <v/>
      </c>
    </row>
    <row r="3361" spans="1:3" x14ac:dyDescent="0.25">
      <c r="A3361" t="str">
        <f>IF(Scan2VK!X63&lt;&gt;"",Scan2VK!X63,"")</f>
        <v>F3</v>
      </c>
      <c r="B3361" t="str">
        <f>IF(ISERROR(MATCH(0,INDEX(COUNTIF($B$1:B3360,$A$2:$A$4629),0,0),0)),"",INDEX($A$2:$A$4629,MATCH(0,INDEX(COUNTIF($B$1:B3360,$A$2:$A$4629),0,0),0)))</f>
        <v/>
      </c>
      <c r="C3361" t="str">
        <f t="shared" si="52"/>
        <v/>
      </c>
    </row>
    <row r="3362" spans="1:3" x14ac:dyDescent="0.25">
      <c r="A3362" t="str">
        <f>IF(Scan2VK!X64&lt;&gt;"",Scan2VK!X64,"")</f>
        <v>F4</v>
      </c>
      <c r="B3362" t="str">
        <f>IF(ISERROR(MATCH(0,INDEX(COUNTIF($B$1:B3361,$A$2:$A$4629),0,0),0)),"",INDEX($A$2:$A$4629,MATCH(0,INDEX(COUNTIF($B$1:B3361,$A$2:$A$4629),0,0),0)))</f>
        <v/>
      </c>
      <c r="C3362" t="str">
        <f t="shared" si="52"/>
        <v/>
      </c>
    </row>
    <row r="3363" spans="1:3" x14ac:dyDescent="0.25">
      <c r="A3363" t="str">
        <f>IF(Scan2VK!X65&lt;&gt;"",Scan2VK!X65,"")</f>
        <v>F5</v>
      </c>
      <c r="B3363" t="str">
        <f>IF(ISERROR(MATCH(0,INDEX(COUNTIF($B$1:B3362,$A$2:$A$4629),0,0),0)),"",INDEX($A$2:$A$4629,MATCH(0,INDEX(COUNTIF($B$1:B3362,$A$2:$A$4629),0,0),0)))</f>
        <v/>
      </c>
      <c r="C3363" t="str">
        <f t="shared" si="52"/>
        <v/>
      </c>
    </row>
    <row r="3364" spans="1:3" x14ac:dyDescent="0.25">
      <c r="A3364" t="str">
        <f>IF(Scan2VK!X66&lt;&gt;"",Scan2VK!X66,"")</f>
        <v>F6</v>
      </c>
      <c r="B3364" t="str">
        <f>IF(ISERROR(MATCH(0,INDEX(COUNTIF($B$1:B3363,$A$2:$A$4629),0,0),0)),"",INDEX($A$2:$A$4629,MATCH(0,INDEX(COUNTIF($B$1:B3363,$A$2:$A$4629),0,0),0)))</f>
        <v/>
      </c>
      <c r="C3364" t="str">
        <f t="shared" si="52"/>
        <v/>
      </c>
    </row>
    <row r="3365" spans="1:3" x14ac:dyDescent="0.25">
      <c r="A3365" t="str">
        <f>IF(Scan2VK!X67&lt;&gt;"",Scan2VK!X67,"")</f>
        <v>F7</v>
      </c>
      <c r="B3365" t="str">
        <f>IF(ISERROR(MATCH(0,INDEX(COUNTIF($B$1:B3364,$A$2:$A$4629),0,0),0)),"",INDEX($A$2:$A$4629,MATCH(0,INDEX(COUNTIF($B$1:B3364,$A$2:$A$4629),0,0),0)))</f>
        <v/>
      </c>
      <c r="C3365" t="str">
        <f t="shared" si="52"/>
        <v/>
      </c>
    </row>
    <row r="3366" spans="1:3" x14ac:dyDescent="0.25">
      <c r="A3366" t="str">
        <f>IF(Scan2VK!X68&lt;&gt;"",Scan2VK!X68,"")</f>
        <v>F8</v>
      </c>
      <c r="B3366" t="str">
        <f>IF(ISERROR(MATCH(0,INDEX(COUNTIF($B$1:B3365,$A$2:$A$4629),0,0),0)),"",INDEX($A$2:$A$4629,MATCH(0,INDEX(COUNTIF($B$1:B3365,$A$2:$A$4629),0,0),0)))</f>
        <v/>
      </c>
      <c r="C3366" t="str">
        <f t="shared" si="52"/>
        <v/>
      </c>
    </row>
    <row r="3367" spans="1:3" x14ac:dyDescent="0.25">
      <c r="A3367" t="str">
        <f>IF(Scan2VK!X69&lt;&gt;"",Scan2VK!X69,"")</f>
        <v>F9</v>
      </c>
      <c r="B3367" t="str">
        <f>IF(ISERROR(MATCH(0,INDEX(COUNTIF($B$1:B3366,$A$2:$A$4629),0,0),0)),"",INDEX($A$2:$A$4629,MATCH(0,INDEX(COUNTIF($B$1:B3366,$A$2:$A$4629),0,0),0)))</f>
        <v/>
      </c>
      <c r="C3367" t="str">
        <f t="shared" si="52"/>
        <v/>
      </c>
    </row>
    <row r="3368" spans="1:3" x14ac:dyDescent="0.25">
      <c r="A3368" t="str">
        <f>IF(Scan2VK!X70&lt;&gt;"",Scan2VK!X70,"")</f>
        <v>F10</v>
      </c>
      <c r="B3368" t="str">
        <f>IF(ISERROR(MATCH(0,INDEX(COUNTIF($B$1:B3367,$A$2:$A$4629),0,0),0)),"",INDEX($A$2:$A$4629,MATCH(0,INDEX(COUNTIF($B$1:B3367,$A$2:$A$4629),0,0),0)))</f>
        <v/>
      </c>
      <c r="C3368" t="str">
        <f t="shared" si="52"/>
        <v/>
      </c>
    </row>
    <row r="3369" spans="1:3" x14ac:dyDescent="0.25">
      <c r="A3369" t="str">
        <f>IF(Scan2VK!X71&lt;&gt;"",Scan2VK!X71,"")</f>
        <v>NUMLOCK</v>
      </c>
      <c r="B3369" t="str">
        <f>IF(ISERROR(MATCH(0,INDEX(COUNTIF($B$1:B3368,$A$2:$A$4629),0,0),0)),"",INDEX($A$2:$A$4629,MATCH(0,INDEX(COUNTIF($B$1:B3368,$A$2:$A$4629),0,0),0)))</f>
        <v/>
      </c>
      <c r="C3369" t="str">
        <f t="shared" si="52"/>
        <v/>
      </c>
    </row>
    <row r="3370" spans="1:3" x14ac:dyDescent="0.25">
      <c r="A3370" t="str">
        <f>IF(Scan2VK!X72&lt;&gt;"",Scan2VK!X72,"")</f>
        <v>SCROLL</v>
      </c>
      <c r="B3370" t="str">
        <f>IF(ISERROR(MATCH(0,INDEX(COUNTIF($B$1:B3369,$A$2:$A$4629),0,0),0)),"",INDEX($A$2:$A$4629,MATCH(0,INDEX(COUNTIF($B$1:B3369,$A$2:$A$4629),0,0),0)))</f>
        <v/>
      </c>
      <c r="C3370" t="str">
        <f t="shared" si="52"/>
        <v/>
      </c>
    </row>
    <row r="3371" spans="1:3" x14ac:dyDescent="0.25">
      <c r="A3371" t="str">
        <f>IF(Scan2VK!X73&lt;&gt;"",Scan2VK!X73,"")</f>
        <v>HOME</v>
      </c>
      <c r="B3371" t="str">
        <f>IF(ISERROR(MATCH(0,INDEX(COUNTIF($B$1:B3370,$A$2:$A$4629),0,0),0)),"",INDEX($A$2:$A$4629,MATCH(0,INDEX(COUNTIF($B$1:B3370,$A$2:$A$4629),0,0),0)))</f>
        <v/>
      </c>
      <c r="C3371" t="str">
        <f t="shared" si="52"/>
        <v/>
      </c>
    </row>
    <row r="3372" spans="1:3" x14ac:dyDescent="0.25">
      <c r="A3372" t="str">
        <f>IF(Scan2VK!X74&lt;&gt;"",Scan2VK!X74,"")</f>
        <v>UP</v>
      </c>
      <c r="B3372" t="str">
        <f>IF(ISERROR(MATCH(0,INDEX(COUNTIF($B$1:B3371,$A$2:$A$4629),0,0),0)),"",INDEX($A$2:$A$4629,MATCH(0,INDEX(COUNTIF($B$1:B3371,$A$2:$A$4629),0,0),0)))</f>
        <v/>
      </c>
      <c r="C3372" t="str">
        <f t="shared" si="52"/>
        <v/>
      </c>
    </row>
    <row r="3373" spans="1:3" x14ac:dyDescent="0.25">
      <c r="A3373" t="str">
        <f>IF(Scan2VK!X75&lt;&gt;"",Scan2VK!X75,"")</f>
        <v>PRIOR</v>
      </c>
      <c r="B3373" t="str">
        <f>IF(ISERROR(MATCH(0,INDEX(COUNTIF($B$1:B3372,$A$2:$A$4629),0,0),0)),"",INDEX($A$2:$A$4629,MATCH(0,INDEX(COUNTIF($B$1:B3372,$A$2:$A$4629),0,0),0)))</f>
        <v/>
      </c>
      <c r="C3373" t="str">
        <f t="shared" si="52"/>
        <v/>
      </c>
    </row>
    <row r="3374" spans="1:3" x14ac:dyDescent="0.25">
      <c r="A3374" t="str">
        <f>IF(Scan2VK!X76&lt;&gt;"",Scan2VK!X76,"")</f>
        <v>SUBTRACT</v>
      </c>
      <c r="B3374" t="str">
        <f>IF(ISERROR(MATCH(0,INDEX(COUNTIF($B$1:B3373,$A$2:$A$4629),0,0),0)),"",INDEX($A$2:$A$4629,MATCH(0,INDEX(COUNTIF($B$1:B3373,$A$2:$A$4629),0,0),0)))</f>
        <v/>
      </c>
      <c r="C3374" t="str">
        <f t="shared" si="52"/>
        <v/>
      </c>
    </row>
    <row r="3375" spans="1:3" x14ac:dyDescent="0.25">
      <c r="A3375" t="str">
        <f>IF(Scan2VK!X77&lt;&gt;"",Scan2VK!X77,"")</f>
        <v>LEFT</v>
      </c>
      <c r="B3375" t="str">
        <f>IF(ISERROR(MATCH(0,INDEX(COUNTIF($B$1:B3374,$A$2:$A$4629),0,0),0)),"",INDEX($A$2:$A$4629,MATCH(0,INDEX(COUNTIF($B$1:B3374,$A$2:$A$4629),0,0),0)))</f>
        <v/>
      </c>
      <c r="C3375" t="str">
        <f t="shared" si="52"/>
        <v/>
      </c>
    </row>
    <row r="3376" spans="1:3" x14ac:dyDescent="0.25">
      <c r="A3376" t="str">
        <f>IF(Scan2VK!X78&lt;&gt;"",Scan2VK!X78,"")</f>
        <v>CLEAR</v>
      </c>
      <c r="B3376" t="str">
        <f>IF(ISERROR(MATCH(0,INDEX(COUNTIF($B$1:B3375,$A$2:$A$4629),0,0),0)),"",INDEX($A$2:$A$4629,MATCH(0,INDEX(COUNTIF($B$1:B3375,$A$2:$A$4629),0,0),0)))</f>
        <v/>
      </c>
      <c r="C3376" t="str">
        <f t="shared" si="52"/>
        <v/>
      </c>
    </row>
    <row r="3377" spans="1:3" x14ac:dyDescent="0.25">
      <c r="A3377" t="str">
        <f>IF(Scan2VK!X79&lt;&gt;"",Scan2VK!X79,"")</f>
        <v>RIGHT</v>
      </c>
      <c r="B3377" t="str">
        <f>IF(ISERROR(MATCH(0,INDEX(COUNTIF($B$1:B3376,$A$2:$A$4629),0,0),0)),"",INDEX($A$2:$A$4629,MATCH(0,INDEX(COUNTIF($B$1:B3376,$A$2:$A$4629),0,0),0)))</f>
        <v/>
      </c>
      <c r="C3377" t="str">
        <f t="shared" si="52"/>
        <v/>
      </c>
    </row>
    <row r="3378" spans="1:3" x14ac:dyDescent="0.25">
      <c r="A3378" t="str">
        <f>IF(Scan2VK!X80&lt;&gt;"",Scan2VK!X80,"")</f>
        <v>ADD</v>
      </c>
      <c r="B3378" t="str">
        <f>IF(ISERROR(MATCH(0,INDEX(COUNTIF($B$1:B3377,$A$2:$A$4629),0,0),0)),"",INDEX($A$2:$A$4629,MATCH(0,INDEX(COUNTIF($B$1:B3377,$A$2:$A$4629),0,0),0)))</f>
        <v/>
      </c>
      <c r="C3378" t="str">
        <f t="shared" si="52"/>
        <v/>
      </c>
    </row>
    <row r="3379" spans="1:3" x14ac:dyDescent="0.25">
      <c r="A3379" t="str">
        <f>IF(Scan2VK!X81&lt;&gt;"",Scan2VK!X81,"")</f>
        <v>END</v>
      </c>
      <c r="B3379" t="str">
        <f>IF(ISERROR(MATCH(0,INDEX(COUNTIF($B$1:B3378,$A$2:$A$4629),0,0),0)),"",INDEX($A$2:$A$4629,MATCH(0,INDEX(COUNTIF($B$1:B3378,$A$2:$A$4629),0,0),0)))</f>
        <v/>
      </c>
      <c r="C3379" t="str">
        <f t="shared" si="52"/>
        <v/>
      </c>
    </row>
    <row r="3380" spans="1:3" x14ac:dyDescent="0.25">
      <c r="A3380" t="str">
        <f>IF(Scan2VK!X82&lt;&gt;"",Scan2VK!X82,"")</f>
        <v>DOWN</v>
      </c>
      <c r="B3380" t="str">
        <f>IF(ISERROR(MATCH(0,INDEX(COUNTIF($B$1:B3379,$A$2:$A$4629),0,0),0)),"",INDEX($A$2:$A$4629,MATCH(0,INDEX(COUNTIF($B$1:B3379,$A$2:$A$4629),0,0),0)))</f>
        <v/>
      </c>
      <c r="C3380" t="str">
        <f t="shared" si="52"/>
        <v/>
      </c>
    </row>
    <row r="3381" spans="1:3" x14ac:dyDescent="0.25">
      <c r="A3381" t="str">
        <f>IF(Scan2VK!X83&lt;&gt;"",Scan2VK!X83,"")</f>
        <v>NEXT</v>
      </c>
      <c r="B3381" t="str">
        <f>IF(ISERROR(MATCH(0,INDEX(COUNTIF($B$1:B3380,$A$2:$A$4629),0,0),0)),"",INDEX($A$2:$A$4629,MATCH(0,INDEX(COUNTIF($B$1:B3380,$A$2:$A$4629),0,0),0)))</f>
        <v/>
      </c>
      <c r="C3381" t="str">
        <f t="shared" si="52"/>
        <v/>
      </c>
    </row>
    <row r="3382" spans="1:3" x14ac:dyDescent="0.25">
      <c r="A3382" t="str">
        <f>IF(Scan2VK!X84&lt;&gt;"",Scan2VK!X84,"")</f>
        <v>INSERT</v>
      </c>
      <c r="B3382" t="str">
        <f>IF(ISERROR(MATCH(0,INDEX(COUNTIF($B$1:B3381,$A$2:$A$4629),0,0),0)),"",INDEX($A$2:$A$4629,MATCH(0,INDEX(COUNTIF($B$1:B3381,$A$2:$A$4629),0,0),0)))</f>
        <v/>
      </c>
      <c r="C3382" t="str">
        <f t="shared" si="52"/>
        <v/>
      </c>
    </row>
    <row r="3383" spans="1:3" x14ac:dyDescent="0.25">
      <c r="A3383" t="str">
        <f>IF(Scan2VK!X85&lt;&gt;"",Scan2VK!X85,"")</f>
        <v>DELETE</v>
      </c>
      <c r="B3383" t="str">
        <f>IF(ISERROR(MATCH(0,INDEX(COUNTIF($B$1:B3382,$A$2:$A$4629),0,0),0)),"",INDEX($A$2:$A$4629,MATCH(0,INDEX(COUNTIF($B$1:B3382,$A$2:$A$4629),0,0),0)))</f>
        <v/>
      </c>
      <c r="C3383" t="str">
        <f t="shared" si="52"/>
        <v/>
      </c>
    </row>
    <row r="3384" spans="1:3" x14ac:dyDescent="0.25">
      <c r="A3384" t="str">
        <f>IF(Scan2VK!X86&lt;&gt;"",Scan2VK!X86,"")</f>
        <v>SNAPSHOT</v>
      </c>
      <c r="B3384" t="str">
        <f>IF(ISERROR(MATCH(0,INDEX(COUNTIF($B$1:B3383,$A$2:$A$4629),0,0),0)),"",INDEX($A$2:$A$4629,MATCH(0,INDEX(COUNTIF($B$1:B3383,$A$2:$A$4629),0,0),0)))</f>
        <v/>
      </c>
      <c r="C3384" t="str">
        <f t="shared" si="52"/>
        <v/>
      </c>
    </row>
    <row r="3385" spans="1:3" x14ac:dyDescent="0.25">
      <c r="A3385" t="str">
        <f>IF(Scan2VK!X87&lt;&gt;"",Scan2VK!X87,"")</f>
        <v>_none_</v>
      </c>
      <c r="B3385" t="str">
        <f>IF(ISERROR(MATCH(0,INDEX(COUNTIF($B$1:B3384,$A$2:$A$4629),0,0),0)),"",INDEX($A$2:$A$4629,MATCH(0,INDEX(COUNTIF($B$1:B3384,$A$2:$A$4629),0,0),0)))</f>
        <v/>
      </c>
      <c r="C3385" t="str">
        <f t="shared" si="52"/>
        <v/>
      </c>
    </row>
    <row r="3386" spans="1:3" x14ac:dyDescent="0.25">
      <c r="A3386" t="str">
        <f>IF(Scan2VK!X88&lt;&gt;"",Scan2VK!X88,"")</f>
        <v>_none_</v>
      </c>
      <c r="B3386" t="str">
        <f>IF(ISERROR(MATCH(0,INDEX(COUNTIF($B$1:B3385,$A$2:$A$4629),0,0),0)),"",INDEX($A$2:$A$4629,MATCH(0,INDEX(COUNTIF($B$1:B3385,$A$2:$A$4629),0,0),0)))</f>
        <v/>
      </c>
      <c r="C3386" t="str">
        <f t="shared" si="52"/>
        <v/>
      </c>
    </row>
    <row r="3387" spans="1:3" x14ac:dyDescent="0.25">
      <c r="A3387" t="str">
        <f>IF(Scan2VK!X89&lt;&gt;"",Scan2VK!X89,"")</f>
        <v>F11</v>
      </c>
      <c r="B3387" t="str">
        <f>IF(ISERROR(MATCH(0,INDEX(COUNTIF($B$1:B3386,$A$2:$A$4629),0,0),0)),"",INDEX($A$2:$A$4629,MATCH(0,INDEX(COUNTIF($B$1:B3386,$A$2:$A$4629),0,0),0)))</f>
        <v/>
      </c>
      <c r="C3387" t="str">
        <f t="shared" si="52"/>
        <v/>
      </c>
    </row>
    <row r="3388" spans="1:3" x14ac:dyDescent="0.25">
      <c r="A3388" t="str">
        <f>IF(Scan2VK!X90&lt;&gt;"",Scan2VK!X90,"")</f>
        <v>F12</v>
      </c>
      <c r="B3388" t="str">
        <f>IF(ISERROR(MATCH(0,INDEX(COUNTIF($B$1:B3387,$A$2:$A$4629),0,0),0)),"",INDEX($A$2:$A$4629,MATCH(0,INDEX(COUNTIF($B$1:B3387,$A$2:$A$4629),0,0),0)))</f>
        <v/>
      </c>
      <c r="C3388" t="str">
        <f t="shared" si="52"/>
        <v/>
      </c>
    </row>
    <row r="3389" spans="1:3" x14ac:dyDescent="0.25">
      <c r="A3389" t="str">
        <f>IF(Scan2VK!X91&lt;&gt;"",Scan2VK!X91,"")</f>
        <v>OEM_NEC_EQUAL</v>
      </c>
      <c r="B3389" t="str">
        <f>IF(ISERROR(MATCH(0,INDEX(COUNTIF($B$1:B3388,$A$2:$A$4629),0,0),0)),"",INDEX($A$2:$A$4629,MATCH(0,INDEX(COUNTIF($B$1:B3388,$A$2:$A$4629),0,0),0)))</f>
        <v/>
      </c>
      <c r="C3389" t="str">
        <f t="shared" si="52"/>
        <v/>
      </c>
    </row>
    <row r="3390" spans="1:3" x14ac:dyDescent="0.25">
      <c r="A3390" t="str">
        <f>IF(Scan2VK!X92&lt;&gt;"",Scan2VK!X92,"")</f>
        <v>NONAME</v>
      </c>
      <c r="B3390" t="str">
        <f>IF(ISERROR(MATCH(0,INDEX(COUNTIF($B$1:B3389,$A$2:$A$4629),0,0),0)),"",INDEX($A$2:$A$4629,MATCH(0,INDEX(COUNTIF($B$1:B3389,$A$2:$A$4629),0,0),0)))</f>
        <v/>
      </c>
      <c r="C3390" t="str">
        <f t="shared" si="52"/>
        <v/>
      </c>
    </row>
    <row r="3391" spans="1:3" x14ac:dyDescent="0.25">
      <c r="A3391" t="str">
        <f>IF(Scan2VK!X93&lt;&gt;"",Scan2VK!X93,"")</f>
        <v>_none_</v>
      </c>
      <c r="B3391" t="str">
        <f>IF(ISERROR(MATCH(0,INDEX(COUNTIF($B$1:B3390,$A$2:$A$4629),0,0),0)),"",INDEX($A$2:$A$4629,MATCH(0,INDEX(COUNTIF($B$1:B3390,$A$2:$A$4629),0,0),0)))</f>
        <v/>
      </c>
      <c r="C3391" t="str">
        <f t="shared" si="52"/>
        <v/>
      </c>
    </row>
    <row r="3392" spans="1:3" x14ac:dyDescent="0.25">
      <c r="A3392" t="str">
        <f>IF(Scan2VK!X94&lt;&gt;"",Scan2VK!X94,"")</f>
        <v>SEPARATOR</v>
      </c>
      <c r="B3392" t="str">
        <f>IF(ISERROR(MATCH(0,INDEX(COUNTIF($B$1:B3391,$A$2:$A$4629),0,0),0)),"",INDEX($A$2:$A$4629,MATCH(0,INDEX(COUNTIF($B$1:B3391,$A$2:$A$4629),0,0),0)))</f>
        <v/>
      </c>
      <c r="C3392" t="str">
        <f t="shared" si="52"/>
        <v/>
      </c>
    </row>
    <row r="3393" spans="1:3" x14ac:dyDescent="0.25">
      <c r="A3393" t="str">
        <f>IF(Scan2VK!X95&lt;&gt;"",Scan2VK!X95,"")</f>
        <v>F13</v>
      </c>
      <c r="B3393" t="str">
        <f>IF(ISERROR(MATCH(0,INDEX(COUNTIF($B$1:B3392,$A$2:$A$4629),0,0),0)),"",INDEX($A$2:$A$4629,MATCH(0,INDEX(COUNTIF($B$1:B3392,$A$2:$A$4629),0,0),0)))</f>
        <v/>
      </c>
      <c r="C3393" t="str">
        <f t="shared" si="52"/>
        <v/>
      </c>
    </row>
    <row r="3394" spans="1:3" x14ac:dyDescent="0.25">
      <c r="A3394" t="str">
        <f>IF(Scan2VK!X96&lt;&gt;"",Scan2VK!X96,"")</f>
        <v>F14</v>
      </c>
      <c r="B3394" t="str">
        <f>IF(ISERROR(MATCH(0,INDEX(COUNTIF($B$1:B3393,$A$2:$A$4629),0,0),0)),"",INDEX($A$2:$A$4629,MATCH(0,INDEX(COUNTIF($B$1:B3393,$A$2:$A$4629),0,0),0)))</f>
        <v/>
      </c>
      <c r="C3394" t="str">
        <f t="shared" si="52"/>
        <v/>
      </c>
    </row>
    <row r="3395" spans="1:3" x14ac:dyDescent="0.25">
      <c r="A3395" t="str">
        <f>IF(Scan2VK!X97&lt;&gt;"",Scan2VK!X97,"")</f>
        <v>F15</v>
      </c>
      <c r="B3395" t="str">
        <f>IF(ISERROR(MATCH(0,INDEX(COUNTIF($B$1:B3394,$A$2:$A$4629),0,0),0)),"",INDEX($A$2:$A$4629,MATCH(0,INDEX(COUNTIF($B$1:B3394,$A$2:$A$4629),0,0),0)))</f>
        <v/>
      </c>
      <c r="C3395" t="str">
        <f t="shared" ref="C3395:C3458" si="53">IF(B3395&lt;&gt;"","&lt;xs:enumeration value="""&amp;B3395&amp;"""/&gt;","")</f>
        <v/>
      </c>
    </row>
    <row r="3396" spans="1:3" x14ac:dyDescent="0.25">
      <c r="A3396" t="str">
        <f>IF(Scan2VK!X98&lt;&gt;"",Scan2VK!X98,"")</f>
        <v>_none_</v>
      </c>
      <c r="B3396" t="str">
        <f>IF(ISERROR(MATCH(0,INDEX(COUNTIF($B$1:B3395,$A$2:$A$4629),0,0),0)),"",INDEX($A$2:$A$4629,MATCH(0,INDEX(COUNTIF($B$1:B3395,$A$2:$A$4629),0,0),0)))</f>
        <v/>
      </c>
      <c r="C3396" t="str">
        <f t="shared" si="53"/>
        <v/>
      </c>
    </row>
    <row r="3397" spans="1:3" x14ac:dyDescent="0.25">
      <c r="A3397" t="str">
        <f>IF(Scan2VK!X99&lt;&gt;"",Scan2VK!X99,"")</f>
        <v>_none_</v>
      </c>
      <c r="B3397" t="str">
        <f>IF(ISERROR(MATCH(0,INDEX(COUNTIF($B$1:B3396,$A$2:$A$4629),0,0),0)),"",INDEX($A$2:$A$4629,MATCH(0,INDEX(COUNTIF($B$1:B3396,$A$2:$A$4629),0,0),0)))</f>
        <v/>
      </c>
      <c r="C3397" t="str">
        <f t="shared" si="53"/>
        <v/>
      </c>
    </row>
    <row r="3398" spans="1:3" x14ac:dyDescent="0.25">
      <c r="A3398" t="str">
        <f>IF(Scan2VK!X100&lt;&gt;"",Scan2VK!X100,"")</f>
        <v>_none_</v>
      </c>
      <c r="B3398" t="str">
        <f>IF(ISERROR(MATCH(0,INDEX(COUNTIF($B$1:B3397,$A$2:$A$4629),0,0),0)),"",INDEX($A$2:$A$4629,MATCH(0,INDEX(COUNTIF($B$1:B3397,$A$2:$A$4629),0,0),0)))</f>
        <v/>
      </c>
      <c r="C3398" t="str">
        <f t="shared" si="53"/>
        <v/>
      </c>
    </row>
    <row r="3399" spans="1:3" x14ac:dyDescent="0.25">
      <c r="A3399" t="str">
        <f>IF(Scan2VK!X101&lt;&gt;"",Scan2VK!X101,"")</f>
        <v>_none_</v>
      </c>
      <c r="B3399" t="str">
        <f>IF(ISERROR(MATCH(0,INDEX(COUNTIF($B$1:B3398,$A$2:$A$4629),0,0),0)),"",INDEX($A$2:$A$4629,MATCH(0,INDEX(COUNTIF($B$1:B3398,$A$2:$A$4629),0,0),0)))</f>
        <v/>
      </c>
      <c r="C3399" t="str">
        <f t="shared" si="53"/>
        <v/>
      </c>
    </row>
    <row r="3400" spans="1:3" x14ac:dyDescent="0.25">
      <c r="A3400" t="str">
        <f>IF(Scan2VK!X102&lt;&gt;"",Scan2VK!X102,"")</f>
        <v>_none_</v>
      </c>
      <c r="B3400" t="str">
        <f>IF(ISERROR(MATCH(0,INDEX(COUNTIF($B$1:B3399,$A$2:$A$4629),0,0),0)),"",INDEX($A$2:$A$4629,MATCH(0,INDEX(COUNTIF($B$1:B3399,$A$2:$A$4629),0,0),0)))</f>
        <v/>
      </c>
      <c r="C3400" t="str">
        <f t="shared" si="53"/>
        <v/>
      </c>
    </row>
    <row r="3401" spans="1:3" x14ac:dyDescent="0.25">
      <c r="A3401" t="str">
        <f>IF(Scan2VK!X103&lt;&gt;"",Scan2VK!X103,"")</f>
        <v>_none_</v>
      </c>
      <c r="B3401" t="str">
        <f>IF(ISERROR(MATCH(0,INDEX(COUNTIF($B$1:B3400,$A$2:$A$4629),0,0),0)),"",INDEX($A$2:$A$4629,MATCH(0,INDEX(COUNTIF($B$1:B3400,$A$2:$A$4629),0,0),0)))</f>
        <v/>
      </c>
      <c r="C3401" t="str">
        <f t="shared" si="53"/>
        <v/>
      </c>
    </row>
    <row r="3402" spans="1:3" x14ac:dyDescent="0.25">
      <c r="A3402" t="str">
        <f>IF(Scan2VK!X104&lt;&gt;"",Scan2VK!X104,"")</f>
        <v>_none_</v>
      </c>
      <c r="B3402" t="str">
        <f>IF(ISERROR(MATCH(0,INDEX(COUNTIF($B$1:B3401,$A$2:$A$4629),0,0),0)),"",INDEX($A$2:$A$4629,MATCH(0,INDEX(COUNTIF($B$1:B3401,$A$2:$A$4629),0,0),0)))</f>
        <v/>
      </c>
      <c r="C3402" t="str">
        <f t="shared" si="53"/>
        <v/>
      </c>
    </row>
    <row r="3403" spans="1:3" x14ac:dyDescent="0.25">
      <c r="A3403" t="str">
        <f>IF(Scan2VK!X105&lt;&gt;"",Scan2VK!X105,"")</f>
        <v>_none_</v>
      </c>
      <c r="B3403" t="str">
        <f>IF(ISERROR(MATCH(0,INDEX(COUNTIF($B$1:B3402,$A$2:$A$4629),0,0),0)),"",INDEX($A$2:$A$4629,MATCH(0,INDEX(COUNTIF($B$1:B3402,$A$2:$A$4629),0,0),0)))</f>
        <v/>
      </c>
      <c r="C3403" t="str">
        <f t="shared" si="53"/>
        <v/>
      </c>
    </row>
    <row r="3404" spans="1:3" x14ac:dyDescent="0.25">
      <c r="A3404" t="str">
        <f>IF(Scan2VK!X106&lt;&gt;"",Scan2VK!X106,"")</f>
        <v>_none_</v>
      </c>
      <c r="B3404" t="str">
        <f>IF(ISERROR(MATCH(0,INDEX(COUNTIF($B$1:B3403,$A$2:$A$4629),0,0),0)),"",INDEX($A$2:$A$4629,MATCH(0,INDEX(COUNTIF($B$1:B3403,$A$2:$A$4629),0,0),0)))</f>
        <v/>
      </c>
      <c r="C3404" t="str">
        <f t="shared" si="53"/>
        <v/>
      </c>
    </row>
    <row r="3405" spans="1:3" x14ac:dyDescent="0.25">
      <c r="A3405" t="str">
        <f>IF(Scan2VK!X107&lt;&gt;"",Scan2VK!X107,"")</f>
        <v>_none_</v>
      </c>
      <c r="B3405" t="str">
        <f>IF(ISERROR(MATCH(0,INDEX(COUNTIF($B$1:B3404,$A$2:$A$4629),0,0),0)),"",INDEX($A$2:$A$4629,MATCH(0,INDEX(COUNTIF($B$1:B3404,$A$2:$A$4629),0,0),0)))</f>
        <v/>
      </c>
      <c r="C3405" t="str">
        <f t="shared" si="53"/>
        <v/>
      </c>
    </row>
    <row r="3406" spans="1:3" x14ac:dyDescent="0.25">
      <c r="A3406" t="str">
        <f>IF(Scan2VK!X108&lt;&gt;"",Scan2VK!X108,"")</f>
        <v>_none_</v>
      </c>
      <c r="B3406" t="str">
        <f>IF(ISERROR(MATCH(0,INDEX(COUNTIF($B$1:B3405,$A$2:$A$4629),0,0),0)),"",INDEX($A$2:$A$4629,MATCH(0,INDEX(COUNTIF($B$1:B3405,$A$2:$A$4629),0,0),0)))</f>
        <v/>
      </c>
      <c r="C3406" t="str">
        <f t="shared" si="53"/>
        <v/>
      </c>
    </row>
    <row r="3407" spans="1:3" x14ac:dyDescent="0.25">
      <c r="A3407" t="str">
        <f>IF(Scan2VK!X109&lt;&gt;"",Scan2VK!X109,"")</f>
        <v>_none_</v>
      </c>
      <c r="B3407" t="str">
        <f>IF(ISERROR(MATCH(0,INDEX(COUNTIF($B$1:B3406,$A$2:$A$4629),0,0),0)),"",INDEX($A$2:$A$4629,MATCH(0,INDEX(COUNTIF($B$1:B3406,$A$2:$A$4629),0,0),0)))</f>
        <v/>
      </c>
      <c r="C3407" t="str">
        <f t="shared" si="53"/>
        <v/>
      </c>
    </row>
    <row r="3408" spans="1:3" x14ac:dyDescent="0.25">
      <c r="A3408" t="str">
        <f>IF(Scan2VK!X110&lt;&gt;"",Scan2VK!X110,"")</f>
        <v>_none_</v>
      </c>
      <c r="B3408" t="str">
        <f>IF(ISERROR(MATCH(0,INDEX(COUNTIF($B$1:B3407,$A$2:$A$4629),0,0),0)),"",INDEX($A$2:$A$4629,MATCH(0,INDEX(COUNTIF($B$1:B3407,$A$2:$A$4629),0,0),0)))</f>
        <v/>
      </c>
      <c r="C3408" t="str">
        <f t="shared" si="53"/>
        <v/>
      </c>
    </row>
    <row r="3409" spans="1:3" x14ac:dyDescent="0.25">
      <c r="A3409" t="str">
        <f>IF(Scan2VK!X111&lt;&gt;"",Scan2VK!X111,"")</f>
        <v>_none_</v>
      </c>
      <c r="B3409" t="str">
        <f>IF(ISERROR(MATCH(0,INDEX(COUNTIF($B$1:B3408,$A$2:$A$4629),0,0),0)),"",INDEX($A$2:$A$4629,MATCH(0,INDEX(COUNTIF($B$1:B3408,$A$2:$A$4629),0,0),0)))</f>
        <v/>
      </c>
      <c r="C3409" t="str">
        <f t="shared" si="53"/>
        <v/>
      </c>
    </row>
    <row r="3410" spans="1:3" x14ac:dyDescent="0.25">
      <c r="A3410" t="str">
        <f>IF(Scan2VK!X112&lt;&gt;"",Scan2VK!X112,"")</f>
        <v>_none_</v>
      </c>
      <c r="B3410" t="str">
        <f>IF(ISERROR(MATCH(0,INDEX(COUNTIF($B$1:B3409,$A$2:$A$4629),0,0),0)),"",INDEX($A$2:$A$4629,MATCH(0,INDEX(COUNTIF($B$1:B3409,$A$2:$A$4629),0,0),0)))</f>
        <v/>
      </c>
      <c r="C3410" t="str">
        <f t="shared" si="53"/>
        <v/>
      </c>
    </row>
    <row r="3411" spans="1:3" x14ac:dyDescent="0.25">
      <c r="A3411" t="str">
        <f>IF(Scan2VK!X113&lt;&gt;"",Scan2VK!X113,"")</f>
        <v>_none_</v>
      </c>
      <c r="B3411" t="str">
        <f>IF(ISERROR(MATCH(0,INDEX(COUNTIF($B$1:B3410,$A$2:$A$4629),0,0),0)),"",INDEX($A$2:$A$4629,MATCH(0,INDEX(COUNTIF($B$1:B3410,$A$2:$A$4629),0,0),0)))</f>
        <v/>
      </c>
      <c r="C3411" t="str">
        <f t="shared" si="53"/>
        <v/>
      </c>
    </row>
    <row r="3412" spans="1:3" x14ac:dyDescent="0.25">
      <c r="A3412" t="str">
        <f>IF(Scan2VK!X114&lt;&gt;"",Scan2VK!X114,"")</f>
        <v>KANA</v>
      </c>
      <c r="B3412" t="str">
        <f>IF(ISERROR(MATCH(0,INDEX(COUNTIF($B$1:B3411,$A$2:$A$4629),0,0),0)),"",INDEX($A$2:$A$4629,MATCH(0,INDEX(COUNTIF($B$1:B3411,$A$2:$A$4629),0,0),0)))</f>
        <v/>
      </c>
      <c r="C3412" t="str">
        <f t="shared" si="53"/>
        <v/>
      </c>
    </row>
    <row r="3413" spans="1:3" x14ac:dyDescent="0.25">
      <c r="A3413" t="str">
        <f>IF(Scan2VK!X115&lt;&gt;"",Scan2VK!X115,"")</f>
        <v>_none_</v>
      </c>
      <c r="B3413" t="str">
        <f>IF(ISERROR(MATCH(0,INDEX(COUNTIF($B$1:B3412,$A$2:$A$4629),0,0),0)),"",INDEX($A$2:$A$4629,MATCH(0,INDEX(COUNTIF($B$1:B3412,$A$2:$A$4629),0,0),0)))</f>
        <v/>
      </c>
      <c r="C3413" t="str">
        <f t="shared" si="53"/>
        <v/>
      </c>
    </row>
    <row r="3414" spans="1:3" x14ac:dyDescent="0.25">
      <c r="A3414" t="str">
        <f>IF(Scan2VK!X116&lt;&gt;"",Scan2VK!X116,"")</f>
        <v>_none_</v>
      </c>
      <c r="B3414" t="str">
        <f>IF(ISERROR(MATCH(0,INDEX(COUNTIF($B$1:B3413,$A$2:$A$4629),0,0),0)),"",INDEX($A$2:$A$4629,MATCH(0,INDEX(COUNTIF($B$1:B3413,$A$2:$A$4629),0,0),0)))</f>
        <v/>
      </c>
      <c r="C3414" t="str">
        <f t="shared" si="53"/>
        <v/>
      </c>
    </row>
    <row r="3415" spans="1:3" x14ac:dyDescent="0.25">
      <c r="A3415" t="str">
        <f>IF(Scan2VK!X117&lt;&gt;"",Scan2VK!X117,"")</f>
        <v>OEM_8</v>
      </c>
      <c r="B3415" t="str">
        <f>IF(ISERROR(MATCH(0,INDEX(COUNTIF($B$1:B3414,$A$2:$A$4629),0,0),0)),"",INDEX($A$2:$A$4629,MATCH(0,INDEX(COUNTIF($B$1:B3414,$A$2:$A$4629),0,0),0)))</f>
        <v/>
      </c>
      <c r="C3415" t="str">
        <f t="shared" si="53"/>
        <v/>
      </c>
    </row>
    <row r="3416" spans="1:3" x14ac:dyDescent="0.25">
      <c r="A3416" t="str">
        <f>IF(Scan2VK!X118&lt;&gt;"",Scan2VK!X118,"")</f>
        <v>OEM_NEC_EQUAL</v>
      </c>
      <c r="B3416" t="str">
        <f>IF(ISERROR(MATCH(0,INDEX(COUNTIF($B$1:B3415,$A$2:$A$4629),0,0),0)),"",INDEX($A$2:$A$4629,MATCH(0,INDEX(COUNTIF($B$1:B3415,$A$2:$A$4629),0,0),0)))</f>
        <v/>
      </c>
      <c r="C3416" t="str">
        <f t="shared" si="53"/>
        <v/>
      </c>
    </row>
    <row r="3417" spans="1:3" x14ac:dyDescent="0.25">
      <c r="A3417" t="str">
        <f>IF(Scan2VK!X119&lt;&gt;"",Scan2VK!X119,"")</f>
        <v>SEPARATOR</v>
      </c>
      <c r="B3417" t="str">
        <f>IF(ISERROR(MATCH(0,INDEX(COUNTIF($B$1:B3416,$A$2:$A$4629),0,0),0)),"",INDEX($A$2:$A$4629,MATCH(0,INDEX(COUNTIF($B$1:B3416,$A$2:$A$4629),0,0),0)))</f>
        <v/>
      </c>
      <c r="C3417" t="str">
        <f t="shared" si="53"/>
        <v/>
      </c>
    </row>
    <row r="3418" spans="1:3" x14ac:dyDescent="0.25">
      <c r="A3418" t="str">
        <f>IF(Scan2VK!X120&lt;&gt;"",Scan2VK!X120,"")</f>
        <v>_none_</v>
      </c>
      <c r="B3418" t="str">
        <f>IF(ISERROR(MATCH(0,INDEX(COUNTIF($B$1:B3417,$A$2:$A$4629),0,0),0)),"",INDEX($A$2:$A$4629,MATCH(0,INDEX(COUNTIF($B$1:B3417,$A$2:$A$4629),0,0),0)))</f>
        <v/>
      </c>
      <c r="C3418" t="str">
        <f t="shared" si="53"/>
        <v/>
      </c>
    </row>
    <row r="3419" spans="1:3" x14ac:dyDescent="0.25">
      <c r="A3419" t="str">
        <f>IF(Scan2VK!X121&lt;&gt;"",Scan2VK!X121,"")</f>
        <v>_none_</v>
      </c>
      <c r="B3419" t="str">
        <f>IF(ISERROR(MATCH(0,INDEX(COUNTIF($B$1:B3418,$A$2:$A$4629),0,0),0)),"",INDEX($A$2:$A$4629,MATCH(0,INDEX(COUNTIF($B$1:B3418,$A$2:$A$4629),0,0),0)))</f>
        <v/>
      </c>
      <c r="C3419" t="str">
        <f t="shared" si="53"/>
        <v/>
      </c>
    </row>
    <row r="3420" spans="1:3" x14ac:dyDescent="0.25">
      <c r="A3420" t="str">
        <f>IF(Scan2VK!X122&lt;&gt;"",Scan2VK!X122,"")</f>
        <v>_none_</v>
      </c>
      <c r="B3420" t="str">
        <f>IF(ISERROR(MATCH(0,INDEX(COUNTIF($B$1:B3419,$A$2:$A$4629),0,0),0)),"",INDEX($A$2:$A$4629,MATCH(0,INDEX(COUNTIF($B$1:B3419,$A$2:$A$4629),0,0),0)))</f>
        <v/>
      </c>
      <c r="C3420" t="str">
        <f t="shared" si="53"/>
        <v/>
      </c>
    </row>
    <row r="3421" spans="1:3" x14ac:dyDescent="0.25">
      <c r="A3421" t="str">
        <f>IF(Scan2VK!X123&lt;&gt;"",Scan2VK!X123,"")</f>
        <v>CONVERT</v>
      </c>
      <c r="B3421" t="str">
        <f>IF(ISERROR(MATCH(0,INDEX(COUNTIF($B$1:B3420,$A$2:$A$4629),0,0),0)),"",INDEX($A$2:$A$4629,MATCH(0,INDEX(COUNTIF($B$1:B3420,$A$2:$A$4629),0,0),0)))</f>
        <v/>
      </c>
      <c r="C3421" t="str">
        <f t="shared" si="53"/>
        <v/>
      </c>
    </row>
    <row r="3422" spans="1:3" x14ac:dyDescent="0.25">
      <c r="A3422" t="str">
        <f>IF(Scan2VK!X124&lt;&gt;"",Scan2VK!X124,"")</f>
        <v>_none_</v>
      </c>
      <c r="B3422" t="str">
        <f>IF(ISERROR(MATCH(0,INDEX(COUNTIF($B$1:B3421,$A$2:$A$4629),0,0),0)),"",INDEX($A$2:$A$4629,MATCH(0,INDEX(COUNTIF($B$1:B3421,$A$2:$A$4629),0,0),0)))</f>
        <v/>
      </c>
      <c r="C3422" t="str">
        <f t="shared" si="53"/>
        <v/>
      </c>
    </row>
    <row r="3423" spans="1:3" x14ac:dyDescent="0.25">
      <c r="A3423" t="str">
        <f>IF(Scan2VK!X125&lt;&gt;"",Scan2VK!X125,"")</f>
        <v>NONCONVERT</v>
      </c>
      <c r="B3423" t="str">
        <f>IF(ISERROR(MATCH(0,INDEX(COUNTIF($B$1:B3422,$A$2:$A$4629),0,0),0)),"",INDEX($A$2:$A$4629,MATCH(0,INDEX(COUNTIF($B$1:B3422,$A$2:$A$4629),0,0),0)))</f>
        <v/>
      </c>
      <c r="C3423" t="str">
        <f t="shared" si="53"/>
        <v/>
      </c>
    </row>
    <row r="3424" spans="1:3" x14ac:dyDescent="0.25">
      <c r="A3424" t="str">
        <f>IF(Scan2VK!X126&lt;&gt;"",Scan2VK!X126,"")</f>
        <v>_none_</v>
      </c>
      <c r="B3424" t="str">
        <f>IF(ISERROR(MATCH(0,INDEX(COUNTIF($B$1:B3423,$A$2:$A$4629),0,0),0)),"",INDEX($A$2:$A$4629,MATCH(0,INDEX(COUNTIF($B$1:B3423,$A$2:$A$4629),0,0),0)))</f>
        <v/>
      </c>
      <c r="C3424" t="str">
        <f t="shared" si="53"/>
        <v/>
      </c>
    </row>
    <row r="3425" spans="1:3" x14ac:dyDescent="0.25">
      <c r="A3425" t="str">
        <f>IF(Scan2VK!X127&lt;&gt;"",Scan2VK!X127,"")</f>
        <v>OEM_5</v>
      </c>
      <c r="B3425" t="str">
        <f>IF(ISERROR(MATCH(0,INDEX(COUNTIF($B$1:B3424,$A$2:$A$4629),0,0),0)),"",INDEX($A$2:$A$4629,MATCH(0,INDEX(COUNTIF($B$1:B3424,$A$2:$A$4629),0,0),0)))</f>
        <v/>
      </c>
      <c r="C3425" t="str">
        <f t="shared" si="53"/>
        <v/>
      </c>
    </row>
    <row r="3426" spans="1:3" x14ac:dyDescent="0.25">
      <c r="A3426" t="str">
        <f>IF(Scan2VK!X128&lt;&gt;"",Scan2VK!X128,"")</f>
        <v>ABNT_C2</v>
      </c>
      <c r="B3426" t="str">
        <f>IF(ISERROR(MATCH(0,INDEX(COUNTIF($B$1:B3425,$A$2:$A$4629),0,0),0)),"",INDEX($A$2:$A$4629,MATCH(0,INDEX(COUNTIF($B$1:B3425,$A$2:$A$4629),0,0),0)))</f>
        <v/>
      </c>
      <c r="C3426" t="str">
        <f t="shared" si="53"/>
        <v/>
      </c>
    </row>
    <row r="3427" spans="1:3" x14ac:dyDescent="0.25">
      <c r="A3427" t="str">
        <f>IF(Scan2VK!X129&lt;&gt;"",Scan2VK!X129,"")</f>
        <v>OEM_PA2</v>
      </c>
      <c r="B3427" t="str">
        <f>IF(ISERROR(MATCH(0,INDEX(COUNTIF($B$1:B3426,$A$2:$A$4629),0,0),0)),"",INDEX($A$2:$A$4629,MATCH(0,INDEX(COUNTIF($B$1:B3426,$A$2:$A$4629),0,0),0)))</f>
        <v/>
      </c>
      <c r="C3427" t="str">
        <f t="shared" si="53"/>
        <v/>
      </c>
    </row>
    <row r="3428" spans="1:3" x14ac:dyDescent="0.25">
      <c r="A3428" t="str">
        <f>IF(Scan2VK!X130&lt;&gt;"",Scan2VK!X130,"")</f>
        <v/>
      </c>
      <c r="B3428" t="str">
        <f>IF(ISERROR(MATCH(0,INDEX(COUNTIF($B$1:B3427,$A$2:$A$4629),0,0),0)),"",INDEX($A$2:$A$4629,MATCH(0,INDEX(COUNTIF($B$1:B3427,$A$2:$A$4629),0,0),0)))</f>
        <v/>
      </c>
      <c r="C3428" t="str">
        <f t="shared" si="53"/>
        <v/>
      </c>
    </row>
    <row r="3429" spans="1:3" x14ac:dyDescent="0.25">
      <c r="A3429" t="str">
        <f>IF(Scan2VK!X131&lt;&gt;"",Scan2VK!X131,"")</f>
        <v/>
      </c>
      <c r="B3429" t="str">
        <f>IF(ISERROR(MATCH(0,INDEX(COUNTIF($B$1:B3428,$A$2:$A$4629),0,0),0)),"",INDEX($A$2:$A$4629,MATCH(0,INDEX(COUNTIF($B$1:B3428,$A$2:$A$4629),0,0),0)))</f>
        <v/>
      </c>
      <c r="C3429" t="str">
        <f t="shared" si="53"/>
        <v/>
      </c>
    </row>
    <row r="3430" spans="1:3" x14ac:dyDescent="0.25">
      <c r="A3430" t="str">
        <f>IF(Scan2VK!X132&lt;&gt;"",Scan2VK!X132,"")</f>
        <v/>
      </c>
      <c r="B3430" t="str">
        <f>IF(ISERROR(MATCH(0,INDEX(COUNTIF($B$1:B3429,$A$2:$A$4629),0,0),0)),"",INDEX($A$2:$A$4629,MATCH(0,INDEX(COUNTIF($B$1:B3429,$A$2:$A$4629),0,0),0)))</f>
        <v/>
      </c>
      <c r="C3430" t="str">
        <f t="shared" si="53"/>
        <v/>
      </c>
    </row>
    <row r="3431" spans="1:3" x14ac:dyDescent="0.25">
      <c r="A3431" t="str">
        <f>IF(Scan2VK!X133&lt;&gt;"",Scan2VK!X133,"")</f>
        <v>RETURN</v>
      </c>
      <c r="B3431" t="str">
        <f>IF(ISERROR(MATCH(0,INDEX(COUNTIF($B$1:B3430,$A$2:$A$4629),0,0),0)),"",INDEX($A$2:$A$4629,MATCH(0,INDEX(COUNTIF($B$1:B3430,$A$2:$A$4629),0,0),0)))</f>
        <v/>
      </c>
      <c r="C3431" t="str">
        <f t="shared" si="53"/>
        <v/>
      </c>
    </row>
    <row r="3432" spans="1:3" x14ac:dyDescent="0.25">
      <c r="A3432" t="str">
        <f>IF(Scan2VK!X134&lt;&gt;"",Scan2VK!X134,"")</f>
        <v>RCONTROL</v>
      </c>
      <c r="B3432" t="str">
        <f>IF(ISERROR(MATCH(0,INDEX(COUNTIF($B$1:B3431,$A$2:$A$4629),0,0),0)),"",INDEX($A$2:$A$4629,MATCH(0,INDEX(COUNTIF($B$1:B3431,$A$2:$A$4629),0,0),0)))</f>
        <v/>
      </c>
      <c r="C3432" t="str">
        <f t="shared" si="53"/>
        <v/>
      </c>
    </row>
    <row r="3433" spans="1:3" x14ac:dyDescent="0.25">
      <c r="A3433" t="str">
        <f>IF(Scan2VK!X135&lt;&gt;"",Scan2VK!X135,"")</f>
        <v/>
      </c>
      <c r="B3433" t="str">
        <f>IF(ISERROR(MATCH(0,INDEX(COUNTIF($B$1:B3432,$A$2:$A$4629),0,0),0)),"",INDEX($A$2:$A$4629,MATCH(0,INDEX(COUNTIF($B$1:B3432,$A$2:$A$4629),0,0),0)))</f>
        <v/>
      </c>
      <c r="C3433" t="str">
        <f t="shared" si="53"/>
        <v/>
      </c>
    </row>
    <row r="3434" spans="1:3" x14ac:dyDescent="0.25">
      <c r="A3434" t="str">
        <f>IF(Scan2VK!X136&lt;&gt;"",Scan2VK!X136,"")</f>
        <v/>
      </c>
      <c r="B3434" t="str">
        <f>IF(ISERROR(MATCH(0,INDEX(COUNTIF($B$1:B3433,$A$2:$A$4629),0,0),0)),"",INDEX($A$2:$A$4629,MATCH(0,INDEX(COUNTIF($B$1:B3433,$A$2:$A$4629),0,0),0)))</f>
        <v/>
      </c>
      <c r="C3434" t="str">
        <f t="shared" si="53"/>
        <v/>
      </c>
    </row>
    <row r="3435" spans="1:3" x14ac:dyDescent="0.25">
      <c r="A3435" t="str">
        <f>IF(Scan2VK!X137&lt;&gt;"",Scan2VK!X137,"")</f>
        <v/>
      </c>
      <c r="B3435" t="str">
        <f>IF(ISERROR(MATCH(0,INDEX(COUNTIF($B$1:B3434,$A$2:$A$4629),0,0),0)),"",INDEX($A$2:$A$4629,MATCH(0,INDEX(COUNTIF($B$1:B3434,$A$2:$A$4629),0,0),0)))</f>
        <v/>
      </c>
      <c r="C3435" t="str">
        <f t="shared" si="53"/>
        <v/>
      </c>
    </row>
    <row r="3436" spans="1:3" x14ac:dyDescent="0.25">
      <c r="A3436" t="str">
        <f>IF(Scan2VK!X138&lt;&gt;"",Scan2VK!X138,"")</f>
        <v/>
      </c>
      <c r="B3436" t="str">
        <f>IF(ISERROR(MATCH(0,INDEX(COUNTIF($B$1:B3435,$A$2:$A$4629),0,0),0)),"",INDEX($A$2:$A$4629,MATCH(0,INDEX(COUNTIF($B$1:B3435,$A$2:$A$4629),0,0),0)))</f>
        <v/>
      </c>
      <c r="C3436" t="str">
        <f t="shared" si="53"/>
        <v/>
      </c>
    </row>
    <row r="3437" spans="1:3" x14ac:dyDescent="0.25">
      <c r="A3437" t="str">
        <f>IF(Scan2VK!X139&lt;&gt;"",Scan2VK!X139,"")</f>
        <v/>
      </c>
      <c r="B3437" t="str">
        <f>IF(ISERROR(MATCH(0,INDEX(COUNTIF($B$1:B3436,$A$2:$A$4629),0,0),0)),"",INDEX($A$2:$A$4629,MATCH(0,INDEX(COUNTIF($B$1:B3436,$A$2:$A$4629),0,0),0)))</f>
        <v/>
      </c>
      <c r="C3437" t="str">
        <f t="shared" si="53"/>
        <v/>
      </c>
    </row>
    <row r="3438" spans="1:3" x14ac:dyDescent="0.25">
      <c r="A3438" t="str">
        <f>IF(Scan2VK!X140&lt;&gt;"",Scan2VK!X140,"")</f>
        <v/>
      </c>
      <c r="B3438" t="str">
        <f>IF(ISERROR(MATCH(0,INDEX(COUNTIF($B$1:B3437,$A$2:$A$4629),0,0),0)),"",INDEX($A$2:$A$4629,MATCH(0,INDEX(COUNTIF($B$1:B3437,$A$2:$A$4629),0,0),0)))</f>
        <v/>
      </c>
      <c r="C3438" t="str">
        <f t="shared" si="53"/>
        <v/>
      </c>
    </row>
    <row r="3439" spans="1:3" x14ac:dyDescent="0.25">
      <c r="A3439" t="str">
        <f>IF(Scan2VK!X141&lt;&gt;"",Scan2VK!X141,"")</f>
        <v/>
      </c>
      <c r="B3439" t="str">
        <f>IF(ISERROR(MATCH(0,INDEX(COUNTIF($B$1:B3438,$A$2:$A$4629),0,0),0)),"",INDEX($A$2:$A$4629,MATCH(0,INDEX(COUNTIF($B$1:B3438,$A$2:$A$4629),0,0),0)))</f>
        <v/>
      </c>
      <c r="C3439" t="str">
        <f t="shared" si="53"/>
        <v/>
      </c>
    </row>
    <row r="3440" spans="1:3" x14ac:dyDescent="0.25">
      <c r="A3440" t="str">
        <f>IF(Scan2VK!X142&lt;&gt;"",Scan2VK!X142,"")</f>
        <v>_none_</v>
      </c>
      <c r="B3440" t="str">
        <f>IF(ISERROR(MATCH(0,INDEX(COUNTIF($B$1:B3439,$A$2:$A$4629),0,0),0)),"",INDEX($A$2:$A$4629,MATCH(0,INDEX(COUNTIF($B$1:B3439,$A$2:$A$4629),0,0),0)))</f>
        <v/>
      </c>
      <c r="C3440" t="str">
        <f t="shared" si="53"/>
        <v/>
      </c>
    </row>
    <row r="3441" spans="1:3" x14ac:dyDescent="0.25">
      <c r="A3441" t="str">
        <f>IF(Scan2VK!X143&lt;&gt;"",Scan2VK!X143,"")</f>
        <v>DIVIDE</v>
      </c>
      <c r="B3441" t="str">
        <f>IF(ISERROR(MATCH(0,INDEX(COUNTIF($B$1:B3440,$A$2:$A$4629),0,0),0)),"",INDEX($A$2:$A$4629,MATCH(0,INDEX(COUNTIF($B$1:B3440,$A$2:$A$4629),0,0),0)))</f>
        <v/>
      </c>
      <c r="C3441" t="str">
        <f t="shared" si="53"/>
        <v/>
      </c>
    </row>
    <row r="3442" spans="1:3" x14ac:dyDescent="0.25">
      <c r="A3442" t="str">
        <f>IF(Scan2VK!X144&lt;&gt;"",Scan2VK!X144,"")</f>
        <v>SNAPSHOT</v>
      </c>
      <c r="B3442" t="str">
        <f>IF(ISERROR(MATCH(0,INDEX(COUNTIF($B$1:B3441,$A$2:$A$4629),0,0),0)),"",INDEX($A$2:$A$4629,MATCH(0,INDEX(COUNTIF($B$1:B3441,$A$2:$A$4629),0,0),0)))</f>
        <v/>
      </c>
      <c r="C3442" t="str">
        <f t="shared" si="53"/>
        <v/>
      </c>
    </row>
    <row r="3443" spans="1:3" x14ac:dyDescent="0.25">
      <c r="A3443" t="str">
        <f>IF(Scan2VK!X145&lt;&gt;"",Scan2VK!X145,"")</f>
        <v>_none_</v>
      </c>
      <c r="B3443" t="str">
        <f>IF(ISERROR(MATCH(0,INDEX(COUNTIF($B$1:B3442,$A$2:$A$4629),0,0),0)),"",INDEX($A$2:$A$4629,MATCH(0,INDEX(COUNTIF($B$1:B3442,$A$2:$A$4629),0,0),0)))</f>
        <v/>
      </c>
      <c r="C3443" t="str">
        <f t="shared" si="53"/>
        <v/>
      </c>
    </row>
    <row r="3444" spans="1:3" x14ac:dyDescent="0.25">
      <c r="A3444" t="str">
        <f>IF(Scan2VK!X146&lt;&gt;"",Scan2VK!X146,"")</f>
        <v/>
      </c>
      <c r="B3444" t="str">
        <f>IF(ISERROR(MATCH(0,INDEX(COUNTIF($B$1:B3443,$A$2:$A$4629),0,0),0)),"",INDEX($A$2:$A$4629,MATCH(0,INDEX(COUNTIF($B$1:B3443,$A$2:$A$4629),0,0),0)))</f>
        <v/>
      </c>
      <c r="C3444" t="str">
        <f t="shared" si="53"/>
        <v/>
      </c>
    </row>
    <row r="3445" spans="1:3" x14ac:dyDescent="0.25">
      <c r="A3445" t="str">
        <f>IF(Scan2VK!X147&lt;&gt;"",Scan2VK!X147,"")</f>
        <v/>
      </c>
      <c r="B3445" t="str">
        <f>IF(ISERROR(MATCH(0,INDEX(COUNTIF($B$1:B3444,$A$2:$A$4629),0,0),0)),"",INDEX($A$2:$A$4629,MATCH(0,INDEX(COUNTIF($B$1:B3444,$A$2:$A$4629),0,0),0)))</f>
        <v/>
      </c>
      <c r="C3445" t="str">
        <f t="shared" si="53"/>
        <v/>
      </c>
    </row>
    <row r="3446" spans="1:3" x14ac:dyDescent="0.25">
      <c r="A3446" t="str">
        <f>IF(Scan2VK!X148&lt;&gt;"",Scan2VK!X148,"")</f>
        <v/>
      </c>
      <c r="B3446" t="str">
        <f>IF(ISERROR(MATCH(0,INDEX(COUNTIF($B$1:B3445,$A$2:$A$4629),0,0),0)),"",INDEX($A$2:$A$4629,MATCH(0,INDEX(COUNTIF($B$1:B3445,$A$2:$A$4629),0,0),0)))</f>
        <v/>
      </c>
      <c r="C3446" t="str">
        <f t="shared" si="53"/>
        <v/>
      </c>
    </row>
    <row r="3447" spans="1:3" x14ac:dyDescent="0.25">
      <c r="A3447" t="str">
        <f>IF(Scan2VK!X149&lt;&gt;"",Scan2VK!X149,"")</f>
        <v/>
      </c>
      <c r="B3447" t="str">
        <f>IF(ISERROR(MATCH(0,INDEX(COUNTIF($B$1:B3446,$A$2:$A$4629),0,0),0)),"",INDEX($A$2:$A$4629,MATCH(0,INDEX(COUNTIF($B$1:B3446,$A$2:$A$4629),0,0),0)))</f>
        <v/>
      </c>
      <c r="C3447" t="str">
        <f t="shared" si="53"/>
        <v/>
      </c>
    </row>
    <row r="3448" spans="1:3" x14ac:dyDescent="0.25">
      <c r="A3448" t="str">
        <f>IF(Scan2VK!X150&lt;&gt;"",Scan2VK!X150,"")</f>
        <v/>
      </c>
      <c r="B3448" t="str">
        <f>IF(ISERROR(MATCH(0,INDEX(COUNTIF($B$1:B3447,$A$2:$A$4629),0,0),0)),"",INDEX($A$2:$A$4629,MATCH(0,INDEX(COUNTIF($B$1:B3447,$A$2:$A$4629),0,0),0)))</f>
        <v/>
      </c>
      <c r="C3448" t="str">
        <f t="shared" si="53"/>
        <v/>
      </c>
    </row>
    <row r="3449" spans="1:3" x14ac:dyDescent="0.25">
      <c r="A3449" t="str">
        <f>IF(Scan2VK!X151&lt;&gt;"",Scan2VK!X151,"")</f>
        <v>_none_</v>
      </c>
      <c r="B3449" t="str">
        <f>IF(ISERROR(MATCH(0,INDEX(COUNTIF($B$1:B3448,$A$2:$A$4629),0,0),0)),"",INDEX($A$2:$A$4629,MATCH(0,INDEX(COUNTIF($B$1:B3448,$A$2:$A$4629),0,0),0)))</f>
        <v/>
      </c>
      <c r="C3449" t="str">
        <f t="shared" si="53"/>
        <v/>
      </c>
    </row>
    <row r="3450" spans="1:3" x14ac:dyDescent="0.25">
      <c r="A3450" t="str">
        <f>IF(Scan2VK!X152&lt;&gt;"",Scan2VK!X152,"")</f>
        <v>_none_</v>
      </c>
      <c r="B3450" t="str">
        <f>IF(ISERROR(MATCH(0,INDEX(COUNTIF($B$1:B3449,$A$2:$A$4629),0,0),0)),"",INDEX($A$2:$A$4629,MATCH(0,INDEX(COUNTIF($B$1:B3449,$A$2:$A$4629),0,0),0)))</f>
        <v/>
      </c>
      <c r="C3450" t="str">
        <f t="shared" si="53"/>
        <v/>
      </c>
    </row>
    <row r="3451" spans="1:3" x14ac:dyDescent="0.25">
      <c r="A3451" t="str">
        <f>IF(Scan2VK!X153&lt;&gt;"",Scan2VK!X153,"")</f>
        <v>_none_</v>
      </c>
      <c r="B3451" t="str">
        <f>IF(ISERROR(MATCH(0,INDEX(COUNTIF($B$1:B3450,$A$2:$A$4629),0,0),0)),"",INDEX($A$2:$A$4629,MATCH(0,INDEX(COUNTIF($B$1:B3450,$A$2:$A$4629),0,0),0)))</f>
        <v/>
      </c>
      <c r="C3451" t="str">
        <f t="shared" si="53"/>
        <v/>
      </c>
    </row>
    <row r="3452" spans="1:3" x14ac:dyDescent="0.25">
      <c r="A3452" t="str">
        <f>IF(Scan2VK!X154&lt;&gt;"",Scan2VK!X154,"")</f>
        <v>CANCEL</v>
      </c>
      <c r="B3452" t="str">
        <f>IF(ISERROR(MATCH(0,INDEX(COUNTIF($B$1:B3451,$A$2:$A$4629),0,0),0)),"",INDEX($A$2:$A$4629,MATCH(0,INDEX(COUNTIF($B$1:B3451,$A$2:$A$4629),0,0),0)))</f>
        <v/>
      </c>
      <c r="C3452" t="str">
        <f t="shared" si="53"/>
        <v/>
      </c>
    </row>
    <row r="3453" spans="1:3" x14ac:dyDescent="0.25">
      <c r="A3453" t="str">
        <f>IF(Scan2VK!X155&lt;&gt;"",Scan2VK!X155,"")</f>
        <v>HOME</v>
      </c>
      <c r="B3453" t="str">
        <f>IF(ISERROR(MATCH(0,INDEX(COUNTIF($B$1:B3452,$A$2:$A$4629),0,0),0)),"",INDEX($A$2:$A$4629,MATCH(0,INDEX(COUNTIF($B$1:B3452,$A$2:$A$4629),0,0),0)))</f>
        <v/>
      </c>
      <c r="C3453" t="str">
        <f t="shared" si="53"/>
        <v/>
      </c>
    </row>
    <row r="3454" spans="1:3" x14ac:dyDescent="0.25">
      <c r="A3454" t="str">
        <f>IF(Scan2VK!X156&lt;&gt;"",Scan2VK!X156,"")</f>
        <v>UP</v>
      </c>
      <c r="B3454" t="str">
        <f>IF(ISERROR(MATCH(0,INDEX(COUNTIF($B$1:B3453,$A$2:$A$4629),0,0),0)),"",INDEX($A$2:$A$4629,MATCH(0,INDEX(COUNTIF($B$1:B3453,$A$2:$A$4629),0,0),0)))</f>
        <v/>
      </c>
      <c r="C3454" t="str">
        <f t="shared" si="53"/>
        <v/>
      </c>
    </row>
    <row r="3455" spans="1:3" x14ac:dyDescent="0.25">
      <c r="A3455" t="str">
        <f>IF(Scan2VK!X157&lt;&gt;"",Scan2VK!X157,"")</f>
        <v>PRIOR</v>
      </c>
      <c r="B3455" t="str">
        <f>IF(ISERROR(MATCH(0,INDEX(COUNTIF($B$1:B3454,$A$2:$A$4629),0,0),0)),"",INDEX($A$2:$A$4629,MATCH(0,INDEX(COUNTIF($B$1:B3454,$A$2:$A$4629),0,0),0)))</f>
        <v/>
      </c>
      <c r="C3455" t="str">
        <f t="shared" si="53"/>
        <v/>
      </c>
    </row>
    <row r="3456" spans="1:3" x14ac:dyDescent="0.25">
      <c r="A3456" t="str">
        <f>IF(Scan2VK!X158&lt;&gt;"",Scan2VK!X158,"")</f>
        <v>LEFT</v>
      </c>
      <c r="B3456" t="str">
        <f>IF(ISERROR(MATCH(0,INDEX(COUNTIF($B$1:B3455,$A$2:$A$4629),0,0),0)),"",INDEX($A$2:$A$4629,MATCH(0,INDEX(COUNTIF($B$1:B3455,$A$2:$A$4629),0,0),0)))</f>
        <v/>
      </c>
      <c r="C3456" t="str">
        <f t="shared" si="53"/>
        <v/>
      </c>
    </row>
    <row r="3457" spans="1:3" x14ac:dyDescent="0.25">
      <c r="A3457" t="str">
        <f>IF(Scan2VK!X159&lt;&gt;"",Scan2VK!X159,"")</f>
        <v>RIGHT</v>
      </c>
      <c r="B3457" t="str">
        <f>IF(ISERROR(MATCH(0,INDEX(COUNTIF($B$1:B3456,$A$2:$A$4629),0,0),0)),"",INDEX($A$2:$A$4629,MATCH(0,INDEX(COUNTIF($B$1:B3456,$A$2:$A$4629),0,0),0)))</f>
        <v/>
      </c>
      <c r="C3457" t="str">
        <f t="shared" si="53"/>
        <v/>
      </c>
    </row>
    <row r="3458" spans="1:3" x14ac:dyDescent="0.25">
      <c r="A3458" t="str">
        <f>IF(Scan2VK!X160&lt;&gt;"",Scan2VK!X160,"")</f>
        <v>END</v>
      </c>
      <c r="B3458" t="str">
        <f>IF(ISERROR(MATCH(0,INDEX(COUNTIF($B$1:B3457,$A$2:$A$4629),0,0),0)),"",INDEX($A$2:$A$4629,MATCH(0,INDEX(COUNTIF($B$1:B3457,$A$2:$A$4629),0,0),0)))</f>
        <v/>
      </c>
      <c r="C3458" t="str">
        <f t="shared" si="53"/>
        <v/>
      </c>
    </row>
    <row r="3459" spans="1:3" x14ac:dyDescent="0.25">
      <c r="A3459" t="str">
        <f>IF(Scan2VK!X161&lt;&gt;"",Scan2VK!X161,"")</f>
        <v>DOWN</v>
      </c>
      <c r="B3459" t="str">
        <f>IF(ISERROR(MATCH(0,INDEX(COUNTIF($B$1:B3458,$A$2:$A$4629),0,0),0)),"",INDEX($A$2:$A$4629,MATCH(0,INDEX(COUNTIF($B$1:B3458,$A$2:$A$4629),0,0),0)))</f>
        <v/>
      </c>
      <c r="C3459" t="str">
        <f t="shared" ref="C3459:C3522" si="54">IF(B3459&lt;&gt;"","&lt;xs:enumeration value="""&amp;B3459&amp;"""/&gt;","")</f>
        <v/>
      </c>
    </row>
    <row r="3460" spans="1:3" x14ac:dyDescent="0.25">
      <c r="A3460" t="str">
        <f>IF(Scan2VK!X162&lt;&gt;"",Scan2VK!X162,"")</f>
        <v>NEXT</v>
      </c>
      <c r="B3460" t="str">
        <f>IF(ISERROR(MATCH(0,INDEX(COUNTIF($B$1:B3459,$A$2:$A$4629),0,0),0)),"",INDEX($A$2:$A$4629,MATCH(0,INDEX(COUNTIF($B$1:B3459,$A$2:$A$4629),0,0),0)))</f>
        <v/>
      </c>
      <c r="C3460" t="str">
        <f t="shared" si="54"/>
        <v/>
      </c>
    </row>
    <row r="3461" spans="1:3" x14ac:dyDescent="0.25">
      <c r="A3461" t="str">
        <f>IF(Scan2VK!X163&lt;&gt;"",Scan2VK!X163,"")</f>
        <v>INSERT</v>
      </c>
      <c r="B3461" t="str">
        <f>IF(ISERROR(MATCH(0,INDEX(COUNTIF($B$1:B3460,$A$2:$A$4629),0,0),0)),"",INDEX($A$2:$A$4629,MATCH(0,INDEX(COUNTIF($B$1:B3460,$A$2:$A$4629),0,0),0)))</f>
        <v/>
      </c>
      <c r="C3461" t="str">
        <f t="shared" si="54"/>
        <v/>
      </c>
    </row>
    <row r="3462" spans="1:3" x14ac:dyDescent="0.25">
      <c r="A3462" t="str">
        <f>IF(Scan2VK!X164&lt;&gt;"",Scan2VK!X164,"")</f>
        <v>DELETE</v>
      </c>
      <c r="B3462" t="str">
        <f>IF(ISERROR(MATCH(0,INDEX(COUNTIF($B$1:B3461,$A$2:$A$4629),0,0),0)),"",INDEX($A$2:$A$4629,MATCH(0,INDEX(COUNTIF($B$1:B3461,$A$2:$A$4629),0,0),0)))</f>
        <v/>
      </c>
      <c r="C3462" t="str">
        <f t="shared" si="54"/>
        <v/>
      </c>
    </row>
    <row r="3463" spans="1:3" x14ac:dyDescent="0.25">
      <c r="A3463" t="str">
        <f>IF(Scan2VK!X165&lt;&gt;"",Scan2VK!X165,"")</f>
        <v>LWIN</v>
      </c>
      <c r="B3463" t="str">
        <f>IF(ISERROR(MATCH(0,INDEX(COUNTIF($B$1:B3462,$A$2:$A$4629),0,0),0)),"",INDEX($A$2:$A$4629,MATCH(0,INDEX(COUNTIF($B$1:B3462,$A$2:$A$4629),0,0),0)))</f>
        <v/>
      </c>
      <c r="C3463" t="str">
        <f t="shared" si="54"/>
        <v/>
      </c>
    </row>
    <row r="3464" spans="1:3" x14ac:dyDescent="0.25">
      <c r="A3464" t="str">
        <f>IF(Scan2VK!X166&lt;&gt;"",Scan2VK!X166,"")</f>
        <v>RWIN</v>
      </c>
      <c r="B3464" t="str">
        <f>IF(ISERROR(MATCH(0,INDEX(COUNTIF($B$1:B3463,$A$2:$A$4629),0,0),0)),"",INDEX($A$2:$A$4629,MATCH(0,INDEX(COUNTIF($B$1:B3463,$A$2:$A$4629),0,0),0)))</f>
        <v/>
      </c>
      <c r="C3464" t="str">
        <f t="shared" si="54"/>
        <v/>
      </c>
    </row>
    <row r="3465" spans="1:3" x14ac:dyDescent="0.25">
      <c r="A3465" t="str">
        <f>IF(Scan2VK!X167&lt;&gt;"",Scan2VK!X167,"")</f>
        <v>APPS</v>
      </c>
      <c r="B3465" t="str">
        <f>IF(ISERROR(MATCH(0,INDEX(COUNTIF($B$1:B3464,$A$2:$A$4629),0,0),0)),"",INDEX($A$2:$A$4629,MATCH(0,INDEX(COUNTIF($B$1:B3464,$A$2:$A$4629),0,0),0)))</f>
        <v/>
      </c>
      <c r="C3465" t="str">
        <f t="shared" si="54"/>
        <v/>
      </c>
    </row>
    <row r="3466" spans="1:3" x14ac:dyDescent="0.25">
      <c r="A3466" t="str">
        <f>IF(Scan2VK!X168&lt;&gt;"",Scan2VK!X168,"")</f>
        <v>POWER</v>
      </c>
      <c r="B3466" t="str">
        <f>IF(ISERROR(MATCH(0,INDEX(COUNTIF($B$1:B3465,$A$2:$A$4629),0,0),0)),"",INDEX($A$2:$A$4629,MATCH(0,INDEX(COUNTIF($B$1:B3465,$A$2:$A$4629),0,0),0)))</f>
        <v/>
      </c>
      <c r="C3466" t="str">
        <f t="shared" si="54"/>
        <v/>
      </c>
    </row>
    <row r="3467" spans="1:3" x14ac:dyDescent="0.25">
      <c r="A3467" t="str">
        <f>IF(Scan2VK!X169&lt;&gt;"",Scan2VK!X169,"")</f>
        <v>SLEEP</v>
      </c>
      <c r="B3467" t="str">
        <f>IF(ISERROR(MATCH(0,INDEX(COUNTIF($B$1:B3466,$A$2:$A$4629),0,0),0)),"",INDEX($A$2:$A$4629,MATCH(0,INDEX(COUNTIF($B$1:B3466,$A$2:$A$4629),0,0),0)))</f>
        <v/>
      </c>
      <c r="C3467" t="str">
        <f t="shared" si="54"/>
        <v/>
      </c>
    </row>
    <row r="3468" spans="1:3" x14ac:dyDescent="0.25">
      <c r="A3468" t="str">
        <f>IF(Scan2VK!X170&lt;&gt;"",Scan2VK!X170,"")</f>
        <v>_none_</v>
      </c>
      <c r="B3468" t="str">
        <f>IF(ISERROR(MATCH(0,INDEX(COUNTIF($B$1:B3467,$A$2:$A$4629),0,0),0)),"",INDEX($A$2:$A$4629,MATCH(0,INDEX(COUNTIF($B$1:B3467,$A$2:$A$4629),0,0),0)))</f>
        <v/>
      </c>
      <c r="C3468" t="str">
        <f t="shared" si="54"/>
        <v/>
      </c>
    </row>
    <row r="3469" spans="1:3" x14ac:dyDescent="0.25">
      <c r="A3469" t="str">
        <f>IF(Scan2VK!X171&lt;&gt;"",Scan2VK!X171,"")</f>
        <v>_none_</v>
      </c>
      <c r="B3469" t="str">
        <f>IF(ISERROR(MATCH(0,INDEX(COUNTIF($B$1:B3468,$A$2:$A$4629),0,0),0)),"",INDEX($A$2:$A$4629,MATCH(0,INDEX(COUNTIF($B$1:B3468,$A$2:$A$4629),0,0),0)))</f>
        <v/>
      </c>
      <c r="C3469" t="str">
        <f t="shared" si="54"/>
        <v/>
      </c>
    </row>
    <row r="3470" spans="1:3" x14ac:dyDescent="0.25">
      <c r="A3470" t="str">
        <f>IF(Scan2VK!X172&lt;&gt;"",Scan2VK!X172,"")</f>
        <v>_none_</v>
      </c>
      <c r="B3470" t="str">
        <f>IF(ISERROR(MATCH(0,INDEX(COUNTIF($B$1:B3469,$A$2:$A$4629),0,0),0)),"",INDEX($A$2:$A$4629,MATCH(0,INDEX(COUNTIF($B$1:B3469,$A$2:$A$4629),0,0),0)))</f>
        <v/>
      </c>
      <c r="C3470" t="str">
        <f t="shared" si="54"/>
        <v/>
      </c>
    </row>
    <row r="3471" spans="1:3" x14ac:dyDescent="0.25">
      <c r="A3471" t="str">
        <f>IF(Scan2VK!X173&lt;&gt;"",Scan2VK!X173,"")</f>
        <v>_none_</v>
      </c>
      <c r="B3471" t="str">
        <f>IF(ISERROR(MATCH(0,INDEX(COUNTIF($B$1:B3470,$A$2:$A$4629),0,0),0)),"",INDEX($A$2:$A$4629,MATCH(0,INDEX(COUNTIF($B$1:B3470,$A$2:$A$4629),0,0),0)))</f>
        <v/>
      </c>
      <c r="C3471" t="str">
        <f t="shared" si="54"/>
        <v/>
      </c>
    </row>
    <row r="3472" spans="1:3" x14ac:dyDescent="0.25">
      <c r="A3472" t="str">
        <f>IF(Scan2VK!X174&lt;&gt;"",Scan2VK!X174,"")</f>
        <v>_none_</v>
      </c>
      <c r="B3472" t="str">
        <f>IF(ISERROR(MATCH(0,INDEX(COUNTIF($B$1:B3471,$A$2:$A$4629),0,0),0)),"",INDEX($A$2:$A$4629,MATCH(0,INDEX(COUNTIF($B$1:B3471,$A$2:$A$4629),0,0),0)))</f>
        <v/>
      </c>
      <c r="C3472" t="str">
        <f t="shared" si="54"/>
        <v/>
      </c>
    </row>
    <row r="3473" spans="1:3" x14ac:dyDescent="0.25">
      <c r="A3473" t="str">
        <f>IF(Scan2VK!X175&lt;&gt;"",Scan2VK!X175,"")</f>
        <v>_none_</v>
      </c>
      <c r="B3473" t="str">
        <f>IF(ISERROR(MATCH(0,INDEX(COUNTIF($B$1:B3472,$A$2:$A$4629),0,0),0)),"",INDEX($A$2:$A$4629,MATCH(0,INDEX(COUNTIF($B$1:B3472,$A$2:$A$4629),0,0),0)))</f>
        <v/>
      </c>
      <c r="C3473" t="str">
        <f t="shared" si="54"/>
        <v/>
      </c>
    </row>
    <row r="3474" spans="1:3" x14ac:dyDescent="0.25">
      <c r="A3474" t="str">
        <f>IF(Scan2VK!X176&lt;&gt;"",Scan2VK!X176,"")</f>
        <v>_none_</v>
      </c>
      <c r="B3474" t="str">
        <f>IF(ISERROR(MATCH(0,INDEX(COUNTIF($B$1:B3473,$A$2:$A$4629),0,0),0)),"",INDEX($A$2:$A$4629,MATCH(0,INDEX(COUNTIF($B$1:B3473,$A$2:$A$4629),0,0),0)))</f>
        <v/>
      </c>
      <c r="C3474" t="str">
        <f t="shared" si="54"/>
        <v/>
      </c>
    </row>
    <row r="3475" spans="1:3" x14ac:dyDescent="0.25">
      <c r="A3475" t="str">
        <f>IF(Scan2VK!X177&lt;&gt;"",Scan2VK!X177,"")</f>
        <v/>
      </c>
      <c r="B3475" t="str">
        <f>IF(ISERROR(MATCH(0,INDEX(COUNTIF($B$1:B3474,$A$2:$A$4629),0,0),0)),"",INDEX($A$2:$A$4629,MATCH(0,INDEX(COUNTIF($B$1:B3474,$A$2:$A$4629),0,0),0)))</f>
        <v/>
      </c>
      <c r="C3475" t="str">
        <f t="shared" si="54"/>
        <v/>
      </c>
    </row>
    <row r="3476" spans="1:3" x14ac:dyDescent="0.25">
      <c r="A3476" t="str">
        <f>IF(Scan2VK!X178&lt;&gt;"",Scan2VK!X178,"")</f>
        <v/>
      </c>
      <c r="B3476" t="str">
        <f>IF(ISERROR(MATCH(0,INDEX(COUNTIF($B$1:B3475,$A$2:$A$4629),0,0),0)),"",INDEX($A$2:$A$4629,MATCH(0,INDEX(COUNTIF($B$1:B3475,$A$2:$A$4629),0,0),0)))</f>
        <v/>
      </c>
      <c r="C3476" t="str">
        <f t="shared" si="54"/>
        <v/>
      </c>
    </row>
    <row r="3477" spans="1:3" x14ac:dyDescent="0.25">
      <c r="A3477" t="str">
        <f>IF(Scan2VK!X179&lt;&gt;"",Scan2VK!X179,"")</f>
        <v/>
      </c>
      <c r="B3477" t="str">
        <f>IF(ISERROR(MATCH(0,INDEX(COUNTIF($B$1:B3476,$A$2:$A$4629),0,0),0)),"",INDEX($A$2:$A$4629,MATCH(0,INDEX(COUNTIF($B$1:B3476,$A$2:$A$4629),0,0),0)))</f>
        <v/>
      </c>
      <c r="C3477" t="str">
        <f t="shared" si="54"/>
        <v/>
      </c>
    </row>
    <row r="3478" spans="1:3" x14ac:dyDescent="0.25">
      <c r="A3478" t="str">
        <f>IF(Scan2VK!X180&lt;&gt;"",Scan2VK!X180,"")</f>
        <v/>
      </c>
      <c r="B3478" t="str">
        <f>IF(ISERROR(MATCH(0,INDEX(COUNTIF($B$1:B3477,$A$2:$A$4629),0,0),0)),"",INDEX($A$2:$A$4629,MATCH(0,INDEX(COUNTIF($B$1:B3477,$A$2:$A$4629),0,0),0)))</f>
        <v/>
      </c>
      <c r="C3478" t="str">
        <f t="shared" si="54"/>
        <v/>
      </c>
    </row>
    <row r="3479" spans="1:3" x14ac:dyDescent="0.25">
      <c r="A3479" t="str">
        <f>IF(Scan2VK!X181&lt;&gt;"",Scan2VK!X181,"")</f>
        <v/>
      </c>
      <c r="B3479" t="str">
        <f>IF(ISERROR(MATCH(0,INDEX(COUNTIF($B$1:B3478,$A$2:$A$4629),0,0),0)),"",INDEX($A$2:$A$4629,MATCH(0,INDEX(COUNTIF($B$1:B3478,$A$2:$A$4629),0,0),0)))</f>
        <v/>
      </c>
      <c r="C3479" t="str">
        <f t="shared" si="54"/>
        <v/>
      </c>
    </row>
    <row r="3480" spans="1:3" x14ac:dyDescent="0.25">
      <c r="A3480" t="str">
        <f>IF(Scan2VK!X182&lt;&gt;"",Scan2VK!X182,"")</f>
        <v/>
      </c>
      <c r="B3480" t="str">
        <f>IF(ISERROR(MATCH(0,INDEX(COUNTIF($B$1:B3479,$A$2:$A$4629),0,0),0)),"",INDEX($A$2:$A$4629,MATCH(0,INDEX(COUNTIF($B$1:B3479,$A$2:$A$4629),0,0),0)))</f>
        <v/>
      </c>
      <c r="C3480" t="str">
        <f t="shared" si="54"/>
        <v/>
      </c>
    </row>
    <row r="3481" spans="1:3" x14ac:dyDescent="0.25">
      <c r="A3481" t="str">
        <f>IF(Scan2VK!X183&lt;&gt;"",Scan2VK!X183,"")</f>
        <v>_none_</v>
      </c>
      <c r="B3481" t="str">
        <f>IF(ISERROR(MATCH(0,INDEX(COUNTIF($B$1:B3480,$A$2:$A$4629),0,0),0)),"",INDEX($A$2:$A$4629,MATCH(0,INDEX(COUNTIF($B$1:B3480,$A$2:$A$4629),0,0),0)))</f>
        <v/>
      </c>
      <c r="C3481" t="str">
        <f t="shared" si="54"/>
        <v/>
      </c>
    </row>
    <row r="3482" spans="1:3" x14ac:dyDescent="0.25">
      <c r="A3482" t="str">
        <f>IF(Scan2VK!X184&lt;&gt;"",Scan2VK!X184,"")</f>
        <v>_none_</v>
      </c>
      <c r="B3482" t="str">
        <f>IF(ISERROR(MATCH(0,INDEX(COUNTIF($B$1:B3481,$A$2:$A$4629),0,0),0)),"",INDEX($A$2:$A$4629,MATCH(0,INDEX(COUNTIF($B$1:B3481,$A$2:$A$4629),0,0),0)))</f>
        <v/>
      </c>
      <c r="C3482" t="str">
        <f t="shared" si="54"/>
        <v/>
      </c>
    </row>
    <row r="3483" spans="1:3" x14ac:dyDescent="0.25">
      <c r="A3483" t="str">
        <f>IF(Scan2VK!X185&lt;&gt;"",Scan2VK!X185,"")</f>
        <v>_none_</v>
      </c>
      <c r="B3483" t="str">
        <f>IF(ISERROR(MATCH(0,INDEX(COUNTIF($B$1:B3482,$A$2:$A$4629),0,0),0)),"",INDEX($A$2:$A$4629,MATCH(0,INDEX(COUNTIF($B$1:B3482,$A$2:$A$4629),0,0),0)))</f>
        <v/>
      </c>
      <c r="C3483" t="str">
        <f t="shared" si="54"/>
        <v/>
      </c>
    </row>
    <row r="3484" spans="1:3" x14ac:dyDescent="0.25">
      <c r="A3484" t="str">
        <f>IF(Scan2VK!X186&lt;&gt;"",Scan2VK!X186,"")</f>
        <v>_none_</v>
      </c>
      <c r="B3484" t="str">
        <f>IF(ISERROR(MATCH(0,INDEX(COUNTIF($B$1:B3483,$A$2:$A$4629),0,0),0)),"",INDEX($A$2:$A$4629,MATCH(0,INDEX(COUNTIF($B$1:B3483,$A$2:$A$4629),0,0),0)))</f>
        <v/>
      </c>
      <c r="C3484" t="str">
        <f t="shared" si="54"/>
        <v/>
      </c>
    </row>
    <row r="3485" spans="1:3" x14ac:dyDescent="0.25">
      <c r="A3485" t="str">
        <f>IF(Scan2VK!X187&lt;&gt;"",Scan2VK!X187,"")</f>
        <v>_none_</v>
      </c>
      <c r="B3485" t="str">
        <f>IF(ISERROR(MATCH(0,INDEX(COUNTIF($B$1:B3484,$A$2:$A$4629),0,0),0)),"",INDEX($A$2:$A$4629,MATCH(0,INDEX(COUNTIF($B$1:B3484,$A$2:$A$4629),0,0),0)))</f>
        <v/>
      </c>
      <c r="C3485" t="str">
        <f t="shared" si="54"/>
        <v/>
      </c>
    </row>
    <row r="3486" spans="1:3" x14ac:dyDescent="0.25">
      <c r="A3486" t="str">
        <f>IF(Scan2VK!X188&lt;&gt;"",Scan2VK!X188,"")</f>
        <v>_none_</v>
      </c>
      <c r="B3486" t="str">
        <f>IF(ISERROR(MATCH(0,INDEX(COUNTIF($B$1:B3485,$A$2:$A$4629),0,0),0)),"",INDEX($A$2:$A$4629,MATCH(0,INDEX(COUNTIF($B$1:B3485,$A$2:$A$4629),0,0),0)))</f>
        <v/>
      </c>
      <c r="C3486" t="str">
        <f t="shared" si="54"/>
        <v/>
      </c>
    </row>
    <row r="3487" spans="1:3" x14ac:dyDescent="0.25">
      <c r="A3487" t="str">
        <f>IF(Scan2VK!X189&lt;&gt;"",Scan2VK!X189,"")</f>
        <v>_none_</v>
      </c>
      <c r="B3487" t="str">
        <f>IF(ISERROR(MATCH(0,INDEX(COUNTIF($B$1:B3486,$A$2:$A$4629),0,0),0)),"",INDEX($A$2:$A$4629,MATCH(0,INDEX(COUNTIF($B$1:B3486,$A$2:$A$4629),0,0),0)))</f>
        <v/>
      </c>
      <c r="C3487" t="str">
        <f t="shared" si="54"/>
        <v/>
      </c>
    </row>
    <row r="3488" spans="1:3" x14ac:dyDescent="0.25">
      <c r="A3488" t="str">
        <f>IF(Scan2VK!X190&lt;&gt;"",Scan2VK!X190,"")</f>
        <v>_none_</v>
      </c>
      <c r="B3488" t="str">
        <f>IF(ISERROR(MATCH(0,INDEX(COUNTIF($B$1:B3487,$A$2:$A$4629),0,0),0)),"",INDEX($A$2:$A$4629,MATCH(0,INDEX(COUNTIF($B$1:B3487,$A$2:$A$4629),0,0),0)))</f>
        <v/>
      </c>
      <c r="C3488" t="str">
        <f t="shared" si="54"/>
        <v/>
      </c>
    </row>
    <row r="3489" spans="1:3" x14ac:dyDescent="0.25">
      <c r="A3489" t="str">
        <f>IF(Scan2VK!X191&lt;&gt;"",Scan2VK!X191,"")</f>
        <v>_none_</v>
      </c>
      <c r="B3489" t="str">
        <f>IF(ISERROR(MATCH(0,INDEX(COUNTIF($B$1:B3488,$A$2:$A$4629),0,0),0)),"",INDEX($A$2:$A$4629,MATCH(0,INDEX(COUNTIF($B$1:B3488,$A$2:$A$4629),0,0),0)))</f>
        <v/>
      </c>
      <c r="C3489" t="str">
        <f t="shared" si="54"/>
        <v/>
      </c>
    </row>
    <row r="3490" spans="1:3" x14ac:dyDescent="0.25">
      <c r="A3490" t="str">
        <f>IF(Scan2VK!X192&lt;&gt;"",Scan2VK!X192,"")</f>
        <v>_none_</v>
      </c>
      <c r="B3490" t="str">
        <f>IF(ISERROR(MATCH(0,INDEX(COUNTIF($B$1:B3489,$A$2:$A$4629),0,0),0)),"",INDEX($A$2:$A$4629,MATCH(0,INDEX(COUNTIF($B$1:B3489,$A$2:$A$4629),0,0),0)))</f>
        <v/>
      </c>
      <c r="C3490" t="str">
        <f t="shared" si="54"/>
        <v/>
      </c>
    </row>
    <row r="3491" spans="1:3" x14ac:dyDescent="0.25">
      <c r="A3491" t="str">
        <f>IF(Scan2VK!X193&lt;&gt;"",Scan2VK!X193,"")</f>
        <v/>
      </c>
      <c r="B3491" t="str">
        <f>IF(ISERROR(MATCH(0,INDEX(COUNTIF($B$1:B3490,$A$2:$A$4629),0,0),0)),"",INDEX($A$2:$A$4629,MATCH(0,INDEX(COUNTIF($B$1:B3490,$A$2:$A$4629),0,0),0)))</f>
        <v/>
      </c>
      <c r="C3491" t="str">
        <f t="shared" si="54"/>
        <v/>
      </c>
    </row>
    <row r="3492" spans="1:3" x14ac:dyDescent="0.25">
      <c r="A3492" t="str">
        <f>IF(Scan2VK!X194&lt;&gt;"",Scan2VK!X194,"")</f>
        <v/>
      </c>
      <c r="B3492" t="str">
        <f>IF(ISERROR(MATCH(0,INDEX(COUNTIF($B$1:B3491,$A$2:$A$4629),0,0),0)),"",INDEX($A$2:$A$4629,MATCH(0,INDEX(COUNTIF($B$1:B3491,$A$2:$A$4629),0,0),0)))</f>
        <v/>
      </c>
      <c r="C3492" t="str">
        <f t="shared" si="54"/>
        <v/>
      </c>
    </row>
    <row r="3493" spans="1:3" x14ac:dyDescent="0.25">
      <c r="A3493" t="str">
        <f>IF(Scan2VK!X195&lt;&gt;"",Scan2VK!X195,"")</f>
        <v>PAUSE</v>
      </c>
      <c r="B3493" t="str">
        <f>IF(ISERROR(MATCH(0,INDEX(COUNTIF($B$1:B3492,$A$2:$A$4629),0,0),0)),"",INDEX($A$2:$A$4629,MATCH(0,INDEX(COUNTIF($B$1:B3492,$A$2:$A$4629),0,0),0)))</f>
        <v/>
      </c>
      <c r="C3493" t="str">
        <f t="shared" si="54"/>
        <v/>
      </c>
    </row>
    <row r="3494" spans="1:3" x14ac:dyDescent="0.25">
      <c r="A3494" t="str">
        <f>IF(Scan2VK!Y2&lt;&gt;"",Scan2VK!Y2,"")</f>
        <v>_none_</v>
      </c>
      <c r="B3494" t="str">
        <f>IF(ISERROR(MATCH(0,INDEX(COUNTIF($B$1:B3493,$A$2:$A$4629),0,0),0)),"",INDEX($A$2:$A$4629,MATCH(0,INDEX(COUNTIF($B$1:B3493,$A$2:$A$4629),0,0),0)))</f>
        <v/>
      </c>
      <c r="C3494" t="str">
        <f t="shared" si="54"/>
        <v/>
      </c>
    </row>
    <row r="3495" spans="1:3" x14ac:dyDescent="0.25">
      <c r="A3495" t="str">
        <f>IF(Scan2VK!Y3&lt;&gt;"",Scan2VK!Y3,"")</f>
        <v>ESCAPE</v>
      </c>
      <c r="B3495" t="str">
        <f>IF(ISERROR(MATCH(0,INDEX(COUNTIF($B$1:B3494,$A$2:$A$4629),0,0),0)),"",INDEX($A$2:$A$4629,MATCH(0,INDEX(COUNTIF($B$1:B3494,$A$2:$A$4629),0,0),0)))</f>
        <v/>
      </c>
      <c r="C3495" t="str">
        <f t="shared" si="54"/>
        <v/>
      </c>
    </row>
    <row r="3496" spans="1:3" x14ac:dyDescent="0.25">
      <c r="A3496" t="str">
        <f>IF(Scan2VK!Y4&lt;&gt;"",Scan2VK!Y4,"")</f>
        <v>'1'</v>
      </c>
      <c r="B3496" t="str">
        <f>IF(ISERROR(MATCH(0,INDEX(COUNTIF($B$1:B3495,$A$2:$A$4629),0,0),0)),"",INDEX($A$2:$A$4629,MATCH(0,INDEX(COUNTIF($B$1:B3495,$A$2:$A$4629),0,0),0)))</f>
        <v/>
      </c>
      <c r="C3496" t="str">
        <f t="shared" si="54"/>
        <v/>
      </c>
    </row>
    <row r="3497" spans="1:3" x14ac:dyDescent="0.25">
      <c r="A3497" t="str">
        <f>IF(Scan2VK!Y5&lt;&gt;"",Scan2VK!Y5,"")</f>
        <v>'2'</v>
      </c>
      <c r="B3497" t="str">
        <f>IF(ISERROR(MATCH(0,INDEX(COUNTIF($B$1:B3496,$A$2:$A$4629),0,0),0)),"",INDEX($A$2:$A$4629,MATCH(0,INDEX(COUNTIF($B$1:B3496,$A$2:$A$4629),0,0),0)))</f>
        <v/>
      </c>
      <c r="C3497" t="str">
        <f t="shared" si="54"/>
        <v/>
      </c>
    </row>
    <row r="3498" spans="1:3" x14ac:dyDescent="0.25">
      <c r="A3498" t="str">
        <f>IF(Scan2VK!Y6&lt;&gt;"",Scan2VK!Y6,"")</f>
        <v>'3'</v>
      </c>
      <c r="B3498" t="str">
        <f>IF(ISERROR(MATCH(0,INDEX(COUNTIF($B$1:B3497,$A$2:$A$4629),0,0),0)),"",INDEX($A$2:$A$4629,MATCH(0,INDEX(COUNTIF($B$1:B3497,$A$2:$A$4629),0,0),0)))</f>
        <v/>
      </c>
      <c r="C3498" t="str">
        <f t="shared" si="54"/>
        <v/>
      </c>
    </row>
    <row r="3499" spans="1:3" x14ac:dyDescent="0.25">
      <c r="A3499" t="str">
        <f>IF(Scan2VK!Y7&lt;&gt;"",Scan2VK!Y7,"")</f>
        <v>'4'</v>
      </c>
      <c r="B3499" t="str">
        <f>IF(ISERROR(MATCH(0,INDEX(COUNTIF($B$1:B3498,$A$2:$A$4629),0,0),0)),"",INDEX($A$2:$A$4629,MATCH(0,INDEX(COUNTIF($B$1:B3498,$A$2:$A$4629),0,0),0)))</f>
        <v/>
      </c>
      <c r="C3499" t="str">
        <f t="shared" si="54"/>
        <v/>
      </c>
    </row>
    <row r="3500" spans="1:3" x14ac:dyDescent="0.25">
      <c r="A3500" t="str">
        <f>IF(Scan2VK!Y8&lt;&gt;"",Scan2VK!Y8,"")</f>
        <v>'5'</v>
      </c>
      <c r="B3500" t="str">
        <f>IF(ISERROR(MATCH(0,INDEX(COUNTIF($B$1:B3499,$A$2:$A$4629),0,0),0)),"",INDEX($A$2:$A$4629,MATCH(0,INDEX(COUNTIF($B$1:B3499,$A$2:$A$4629),0,0),0)))</f>
        <v/>
      </c>
      <c r="C3500" t="str">
        <f t="shared" si="54"/>
        <v/>
      </c>
    </row>
    <row r="3501" spans="1:3" x14ac:dyDescent="0.25">
      <c r="A3501" t="str">
        <f>IF(Scan2VK!Y9&lt;&gt;"",Scan2VK!Y9,"")</f>
        <v>'6'</v>
      </c>
      <c r="B3501" t="str">
        <f>IF(ISERROR(MATCH(0,INDEX(COUNTIF($B$1:B3500,$A$2:$A$4629),0,0),0)),"",INDEX($A$2:$A$4629,MATCH(0,INDEX(COUNTIF($B$1:B3500,$A$2:$A$4629),0,0),0)))</f>
        <v/>
      </c>
      <c r="C3501" t="str">
        <f t="shared" si="54"/>
        <v/>
      </c>
    </row>
    <row r="3502" spans="1:3" x14ac:dyDescent="0.25">
      <c r="A3502" t="str">
        <f>IF(Scan2VK!Y10&lt;&gt;"",Scan2VK!Y10,"")</f>
        <v>'7'</v>
      </c>
      <c r="B3502" t="str">
        <f>IF(ISERROR(MATCH(0,INDEX(COUNTIF($B$1:B3501,$A$2:$A$4629),0,0),0)),"",INDEX($A$2:$A$4629,MATCH(0,INDEX(COUNTIF($B$1:B3501,$A$2:$A$4629),0,0),0)))</f>
        <v/>
      </c>
      <c r="C3502" t="str">
        <f t="shared" si="54"/>
        <v/>
      </c>
    </row>
    <row r="3503" spans="1:3" x14ac:dyDescent="0.25">
      <c r="A3503" t="str">
        <f>IF(Scan2VK!Y11&lt;&gt;"",Scan2VK!Y11,"")</f>
        <v>'8'</v>
      </c>
      <c r="B3503" t="str">
        <f>IF(ISERROR(MATCH(0,INDEX(COUNTIF($B$1:B3502,$A$2:$A$4629),0,0),0)),"",INDEX($A$2:$A$4629,MATCH(0,INDEX(COUNTIF($B$1:B3502,$A$2:$A$4629),0,0),0)))</f>
        <v/>
      </c>
      <c r="C3503" t="str">
        <f t="shared" si="54"/>
        <v/>
      </c>
    </row>
    <row r="3504" spans="1:3" x14ac:dyDescent="0.25">
      <c r="A3504" t="str">
        <f>IF(Scan2VK!Y12&lt;&gt;"",Scan2VK!Y12,"")</f>
        <v>'9'</v>
      </c>
      <c r="B3504" t="str">
        <f>IF(ISERROR(MATCH(0,INDEX(COUNTIF($B$1:B3503,$A$2:$A$4629),0,0),0)),"",INDEX($A$2:$A$4629,MATCH(0,INDEX(COUNTIF($B$1:B3503,$A$2:$A$4629),0,0),0)))</f>
        <v/>
      </c>
      <c r="C3504" t="str">
        <f t="shared" si="54"/>
        <v/>
      </c>
    </row>
    <row r="3505" spans="1:3" x14ac:dyDescent="0.25">
      <c r="A3505" t="str">
        <f>IF(Scan2VK!Y13&lt;&gt;"",Scan2VK!Y13,"")</f>
        <v>'0'</v>
      </c>
      <c r="B3505" t="str">
        <f>IF(ISERROR(MATCH(0,INDEX(COUNTIF($B$1:B3504,$A$2:$A$4629),0,0),0)),"",INDEX($A$2:$A$4629,MATCH(0,INDEX(COUNTIF($B$1:B3504,$A$2:$A$4629),0,0),0)))</f>
        <v/>
      </c>
      <c r="C3505" t="str">
        <f t="shared" si="54"/>
        <v/>
      </c>
    </row>
    <row r="3506" spans="1:3" x14ac:dyDescent="0.25">
      <c r="A3506" t="str">
        <f>IF(Scan2VK!Y14&lt;&gt;"",Scan2VK!Y14,"")</f>
        <v>OEM_MINUS</v>
      </c>
      <c r="B3506" t="str">
        <f>IF(ISERROR(MATCH(0,INDEX(COUNTIF($B$1:B3505,$A$2:$A$4629),0,0),0)),"",INDEX($A$2:$A$4629,MATCH(0,INDEX(COUNTIF($B$1:B3505,$A$2:$A$4629),0,0),0)))</f>
        <v/>
      </c>
      <c r="C3506" t="str">
        <f t="shared" si="54"/>
        <v/>
      </c>
    </row>
    <row r="3507" spans="1:3" x14ac:dyDescent="0.25">
      <c r="A3507" t="str">
        <f>IF(Scan2VK!Y15&lt;&gt;"",Scan2VK!Y15,"")</f>
        <v>OEM_PLUS</v>
      </c>
      <c r="B3507" t="str">
        <f>IF(ISERROR(MATCH(0,INDEX(COUNTIF($B$1:B3506,$A$2:$A$4629),0,0),0)),"",INDEX($A$2:$A$4629,MATCH(0,INDEX(COUNTIF($B$1:B3506,$A$2:$A$4629),0,0),0)))</f>
        <v/>
      </c>
      <c r="C3507" t="str">
        <f t="shared" si="54"/>
        <v/>
      </c>
    </row>
    <row r="3508" spans="1:3" x14ac:dyDescent="0.25">
      <c r="A3508" t="str">
        <f>IF(Scan2VK!Y16&lt;&gt;"",Scan2VK!Y16,"")</f>
        <v>BACK</v>
      </c>
      <c r="B3508" t="str">
        <f>IF(ISERROR(MATCH(0,INDEX(COUNTIF($B$1:B3507,$A$2:$A$4629),0,0),0)),"",INDEX($A$2:$A$4629,MATCH(0,INDEX(COUNTIF($B$1:B3507,$A$2:$A$4629),0,0),0)))</f>
        <v/>
      </c>
      <c r="C3508" t="str">
        <f t="shared" si="54"/>
        <v/>
      </c>
    </row>
    <row r="3509" spans="1:3" x14ac:dyDescent="0.25">
      <c r="A3509" t="str">
        <f>IF(Scan2VK!Y17&lt;&gt;"",Scan2VK!Y17,"")</f>
        <v>TAB</v>
      </c>
      <c r="B3509" t="str">
        <f>IF(ISERROR(MATCH(0,INDEX(COUNTIF($B$1:B3508,$A$2:$A$4629),0,0),0)),"",INDEX($A$2:$A$4629,MATCH(0,INDEX(COUNTIF($B$1:B3508,$A$2:$A$4629),0,0),0)))</f>
        <v/>
      </c>
      <c r="C3509" t="str">
        <f t="shared" si="54"/>
        <v/>
      </c>
    </row>
    <row r="3510" spans="1:3" x14ac:dyDescent="0.25">
      <c r="A3510" t="str">
        <f>IF(Scan2VK!Y18&lt;&gt;"",Scan2VK!Y18,"")</f>
        <v>'Q'</v>
      </c>
      <c r="B3510" t="str">
        <f>IF(ISERROR(MATCH(0,INDEX(COUNTIF($B$1:B3509,$A$2:$A$4629),0,0),0)),"",INDEX($A$2:$A$4629,MATCH(0,INDEX(COUNTIF($B$1:B3509,$A$2:$A$4629),0,0),0)))</f>
        <v/>
      </c>
      <c r="C3510" t="str">
        <f t="shared" si="54"/>
        <v/>
      </c>
    </row>
    <row r="3511" spans="1:3" x14ac:dyDescent="0.25">
      <c r="A3511" t="str">
        <f>IF(Scan2VK!Y19&lt;&gt;"",Scan2VK!Y19,"")</f>
        <v>'W'</v>
      </c>
      <c r="B3511" t="str">
        <f>IF(ISERROR(MATCH(0,INDEX(COUNTIF($B$1:B3510,$A$2:$A$4629),0,0),0)),"",INDEX($A$2:$A$4629,MATCH(0,INDEX(COUNTIF($B$1:B3510,$A$2:$A$4629),0,0),0)))</f>
        <v/>
      </c>
      <c r="C3511" t="str">
        <f t="shared" si="54"/>
        <v/>
      </c>
    </row>
    <row r="3512" spans="1:3" x14ac:dyDescent="0.25">
      <c r="A3512" t="str">
        <f>IF(Scan2VK!Y20&lt;&gt;"",Scan2VK!Y20,"")</f>
        <v>'E'</v>
      </c>
      <c r="B3512" t="str">
        <f>IF(ISERROR(MATCH(0,INDEX(COUNTIF($B$1:B3511,$A$2:$A$4629),0,0),0)),"",INDEX($A$2:$A$4629,MATCH(0,INDEX(COUNTIF($B$1:B3511,$A$2:$A$4629),0,0),0)))</f>
        <v/>
      </c>
      <c r="C3512" t="str">
        <f t="shared" si="54"/>
        <v/>
      </c>
    </row>
    <row r="3513" spans="1:3" x14ac:dyDescent="0.25">
      <c r="A3513" t="str">
        <f>IF(Scan2VK!Y21&lt;&gt;"",Scan2VK!Y21,"")</f>
        <v>'R'</v>
      </c>
      <c r="B3513" t="str">
        <f>IF(ISERROR(MATCH(0,INDEX(COUNTIF($B$1:B3512,$A$2:$A$4629),0,0),0)),"",INDEX($A$2:$A$4629,MATCH(0,INDEX(COUNTIF($B$1:B3512,$A$2:$A$4629),0,0),0)))</f>
        <v/>
      </c>
      <c r="C3513" t="str">
        <f t="shared" si="54"/>
        <v/>
      </c>
    </row>
    <row r="3514" spans="1:3" x14ac:dyDescent="0.25">
      <c r="A3514" t="str">
        <f>IF(Scan2VK!Y22&lt;&gt;"",Scan2VK!Y22,"")</f>
        <v>'T'</v>
      </c>
      <c r="B3514" t="str">
        <f>IF(ISERROR(MATCH(0,INDEX(COUNTIF($B$1:B3513,$A$2:$A$4629),0,0),0)),"",INDEX($A$2:$A$4629,MATCH(0,INDEX(COUNTIF($B$1:B3513,$A$2:$A$4629),0,0),0)))</f>
        <v/>
      </c>
      <c r="C3514" t="str">
        <f t="shared" si="54"/>
        <v/>
      </c>
    </row>
    <row r="3515" spans="1:3" x14ac:dyDescent="0.25">
      <c r="A3515" t="str">
        <f>IF(Scan2VK!Y23&lt;&gt;"",Scan2VK!Y23,"")</f>
        <v>'Y'</v>
      </c>
      <c r="B3515" t="str">
        <f>IF(ISERROR(MATCH(0,INDEX(COUNTIF($B$1:B3514,$A$2:$A$4629),0,0),0)),"",INDEX($A$2:$A$4629,MATCH(0,INDEX(COUNTIF($B$1:B3514,$A$2:$A$4629),0,0),0)))</f>
        <v/>
      </c>
      <c r="C3515" t="str">
        <f t="shared" si="54"/>
        <v/>
      </c>
    </row>
    <row r="3516" spans="1:3" x14ac:dyDescent="0.25">
      <c r="A3516" t="str">
        <f>IF(Scan2VK!Y24&lt;&gt;"",Scan2VK!Y24,"")</f>
        <v>'U'</v>
      </c>
      <c r="B3516" t="str">
        <f>IF(ISERROR(MATCH(0,INDEX(COUNTIF($B$1:B3515,$A$2:$A$4629),0,0),0)),"",INDEX($A$2:$A$4629,MATCH(0,INDEX(COUNTIF($B$1:B3515,$A$2:$A$4629),0,0),0)))</f>
        <v/>
      </c>
      <c r="C3516" t="str">
        <f t="shared" si="54"/>
        <v/>
      </c>
    </row>
    <row r="3517" spans="1:3" x14ac:dyDescent="0.25">
      <c r="A3517" t="str">
        <f>IF(Scan2VK!Y25&lt;&gt;"",Scan2VK!Y25,"")</f>
        <v>'I'</v>
      </c>
      <c r="B3517" t="str">
        <f>IF(ISERROR(MATCH(0,INDEX(COUNTIF($B$1:B3516,$A$2:$A$4629),0,0),0)),"",INDEX($A$2:$A$4629,MATCH(0,INDEX(COUNTIF($B$1:B3516,$A$2:$A$4629),0,0),0)))</f>
        <v/>
      </c>
      <c r="C3517" t="str">
        <f t="shared" si="54"/>
        <v/>
      </c>
    </row>
    <row r="3518" spans="1:3" x14ac:dyDescent="0.25">
      <c r="A3518" t="str">
        <f>IF(Scan2VK!Y26&lt;&gt;"",Scan2VK!Y26,"")</f>
        <v>'O'</v>
      </c>
      <c r="B3518" t="str">
        <f>IF(ISERROR(MATCH(0,INDEX(COUNTIF($B$1:B3517,$A$2:$A$4629),0,0),0)),"",INDEX($A$2:$A$4629,MATCH(0,INDEX(COUNTIF($B$1:B3517,$A$2:$A$4629),0,0),0)))</f>
        <v/>
      </c>
      <c r="C3518" t="str">
        <f t="shared" si="54"/>
        <v/>
      </c>
    </row>
    <row r="3519" spans="1:3" x14ac:dyDescent="0.25">
      <c r="A3519" t="str">
        <f>IF(Scan2VK!Y27&lt;&gt;"",Scan2VK!Y27,"")</f>
        <v>'P'</v>
      </c>
      <c r="B3519" t="str">
        <f>IF(ISERROR(MATCH(0,INDEX(COUNTIF($B$1:B3518,$A$2:$A$4629),0,0),0)),"",INDEX($A$2:$A$4629,MATCH(0,INDEX(COUNTIF($B$1:B3518,$A$2:$A$4629),0,0),0)))</f>
        <v/>
      </c>
      <c r="C3519" t="str">
        <f t="shared" si="54"/>
        <v/>
      </c>
    </row>
    <row r="3520" spans="1:3" x14ac:dyDescent="0.25">
      <c r="A3520" t="str">
        <f>IF(Scan2VK!Y28&lt;&gt;"",Scan2VK!Y28,"")</f>
        <v>OEM_4</v>
      </c>
      <c r="B3520" t="str">
        <f>IF(ISERROR(MATCH(0,INDEX(COUNTIF($B$1:B3519,$A$2:$A$4629),0,0),0)),"",INDEX($A$2:$A$4629,MATCH(0,INDEX(COUNTIF($B$1:B3519,$A$2:$A$4629),0,0),0)))</f>
        <v/>
      </c>
      <c r="C3520" t="str">
        <f t="shared" si="54"/>
        <v/>
      </c>
    </row>
    <row r="3521" spans="1:3" x14ac:dyDescent="0.25">
      <c r="A3521" t="str">
        <f>IF(Scan2VK!Y29&lt;&gt;"",Scan2VK!Y29,"")</f>
        <v>OEM_6</v>
      </c>
      <c r="B3521" t="str">
        <f>IF(ISERROR(MATCH(0,INDEX(COUNTIF($B$1:B3520,$A$2:$A$4629),0,0),0)),"",INDEX($A$2:$A$4629,MATCH(0,INDEX(COUNTIF($B$1:B3520,$A$2:$A$4629),0,0),0)))</f>
        <v/>
      </c>
      <c r="C3521" t="str">
        <f t="shared" si="54"/>
        <v/>
      </c>
    </row>
    <row r="3522" spans="1:3" x14ac:dyDescent="0.25">
      <c r="A3522" t="str">
        <f>IF(Scan2VK!Y30&lt;&gt;"",Scan2VK!Y30,"")</f>
        <v>RETURN</v>
      </c>
      <c r="B3522" t="str">
        <f>IF(ISERROR(MATCH(0,INDEX(COUNTIF($B$1:B3521,$A$2:$A$4629),0,0),0)),"",INDEX($A$2:$A$4629,MATCH(0,INDEX(COUNTIF($B$1:B3521,$A$2:$A$4629),0,0),0)))</f>
        <v/>
      </c>
      <c r="C3522" t="str">
        <f t="shared" si="54"/>
        <v/>
      </c>
    </row>
    <row r="3523" spans="1:3" x14ac:dyDescent="0.25">
      <c r="A3523" t="str">
        <f>IF(Scan2VK!Y31&lt;&gt;"",Scan2VK!Y31,"")</f>
        <v>LCONTROL</v>
      </c>
      <c r="B3523" t="str">
        <f>IF(ISERROR(MATCH(0,INDEX(COUNTIF($B$1:B3522,$A$2:$A$4629),0,0),0)),"",INDEX($A$2:$A$4629,MATCH(0,INDEX(COUNTIF($B$1:B3522,$A$2:$A$4629),0,0),0)))</f>
        <v/>
      </c>
      <c r="C3523" t="str">
        <f t="shared" ref="C3523:C3586" si="55">IF(B3523&lt;&gt;"","&lt;xs:enumeration value="""&amp;B3523&amp;"""/&gt;","")</f>
        <v/>
      </c>
    </row>
    <row r="3524" spans="1:3" x14ac:dyDescent="0.25">
      <c r="A3524" t="str">
        <f>IF(Scan2VK!Y32&lt;&gt;"",Scan2VK!Y32,"")</f>
        <v>'A'</v>
      </c>
      <c r="B3524" t="str">
        <f>IF(ISERROR(MATCH(0,INDEX(COUNTIF($B$1:B3523,$A$2:$A$4629),0,0),0)),"",INDEX($A$2:$A$4629,MATCH(0,INDEX(COUNTIF($B$1:B3523,$A$2:$A$4629),0,0),0)))</f>
        <v/>
      </c>
      <c r="C3524" t="str">
        <f t="shared" si="55"/>
        <v/>
      </c>
    </row>
    <row r="3525" spans="1:3" x14ac:dyDescent="0.25">
      <c r="A3525" t="str">
        <f>IF(Scan2VK!Y33&lt;&gt;"",Scan2VK!Y33,"")</f>
        <v>'S'</v>
      </c>
      <c r="B3525" t="str">
        <f>IF(ISERROR(MATCH(0,INDEX(COUNTIF($B$1:B3524,$A$2:$A$4629),0,0),0)),"",INDEX($A$2:$A$4629,MATCH(0,INDEX(COUNTIF($B$1:B3524,$A$2:$A$4629),0,0),0)))</f>
        <v/>
      </c>
      <c r="C3525" t="str">
        <f t="shared" si="55"/>
        <v/>
      </c>
    </row>
    <row r="3526" spans="1:3" x14ac:dyDescent="0.25">
      <c r="A3526" t="str">
        <f>IF(Scan2VK!Y34&lt;&gt;"",Scan2VK!Y34,"")</f>
        <v>'D'</v>
      </c>
      <c r="B3526" t="str">
        <f>IF(ISERROR(MATCH(0,INDEX(COUNTIF($B$1:B3525,$A$2:$A$4629),0,0),0)),"",INDEX($A$2:$A$4629,MATCH(0,INDEX(COUNTIF($B$1:B3525,$A$2:$A$4629),0,0),0)))</f>
        <v/>
      </c>
      <c r="C3526" t="str">
        <f t="shared" si="55"/>
        <v/>
      </c>
    </row>
    <row r="3527" spans="1:3" x14ac:dyDescent="0.25">
      <c r="A3527" t="str">
        <f>IF(Scan2VK!Y35&lt;&gt;"",Scan2VK!Y35,"")</f>
        <v>'F'</v>
      </c>
      <c r="B3527" t="str">
        <f>IF(ISERROR(MATCH(0,INDEX(COUNTIF($B$1:B3526,$A$2:$A$4629),0,0),0)),"",INDEX($A$2:$A$4629,MATCH(0,INDEX(COUNTIF($B$1:B3526,$A$2:$A$4629),0,0),0)))</f>
        <v/>
      </c>
      <c r="C3527" t="str">
        <f t="shared" si="55"/>
        <v/>
      </c>
    </row>
    <row r="3528" spans="1:3" x14ac:dyDescent="0.25">
      <c r="A3528" t="str">
        <f>IF(Scan2VK!Y36&lt;&gt;"",Scan2VK!Y36,"")</f>
        <v>'G'</v>
      </c>
      <c r="B3528" t="str">
        <f>IF(ISERROR(MATCH(0,INDEX(COUNTIF($B$1:B3527,$A$2:$A$4629),0,0),0)),"",INDEX($A$2:$A$4629,MATCH(0,INDEX(COUNTIF($B$1:B3527,$A$2:$A$4629),0,0),0)))</f>
        <v/>
      </c>
      <c r="C3528" t="str">
        <f t="shared" si="55"/>
        <v/>
      </c>
    </row>
    <row r="3529" spans="1:3" x14ac:dyDescent="0.25">
      <c r="A3529" t="str">
        <f>IF(Scan2VK!Y37&lt;&gt;"",Scan2VK!Y37,"")</f>
        <v>'H'</v>
      </c>
      <c r="B3529" t="str">
        <f>IF(ISERROR(MATCH(0,INDEX(COUNTIF($B$1:B3528,$A$2:$A$4629),0,0),0)),"",INDEX($A$2:$A$4629,MATCH(0,INDEX(COUNTIF($B$1:B3528,$A$2:$A$4629),0,0),0)))</f>
        <v/>
      </c>
      <c r="C3529" t="str">
        <f t="shared" si="55"/>
        <v/>
      </c>
    </row>
    <row r="3530" spans="1:3" x14ac:dyDescent="0.25">
      <c r="A3530" t="str">
        <f>IF(Scan2VK!Y38&lt;&gt;"",Scan2VK!Y38,"")</f>
        <v>'J'</v>
      </c>
      <c r="B3530" t="str">
        <f>IF(ISERROR(MATCH(0,INDEX(COUNTIF($B$1:B3529,$A$2:$A$4629),0,0),0)),"",INDEX($A$2:$A$4629,MATCH(0,INDEX(COUNTIF($B$1:B3529,$A$2:$A$4629),0,0),0)))</f>
        <v/>
      </c>
      <c r="C3530" t="str">
        <f t="shared" si="55"/>
        <v/>
      </c>
    </row>
    <row r="3531" spans="1:3" x14ac:dyDescent="0.25">
      <c r="A3531" t="str">
        <f>IF(Scan2VK!Y39&lt;&gt;"",Scan2VK!Y39,"")</f>
        <v>'K'</v>
      </c>
      <c r="B3531" t="str">
        <f>IF(ISERROR(MATCH(0,INDEX(COUNTIF($B$1:B3530,$A$2:$A$4629),0,0),0)),"",INDEX($A$2:$A$4629,MATCH(0,INDEX(COUNTIF($B$1:B3530,$A$2:$A$4629),0,0),0)))</f>
        <v/>
      </c>
      <c r="C3531" t="str">
        <f t="shared" si="55"/>
        <v/>
      </c>
    </row>
    <row r="3532" spans="1:3" x14ac:dyDescent="0.25">
      <c r="A3532" t="str">
        <f>IF(Scan2VK!Y40&lt;&gt;"",Scan2VK!Y40,"")</f>
        <v>'L'</v>
      </c>
      <c r="B3532" t="str">
        <f>IF(ISERROR(MATCH(0,INDEX(COUNTIF($B$1:B3531,$A$2:$A$4629),0,0),0)),"",INDEX($A$2:$A$4629,MATCH(0,INDEX(COUNTIF($B$1:B3531,$A$2:$A$4629),0,0),0)))</f>
        <v/>
      </c>
      <c r="C3532" t="str">
        <f t="shared" si="55"/>
        <v/>
      </c>
    </row>
    <row r="3533" spans="1:3" x14ac:dyDescent="0.25">
      <c r="A3533" t="str">
        <f>IF(Scan2VK!Y41&lt;&gt;"",Scan2VK!Y41,"")</f>
        <v>OEM_1</v>
      </c>
      <c r="B3533" t="str">
        <f>IF(ISERROR(MATCH(0,INDEX(COUNTIF($B$1:B3532,$A$2:$A$4629),0,0),0)),"",INDEX($A$2:$A$4629,MATCH(0,INDEX(COUNTIF($B$1:B3532,$A$2:$A$4629),0,0),0)))</f>
        <v/>
      </c>
      <c r="C3533" t="str">
        <f t="shared" si="55"/>
        <v/>
      </c>
    </row>
    <row r="3534" spans="1:3" x14ac:dyDescent="0.25">
      <c r="A3534" t="str">
        <f>IF(Scan2VK!Y42&lt;&gt;"",Scan2VK!Y42,"")</f>
        <v>OEM_7</v>
      </c>
      <c r="B3534" t="str">
        <f>IF(ISERROR(MATCH(0,INDEX(COUNTIF($B$1:B3533,$A$2:$A$4629),0,0),0)),"",INDEX($A$2:$A$4629,MATCH(0,INDEX(COUNTIF($B$1:B3533,$A$2:$A$4629),0,0),0)))</f>
        <v/>
      </c>
      <c r="C3534" t="str">
        <f t="shared" si="55"/>
        <v/>
      </c>
    </row>
    <row r="3535" spans="1:3" x14ac:dyDescent="0.25">
      <c r="A3535" t="str">
        <f>IF(Scan2VK!Y43&lt;&gt;"",Scan2VK!Y43,"")</f>
        <v>OEM_3</v>
      </c>
      <c r="B3535" t="str">
        <f>IF(ISERROR(MATCH(0,INDEX(COUNTIF($B$1:B3534,$A$2:$A$4629),0,0),0)),"",INDEX($A$2:$A$4629,MATCH(0,INDEX(COUNTIF($B$1:B3534,$A$2:$A$4629),0,0),0)))</f>
        <v/>
      </c>
      <c r="C3535" t="str">
        <f t="shared" si="55"/>
        <v/>
      </c>
    </row>
    <row r="3536" spans="1:3" x14ac:dyDescent="0.25">
      <c r="A3536" t="str">
        <f>IF(Scan2VK!Y44&lt;&gt;"",Scan2VK!Y44,"")</f>
        <v>LSHIFT</v>
      </c>
      <c r="B3536" t="str">
        <f>IF(ISERROR(MATCH(0,INDEX(COUNTIF($B$1:B3535,$A$2:$A$4629),0,0),0)),"",INDEX($A$2:$A$4629,MATCH(0,INDEX(COUNTIF($B$1:B3535,$A$2:$A$4629),0,0),0)))</f>
        <v/>
      </c>
      <c r="C3536" t="str">
        <f t="shared" si="55"/>
        <v/>
      </c>
    </row>
    <row r="3537" spans="1:3" x14ac:dyDescent="0.25">
      <c r="A3537" t="str">
        <f>IF(Scan2VK!Y45&lt;&gt;"",Scan2VK!Y45,"")</f>
        <v>OEM_5</v>
      </c>
      <c r="B3537" t="str">
        <f>IF(ISERROR(MATCH(0,INDEX(COUNTIF($B$1:B3536,$A$2:$A$4629),0,0),0)),"",INDEX($A$2:$A$4629,MATCH(0,INDEX(COUNTIF($B$1:B3536,$A$2:$A$4629),0,0),0)))</f>
        <v/>
      </c>
      <c r="C3537" t="str">
        <f t="shared" si="55"/>
        <v/>
      </c>
    </row>
    <row r="3538" spans="1:3" x14ac:dyDescent="0.25">
      <c r="A3538" t="str">
        <f>IF(Scan2VK!Y46&lt;&gt;"",Scan2VK!Y46,"")</f>
        <v>'Z'</v>
      </c>
      <c r="B3538" t="str">
        <f>IF(ISERROR(MATCH(0,INDEX(COUNTIF($B$1:B3537,$A$2:$A$4629),0,0),0)),"",INDEX($A$2:$A$4629,MATCH(0,INDEX(COUNTIF($B$1:B3537,$A$2:$A$4629),0,0),0)))</f>
        <v/>
      </c>
      <c r="C3538" t="str">
        <f t="shared" si="55"/>
        <v/>
      </c>
    </row>
    <row r="3539" spans="1:3" x14ac:dyDescent="0.25">
      <c r="A3539" t="str">
        <f>IF(Scan2VK!Y47&lt;&gt;"",Scan2VK!Y47,"")</f>
        <v>'X'</v>
      </c>
      <c r="B3539" t="str">
        <f>IF(ISERROR(MATCH(0,INDEX(COUNTIF($B$1:B3538,$A$2:$A$4629),0,0),0)),"",INDEX($A$2:$A$4629,MATCH(0,INDEX(COUNTIF($B$1:B3538,$A$2:$A$4629),0,0),0)))</f>
        <v/>
      </c>
      <c r="C3539" t="str">
        <f t="shared" si="55"/>
        <v/>
      </c>
    </row>
    <row r="3540" spans="1:3" x14ac:dyDescent="0.25">
      <c r="A3540" t="str">
        <f>IF(Scan2VK!Y48&lt;&gt;"",Scan2VK!Y48,"")</f>
        <v>'C'</v>
      </c>
      <c r="B3540" t="str">
        <f>IF(ISERROR(MATCH(0,INDEX(COUNTIF($B$1:B3539,$A$2:$A$4629),0,0),0)),"",INDEX($A$2:$A$4629,MATCH(0,INDEX(COUNTIF($B$1:B3539,$A$2:$A$4629),0,0),0)))</f>
        <v/>
      </c>
      <c r="C3540" t="str">
        <f t="shared" si="55"/>
        <v/>
      </c>
    </row>
    <row r="3541" spans="1:3" x14ac:dyDescent="0.25">
      <c r="A3541" t="str">
        <f>IF(Scan2VK!Y49&lt;&gt;"",Scan2VK!Y49,"")</f>
        <v>'V'</v>
      </c>
      <c r="B3541" t="str">
        <f>IF(ISERROR(MATCH(0,INDEX(COUNTIF($B$1:B3540,$A$2:$A$4629),0,0),0)),"",INDEX($A$2:$A$4629,MATCH(0,INDEX(COUNTIF($B$1:B3540,$A$2:$A$4629),0,0),0)))</f>
        <v/>
      </c>
      <c r="C3541" t="str">
        <f t="shared" si="55"/>
        <v/>
      </c>
    </row>
    <row r="3542" spans="1:3" x14ac:dyDescent="0.25">
      <c r="A3542" t="str">
        <f>IF(Scan2VK!Y50&lt;&gt;"",Scan2VK!Y50,"")</f>
        <v>'B'</v>
      </c>
      <c r="B3542" t="str">
        <f>IF(ISERROR(MATCH(0,INDEX(COUNTIF($B$1:B3541,$A$2:$A$4629),0,0),0)),"",INDEX($A$2:$A$4629,MATCH(0,INDEX(COUNTIF($B$1:B3541,$A$2:$A$4629),0,0),0)))</f>
        <v/>
      </c>
      <c r="C3542" t="str">
        <f t="shared" si="55"/>
        <v/>
      </c>
    </row>
    <row r="3543" spans="1:3" x14ac:dyDescent="0.25">
      <c r="A3543" t="str">
        <f>IF(Scan2VK!Y51&lt;&gt;"",Scan2VK!Y51,"")</f>
        <v>'N'</v>
      </c>
      <c r="B3543" t="str">
        <f>IF(ISERROR(MATCH(0,INDEX(COUNTIF($B$1:B3542,$A$2:$A$4629),0,0),0)),"",INDEX($A$2:$A$4629,MATCH(0,INDEX(COUNTIF($B$1:B3542,$A$2:$A$4629),0,0),0)))</f>
        <v/>
      </c>
      <c r="C3543" t="str">
        <f t="shared" si="55"/>
        <v/>
      </c>
    </row>
    <row r="3544" spans="1:3" x14ac:dyDescent="0.25">
      <c r="A3544" t="str">
        <f>IF(Scan2VK!Y52&lt;&gt;"",Scan2VK!Y52,"")</f>
        <v>'M'</v>
      </c>
      <c r="B3544" t="str">
        <f>IF(ISERROR(MATCH(0,INDEX(COUNTIF($B$1:B3543,$A$2:$A$4629),0,0),0)),"",INDEX($A$2:$A$4629,MATCH(0,INDEX(COUNTIF($B$1:B3543,$A$2:$A$4629),0,0),0)))</f>
        <v/>
      </c>
      <c r="C3544" t="str">
        <f t="shared" si="55"/>
        <v/>
      </c>
    </row>
    <row r="3545" spans="1:3" x14ac:dyDescent="0.25">
      <c r="A3545" t="str">
        <f>IF(Scan2VK!Y53&lt;&gt;"",Scan2VK!Y53,"")</f>
        <v>OEM_COMMA</v>
      </c>
      <c r="B3545" t="str">
        <f>IF(ISERROR(MATCH(0,INDEX(COUNTIF($B$1:B3544,$A$2:$A$4629),0,0),0)),"",INDEX($A$2:$A$4629,MATCH(0,INDEX(COUNTIF($B$1:B3544,$A$2:$A$4629),0,0),0)))</f>
        <v/>
      </c>
      <c r="C3545" t="str">
        <f t="shared" si="55"/>
        <v/>
      </c>
    </row>
    <row r="3546" spans="1:3" x14ac:dyDescent="0.25">
      <c r="A3546" t="str">
        <f>IF(Scan2VK!Y54&lt;&gt;"",Scan2VK!Y54,"")</f>
        <v>OEM_PERIOD</v>
      </c>
      <c r="B3546" t="str">
        <f>IF(ISERROR(MATCH(0,INDEX(COUNTIF($B$1:B3545,$A$2:$A$4629),0,0),0)),"",INDEX($A$2:$A$4629,MATCH(0,INDEX(COUNTIF($B$1:B3545,$A$2:$A$4629),0,0),0)))</f>
        <v/>
      </c>
      <c r="C3546" t="str">
        <f t="shared" si="55"/>
        <v/>
      </c>
    </row>
    <row r="3547" spans="1:3" x14ac:dyDescent="0.25">
      <c r="A3547" t="str">
        <f>IF(Scan2VK!Y55&lt;&gt;"",Scan2VK!Y55,"")</f>
        <v>OEM_2</v>
      </c>
      <c r="B3547" t="str">
        <f>IF(ISERROR(MATCH(0,INDEX(COUNTIF($B$1:B3546,$A$2:$A$4629),0,0),0)),"",INDEX($A$2:$A$4629,MATCH(0,INDEX(COUNTIF($B$1:B3546,$A$2:$A$4629),0,0),0)))</f>
        <v/>
      </c>
      <c r="C3547" t="str">
        <f t="shared" si="55"/>
        <v/>
      </c>
    </row>
    <row r="3548" spans="1:3" x14ac:dyDescent="0.25">
      <c r="A3548" t="str">
        <f>IF(Scan2VK!Y56&lt;&gt;"",Scan2VK!Y56,"")</f>
        <v>RSHIFT</v>
      </c>
      <c r="B3548" t="str">
        <f>IF(ISERROR(MATCH(0,INDEX(COUNTIF($B$1:B3547,$A$2:$A$4629),0,0),0)),"",INDEX($A$2:$A$4629,MATCH(0,INDEX(COUNTIF($B$1:B3547,$A$2:$A$4629),0,0),0)))</f>
        <v/>
      </c>
      <c r="C3548" t="str">
        <f t="shared" si="55"/>
        <v/>
      </c>
    </row>
    <row r="3549" spans="1:3" x14ac:dyDescent="0.25">
      <c r="A3549" t="str">
        <f>IF(Scan2VK!Y57&lt;&gt;"",Scan2VK!Y57,"")</f>
        <v>MULTIPLY</v>
      </c>
      <c r="B3549" t="str">
        <f>IF(ISERROR(MATCH(0,INDEX(COUNTIF($B$1:B3548,$A$2:$A$4629),0,0),0)),"",INDEX($A$2:$A$4629,MATCH(0,INDEX(COUNTIF($B$1:B3548,$A$2:$A$4629),0,0),0)))</f>
        <v/>
      </c>
      <c r="C3549" t="str">
        <f t="shared" si="55"/>
        <v/>
      </c>
    </row>
    <row r="3550" spans="1:3" x14ac:dyDescent="0.25">
      <c r="A3550" t="str">
        <f>IF(Scan2VK!Y58&lt;&gt;"",Scan2VK!Y58,"")</f>
        <v>LMENU</v>
      </c>
      <c r="B3550" t="str">
        <f>IF(ISERROR(MATCH(0,INDEX(COUNTIF($B$1:B3549,$A$2:$A$4629),0,0),0)),"",INDEX($A$2:$A$4629,MATCH(0,INDEX(COUNTIF($B$1:B3549,$A$2:$A$4629),0,0),0)))</f>
        <v/>
      </c>
      <c r="C3550" t="str">
        <f t="shared" si="55"/>
        <v/>
      </c>
    </row>
    <row r="3551" spans="1:3" x14ac:dyDescent="0.25">
      <c r="A3551" t="str">
        <f>IF(Scan2VK!Y59&lt;&gt;"",Scan2VK!Y59,"")</f>
        <v>''</v>
      </c>
      <c r="B3551" t="str">
        <f>IF(ISERROR(MATCH(0,INDEX(COUNTIF($B$1:B3550,$A$2:$A$4629),0,0),0)),"",INDEX($A$2:$A$4629,MATCH(0,INDEX(COUNTIF($B$1:B3550,$A$2:$A$4629),0,0),0)))</f>
        <v/>
      </c>
      <c r="C3551" t="str">
        <f t="shared" si="55"/>
        <v/>
      </c>
    </row>
    <row r="3552" spans="1:3" x14ac:dyDescent="0.25">
      <c r="A3552" t="str">
        <f>IF(Scan2VK!Y60&lt;&gt;"",Scan2VK!Y60,"")</f>
        <v>CAPITAL</v>
      </c>
      <c r="B3552" t="str">
        <f>IF(ISERROR(MATCH(0,INDEX(COUNTIF($B$1:B3551,$A$2:$A$4629),0,0),0)),"",INDEX($A$2:$A$4629,MATCH(0,INDEX(COUNTIF($B$1:B3551,$A$2:$A$4629),0,0),0)))</f>
        <v/>
      </c>
      <c r="C3552" t="str">
        <f t="shared" si="55"/>
        <v/>
      </c>
    </row>
    <row r="3553" spans="1:3" x14ac:dyDescent="0.25">
      <c r="A3553" t="str">
        <f>IF(Scan2VK!Y61&lt;&gt;"",Scan2VK!Y61,"")</f>
        <v>F1</v>
      </c>
      <c r="B3553" t="str">
        <f>IF(ISERROR(MATCH(0,INDEX(COUNTIF($B$1:B3552,$A$2:$A$4629),0,0),0)),"",INDEX($A$2:$A$4629,MATCH(0,INDEX(COUNTIF($B$1:B3552,$A$2:$A$4629),0,0),0)))</f>
        <v/>
      </c>
      <c r="C3553" t="str">
        <f t="shared" si="55"/>
        <v/>
      </c>
    </row>
    <row r="3554" spans="1:3" x14ac:dyDescent="0.25">
      <c r="A3554" t="str">
        <f>IF(Scan2VK!Y62&lt;&gt;"",Scan2VK!Y62,"")</f>
        <v>F2</v>
      </c>
      <c r="B3554" t="str">
        <f>IF(ISERROR(MATCH(0,INDEX(COUNTIF($B$1:B3553,$A$2:$A$4629),0,0),0)),"",INDEX($A$2:$A$4629,MATCH(0,INDEX(COUNTIF($B$1:B3553,$A$2:$A$4629),0,0),0)))</f>
        <v/>
      </c>
      <c r="C3554" t="str">
        <f t="shared" si="55"/>
        <v/>
      </c>
    </row>
    <row r="3555" spans="1:3" x14ac:dyDescent="0.25">
      <c r="A3555" t="str">
        <f>IF(Scan2VK!Y63&lt;&gt;"",Scan2VK!Y63,"")</f>
        <v>F3</v>
      </c>
      <c r="B3555" t="str">
        <f>IF(ISERROR(MATCH(0,INDEX(COUNTIF($B$1:B3554,$A$2:$A$4629),0,0),0)),"",INDEX($A$2:$A$4629,MATCH(0,INDEX(COUNTIF($B$1:B3554,$A$2:$A$4629),0,0),0)))</f>
        <v/>
      </c>
      <c r="C3555" t="str">
        <f t="shared" si="55"/>
        <v/>
      </c>
    </row>
    <row r="3556" spans="1:3" x14ac:dyDescent="0.25">
      <c r="A3556" t="str">
        <f>IF(Scan2VK!Y64&lt;&gt;"",Scan2VK!Y64,"")</f>
        <v>F4</v>
      </c>
      <c r="B3556" t="str">
        <f>IF(ISERROR(MATCH(0,INDEX(COUNTIF($B$1:B3555,$A$2:$A$4629),0,0),0)),"",INDEX($A$2:$A$4629,MATCH(0,INDEX(COUNTIF($B$1:B3555,$A$2:$A$4629),0,0),0)))</f>
        <v/>
      </c>
      <c r="C3556" t="str">
        <f t="shared" si="55"/>
        <v/>
      </c>
    </row>
    <row r="3557" spans="1:3" x14ac:dyDescent="0.25">
      <c r="A3557" t="str">
        <f>IF(Scan2VK!Y65&lt;&gt;"",Scan2VK!Y65,"")</f>
        <v>F5</v>
      </c>
      <c r="B3557" t="str">
        <f>IF(ISERROR(MATCH(0,INDEX(COUNTIF($B$1:B3556,$A$2:$A$4629),0,0),0)),"",INDEX($A$2:$A$4629,MATCH(0,INDEX(COUNTIF($B$1:B3556,$A$2:$A$4629),0,0),0)))</f>
        <v/>
      </c>
      <c r="C3557" t="str">
        <f t="shared" si="55"/>
        <v/>
      </c>
    </row>
    <row r="3558" spans="1:3" x14ac:dyDescent="0.25">
      <c r="A3558" t="str">
        <f>IF(Scan2VK!Y66&lt;&gt;"",Scan2VK!Y66,"")</f>
        <v>F6</v>
      </c>
      <c r="B3558" t="str">
        <f>IF(ISERROR(MATCH(0,INDEX(COUNTIF($B$1:B3557,$A$2:$A$4629),0,0),0)),"",INDEX($A$2:$A$4629,MATCH(0,INDEX(COUNTIF($B$1:B3557,$A$2:$A$4629),0,0),0)))</f>
        <v/>
      </c>
      <c r="C3558" t="str">
        <f t="shared" si="55"/>
        <v/>
      </c>
    </row>
    <row r="3559" spans="1:3" x14ac:dyDescent="0.25">
      <c r="A3559" t="str">
        <f>IF(Scan2VK!Y67&lt;&gt;"",Scan2VK!Y67,"")</f>
        <v>F7</v>
      </c>
      <c r="B3559" t="str">
        <f>IF(ISERROR(MATCH(0,INDEX(COUNTIF($B$1:B3558,$A$2:$A$4629),0,0),0)),"",INDEX($A$2:$A$4629,MATCH(0,INDEX(COUNTIF($B$1:B3558,$A$2:$A$4629),0,0),0)))</f>
        <v/>
      </c>
      <c r="C3559" t="str">
        <f t="shared" si="55"/>
        <v/>
      </c>
    </row>
    <row r="3560" spans="1:3" x14ac:dyDescent="0.25">
      <c r="A3560" t="str">
        <f>IF(Scan2VK!Y68&lt;&gt;"",Scan2VK!Y68,"")</f>
        <v>F8</v>
      </c>
      <c r="B3560" t="str">
        <f>IF(ISERROR(MATCH(0,INDEX(COUNTIF($B$1:B3559,$A$2:$A$4629),0,0),0)),"",INDEX($A$2:$A$4629,MATCH(0,INDEX(COUNTIF($B$1:B3559,$A$2:$A$4629),0,0),0)))</f>
        <v/>
      </c>
      <c r="C3560" t="str">
        <f t="shared" si="55"/>
        <v/>
      </c>
    </row>
    <row r="3561" spans="1:3" x14ac:dyDescent="0.25">
      <c r="A3561" t="str">
        <f>IF(Scan2VK!Y69&lt;&gt;"",Scan2VK!Y69,"")</f>
        <v>F9</v>
      </c>
      <c r="B3561" t="str">
        <f>IF(ISERROR(MATCH(0,INDEX(COUNTIF($B$1:B3560,$A$2:$A$4629),0,0),0)),"",INDEX($A$2:$A$4629,MATCH(0,INDEX(COUNTIF($B$1:B3560,$A$2:$A$4629),0,0),0)))</f>
        <v/>
      </c>
      <c r="C3561" t="str">
        <f t="shared" si="55"/>
        <v/>
      </c>
    </row>
    <row r="3562" spans="1:3" x14ac:dyDescent="0.25">
      <c r="A3562" t="str">
        <f>IF(Scan2VK!Y70&lt;&gt;"",Scan2VK!Y70,"")</f>
        <v>F10</v>
      </c>
      <c r="B3562" t="str">
        <f>IF(ISERROR(MATCH(0,INDEX(COUNTIF($B$1:B3561,$A$2:$A$4629),0,0),0)),"",INDEX($A$2:$A$4629,MATCH(0,INDEX(COUNTIF($B$1:B3561,$A$2:$A$4629),0,0),0)))</f>
        <v/>
      </c>
      <c r="C3562" t="str">
        <f t="shared" si="55"/>
        <v/>
      </c>
    </row>
    <row r="3563" spans="1:3" x14ac:dyDescent="0.25">
      <c r="A3563" t="str">
        <f>IF(Scan2VK!Y71&lt;&gt;"",Scan2VK!Y71,"")</f>
        <v>NUMLOCK</v>
      </c>
      <c r="B3563" t="str">
        <f>IF(ISERROR(MATCH(0,INDEX(COUNTIF($B$1:B3562,$A$2:$A$4629),0,0),0)),"",INDEX($A$2:$A$4629,MATCH(0,INDEX(COUNTIF($B$1:B3562,$A$2:$A$4629),0,0),0)))</f>
        <v/>
      </c>
      <c r="C3563" t="str">
        <f t="shared" si="55"/>
        <v/>
      </c>
    </row>
    <row r="3564" spans="1:3" x14ac:dyDescent="0.25">
      <c r="A3564" t="str">
        <f>IF(Scan2VK!Y72&lt;&gt;"",Scan2VK!Y72,"")</f>
        <v>SCROLL</v>
      </c>
      <c r="B3564" t="str">
        <f>IF(ISERROR(MATCH(0,INDEX(COUNTIF($B$1:B3563,$A$2:$A$4629),0,0),0)),"",INDEX($A$2:$A$4629,MATCH(0,INDEX(COUNTIF($B$1:B3563,$A$2:$A$4629),0,0),0)))</f>
        <v/>
      </c>
      <c r="C3564" t="str">
        <f t="shared" si="55"/>
        <v/>
      </c>
    </row>
    <row r="3565" spans="1:3" x14ac:dyDescent="0.25">
      <c r="A3565" t="str">
        <f>IF(Scan2VK!Y73&lt;&gt;"",Scan2VK!Y73,"")</f>
        <v>HOME</v>
      </c>
      <c r="B3565" t="str">
        <f>IF(ISERROR(MATCH(0,INDEX(COUNTIF($B$1:B3564,$A$2:$A$4629),0,0),0)),"",INDEX($A$2:$A$4629,MATCH(0,INDEX(COUNTIF($B$1:B3564,$A$2:$A$4629),0,0),0)))</f>
        <v/>
      </c>
      <c r="C3565" t="str">
        <f t="shared" si="55"/>
        <v/>
      </c>
    </row>
    <row r="3566" spans="1:3" x14ac:dyDescent="0.25">
      <c r="A3566" t="str">
        <f>IF(Scan2VK!Y74&lt;&gt;"",Scan2VK!Y74,"")</f>
        <v>UP</v>
      </c>
      <c r="B3566" t="str">
        <f>IF(ISERROR(MATCH(0,INDEX(COUNTIF($B$1:B3565,$A$2:$A$4629),0,0),0)),"",INDEX($A$2:$A$4629,MATCH(0,INDEX(COUNTIF($B$1:B3565,$A$2:$A$4629),0,0),0)))</f>
        <v/>
      </c>
      <c r="C3566" t="str">
        <f t="shared" si="55"/>
        <v/>
      </c>
    </row>
    <row r="3567" spans="1:3" x14ac:dyDescent="0.25">
      <c r="A3567" t="str">
        <f>IF(Scan2VK!Y75&lt;&gt;"",Scan2VK!Y75,"")</f>
        <v>PRIOR</v>
      </c>
      <c r="B3567" t="str">
        <f>IF(ISERROR(MATCH(0,INDEX(COUNTIF($B$1:B3566,$A$2:$A$4629),0,0),0)),"",INDEX($A$2:$A$4629,MATCH(0,INDEX(COUNTIF($B$1:B3566,$A$2:$A$4629),0,0),0)))</f>
        <v/>
      </c>
      <c r="C3567" t="str">
        <f t="shared" si="55"/>
        <v/>
      </c>
    </row>
    <row r="3568" spans="1:3" x14ac:dyDescent="0.25">
      <c r="A3568" t="str">
        <f>IF(Scan2VK!Y76&lt;&gt;"",Scan2VK!Y76,"")</f>
        <v>SUBTRACT</v>
      </c>
      <c r="B3568" t="str">
        <f>IF(ISERROR(MATCH(0,INDEX(COUNTIF($B$1:B3567,$A$2:$A$4629),0,0),0)),"",INDEX($A$2:$A$4629,MATCH(0,INDEX(COUNTIF($B$1:B3567,$A$2:$A$4629),0,0),0)))</f>
        <v/>
      </c>
      <c r="C3568" t="str">
        <f t="shared" si="55"/>
        <v/>
      </c>
    </row>
    <row r="3569" spans="1:3" x14ac:dyDescent="0.25">
      <c r="A3569" t="str">
        <f>IF(Scan2VK!Y77&lt;&gt;"",Scan2VK!Y77,"")</f>
        <v>LEFT</v>
      </c>
      <c r="B3569" t="str">
        <f>IF(ISERROR(MATCH(0,INDEX(COUNTIF($B$1:B3568,$A$2:$A$4629),0,0),0)),"",INDEX($A$2:$A$4629,MATCH(0,INDEX(COUNTIF($B$1:B3568,$A$2:$A$4629),0,0),0)))</f>
        <v/>
      </c>
      <c r="C3569" t="str">
        <f t="shared" si="55"/>
        <v/>
      </c>
    </row>
    <row r="3570" spans="1:3" x14ac:dyDescent="0.25">
      <c r="A3570" t="str">
        <f>IF(Scan2VK!Y78&lt;&gt;"",Scan2VK!Y78,"")</f>
        <v>CLEAR</v>
      </c>
      <c r="B3570" t="str">
        <f>IF(ISERROR(MATCH(0,INDEX(COUNTIF($B$1:B3569,$A$2:$A$4629),0,0),0)),"",INDEX($A$2:$A$4629,MATCH(0,INDEX(COUNTIF($B$1:B3569,$A$2:$A$4629),0,0),0)))</f>
        <v/>
      </c>
      <c r="C3570" t="str">
        <f t="shared" si="55"/>
        <v/>
      </c>
    </row>
    <row r="3571" spans="1:3" x14ac:dyDescent="0.25">
      <c r="A3571" t="str">
        <f>IF(Scan2VK!Y79&lt;&gt;"",Scan2VK!Y79,"")</f>
        <v>RIGHT</v>
      </c>
      <c r="B3571" t="str">
        <f>IF(ISERROR(MATCH(0,INDEX(COUNTIF($B$1:B3570,$A$2:$A$4629),0,0),0)),"",INDEX($A$2:$A$4629,MATCH(0,INDEX(COUNTIF($B$1:B3570,$A$2:$A$4629),0,0),0)))</f>
        <v/>
      </c>
      <c r="C3571" t="str">
        <f t="shared" si="55"/>
        <v/>
      </c>
    </row>
    <row r="3572" spans="1:3" x14ac:dyDescent="0.25">
      <c r="A3572" t="str">
        <f>IF(Scan2VK!Y80&lt;&gt;"",Scan2VK!Y80,"")</f>
        <v>ADD</v>
      </c>
      <c r="B3572" t="str">
        <f>IF(ISERROR(MATCH(0,INDEX(COUNTIF($B$1:B3571,$A$2:$A$4629),0,0),0)),"",INDEX($A$2:$A$4629,MATCH(0,INDEX(COUNTIF($B$1:B3571,$A$2:$A$4629),0,0),0)))</f>
        <v/>
      </c>
      <c r="C3572" t="str">
        <f t="shared" si="55"/>
        <v/>
      </c>
    </row>
    <row r="3573" spans="1:3" x14ac:dyDescent="0.25">
      <c r="A3573" t="str">
        <f>IF(Scan2VK!Y81&lt;&gt;"",Scan2VK!Y81,"")</f>
        <v>END</v>
      </c>
      <c r="B3573" t="str">
        <f>IF(ISERROR(MATCH(0,INDEX(COUNTIF($B$1:B3572,$A$2:$A$4629),0,0),0)),"",INDEX($A$2:$A$4629,MATCH(0,INDEX(COUNTIF($B$1:B3572,$A$2:$A$4629),0,0),0)))</f>
        <v/>
      </c>
      <c r="C3573" t="str">
        <f t="shared" si="55"/>
        <v/>
      </c>
    </row>
    <row r="3574" spans="1:3" x14ac:dyDescent="0.25">
      <c r="A3574" t="str">
        <f>IF(Scan2VK!Y82&lt;&gt;"",Scan2VK!Y82,"")</f>
        <v>DOWN</v>
      </c>
      <c r="B3574" t="str">
        <f>IF(ISERROR(MATCH(0,INDEX(COUNTIF($B$1:B3573,$A$2:$A$4629),0,0),0)),"",INDEX($A$2:$A$4629,MATCH(0,INDEX(COUNTIF($B$1:B3573,$A$2:$A$4629),0,0),0)))</f>
        <v/>
      </c>
      <c r="C3574" t="str">
        <f t="shared" si="55"/>
        <v/>
      </c>
    </row>
    <row r="3575" spans="1:3" x14ac:dyDescent="0.25">
      <c r="A3575" t="str">
        <f>IF(Scan2VK!Y83&lt;&gt;"",Scan2VK!Y83,"")</f>
        <v>NEXT</v>
      </c>
      <c r="B3575" t="str">
        <f>IF(ISERROR(MATCH(0,INDEX(COUNTIF($B$1:B3574,$A$2:$A$4629),0,0),0)),"",INDEX($A$2:$A$4629,MATCH(0,INDEX(COUNTIF($B$1:B3574,$A$2:$A$4629),0,0),0)))</f>
        <v/>
      </c>
      <c r="C3575" t="str">
        <f t="shared" si="55"/>
        <v/>
      </c>
    </row>
    <row r="3576" spans="1:3" x14ac:dyDescent="0.25">
      <c r="A3576" t="str">
        <f>IF(Scan2VK!Y84&lt;&gt;"",Scan2VK!Y84,"")</f>
        <v>INSERT</v>
      </c>
      <c r="B3576" t="str">
        <f>IF(ISERROR(MATCH(0,INDEX(COUNTIF($B$1:B3575,$A$2:$A$4629),0,0),0)),"",INDEX($A$2:$A$4629,MATCH(0,INDEX(COUNTIF($B$1:B3575,$A$2:$A$4629),0,0),0)))</f>
        <v/>
      </c>
      <c r="C3576" t="str">
        <f t="shared" si="55"/>
        <v/>
      </c>
    </row>
    <row r="3577" spans="1:3" x14ac:dyDescent="0.25">
      <c r="A3577" t="str">
        <f>IF(Scan2VK!Y85&lt;&gt;"",Scan2VK!Y85,"")</f>
        <v>DELETE</v>
      </c>
      <c r="B3577" t="str">
        <f>IF(ISERROR(MATCH(0,INDEX(COUNTIF($B$1:B3576,$A$2:$A$4629),0,0),0)),"",INDEX($A$2:$A$4629,MATCH(0,INDEX(COUNTIF($B$1:B3576,$A$2:$A$4629),0,0),0)))</f>
        <v/>
      </c>
      <c r="C3577" t="str">
        <f t="shared" si="55"/>
        <v/>
      </c>
    </row>
    <row r="3578" spans="1:3" x14ac:dyDescent="0.25">
      <c r="A3578" t="str">
        <f>IF(Scan2VK!Y86&lt;&gt;"",Scan2VK!Y86,"")</f>
        <v>SNAPSHOT</v>
      </c>
      <c r="B3578" t="str">
        <f>IF(ISERROR(MATCH(0,INDEX(COUNTIF($B$1:B3577,$A$2:$A$4629),0,0),0)),"",INDEX($A$2:$A$4629,MATCH(0,INDEX(COUNTIF($B$1:B3577,$A$2:$A$4629),0,0),0)))</f>
        <v/>
      </c>
      <c r="C3578" t="str">
        <f t="shared" si="55"/>
        <v/>
      </c>
    </row>
    <row r="3579" spans="1:3" x14ac:dyDescent="0.25">
      <c r="A3579" t="str">
        <f>IF(Scan2VK!Y87&lt;&gt;"",Scan2VK!Y87,"")</f>
        <v>OEM_8</v>
      </c>
      <c r="B3579" t="str">
        <f>IF(ISERROR(MATCH(0,INDEX(COUNTIF($B$1:B3578,$A$2:$A$4629),0,0),0)),"",INDEX($A$2:$A$4629,MATCH(0,INDEX(COUNTIF($B$1:B3578,$A$2:$A$4629),0,0),0)))</f>
        <v/>
      </c>
      <c r="C3579" t="str">
        <f t="shared" si="55"/>
        <v/>
      </c>
    </row>
    <row r="3580" spans="1:3" x14ac:dyDescent="0.25">
      <c r="A3580" t="str">
        <f>IF(Scan2VK!Y88&lt;&gt;"",Scan2VK!Y88,"")</f>
        <v>_none_</v>
      </c>
      <c r="B3580" t="str">
        <f>IF(ISERROR(MATCH(0,INDEX(COUNTIF($B$1:B3579,$A$2:$A$4629),0,0),0)),"",INDEX($A$2:$A$4629,MATCH(0,INDEX(COUNTIF($B$1:B3579,$A$2:$A$4629),0,0),0)))</f>
        <v/>
      </c>
      <c r="C3580" t="str">
        <f t="shared" si="55"/>
        <v/>
      </c>
    </row>
    <row r="3581" spans="1:3" x14ac:dyDescent="0.25">
      <c r="A3581" t="str">
        <f>IF(Scan2VK!Y89&lt;&gt;"",Scan2VK!Y89,"")</f>
        <v>F11</v>
      </c>
      <c r="B3581" t="str">
        <f>IF(ISERROR(MATCH(0,INDEX(COUNTIF($B$1:B3580,$A$2:$A$4629),0,0),0)),"",INDEX($A$2:$A$4629,MATCH(0,INDEX(COUNTIF($B$1:B3580,$A$2:$A$4629),0,0),0)))</f>
        <v/>
      </c>
      <c r="C3581" t="str">
        <f t="shared" si="55"/>
        <v/>
      </c>
    </row>
    <row r="3582" spans="1:3" x14ac:dyDescent="0.25">
      <c r="A3582" t="str">
        <f>IF(Scan2VK!Y90&lt;&gt;"",Scan2VK!Y90,"")</f>
        <v>F12</v>
      </c>
      <c r="B3582" t="str">
        <f>IF(ISERROR(MATCH(0,INDEX(COUNTIF($B$1:B3581,$A$2:$A$4629),0,0),0)),"",INDEX($A$2:$A$4629,MATCH(0,INDEX(COUNTIF($B$1:B3581,$A$2:$A$4629),0,0),0)))</f>
        <v/>
      </c>
      <c r="C3582" t="str">
        <f t="shared" si="55"/>
        <v/>
      </c>
    </row>
    <row r="3583" spans="1:3" x14ac:dyDescent="0.25">
      <c r="A3583" t="str">
        <f>IF(Scan2VK!Y91&lt;&gt;"",Scan2VK!Y91,"")</f>
        <v>OEM_NEC_EQUAL</v>
      </c>
      <c r="B3583" t="str">
        <f>IF(ISERROR(MATCH(0,INDEX(COUNTIF($B$1:B3582,$A$2:$A$4629),0,0),0)),"",INDEX($A$2:$A$4629,MATCH(0,INDEX(COUNTIF($B$1:B3582,$A$2:$A$4629),0,0),0)))</f>
        <v/>
      </c>
      <c r="C3583" t="str">
        <f t="shared" si="55"/>
        <v/>
      </c>
    </row>
    <row r="3584" spans="1:3" x14ac:dyDescent="0.25">
      <c r="A3584" t="str">
        <f>IF(Scan2VK!Y92&lt;&gt;"",Scan2VK!Y92,"")</f>
        <v>NONCONVERT</v>
      </c>
      <c r="B3584" t="str">
        <f>IF(ISERROR(MATCH(0,INDEX(COUNTIF($B$1:B3583,$A$2:$A$4629),0,0),0)),"",INDEX($A$2:$A$4629,MATCH(0,INDEX(COUNTIF($B$1:B3583,$A$2:$A$4629),0,0),0)))</f>
        <v/>
      </c>
      <c r="C3584" t="str">
        <f t="shared" si="55"/>
        <v/>
      </c>
    </row>
    <row r="3585" spans="1:3" x14ac:dyDescent="0.25">
      <c r="A3585" t="str">
        <f>IF(Scan2VK!Y93&lt;&gt;"",Scan2VK!Y93,"")</f>
        <v>NONAME</v>
      </c>
      <c r="B3585" t="str">
        <f>IF(ISERROR(MATCH(0,INDEX(COUNTIF($B$1:B3584,$A$2:$A$4629),0,0),0)),"",INDEX($A$2:$A$4629,MATCH(0,INDEX(COUNTIF($B$1:B3584,$A$2:$A$4629),0,0),0)))</f>
        <v/>
      </c>
      <c r="C3585" t="str">
        <f t="shared" si="55"/>
        <v/>
      </c>
    </row>
    <row r="3586" spans="1:3" x14ac:dyDescent="0.25">
      <c r="A3586" t="str">
        <f>IF(Scan2VK!Y94&lt;&gt;"",Scan2VK!Y94,"")</f>
        <v>SEPARATOR</v>
      </c>
      <c r="B3586" t="str">
        <f>IF(ISERROR(MATCH(0,INDEX(COUNTIF($B$1:B3585,$A$2:$A$4629),0,0),0)),"",INDEX($A$2:$A$4629,MATCH(0,INDEX(COUNTIF($B$1:B3585,$A$2:$A$4629),0,0),0)))</f>
        <v/>
      </c>
      <c r="C3586" t="str">
        <f t="shared" si="55"/>
        <v/>
      </c>
    </row>
    <row r="3587" spans="1:3" x14ac:dyDescent="0.25">
      <c r="A3587" t="str">
        <f>IF(Scan2VK!Y95&lt;&gt;"",Scan2VK!Y95,"")</f>
        <v>F13</v>
      </c>
      <c r="B3587" t="str">
        <f>IF(ISERROR(MATCH(0,INDEX(COUNTIF($B$1:B3586,$A$2:$A$4629),0,0),0)),"",INDEX($A$2:$A$4629,MATCH(0,INDEX(COUNTIF($B$1:B3586,$A$2:$A$4629),0,0),0)))</f>
        <v/>
      </c>
      <c r="C3587" t="str">
        <f t="shared" ref="C3587:C3650" si="56">IF(B3587&lt;&gt;"","&lt;xs:enumeration value="""&amp;B3587&amp;"""/&gt;","")</f>
        <v/>
      </c>
    </row>
    <row r="3588" spans="1:3" x14ac:dyDescent="0.25">
      <c r="A3588" t="str">
        <f>IF(Scan2VK!Y96&lt;&gt;"",Scan2VK!Y96,"")</f>
        <v>F14</v>
      </c>
      <c r="B3588" t="str">
        <f>IF(ISERROR(MATCH(0,INDEX(COUNTIF($B$1:B3587,$A$2:$A$4629),0,0),0)),"",INDEX($A$2:$A$4629,MATCH(0,INDEX(COUNTIF($B$1:B3587,$A$2:$A$4629),0,0),0)))</f>
        <v/>
      </c>
      <c r="C3588" t="str">
        <f t="shared" si="56"/>
        <v/>
      </c>
    </row>
    <row r="3589" spans="1:3" x14ac:dyDescent="0.25">
      <c r="A3589" t="str">
        <f>IF(Scan2VK!Y97&lt;&gt;"",Scan2VK!Y97,"")</f>
        <v>F15</v>
      </c>
      <c r="B3589" t="str">
        <f>IF(ISERROR(MATCH(0,INDEX(COUNTIF($B$1:B3588,$A$2:$A$4629),0,0),0)),"",INDEX($A$2:$A$4629,MATCH(0,INDEX(COUNTIF($B$1:B3588,$A$2:$A$4629),0,0),0)))</f>
        <v/>
      </c>
      <c r="C3589" t="str">
        <f t="shared" si="56"/>
        <v/>
      </c>
    </row>
    <row r="3590" spans="1:3" x14ac:dyDescent="0.25">
      <c r="A3590" t="str">
        <f>IF(Scan2VK!Y98&lt;&gt;"",Scan2VK!Y98,"")</f>
        <v>_none_</v>
      </c>
      <c r="B3590" t="str">
        <f>IF(ISERROR(MATCH(0,INDEX(COUNTIF($B$1:B3589,$A$2:$A$4629),0,0),0)),"",INDEX($A$2:$A$4629,MATCH(0,INDEX(COUNTIF($B$1:B3589,$A$2:$A$4629),0,0),0)))</f>
        <v/>
      </c>
      <c r="C3590" t="str">
        <f t="shared" si="56"/>
        <v/>
      </c>
    </row>
    <row r="3591" spans="1:3" x14ac:dyDescent="0.25">
      <c r="A3591" t="str">
        <f>IF(Scan2VK!Y99&lt;&gt;"",Scan2VK!Y99,"")</f>
        <v>_none_</v>
      </c>
      <c r="B3591" t="str">
        <f>IF(ISERROR(MATCH(0,INDEX(COUNTIF($B$1:B3590,$A$2:$A$4629),0,0),0)),"",INDEX($A$2:$A$4629,MATCH(0,INDEX(COUNTIF($B$1:B3590,$A$2:$A$4629),0,0),0)))</f>
        <v/>
      </c>
      <c r="C3591" t="str">
        <f t="shared" si="56"/>
        <v/>
      </c>
    </row>
    <row r="3592" spans="1:3" x14ac:dyDescent="0.25">
      <c r="A3592" t="str">
        <f>IF(Scan2VK!Y100&lt;&gt;"",Scan2VK!Y100,"")</f>
        <v>_none_</v>
      </c>
      <c r="B3592" t="str">
        <f>IF(ISERROR(MATCH(0,INDEX(COUNTIF($B$1:B3591,$A$2:$A$4629),0,0),0)),"",INDEX($A$2:$A$4629,MATCH(0,INDEX(COUNTIF($B$1:B3591,$A$2:$A$4629),0,0),0)))</f>
        <v/>
      </c>
      <c r="C3592" t="str">
        <f t="shared" si="56"/>
        <v/>
      </c>
    </row>
    <row r="3593" spans="1:3" x14ac:dyDescent="0.25">
      <c r="A3593" t="str">
        <f>IF(Scan2VK!Y101&lt;&gt;"",Scan2VK!Y101,"")</f>
        <v>_none_</v>
      </c>
      <c r="B3593" t="str">
        <f>IF(ISERROR(MATCH(0,INDEX(COUNTIF($B$1:B3592,$A$2:$A$4629),0,0),0)),"",INDEX($A$2:$A$4629,MATCH(0,INDEX(COUNTIF($B$1:B3592,$A$2:$A$4629),0,0),0)))</f>
        <v/>
      </c>
      <c r="C3593" t="str">
        <f t="shared" si="56"/>
        <v/>
      </c>
    </row>
    <row r="3594" spans="1:3" x14ac:dyDescent="0.25">
      <c r="A3594" t="str">
        <f>IF(Scan2VK!Y102&lt;&gt;"",Scan2VK!Y102,"")</f>
        <v>F13</v>
      </c>
      <c r="B3594" t="str">
        <f>IF(ISERROR(MATCH(0,INDEX(COUNTIF($B$1:B3593,$A$2:$A$4629),0,0),0)),"",INDEX($A$2:$A$4629,MATCH(0,INDEX(COUNTIF($B$1:B3593,$A$2:$A$4629),0,0),0)))</f>
        <v/>
      </c>
      <c r="C3594" t="str">
        <f t="shared" si="56"/>
        <v/>
      </c>
    </row>
    <row r="3595" spans="1:3" x14ac:dyDescent="0.25">
      <c r="A3595" t="str">
        <f>IF(Scan2VK!Y103&lt;&gt;"",Scan2VK!Y103,"")</f>
        <v>F14</v>
      </c>
      <c r="B3595" t="str">
        <f>IF(ISERROR(MATCH(0,INDEX(COUNTIF($B$1:B3594,$A$2:$A$4629),0,0),0)),"",INDEX($A$2:$A$4629,MATCH(0,INDEX(COUNTIF($B$1:B3594,$A$2:$A$4629),0,0),0)))</f>
        <v/>
      </c>
      <c r="C3595" t="str">
        <f t="shared" si="56"/>
        <v/>
      </c>
    </row>
    <row r="3596" spans="1:3" x14ac:dyDescent="0.25">
      <c r="A3596" t="str">
        <f>IF(Scan2VK!Y104&lt;&gt;"",Scan2VK!Y104,"")</f>
        <v>F15</v>
      </c>
      <c r="B3596" t="str">
        <f>IF(ISERROR(MATCH(0,INDEX(COUNTIF($B$1:B3595,$A$2:$A$4629),0,0),0)),"",INDEX($A$2:$A$4629,MATCH(0,INDEX(COUNTIF($B$1:B3595,$A$2:$A$4629),0,0),0)))</f>
        <v/>
      </c>
      <c r="C3596" t="str">
        <f t="shared" si="56"/>
        <v/>
      </c>
    </row>
    <row r="3597" spans="1:3" x14ac:dyDescent="0.25">
      <c r="A3597" t="str">
        <f>IF(Scan2VK!Y105&lt;&gt;"",Scan2VK!Y105,"")</f>
        <v>F16</v>
      </c>
      <c r="B3597" t="str">
        <f>IF(ISERROR(MATCH(0,INDEX(COUNTIF($B$1:B3596,$A$2:$A$4629),0,0),0)),"",INDEX($A$2:$A$4629,MATCH(0,INDEX(COUNTIF($B$1:B3596,$A$2:$A$4629),0,0),0)))</f>
        <v/>
      </c>
      <c r="C3597" t="str">
        <f t="shared" si="56"/>
        <v/>
      </c>
    </row>
    <row r="3598" spans="1:3" x14ac:dyDescent="0.25">
      <c r="A3598" t="str">
        <f>IF(Scan2VK!Y106&lt;&gt;"",Scan2VK!Y106,"")</f>
        <v>F17</v>
      </c>
      <c r="B3598" t="str">
        <f>IF(ISERROR(MATCH(0,INDEX(COUNTIF($B$1:B3597,$A$2:$A$4629),0,0),0)),"",INDEX($A$2:$A$4629,MATCH(0,INDEX(COUNTIF($B$1:B3597,$A$2:$A$4629),0,0),0)))</f>
        <v/>
      </c>
      <c r="C3598" t="str">
        <f t="shared" si="56"/>
        <v/>
      </c>
    </row>
    <row r="3599" spans="1:3" x14ac:dyDescent="0.25">
      <c r="A3599" t="str">
        <f>IF(Scan2VK!Y107&lt;&gt;"",Scan2VK!Y107,"")</f>
        <v>F18</v>
      </c>
      <c r="B3599" t="str">
        <f>IF(ISERROR(MATCH(0,INDEX(COUNTIF($B$1:B3598,$A$2:$A$4629),0,0),0)),"",INDEX($A$2:$A$4629,MATCH(0,INDEX(COUNTIF($B$1:B3598,$A$2:$A$4629),0,0),0)))</f>
        <v/>
      </c>
      <c r="C3599" t="str">
        <f t="shared" si="56"/>
        <v/>
      </c>
    </row>
    <row r="3600" spans="1:3" x14ac:dyDescent="0.25">
      <c r="A3600" t="str">
        <f>IF(Scan2VK!Y108&lt;&gt;"",Scan2VK!Y108,"")</f>
        <v>F19</v>
      </c>
      <c r="B3600" t="str">
        <f>IF(ISERROR(MATCH(0,INDEX(COUNTIF($B$1:B3599,$A$2:$A$4629),0,0),0)),"",INDEX($A$2:$A$4629,MATCH(0,INDEX(COUNTIF($B$1:B3599,$A$2:$A$4629),0,0),0)))</f>
        <v/>
      </c>
      <c r="C3600" t="str">
        <f t="shared" si="56"/>
        <v/>
      </c>
    </row>
    <row r="3601" spans="1:3" x14ac:dyDescent="0.25">
      <c r="A3601" t="str">
        <f>IF(Scan2VK!Y109&lt;&gt;"",Scan2VK!Y109,"")</f>
        <v>F20</v>
      </c>
      <c r="B3601" t="str">
        <f>IF(ISERROR(MATCH(0,INDEX(COUNTIF($B$1:B3600,$A$2:$A$4629),0,0),0)),"",INDEX($A$2:$A$4629,MATCH(0,INDEX(COUNTIF($B$1:B3600,$A$2:$A$4629),0,0),0)))</f>
        <v/>
      </c>
      <c r="C3601" t="str">
        <f t="shared" si="56"/>
        <v/>
      </c>
    </row>
    <row r="3602" spans="1:3" x14ac:dyDescent="0.25">
      <c r="A3602" t="str">
        <f>IF(Scan2VK!Y110&lt;&gt;"",Scan2VK!Y110,"")</f>
        <v>F21</v>
      </c>
      <c r="B3602" t="str">
        <f>IF(ISERROR(MATCH(0,INDEX(COUNTIF($B$1:B3601,$A$2:$A$4629),0,0),0)),"",INDEX($A$2:$A$4629,MATCH(0,INDEX(COUNTIF($B$1:B3601,$A$2:$A$4629),0,0),0)))</f>
        <v/>
      </c>
      <c r="C3602" t="str">
        <f t="shared" si="56"/>
        <v/>
      </c>
    </row>
    <row r="3603" spans="1:3" x14ac:dyDescent="0.25">
      <c r="A3603" t="str">
        <f>IF(Scan2VK!Y111&lt;&gt;"",Scan2VK!Y111,"")</f>
        <v>F22</v>
      </c>
      <c r="B3603" t="str">
        <f>IF(ISERROR(MATCH(0,INDEX(COUNTIF($B$1:B3602,$A$2:$A$4629),0,0),0)),"",INDEX($A$2:$A$4629,MATCH(0,INDEX(COUNTIF($B$1:B3602,$A$2:$A$4629),0,0),0)))</f>
        <v/>
      </c>
      <c r="C3603" t="str">
        <f t="shared" si="56"/>
        <v/>
      </c>
    </row>
    <row r="3604" spans="1:3" x14ac:dyDescent="0.25">
      <c r="A3604" t="str">
        <f>IF(Scan2VK!Y112&lt;&gt;"",Scan2VK!Y112,"")</f>
        <v>F23</v>
      </c>
      <c r="B3604" t="str">
        <f>IF(ISERROR(MATCH(0,INDEX(COUNTIF($B$1:B3603,$A$2:$A$4629),0,0),0)),"",INDEX($A$2:$A$4629,MATCH(0,INDEX(COUNTIF($B$1:B3603,$A$2:$A$4629),0,0),0)))</f>
        <v/>
      </c>
      <c r="C3604" t="str">
        <f t="shared" si="56"/>
        <v/>
      </c>
    </row>
    <row r="3605" spans="1:3" x14ac:dyDescent="0.25">
      <c r="A3605" t="str">
        <f>IF(Scan2VK!Y113&lt;&gt;"",Scan2VK!Y113,"")</f>
        <v>_none_</v>
      </c>
      <c r="B3605" t="str">
        <f>IF(ISERROR(MATCH(0,INDEX(COUNTIF($B$1:B3604,$A$2:$A$4629),0,0),0)),"",INDEX($A$2:$A$4629,MATCH(0,INDEX(COUNTIF($B$1:B3604,$A$2:$A$4629),0,0),0)))</f>
        <v/>
      </c>
      <c r="C3605" t="str">
        <f t="shared" si="56"/>
        <v/>
      </c>
    </row>
    <row r="3606" spans="1:3" x14ac:dyDescent="0.25">
      <c r="A3606" t="str">
        <f>IF(Scan2VK!Y114&lt;&gt;"",Scan2VK!Y114,"")</f>
        <v>DBE_HIRAGANA</v>
      </c>
      <c r="B3606" t="str">
        <f>IF(ISERROR(MATCH(0,INDEX(COUNTIF($B$1:B3605,$A$2:$A$4629),0,0),0)),"",INDEX($A$2:$A$4629,MATCH(0,INDEX(COUNTIF($B$1:B3605,$A$2:$A$4629),0,0),0)))</f>
        <v/>
      </c>
      <c r="C3606" t="str">
        <f t="shared" si="56"/>
        <v/>
      </c>
    </row>
    <row r="3607" spans="1:3" x14ac:dyDescent="0.25">
      <c r="A3607" t="str">
        <f>IF(Scan2VK!Y115&lt;&gt;"",Scan2VK!Y115,"")</f>
        <v>_none_</v>
      </c>
      <c r="B3607" t="str">
        <f>IF(ISERROR(MATCH(0,INDEX(COUNTIF($B$1:B3606,$A$2:$A$4629),0,0),0)),"",INDEX($A$2:$A$4629,MATCH(0,INDEX(COUNTIF($B$1:B3606,$A$2:$A$4629),0,0),0)))</f>
        <v/>
      </c>
      <c r="C3607" t="str">
        <f t="shared" si="56"/>
        <v/>
      </c>
    </row>
    <row r="3608" spans="1:3" x14ac:dyDescent="0.25">
      <c r="A3608" t="str">
        <f>IF(Scan2VK!Y116&lt;&gt;"",Scan2VK!Y116,"")</f>
        <v>_none_</v>
      </c>
      <c r="B3608" t="str">
        <f>IF(ISERROR(MATCH(0,INDEX(COUNTIF($B$1:B3607,$A$2:$A$4629),0,0),0)),"",INDEX($A$2:$A$4629,MATCH(0,INDEX(COUNTIF($B$1:B3607,$A$2:$A$4629),0,0),0)))</f>
        <v/>
      </c>
      <c r="C3608" t="str">
        <f t="shared" si="56"/>
        <v/>
      </c>
    </row>
    <row r="3609" spans="1:3" x14ac:dyDescent="0.25">
      <c r="A3609" t="str">
        <f>IF(Scan2VK!Y117&lt;&gt;"",Scan2VK!Y117,"")</f>
        <v>_none_</v>
      </c>
      <c r="B3609" t="str">
        <f>IF(ISERROR(MATCH(0,INDEX(COUNTIF($B$1:B3608,$A$2:$A$4629),0,0),0)),"",INDEX($A$2:$A$4629,MATCH(0,INDEX(COUNTIF($B$1:B3608,$A$2:$A$4629),0,0),0)))</f>
        <v/>
      </c>
      <c r="C3609" t="str">
        <f t="shared" si="56"/>
        <v/>
      </c>
    </row>
    <row r="3610" spans="1:3" x14ac:dyDescent="0.25">
      <c r="A3610" t="str">
        <f>IF(Scan2VK!Y118&lt;&gt;"",Scan2VK!Y118,"")</f>
        <v>_none_</v>
      </c>
      <c r="B3610" t="str">
        <f>IF(ISERROR(MATCH(0,INDEX(COUNTIF($B$1:B3609,$A$2:$A$4629),0,0),0)),"",INDEX($A$2:$A$4629,MATCH(0,INDEX(COUNTIF($B$1:B3609,$A$2:$A$4629),0,0),0)))</f>
        <v/>
      </c>
      <c r="C3610" t="str">
        <f t="shared" si="56"/>
        <v/>
      </c>
    </row>
    <row r="3611" spans="1:3" x14ac:dyDescent="0.25">
      <c r="A3611" t="str">
        <f>IF(Scan2VK!Y119&lt;&gt;"",Scan2VK!Y119,"")</f>
        <v>_none_</v>
      </c>
      <c r="B3611" t="str">
        <f>IF(ISERROR(MATCH(0,INDEX(COUNTIF($B$1:B3610,$A$2:$A$4629),0,0),0)),"",INDEX($A$2:$A$4629,MATCH(0,INDEX(COUNTIF($B$1:B3610,$A$2:$A$4629),0,0),0)))</f>
        <v/>
      </c>
      <c r="C3611" t="str">
        <f t="shared" si="56"/>
        <v/>
      </c>
    </row>
    <row r="3612" spans="1:3" x14ac:dyDescent="0.25">
      <c r="A3612" t="str">
        <f>IF(Scan2VK!Y120&lt;&gt;"",Scan2VK!Y120,"")</f>
        <v>F24</v>
      </c>
      <c r="B3612" t="str">
        <f>IF(ISERROR(MATCH(0,INDEX(COUNTIF($B$1:B3611,$A$2:$A$4629),0,0),0)),"",INDEX($A$2:$A$4629,MATCH(0,INDEX(COUNTIF($B$1:B3611,$A$2:$A$4629),0,0),0)))</f>
        <v/>
      </c>
      <c r="C3612" t="str">
        <f t="shared" si="56"/>
        <v/>
      </c>
    </row>
    <row r="3613" spans="1:3" x14ac:dyDescent="0.25">
      <c r="A3613" t="str">
        <f>IF(Scan2VK!Y121&lt;&gt;"",Scan2VK!Y121,"")</f>
        <v>DBE_SBCSCHAR</v>
      </c>
      <c r="B3613" t="str">
        <f>IF(ISERROR(MATCH(0,INDEX(COUNTIF($B$1:B3612,$A$2:$A$4629),0,0),0)),"",INDEX($A$2:$A$4629,MATCH(0,INDEX(COUNTIF($B$1:B3612,$A$2:$A$4629),0,0),0)))</f>
        <v/>
      </c>
      <c r="C3613" t="str">
        <f t="shared" si="56"/>
        <v/>
      </c>
    </row>
    <row r="3614" spans="1:3" x14ac:dyDescent="0.25">
      <c r="A3614" t="str">
        <f>IF(Scan2VK!Y122&lt;&gt;"",Scan2VK!Y122,"")</f>
        <v>_none_</v>
      </c>
      <c r="B3614" t="str">
        <f>IF(ISERROR(MATCH(0,INDEX(COUNTIF($B$1:B3613,$A$2:$A$4629),0,0),0)),"",INDEX($A$2:$A$4629,MATCH(0,INDEX(COUNTIF($B$1:B3613,$A$2:$A$4629),0,0),0)))</f>
        <v/>
      </c>
      <c r="C3614" t="str">
        <f t="shared" si="56"/>
        <v/>
      </c>
    </row>
    <row r="3615" spans="1:3" x14ac:dyDescent="0.25">
      <c r="A3615" t="str">
        <f>IF(Scan2VK!Y123&lt;&gt;"",Scan2VK!Y123,"")</f>
        <v>CONVERT</v>
      </c>
      <c r="B3615" t="str">
        <f>IF(ISERROR(MATCH(0,INDEX(COUNTIF($B$1:B3614,$A$2:$A$4629),0,0),0)),"",INDEX($A$2:$A$4629,MATCH(0,INDEX(COUNTIF($B$1:B3614,$A$2:$A$4629),0,0),0)))</f>
        <v/>
      </c>
      <c r="C3615" t="str">
        <f t="shared" si="56"/>
        <v/>
      </c>
    </row>
    <row r="3616" spans="1:3" x14ac:dyDescent="0.25">
      <c r="A3616" t="str">
        <f>IF(Scan2VK!Y124&lt;&gt;"",Scan2VK!Y124,"")</f>
        <v>_none_</v>
      </c>
      <c r="B3616" t="str">
        <f>IF(ISERROR(MATCH(0,INDEX(COUNTIF($B$1:B3615,$A$2:$A$4629),0,0),0)),"",INDEX($A$2:$A$4629,MATCH(0,INDEX(COUNTIF($B$1:B3615,$A$2:$A$4629),0,0),0)))</f>
        <v/>
      </c>
      <c r="C3616" t="str">
        <f t="shared" si="56"/>
        <v/>
      </c>
    </row>
    <row r="3617" spans="1:3" x14ac:dyDescent="0.25">
      <c r="A3617" t="str">
        <f>IF(Scan2VK!Y125&lt;&gt;"",Scan2VK!Y125,"")</f>
        <v>NONCONVERT</v>
      </c>
      <c r="B3617" t="str">
        <f>IF(ISERROR(MATCH(0,INDEX(COUNTIF($B$1:B3616,$A$2:$A$4629),0,0),0)),"",INDEX($A$2:$A$4629,MATCH(0,INDEX(COUNTIF($B$1:B3616,$A$2:$A$4629),0,0),0)))</f>
        <v/>
      </c>
      <c r="C3617" t="str">
        <f t="shared" si="56"/>
        <v/>
      </c>
    </row>
    <row r="3618" spans="1:3" x14ac:dyDescent="0.25">
      <c r="A3618" t="str">
        <f>IF(Scan2VK!Y126&lt;&gt;"",Scan2VK!Y126,"")</f>
        <v>_none_</v>
      </c>
      <c r="B3618" t="str">
        <f>IF(ISERROR(MATCH(0,INDEX(COUNTIF($B$1:B3617,$A$2:$A$4629),0,0),0)),"",INDEX($A$2:$A$4629,MATCH(0,INDEX(COUNTIF($B$1:B3617,$A$2:$A$4629),0,0),0)))</f>
        <v/>
      </c>
      <c r="C3618" t="str">
        <f t="shared" si="56"/>
        <v/>
      </c>
    </row>
    <row r="3619" spans="1:3" x14ac:dyDescent="0.25">
      <c r="A3619" t="str">
        <f>IF(Scan2VK!Y127&lt;&gt;"",Scan2VK!Y127,"")</f>
        <v>_none_</v>
      </c>
      <c r="B3619" t="str">
        <f>IF(ISERROR(MATCH(0,INDEX(COUNTIF($B$1:B3618,$A$2:$A$4629),0,0),0)),"",INDEX($A$2:$A$4629,MATCH(0,INDEX(COUNTIF($B$1:B3618,$A$2:$A$4629),0,0),0)))</f>
        <v/>
      </c>
      <c r="C3619" t="str">
        <f t="shared" si="56"/>
        <v/>
      </c>
    </row>
    <row r="3620" spans="1:3" x14ac:dyDescent="0.25">
      <c r="A3620" t="str">
        <f>IF(Scan2VK!Y128&lt;&gt;"",Scan2VK!Y128,"")</f>
        <v>_none_</v>
      </c>
      <c r="B3620" t="str">
        <f>IF(ISERROR(MATCH(0,INDEX(COUNTIF($B$1:B3619,$A$2:$A$4629),0,0),0)),"",INDEX($A$2:$A$4629,MATCH(0,INDEX(COUNTIF($B$1:B3619,$A$2:$A$4629),0,0),0)))</f>
        <v/>
      </c>
      <c r="C3620" t="str">
        <f t="shared" si="56"/>
        <v/>
      </c>
    </row>
    <row r="3621" spans="1:3" x14ac:dyDescent="0.25">
      <c r="A3621" t="str">
        <f>IF(Scan2VK!Y129&lt;&gt;"",Scan2VK!Y129,"")</f>
        <v>_none_</v>
      </c>
      <c r="B3621" t="str">
        <f>IF(ISERROR(MATCH(0,INDEX(COUNTIF($B$1:B3620,$A$2:$A$4629),0,0),0)),"",INDEX($A$2:$A$4629,MATCH(0,INDEX(COUNTIF($B$1:B3620,$A$2:$A$4629),0,0),0)))</f>
        <v/>
      </c>
      <c r="C3621" t="str">
        <f t="shared" si="56"/>
        <v/>
      </c>
    </row>
    <row r="3622" spans="1:3" x14ac:dyDescent="0.25">
      <c r="A3622" t="str">
        <f>IF(Scan2VK!Y130&lt;&gt;"",Scan2VK!Y130,"")</f>
        <v/>
      </c>
      <c r="B3622" t="str">
        <f>IF(ISERROR(MATCH(0,INDEX(COUNTIF($B$1:B3621,$A$2:$A$4629),0,0),0)),"",INDEX($A$2:$A$4629,MATCH(0,INDEX(COUNTIF($B$1:B3621,$A$2:$A$4629),0,0),0)))</f>
        <v/>
      </c>
      <c r="C3622" t="str">
        <f t="shared" si="56"/>
        <v/>
      </c>
    </row>
    <row r="3623" spans="1:3" x14ac:dyDescent="0.25">
      <c r="A3623" t="str">
        <f>IF(Scan2VK!Y131&lt;&gt;"",Scan2VK!Y131,"")</f>
        <v/>
      </c>
      <c r="B3623" t="str">
        <f>IF(ISERROR(MATCH(0,INDEX(COUNTIF($B$1:B3622,$A$2:$A$4629),0,0),0)),"",INDEX($A$2:$A$4629,MATCH(0,INDEX(COUNTIF($B$1:B3622,$A$2:$A$4629),0,0),0)))</f>
        <v/>
      </c>
      <c r="C3623" t="str">
        <f t="shared" si="56"/>
        <v/>
      </c>
    </row>
    <row r="3624" spans="1:3" x14ac:dyDescent="0.25">
      <c r="A3624" t="str">
        <f>IF(Scan2VK!Y132&lt;&gt;"",Scan2VK!Y132,"")</f>
        <v/>
      </c>
      <c r="B3624" t="str">
        <f>IF(ISERROR(MATCH(0,INDEX(COUNTIF($B$1:B3623,$A$2:$A$4629),0,0),0)),"",INDEX($A$2:$A$4629,MATCH(0,INDEX(COUNTIF($B$1:B3623,$A$2:$A$4629),0,0),0)))</f>
        <v/>
      </c>
      <c r="C3624" t="str">
        <f t="shared" si="56"/>
        <v/>
      </c>
    </row>
    <row r="3625" spans="1:3" x14ac:dyDescent="0.25">
      <c r="A3625" t="str">
        <f>IF(Scan2VK!Y133&lt;&gt;"",Scan2VK!Y133,"")</f>
        <v>RETURN</v>
      </c>
      <c r="B3625" t="str">
        <f>IF(ISERROR(MATCH(0,INDEX(COUNTIF($B$1:B3624,$A$2:$A$4629),0,0),0)),"",INDEX($A$2:$A$4629,MATCH(0,INDEX(COUNTIF($B$1:B3624,$A$2:$A$4629),0,0),0)))</f>
        <v/>
      </c>
      <c r="C3625" t="str">
        <f t="shared" si="56"/>
        <v/>
      </c>
    </row>
    <row r="3626" spans="1:3" x14ac:dyDescent="0.25">
      <c r="A3626" t="str">
        <f>IF(Scan2VK!Y134&lt;&gt;"",Scan2VK!Y134,"")</f>
        <v>KANA</v>
      </c>
      <c r="B3626" t="str">
        <f>IF(ISERROR(MATCH(0,INDEX(COUNTIF($B$1:B3625,$A$2:$A$4629),0,0),0)),"",INDEX($A$2:$A$4629,MATCH(0,INDEX(COUNTIF($B$1:B3625,$A$2:$A$4629),0,0),0)))</f>
        <v/>
      </c>
      <c r="C3626" t="str">
        <f t="shared" si="56"/>
        <v/>
      </c>
    </row>
    <row r="3627" spans="1:3" x14ac:dyDescent="0.25">
      <c r="A3627" t="str">
        <f>IF(Scan2VK!Y135&lt;&gt;"",Scan2VK!Y135,"")</f>
        <v/>
      </c>
      <c r="B3627" t="str">
        <f>IF(ISERROR(MATCH(0,INDEX(COUNTIF($B$1:B3626,$A$2:$A$4629),0,0),0)),"",INDEX($A$2:$A$4629,MATCH(0,INDEX(COUNTIF($B$1:B3626,$A$2:$A$4629),0,0),0)))</f>
        <v/>
      </c>
      <c r="C3627" t="str">
        <f t="shared" si="56"/>
        <v/>
      </c>
    </row>
    <row r="3628" spans="1:3" x14ac:dyDescent="0.25">
      <c r="A3628" t="str">
        <f>IF(Scan2VK!Y136&lt;&gt;"",Scan2VK!Y136,"")</f>
        <v/>
      </c>
      <c r="B3628" t="str">
        <f>IF(ISERROR(MATCH(0,INDEX(COUNTIF($B$1:B3627,$A$2:$A$4629),0,0),0)),"",INDEX($A$2:$A$4629,MATCH(0,INDEX(COUNTIF($B$1:B3627,$A$2:$A$4629),0,0),0)))</f>
        <v/>
      </c>
      <c r="C3628" t="str">
        <f t="shared" si="56"/>
        <v/>
      </c>
    </row>
    <row r="3629" spans="1:3" x14ac:dyDescent="0.25">
      <c r="A3629" t="str">
        <f>IF(Scan2VK!Y137&lt;&gt;"",Scan2VK!Y137,"")</f>
        <v/>
      </c>
      <c r="B3629" t="str">
        <f>IF(ISERROR(MATCH(0,INDEX(COUNTIF($B$1:B3628,$A$2:$A$4629),0,0),0)),"",INDEX($A$2:$A$4629,MATCH(0,INDEX(COUNTIF($B$1:B3628,$A$2:$A$4629),0,0),0)))</f>
        <v/>
      </c>
      <c r="C3629" t="str">
        <f t="shared" si="56"/>
        <v/>
      </c>
    </row>
    <row r="3630" spans="1:3" x14ac:dyDescent="0.25">
      <c r="A3630" t="str">
        <f>IF(Scan2VK!Y138&lt;&gt;"",Scan2VK!Y138,"")</f>
        <v/>
      </c>
      <c r="B3630" t="str">
        <f>IF(ISERROR(MATCH(0,INDEX(COUNTIF($B$1:B3629,$A$2:$A$4629),0,0),0)),"",INDEX($A$2:$A$4629,MATCH(0,INDEX(COUNTIF($B$1:B3629,$A$2:$A$4629),0,0),0)))</f>
        <v/>
      </c>
      <c r="C3630" t="str">
        <f t="shared" si="56"/>
        <v/>
      </c>
    </row>
    <row r="3631" spans="1:3" x14ac:dyDescent="0.25">
      <c r="A3631" t="str">
        <f>IF(Scan2VK!Y139&lt;&gt;"",Scan2VK!Y139,"")</f>
        <v/>
      </c>
      <c r="B3631" t="str">
        <f>IF(ISERROR(MATCH(0,INDEX(COUNTIF($B$1:B3630,$A$2:$A$4629),0,0),0)),"",INDEX($A$2:$A$4629,MATCH(0,INDEX(COUNTIF($B$1:B3630,$A$2:$A$4629),0,0),0)))</f>
        <v/>
      </c>
      <c r="C3631" t="str">
        <f t="shared" si="56"/>
        <v/>
      </c>
    </row>
    <row r="3632" spans="1:3" x14ac:dyDescent="0.25">
      <c r="A3632" t="str">
        <f>IF(Scan2VK!Y140&lt;&gt;"",Scan2VK!Y140,"")</f>
        <v/>
      </c>
      <c r="B3632" t="str">
        <f>IF(ISERROR(MATCH(0,INDEX(COUNTIF($B$1:B3631,$A$2:$A$4629),0,0),0)),"",INDEX($A$2:$A$4629,MATCH(0,INDEX(COUNTIF($B$1:B3631,$A$2:$A$4629),0,0),0)))</f>
        <v/>
      </c>
      <c r="C3632" t="str">
        <f t="shared" si="56"/>
        <v/>
      </c>
    </row>
    <row r="3633" spans="1:3" x14ac:dyDescent="0.25">
      <c r="A3633" t="str">
        <f>IF(Scan2VK!Y141&lt;&gt;"",Scan2VK!Y141,"")</f>
        <v/>
      </c>
      <c r="B3633" t="str">
        <f>IF(ISERROR(MATCH(0,INDEX(COUNTIF($B$1:B3632,$A$2:$A$4629),0,0),0)),"",INDEX($A$2:$A$4629,MATCH(0,INDEX(COUNTIF($B$1:B3632,$A$2:$A$4629),0,0),0)))</f>
        <v/>
      </c>
      <c r="C3633" t="str">
        <f t="shared" si="56"/>
        <v/>
      </c>
    </row>
    <row r="3634" spans="1:3" x14ac:dyDescent="0.25">
      <c r="A3634" t="str">
        <f>IF(Scan2VK!Y142&lt;&gt;"",Scan2VK!Y142,"")</f>
        <v>_none_</v>
      </c>
      <c r="B3634" t="str">
        <f>IF(ISERROR(MATCH(0,INDEX(COUNTIF($B$1:B3633,$A$2:$A$4629),0,0),0)),"",INDEX($A$2:$A$4629,MATCH(0,INDEX(COUNTIF($B$1:B3633,$A$2:$A$4629),0,0),0)))</f>
        <v/>
      </c>
      <c r="C3634" t="str">
        <f t="shared" si="56"/>
        <v/>
      </c>
    </row>
    <row r="3635" spans="1:3" x14ac:dyDescent="0.25">
      <c r="A3635" t="str">
        <f>IF(Scan2VK!Y143&lt;&gt;"",Scan2VK!Y143,"")</f>
        <v>DIVIDE</v>
      </c>
      <c r="B3635" t="str">
        <f>IF(ISERROR(MATCH(0,INDEX(COUNTIF($B$1:B3634,$A$2:$A$4629),0,0),0)),"",INDEX($A$2:$A$4629,MATCH(0,INDEX(COUNTIF($B$1:B3634,$A$2:$A$4629),0,0),0)))</f>
        <v/>
      </c>
      <c r="C3635" t="str">
        <f t="shared" si="56"/>
        <v/>
      </c>
    </row>
    <row r="3636" spans="1:3" x14ac:dyDescent="0.25">
      <c r="A3636" t="str">
        <f>IF(Scan2VK!Y144&lt;&gt;"",Scan2VK!Y144,"")</f>
        <v>SNAPSHOT</v>
      </c>
      <c r="B3636" t="str">
        <f>IF(ISERROR(MATCH(0,INDEX(COUNTIF($B$1:B3635,$A$2:$A$4629),0,0),0)),"",INDEX($A$2:$A$4629,MATCH(0,INDEX(COUNTIF($B$1:B3635,$A$2:$A$4629),0,0),0)))</f>
        <v/>
      </c>
      <c r="C3636" t="str">
        <f t="shared" si="56"/>
        <v/>
      </c>
    </row>
    <row r="3637" spans="1:3" x14ac:dyDescent="0.25">
      <c r="A3637" t="str">
        <f>IF(Scan2VK!Y145&lt;&gt;"",Scan2VK!Y145,"")</f>
        <v>KANJI</v>
      </c>
      <c r="B3637" t="str">
        <f>IF(ISERROR(MATCH(0,INDEX(COUNTIF($B$1:B3636,$A$2:$A$4629),0,0),0)),"",INDEX($A$2:$A$4629,MATCH(0,INDEX(COUNTIF($B$1:B3636,$A$2:$A$4629),0,0),0)))</f>
        <v/>
      </c>
      <c r="C3637" t="str">
        <f t="shared" si="56"/>
        <v/>
      </c>
    </row>
    <row r="3638" spans="1:3" x14ac:dyDescent="0.25">
      <c r="A3638" t="str">
        <f>IF(Scan2VK!Y146&lt;&gt;"",Scan2VK!Y146,"")</f>
        <v/>
      </c>
      <c r="B3638" t="str">
        <f>IF(ISERROR(MATCH(0,INDEX(COUNTIF($B$1:B3637,$A$2:$A$4629),0,0),0)),"",INDEX($A$2:$A$4629,MATCH(0,INDEX(COUNTIF($B$1:B3637,$A$2:$A$4629),0,0),0)))</f>
        <v/>
      </c>
      <c r="C3638" t="str">
        <f t="shared" si="56"/>
        <v/>
      </c>
    </row>
    <row r="3639" spans="1:3" x14ac:dyDescent="0.25">
      <c r="A3639" t="str">
        <f>IF(Scan2VK!Y147&lt;&gt;"",Scan2VK!Y147,"")</f>
        <v/>
      </c>
      <c r="B3639" t="str">
        <f>IF(ISERROR(MATCH(0,INDEX(COUNTIF($B$1:B3638,$A$2:$A$4629),0,0),0)),"",INDEX($A$2:$A$4629,MATCH(0,INDEX(COUNTIF($B$1:B3638,$A$2:$A$4629),0,0),0)))</f>
        <v/>
      </c>
      <c r="C3639" t="str">
        <f t="shared" si="56"/>
        <v/>
      </c>
    </row>
    <row r="3640" spans="1:3" x14ac:dyDescent="0.25">
      <c r="A3640" t="str">
        <f>IF(Scan2VK!Y148&lt;&gt;"",Scan2VK!Y148,"")</f>
        <v/>
      </c>
      <c r="B3640" t="str">
        <f>IF(ISERROR(MATCH(0,INDEX(COUNTIF($B$1:B3639,$A$2:$A$4629),0,0),0)),"",INDEX($A$2:$A$4629,MATCH(0,INDEX(COUNTIF($B$1:B3639,$A$2:$A$4629),0,0),0)))</f>
        <v/>
      </c>
      <c r="C3640" t="str">
        <f t="shared" si="56"/>
        <v/>
      </c>
    </row>
    <row r="3641" spans="1:3" x14ac:dyDescent="0.25">
      <c r="A3641" t="str">
        <f>IF(Scan2VK!Y149&lt;&gt;"",Scan2VK!Y149,"")</f>
        <v/>
      </c>
      <c r="B3641" t="str">
        <f>IF(ISERROR(MATCH(0,INDEX(COUNTIF($B$1:B3640,$A$2:$A$4629),0,0),0)),"",INDEX($A$2:$A$4629,MATCH(0,INDEX(COUNTIF($B$1:B3640,$A$2:$A$4629),0,0),0)))</f>
        <v/>
      </c>
      <c r="C3641" t="str">
        <f t="shared" si="56"/>
        <v/>
      </c>
    </row>
    <row r="3642" spans="1:3" x14ac:dyDescent="0.25">
      <c r="A3642" t="str">
        <f>IF(Scan2VK!Y150&lt;&gt;"",Scan2VK!Y150,"")</f>
        <v/>
      </c>
      <c r="B3642" t="str">
        <f>IF(ISERROR(MATCH(0,INDEX(COUNTIF($B$1:B3641,$A$2:$A$4629),0,0),0)),"",INDEX($A$2:$A$4629,MATCH(0,INDEX(COUNTIF($B$1:B3641,$A$2:$A$4629),0,0),0)))</f>
        <v/>
      </c>
      <c r="C3642" t="str">
        <f t="shared" si="56"/>
        <v/>
      </c>
    </row>
    <row r="3643" spans="1:3" x14ac:dyDescent="0.25">
      <c r="A3643" t="str">
        <f>IF(Scan2VK!Y151&lt;&gt;"",Scan2VK!Y151,"")</f>
        <v>RCONTROL</v>
      </c>
      <c r="B3643" t="str">
        <f>IF(ISERROR(MATCH(0,INDEX(COUNTIF($B$1:B3642,$A$2:$A$4629),0,0),0)),"",INDEX($A$2:$A$4629,MATCH(0,INDEX(COUNTIF($B$1:B3642,$A$2:$A$4629),0,0),0)))</f>
        <v/>
      </c>
      <c r="C3643" t="str">
        <f t="shared" si="56"/>
        <v/>
      </c>
    </row>
    <row r="3644" spans="1:3" x14ac:dyDescent="0.25">
      <c r="A3644" t="str">
        <f>IF(Scan2VK!Y152&lt;&gt;"",Scan2VK!Y152,"")</f>
        <v>RMENU</v>
      </c>
      <c r="B3644" t="str">
        <f>IF(ISERROR(MATCH(0,INDEX(COUNTIF($B$1:B3643,$A$2:$A$4629),0,0),0)),"",INDEX($A$2:$A$4629,MATCH(0,INDEX(COUNTIF($B$1:B3643,$A$2:$A$4629),0,0),0)))</f>
        <v/>
      </c>
      <c r="C3644" t="str">
        <f t="shared" si="56"/>
        <v/>
      </c>
    </row>
    <row r="3645" spans="1:3" x14ac:dyDescent="0.25">
      <c r="A3645" t="str">
        <f>IF(Scan2VK!Y153&lt;&gt;"",Scan2VK!Y153,"")</f>
        <v>_none_</v>
      </c>
      <c r="B3645" t="str">
        <f>IF(ISERROR(MATCH(0,INDEX(COUNTIF($B$1:B3644,$A$2:$A$4629),0,0),0)),"",INDEX($A$2:$A$4629,MATCH(0,INDEX(COUNTIF($B$1:B3644,$A$2:$A$4629),0,0),0)))</f>
        <v/>
      </c>
      <c r="C3645" t="str">
        <f t="shared" si="56"/>
        <v/>
      </c>
    </row>
    <row r="3646" spans="1:3" x14ac:dyDescent="0.25">
      <c r="A3646" t="str">
        <f>IF(Scan2VK!Y154&lt;&gt;"",Scan2VK!Y154,"")</f>
        <v>CANCEL</v>
      </c>
      <c r="B3646" t="str">
        <f>IF(ISERROR(MATCH(0,INDEX(COUNTIF($B$1:B3645,$A$2:$A$4629),0,0),0)),"",INDEX($A$2:$A$4629,MATCH(0,INDEX(COUNTIF($B$1:B3645,$A$2:$A$4629),0,0),0)))</f>
        <v/>
      </c>
      <c r="C3646" t="str">
        <f t="shared" si="56"/>
        <v/>
      </c>
    </row>
    <row r="3647" spans="1:3" x14ac:dyDescent="0.25">
      <c r="A3647" t="str">
        <f>IF(Scan2VK!Y155&lt;&gt;"",Scan2VK!Y155,"")</f>
        <v>HOME</v>
      </c>
      <c r="B3647" t="str">
        <f>IF(ISERROR(MATCH(0,INDEX(COUNTIF($B$1:B3646,$A$2:$A$4629),0,0),0)),"",INDEX($A$2:$A$4629,MATCH(0,INDEX(COUNTIF($B$1:B3646,$A$2:$A$4629),0,0),0)))</f>
        <v/>
      </c>
      <c r="C3647" t="str">
        <f t="shared" si="56"/>
        <v/>
      </c>
    </row>
    <row r="3648" spans="1:3" x14ac:dyDescent="0.25">
      <c r="A3648" t="str">
        <f>IF(Scan2VK!Y156&lt;&gt;"",Scan2VK!Y156,"")</f>
        <v>UP</v>
      </c>
      <c r="B3648" t="str">
        <f>IF(ISERROR(MATCH(0,INDEX(COUNTIF($B$1:B3647,$A$2:$A$4629),0,0),0)),"",INDEX($A$2:$A$4629,MATCH(0,INDEX(COUNTIF($B$1:B3647,$A$2:$A$4629),0,0),0)))</f>
        <v/>
      </c>
      <c r="C3648" t="str">
        <f t="shared" si="56"/>
        <v/>
      </c>
    </row>
    <row r="3649" spans="1:3" x14ac:dyDescent="0.25">
      <c r="A3649" t="str">
        <f>IF(Scan2VK!Y157&lt;&gt;"",Scan2VK!Y157,"")</f>
        <v>PRIOR</v>
      </c>
      <c r="B3649" t="str">
        <f>IF(ISERROR(MATCH(0,INDEX(COUNTIF($B$1:B3648,$A$2:$A$4629),0,0),0)),"",INDEX($A$2:$A$4629,MATCH(0,INDEX(COUNTIF($B$1:B3648,$A$2:$A$4629),0,0),0)))</f>
        <v/>
      </c>
      <c r="C3649" t="str">
        <f t="shared" si="56"/>
        <v/>
      </c>
    </row>
    <row r="3650" spans="1:3" x14ac:dyDescent="0.25">
      <c r="A3650" t="str">
        <f>IF(Scan2VK!Y158&lt;&gt;"",Scan2VK!Y158,"")</f>
        <v>LEFT</v>
      </c>
      <c r="B3650" t="str">
        <f>IF(ISERROR(MATCH(0,INDEX(COUNTIF($B$1:B3649,$A$2:$A$4629),0,0),0)),"",INDEX($A$2:$A$4629,MATCH(0,INDEX(COUNTIF($B$1:B3649,$A$2:$A$4629),0,0),0)))</f>
        <v/>
      </c>
      <c r="C3650" t="str">
        <f t="shared" si="56"/>
        <v/>
      </c>
    </row>
    <row r="3651" spans="1:3" x14ac:dyDescent="0.25">
      <c r="A3651" t="str">
        <f>IF(Scan2VK!Y159&lt;&gt;"",Scan2VK!Y159,"")</f>
        <v>RIGHT</v>
      </c>
      <c r="B3651" t="str">
        <f>IF(ISERROR(MATCH(0,INDEX(COUNTIF($B$1:B3650,$A$2:$A$4629),0,0),0)),"",INDEX($A$2:$A$4629,MATCH(0,INDEX(COUNTIF($B$1:B3650,$A$2:$A$4629),0,0),0)))</f>
        <v/>
      </c>
      <c r="C3651" t="str">
        <f t="shared" ref="C3651:C3714" si="57">IF(B3651&lt;&gt;"","&lt;xs:enumeration value="""&amp;B3651&amp;"""/&gt;","")</f>
        <v/>
      </c>
    </row>
    <row r="3652" spans="1:3" x14ac:dyDescent="0.25">
      <c r="A3652" t="str">
        <f>IF(Scan2VK!Y160&lt;&gt;"",Scan2VK!Y160,"")</f>
        <v>END</v>
      </c>
      <c r="B3652" t="str">
        <f>IF(ISERROR(MATCH(0,INDEX(COUNTIF($B$1:B3651,$A$2:$A$4629),0,0),0)),"",INDEX($A$2:$A$4629,MATCH(0,INDEX(COUNTIF($B$1:B3651,$A$2:$A$4629),0,0),0)))</f>
        <v/>
      </c>
      <c r="C3652" t="str">
        <f t="shared" si="57"/>
        <v/>
      </c>
    </row>
    <row r="3653" spans="1:3" x14ac:dyDescent="0.25">
      <c r="A3653" t="str">
        <f>IF(Scan2VK!Y161&lt;&gt;"",Scan2VK!Y161,"")</f>
        <v>DOWN</v>
      </c>
      <c r="B3653" t="str">
        <f>IF(ISERROR(MATCH(0,INDEX(COUNTIF($B$1:B3652,$A$2:$A$4629),0,0),0)),"",INDEX($A$2:$A$4629,MATCH(0,INDEX(COUNTIF($B$1:B3652,$A$2:$A$4629),0,0),0)))</f>
        <v/>
      </c>
      <c r="C3653" t="str">
        <f t="shared" si="57"/>
        <v/>
      </c>
    </row>
    <row r="3654" spans="1:3" x14ac:dyDescent="0.25">
      <c r="A3654" t="str">
        <f>IF(Scan2VK!Y162&lt;&gt;"",Scan2VK!Y162,"")</f>
        <v>NEXT</v>
      </c>
      <c r="B3654" t="str">
        <f>IF(ISERROR(MATCH(0,INDEX(COUNTIF($B$1:B3653,$A$2:$A$4629),0,0),0)),"",INDEX($A$2:$A$4629,MATCH(0,INDEX(COUNTIF($B$1:B3653,$A$2:$A$4629),0,0),0)))</f>
        <v/>
      </c>
      <c r="C3654" t="str">
        <f t="shared" si="57"/>
        <v/>
      </c>
    </row>
    <row r="3655" spans="1:3" x14ac:dyDescent="0.25">
      <c r="A3655" t="str">
        <f>IF(Scan2VK!Y163&lt;&gt;"",Scan2VK!Y163,"")</f>
        <v>INSERT</v>
      </c>
      <c r="B3655" t="str">
        <f>IF(ISERROR(MATCH(0,INDEX(COUNTIF($B$1:B3654,$A$2:$A$4629),0,0),0)),"",INDEX($A$2:$A$4629,MATCH(0,INDEX(COUNTIF($B$1:B3654,$A$2:$A$4629),0,0),0)))</f>
        <v/>
      </c>
      <c r="C3655" t="str">
        <f t="shared" si="57"/>
        <v/>
      </c>
    </row>
    <row r="3656" spans="1:3" x14ac:dyDescent="0.25">
      <c r="A3656" t="str">
        <f>IF(Scan2VK!Y164&lt;&gt;"",Scan2VK!Y164,"")</f>
        <v>DELETE</v>
      </c>
      <c r="B3656" t="str">
        <f>IF(ISERROR(MATCH(0,INDEX(COUNTIF($B$1:B3655,$A$2:$A$4629),0,0),0)),"",INDEX($A$2:$A$4629,MATCH(0,INDEX(COUNTIF($B$1:B3655,$A$2:$A$4629),0,0),0)))</f>
        <v/>
      </c>
      <c r="C3656" t="str">
        <f t="shared" si="57"/>
        <v/>
      </c>
    </row>
    <row r="3657" spans="1:3" x14ac:dyDescent="0.25">
      <c r="A3657" t="str">
        <f>IF(Scan2VK!Y165&lt;&gt;"",Scan2VK!Y165,"")</f>
        <v>LWIN</v>
      </c>
      <c r="B3657" t="str">
        <f>IF(ISERROR(MATCH(0,INDEX(COUNTIF($B$1:B3656,$A$2:$A$4629),0,0),0)),"",INDEX($A$2:$A$4629,MATCH(0,INDEX(COUNTIF($B$1:B3656,$A$2:$A$4629),0,0),0)))</f>
        <v/>
      </c>
      <c r="C3657" t="str">
        <f t="shared" si="57"/>
        <v/>
      </c>
    </row>
    <row r="3658" spans="1:3" x14ac:dyDescent="0.25">
      <c r="A3658" t="str">
        <f>IF(Scan2VK!Y166&lt;&gt;"",Scan2VK!Y166,"")</f>
        <v>RWIN</v>
      </c>
      <c r="B3658" t="str">
        <f>IF(ISERROR(MATCH(0,INDEX(COUNTIF($B$1:B3657,$A$2:$A$4629),0,0),0)),"",INDEX($A$2:$A$4629,MATCH(0,INDEX(COUNTIF($B$1:B3657,$A$2:$A$4629),0,0),0)))</f>
        <v/>
      </c>
      <c r="C3658" t="str">
        <f t="shared" si="57"/>
        <v/>
      </c>
    </row>
    <row r="3659" spans="1:3" x14ac:dyDescent="0.25">
      <c r="A3659" t="str">
        <f>IF(Scan2VK!Y167&lt;&gt;"",Scan2VK!Y167,"")</f>
        <v>APPS</v>
      </c>
      <c r="B3659" t="str">
        <f>IF(ISERROR(MATCH(0,INDEX(COUNTIF($B$1:B3658,$A$2:$A$4629),0,0),0)),"",INDEX($A$2:$A$4629,MATCH(0,INDEX(COUNTIF($B$1:B3658,$A$2:$A$4629),0,0),0)))</f>
        <v/>
      </c>
      <c r="C3659" t="str">
        <f t="shared" si="57"/>
        <v/>
      </c>
    </row>
    <row r="3660" spans="1:3" x14ac:dyDescent="0.25">
      <c r="A3660" t="str">
        <f>IF(Scan2VK!Y168&lt;&gt;"",Scan2VK!Y168,"")</f>
        <v>POWER</v>
      </c>
      <c r="B3660" t="str">
        <f>IF(ISERROR(MATCH(0,INDEX(COUNTIF($B$1:B3659,$A$2:$A$4629),0,0),0)),"",INDEX($A$2:$A$4629,MATCH(0,INDEX(COUNTIF($B$1:B3659,$A$2:$A$4629),0,0),0)))</f>
        <v/>
      </c>
      <c r="C3660" t="str">
        <f t="shared" si="57"/>
        <v/>
      </c>
    </row>
    <row r="3661" spans="1:3" x14ac:dyDescent="0.25">
      <c r="A3661" t="str">
        <f>IF(Scan2VK!Y169&lt;&gt;"",Scan2VK!Y169,"")</f>
        <v>SLEEP</v>
      </c>
      <c r="B3661" t="str">
        <f>IF(ISERROR(MATCH(0,INDEX(COUNTIF($B$1:B3660,$A$2:$A$4629),0,0),0)),"",INDEX($A$2:$A$4629,MATCH(0,INDEX(COUNTIF($B$1:B3660,$A$2:$A$4629),0,0),0)))</f>
        <v/>
      </c>
      <c r="C3661" t="str">
        <f t="shared" si="57"/>
        <v/>
      </c>
    </row>
    <row r="3662" spans="1:3" x14ac:dyDescent="0.25">
      <c r="A3662" t="str">
        <f>IF(Scan2VK!Y170&lt;&gt;"",Scan2VK!Y170,"")</f>
        <v>_none_</v>
      </c>
      <c r="B3662" t="str">
        <f>IF(ISERROR(MATCH(0,INDEX(COUNTIF($B$1:B3661,$A$2:$A$4629),0,0),0)),"",INDEX($A$2:$A$4629,MATCH(0,INDEX(COUNTIF($B$1:B3661,$A$2:$A$4629),0,0),0)))</f>
        <v/>
      </c>
      <c r="C3662" t="str">
        <f t="shared" si="57"/>
        <v/>
      </c>
    </row>
    <row r="3663" spans="1:3" x14ac:dyDescent="0.25">
      <c r="A3663" t="str">
        <f>IF(Scan2VK!Y171&lt;&gt;"",Scan2VK!Y171,"")</f>
        <v>_none_</v>
      </c>
      <c r="B3663" t="str">
        <f>IF(ISERROR(MATCH(0,INDEX(COUNTIF($B$1:B3662,$A$2:$A$4629),0,0),0)),"",INDEX($A$2:$A$4629,MATCH(0,INDEX(COUNTIF($B$1:B3662,$A$2:$A$4629),0,0),0)))</f>
        <v/>
      </c>
      <c r="C3663" t="str">
        <f t="shared" si="57"/>
        <v/>
      </c>
    </row>
    <row r="3664" spans="1:3" x14ac:dyDescent="0.25">
      <c r="A3664" t="str">
        <f>IF(Scan2VK!Y172&lt;&gt;"",Scan2VK!Y172,"")</f>
        <v>_none_</v>
      </c>
      <c r="B3664" t="str">
        <f>IF(ISERROR(MATCH(0,INDEX(COUNTIF($B$1:B3663,$A$2:$A$4629),0,0),0)),"",INDEX($A$2:$A$4629,MATCH(0,INDEX(COUNTIF($B$1:B3663,$A$2:$A$4629),0,0),0)))</f>
        <v/>
      </c>
      <c r="C3664" t="str">
        <f t="shared" si="57"/>
        <v/>
      </c>
    </row>
    <row r="3665" spans="1:3" x14ac:dyDescent="0.25">
      <c r="A3665" t="str">
        <f>IF(Scan2VK!Y173&lt;&gt;"",Scan2VK!Y173,"")</f>
        <v>_none_</v>
      </c>
      <c r="B3665" t="str">
        <f>IF(ISERROR(MATCH(0,INDEX(COUNTIF($B$1:B3664,$A$2:$A$4629),0,0),0)),"",INDEX($A$2:$A$4629,MATCH(0,INDEX(COUNTIF($B$1:B3664,$A$2:$A$4629),0,0),0)))</f>
        <v/>
      </c>
      <c r="C3665" t="str">
        <f t="shared" si="57"/>
        <v/>
      </c>
    </row>
    <row r="3666" spans="1:3" x14ac:dyDescent="0.25">
      <c r="A3666" t="str">
        <f>IF(Scan2VK!Y174&lt;&gt;"",Scan2VK!Y174,"")</f>
        <v>_none_</v>
      </c>
      <c r="B3666" t="str">
        <f>IF(ISERROR(MATCH(0,INDEX(COUNTIF($B$1:B3665,$A$2:$A$4629),0,0),0)),"",INDEX($A$2:$A$4629,MATCH(0,INDEX(COUNTIF($B$1:B3665,$A$2:$A$4629),0,0),0)))</f>
        <v/>
      </c>
      <c r="C3666" t="str">
        <f t="shared" si="57"/>
        <v/>
      </c>
    </row>
    <row r="3667" spans="1:3" x14ac:dyDescent="0.25">
      <c r="A3667" t="str">
        <f>IF(Scan2VK!Y175&lt;&gt;"",Scan2VK!Y175,"")</f>
        <v>_none_</v>
      </c>
      <c r="B3667" t="str">
        <f>IF(ISERROR(MATCH(0,INDEX(COUNTIF($B$1:B3666,$A$2:$A$4629),0,0),0)),"",INDEX($A$2:$A$4629,MATCH(0,INDEX(COUNTIF($B$1:B3666,$A$2:$A$4629),0,0),0)))</f>
        <v/>
      </c>
      <c r="C3667" t="str">
        <f t="shared" si="57"/>
        <v/>
      </c>
    </row>
    <row r="3668" spans="1:3" x14ac:dyDescent="0.25">
      <c r="A3668" t="str">
        <f>IF(Scan2VK!Y176&lt;&gt;"",Scan2VK!Y176,"")</f>
        <v>_none_</v>
      </c>
      <c r="B3668" t="str">
        <f>IF(ISERROR(MATCH(0,INDEX(COUNTIF($B$1:B3667,$A$2:$A$4629),0,0),0)),"",INDEX($A$2:$A$4629,MATCH(0,INDEX(COUNTIF($B$1:B3667,$A$2:$A$4629),0,0),0)))</f>
        <v/>
      </c>
      <c r="C3668" t="str">
        <f t="shared" si="57"/>
        <v/>
      </c>
    </row>
    <row r="3669" spans="1:3" x14ac:dyDescent="0.25">
      <c r="A3669" t="str">
        <f>IF(Scan2VK!Y177&lt;&gt;"",Scan2VK!Y177,"")</f>
        <v/>
      </c>
      <c r="B3669" t="str">
        <f>IF(ISERROR(MATCH(0,INDEX(COUNTIF($B$1:B3668,$A$2:$A$4629),0,0),0)),"",INDEX($A$2:$A$4629,MATCH(0,INDEX(COUNTIF($B$1:B3668,$A$2:$A$4629),0,0),0)))</f>
        <v/>
      </c>
      <c r="C3669" t="str">
        <f t="shared" si="57"/>
        <v/>
      </c>
    </row>
    <row r="3670" spans="1:3" x14ac:dyDescent="0.25">
      <c r="A3670" t="str">
        <f>IF(Scan2VK!Y178&lt;&gt;"",Scan2VK!Y178,"")</f>
        <v/>
      </c>
      <c r="B3670" t="str">
        <f>IF(ISERROR(MATCH(0,INDEX(COUNTIF($B$1:B3669,$A$2:$A$4629),0,0),0)),"",INDEX($A$2:$A$4629,MATCH(0,INDEX(COUNTIF($B$1:B3669,$A$2:$A$4629),0,0),0)))</f>
        <v/>
      </c>
      <c r="C3670" t="str">
        <f t="shared" si="57"/>
        <v/>
      </c>
    </row>
    <row r="3671" spans="1:3" x14ac:dyDescent="0.25">
      <c r="A3671" t="str">
        <f>IF(Scan2VK!Y179&lt;&gt;"",Scan2VK!Y179,"")</f>
        <v/>
      </c>
      <c r="B3671" t="str">
        <f>IF(ISERROR(MATCH(0,INDEX(COUNTIF($B$1:B3670,$A$2:$A$4629),0,0),0)),"",INDEX($A$2:$A$4629,MATCH(0,INDEX(COUNTIF($B$1:B3670,$A$2:$A$4629),0,0),0)))</f>
        <v/>
      </c>
      <c r="C3671" t="str">
        <f t="shared" si="57"/>
        <v/>
      </c>
    </row>
    <row r="3672" spans="1:3" x14ac:dyDescent="0.25">
      <c r="A3672" t="str">
        <f>IF(Scan2VK!Y180&lt;&gt;"",Scan2VK!Y180,"")</f>
        <v/>
      </c>
      <c r="B3672" t="str">
        <f>IF(ISERROR(MATCH(0,INDEX(COUNTIF($B$1:B3671,$A$2:$A$4629),0,0),0)),"",INDEX($A$2:$A$4629,MATCH(0,INDEX(COUNTIF($B$1:B3671,$A$2:$A$4629),0,0),0)))</f>
        <v/>
      </c>
      <c r="C3672" t="str">
        <f t="shared" si="57"/>
        <v/>
      </c>
    </row>
    <row r="3673" spans="1:3" x14ac:dyDescent="0.25">
      <c r="A3673" t="str">
        <f>IF(Scan2VK!Y181&lt;&gt;"",Scan2VK!Y181,"")</f>
        <v/>
      </c>
      <c r="B3673" t="str">
        <f>IF(ISERROR(MATCH(0,INDEX(COUNTIF($B$1:B3672,$A$2:$A$4629),0,0),0)),"",INDEX($A$2:$A$4629,MATCH(0,INDEX(COUNTIF($B$1:B3672,$A$2:$A$4629),0,0),0)))</f>
        <v/>
      </c>
      <c r="C3673" t="str">
        <f t="shared" si="57"/>
        <v/>
      </c>
    </row>
    <row r="3674" spans="1:3" x14ac:dyDescent="0.25">
      <c r="A3674" t="str">
        <f>IF(Scan2VK!Y182&lt;&gt;"",Scan2VK!Y182,"")</f>
        <v/>
      </c>
      <c r="B3674" t="str">
        <f>IF(ISERROR(MATCH(0,INDEX(COUNTIF($B$1:B3673,$A$2:$A$4629),0,0),0)),"",INDEX($A$2:$A$4629,MATCH(0,INDEX(COUNTIF($B$1:B3673,$A$2:$A$4629),0,0),0)))</f>
        <v/>
      </c>
      <c r="C3674" t="str">
        <f t="shared" si="57"/>
        <v/>
      </c>
    </row>
    <row r="3675" spans="1:3" x14ac:dyDescent="0.25">
      <c r="A3675" t="str">
        <f>IF(Scan2VK!Y183&lt;&gt;"",Scan2VK!Y183,"")</f>
        <v>_none_</v>
      </c>
      <c r="B3675" t="str">
        <f>IF(ISERROR(MATCH(0,INDEX(COUNTIF($B$1:B3674,$A$2:$A$4629),0,0),0)),"",INDEX($A$2:$A$4629,MATCH(0,INDEX(COUNTIF($B$1:B3674,$A$2:$A$4629),0,0),0)))</f>
        <v/>
      </c>
      <c r="C3675" t="str">
        <f t="shared" si="57"/>
        <v/>
      </c>
    </row>
    <row r="3676" spans="1:3" x14ac:dyDescent="0.25">
      <c r="A3676" t="str">
        <f>IF(Scan2VK!Y184&lt;&gt;"",Scan2VK!Y184,"")</f>
        <v>_none_</v>
      </c>
      <c r="B3676" t="str">
        <f>IF(ISERROR(MATCH(0,INDEX(COUNTIF($B$1:B3675,$A$2:$A$4629),0,0),0)),"",INDEX($A$2:$A$4629,MATCH(0,INDEX(COUNTIF($B$1:B3675,$A$2:$A$4629),0,0),0)))</f>
        <v/>
      </c>
      <c r="C3676" t="str">
        <f t="shared" si="57"/>
        <v/>
      </c>
    </row>
    <row r="3677" spans="1:3" x14ac:dyDescent="0.25">
      <c r="A3677" t="str">
        <f>IF(Scan2VK!Y185&lt;&gt;"",Scan2VK!Y185,"")</f>
        <v>_none_</v>
      </c>
      <c r="B3677" t="str">
        <f>IF(ISERROR(MATCH(0,INDEX(COUNTIF($B$1:B3676,$A$2:$A$4629),0,0),0)),"",INDEX($A$2:$A$4629,MATCH(0,INDEX(COUNTIF($B$1:B3676,$A$2:$A$4629),0,0),0)))</f>
        <v/>
      </c>
      <c r="C3677" t="str">
        <f t="shared" si="57"/>
        <v/>
      </c>
    </row>
    <row r="3678" spans="1:3" x14ac:dyDescent="0.25">
      <c r="A3678" t="str">
        <f>IF(Scan2VK!Y186&lt;&gt;"",Scan2VK!Y186,"")</f>
        <v>_none_</v>
      </c>
      <c r="B3678" t="str">
        <f>IF(ISERROR(MATCH(0,INDEX(COUNTIF($B$1:B3677,$A$2:$A$4629),0,0),0)),"",INDEX($A$2:$A$4629,MATCH(0,INDEX(COUNTIF($B$1:B3677,$A$2:$A$4629),0,0),0)))</f>
        <v/>
      </c>
      <c r="C3678" t="str">
        <f t="shared" si="57"/>
        <v/>
      </c>
    </row>
    <row r="3679" spans="1:3" x14ac:dyDescent="0.25">
      <c r="A3679" t="str">
        <f>IF(Scan2VK!Y187&lt;&gt;"",Scan2VK!Y187,"")</f>
        <v>_none_</v>
      </c>
      <c r="B3679" t="str">
        <f>IF(ISERROR(MATCH(0,INDEX(COUNTIF($B$1:B3678,$A$2:$A$4629),0,0),0)),"",INDEX($A$2:$A$4629,MATCH(0,INDEX(COUNTIF($B$1:B3678,$A$2:$A$4629),0,0),0)))</f>
        <v/>
      </c>
      <c r="C3679" t="str">
        <f t="shared" si="57"/>
        <v/>
      </c>
    </row>
    <row r="3680" spans="1:3" x14ac:dyDescent="0.25">
      <c r="A3680" t="str">
        <f>IF(Scan2VK!Y188&lt;&gt;"",Scan2VK!Y188,"")</f>
        <v>_none_</v>
      </c>
      <c r="B3680" t="str">
        <f>IF(ISERROR(MATCH(0,INDEX(COUNTIF($B$1:B3679,$A$2:$A$4629),0,0),0)),"",INDEX($A$2:$A$4629,MATCH(0,INDEX(COUNTIF($B$1:B3679,$A$2:$A$4629),0,0),0)))</f>
        <v/>
      </c>
      <c r="C3680" t="str">
        <f t="shared" si="57"/>
        <v/>
      </c>
    </row>
    <row r="3681" spans="1:3" x14ac:dyDescent="0.25">
      <c r="A3681" t="str">
        <f>IF(Scan2VK!Y189&lt;&gt;"",Scan2VK!Y189,"")</f>
        <v>_none_</v>
      </c>
      <c r="B3681" t="str">
        <f>IF(ISERROR(MATCH(0,INDEX(COUNTIF($B$1:B3680,$A$2:$A$4629),0,0),0)),"",INDEX($A$2:$A$4629,MATCH(0,INDEX(COUNTIF($B$1:B3680,$A$2:$A$4629),0,0),0)))</f>
        <v/>
      </c>
      <c r="C3681" t="str">
        <f t="shared" si="57"/>
        <v/>
      </c>
    </row>
    <row r="3682" spans="1:3" x14ac:dyDescent="0.25">
      <c r="A3682" t="str">
        <f>IF(Scan2VK!Y190&lt;&gt;"",Scan2VK!Y190,"")</f>
        <v>_none_</v>
      </c>
      <c r="B3682" t="str">
        <f>IF(ISERROR(MATCH(0,INDEX(COUNTIF($B$1:B3681,$A$2:$A$4629),0,0),0)),"",INDEX($A$2:$A$4629,MATCH(0,INDEX(COUNTIF($B$1:B3681,$A$2:$A$4629),0,0),0)))</f>
        <v/>
      </c>
      <c r="C3682" t="str">
        <f t="shared" si="57"/>
        <v/>
      </c>
    </row>
    <row r="3683" spans="1:3" x14ac:dyDescent="0.25">
      <c r="A3683" t="str">
        <f>IF(Scan2VK!Y191&lt;&gt;"",Scan2VK!Y191,"")</f>
        <v>_none_</v>
      </c>
      <c r="B3683" t="str">
        <f>IF(ISERROR(MATCH(0,INDEX(COUNTIF($B$1:B3682,$A$2:$A$4629),0,0),0)),"",INDEX($A$2:$A$4629,MATCH(0,INDEX(COUNTIF($B$1:B3682,$A$2:$A$4629),0,0),0)))</f>
        <v/>
      </c>
      <c r="C3683" t="str">
        <f t="shared" si="57"/>
        <v/>
      </c>
    </row>
    <row r="3684" spans="1:3" x14ac:dyDescent="0.25">
      <c r="A3684" t="str">
        <f>IF(Scan2VK!Y192&lt;&gt;"",Scan2VK!Y192,"")</f>
        <v>_none_</v>
      </c>
      <c r="B3684" t="str">
        <f>IF(ISERROR(MATCH(0,INDEX(COUNTIF($B$1:B3683,$A$2:$A$4629),0,0),0)),"",INDEX($A$2:$A$4629,MATCH(0,INDEX(COUNTIF($B$1:B3683,$A$2:$A$4629),0,0),0)))</f>
        <v/>
      </c>
      <c r="C3684" t="str">
        <f t="shared" si="57"/>
        <v/>
      </c>
    </row>
    <row r="3685" spans="1:3" x14ac:dyDescent="0.25">
      <c r="A3685" t="str">
        <f>IF(Scan2VK!Y193&lt;&gt;"",Scan2VK!Y193,"")</f>
        <v/>
      </c>
      <c r="B3685" t="str">
        <f>IF(ISERROR(MATCH(0,INDEX(COUNTIF($B$1:B3684,$A$2:$A$4629),0,0),0)),"",INDEX($A$2:$A$4629,MATCH(0,INDEX(COUNTIF($B$1:B3684,$A$2:$A$4629),0,0),0)))</f>
        <v/>
      </c>
      <c r="C3685" t="str">
        <f t="shared" si="57"/>
        <v/>
      </c>
    </row>
    <row r="3686" spans="1:3" x14ac:dyDescent="0.25">
      <c r="A3686" t="str">
        <f>IF(Scan2VK!Y194&lt;&gt;"",Scan2VK!Y194,"")</f>
        <v/>
      </c>
      <c r="B3686" t="str">
        <f>IF(ISERROR(MATCH(0,INDEX(COUNTIF($B$1:B3685,$A$2:$A$4629),0,0),0)),"",INDEX($A$2:$A$4629,MATCH(0,INDEX(COUNTIF($B$1:B3685,$A$2:$A$4629),0,0),0)))</f>
        <v/>
      </c>
      <c r="C3686" t="str">
        <f t="shared" si="57"/>
        <v/>
      </c>
    </row>
    <row r="3687" spans="1:3" x14ac:dyDescent="0.25">
      <c r="A3687" t="str">
        <f>IF(Scan2VK!Y195&lt;&gt;"",Scan2VK!Y195,"")</f>
        <v>PAUSE</v>
      </c>
      <c r="B3687" t="str">
        <f>IF(ISERROR(MATCH(0,INDEX(COUNTIF($B$1:B3686,$A$2:$A$4629),0,0),0)),"",INDEX($A$2:$A$4629,MATCH(0,INDEX(COUNTIF($B$1:B3686,$A$2:$A$4629),0,0),0)))</f>
        <v/>
      </c>
      <c r="C3687" t="str">
        <f t="shared" si="57"/>
        <v/>
      </c>
    </row>
    <row r="3688" spans="1:3" x14ac:dyDescent="0.25">
      <c r="A3688" t="str">
        <f>IF(Scan2VK!AA2&lt;&gt;"",Scan2VK!AA2,"")</f>
        <v>ESCAPE</v>
      </c>
      <c r="B3688" t="str">
        <f>IF(ISERROR(MATCH(0,INDEX(COUNTIF($B$1:B3687,$A$2:$A$4629),0,0),0)),"",INDEX($A$2:$A$4629,MATCH(0,INDEX(COUNTIF($B$1:B3687,$A$2:$A$4629),0,0),0)))</f>
        <v/>
      </c>
      <c r="C3688" t="str">
        <f t="shared" si="57"/>
        <v/>
      </c>
    </row>
    <row r="3689" spans="1:3" x14ac:dyDescent="0.25">
      <c r="A3689" t="str">
        <f>IF(Scan2VK!AA3&lt;&gt;"",Scan2VK!AA3,"")</f>
        <v>'1'</v>
      </c>
      <c r="B3689" t="str">
        <f>IF(ISERROR(MATCH(0,INDEX(COUNTIF($B$1:B3688,$A$2:$A$4629),0,0),0)),"",INDEX($A$2:$A$4629,MATCH(0,INDEX(COUNTIF($B$1:B3688,$A$2:$A$4629),0,0),0)))</f>
        <v/>
      </c>
      <c r="C3689" t="str">
        <f t="shared" si="57"/>
        <v/>
      </c>
    </row>
    <row r="3690" spans="1:3" x14ac:dyDescent="0.25">
      <c r="A3690" t="str">
        <f>IF(Scan2VK!AA4&lt;&gt;"",Scan2VK!AA4,"")</f>
        <v>'2'</v>
      </c>
      <c r="B3690" t="str">
        <f>IF(ISERROR(MATCH(0,INDEX(COUNTIF($B$1:B3689,$A$2:$A$4629),0,0),0)),"",INDEX($A$2:$A$4629,MATCH(0,INDEX(COUNTIF($B$1:B3689,$A$2:$A$4629),0,0),0)))</f>
        <v/>
      </c>
      <c r="C3690" t="str">
        <f t="shared" si="57"/>
        <v/>
      </c>
    </row>
    <row r="3691" spans="1:3" x14ac:dyDescent="0.25">
      <c r="A3691" t="str">
        <f>IF(Scan2VK!AA5&lt;&gt;"",Scan2VK!AA5,"")</f>
        <v>'3'</v>
      </c>
      <c r="B3691" t="str">
        <f>IF(ISERROR(MATCH(0,INDEX(COUNTIF($B$1:B3690,$A$2:$A$4629),0,0),0)),"",INDEX($A$2:$A$4629,MATCH(0,INDEX(COUNTIF($B$1:B3690,$A$2:$A$4629),0,0),0)))</f>
        <v/>
      </c>
      <c r="C3691" t="str">
        <f t="shared" si="57"/>
        <v/>
      </c>
    </row>
    <row r="3692" spans="1:3" x14ac:dyDescent="0.25">
      <c r="A3692" t="str">
        <f>IF(Scan2VK!AA6&lt;&gt;"",Scan2VK!AA6,"")</f>
        <v>'4'</v>
      </c>
      <c r="B3692" t="str">
        <f>IF(ISERROR(MATCH(0,INDEX(COUNTIF($B$1:B3691,$A$2:$A$4629),0,0),0)),"",INDEX($A$2:$A$4629,MATCH(0,INDEX(COUNTIF($B$1:B3691,$A$2:$A$4629),0,0),0)))</f>
        <v/>
      </c>
      <c r="C3692" t="str">
        <f t="shared" si="57"/>
        <v/>
      </c>
    </row>
    <row r="3693" spans="1:3" x14ac:dyDescent="0.25">
      <c r="A3693" t="str">
        <f>IF(Scan2VK!AA7&lt;&gt;"",Scan2VK!AA7,"")</f>
        <v>'5'</v>
      </c>
      <c r="B3693" t="str">
        <f>IF(ISERROR(MATCH(0,INDEX(COUNTIF($B$1:B3692,$A$2:$A$4629),0,0),0)),"",INDEX($A$2:$A$4629,MATCH(0,INDEX(COUNTIF($B$1:B3692,$A$2:$A$4629),0,0),0)))</f>
        <v/>
      </c>
      <c r="C3693" t="str">
        <f t="shared" si="57"/>
        <v/>
      </c>
    </row>
    <row r="3694" spans="1:3" x14ac:dyDescent="0.25">
      <c r="A3694" t="str">
        <f>IF(Scan2VK!AA8&lt;&gt;"",Scan2VK!AA8,"")</f>
        <v>'6'</v>
      </c>
      <c r="B3694" t="str">
        <f>IF(ISERROR(MATCH(0,INDEX(COUNTIF($B$1:B3693,$A$2:$A$4629),0,0),0)),"",INDEX($A$2:$A$4629,MATCH(0,INDEX(COUNTIF($B$1:B3693,$A$2:$A$4629),0,0),0)))</f>
        <v/>
      </c>
      <c r="C3694" t="str">
        <f t="shared" si="57"/>
        <v/>
      </c>
    </row>
    <row r="3695" spans="1:3" x14ac:dyDescent="0.25">
      <c r="A3695" t="str">
        <f>IF(Scan2VK!AA9&lt;&gt;"",Scan2VK!AA9,"")</f>
        <v>'7'</v>
      </c>
      <c r="B3695" t="str">
        <f>IF(ISERROR(MATCH(0,INDEX(COUNTIF($B$1:B3694,$A$2:$A$4629),0,0),0)),"",INDEX($A$2:$A$4629,MATCH(0,INDEX(COUNTIF($B$1:B3694,$A$2:$A$4629),0,0),0)))</f>
        <v/>
      </c>
      <c r="C3695" t="str">
        <f t="shared" si="57"/>
        <v/>
      </c>
    </row>
    <row r="3696" spans="1:3" x14ac:dyDescent="0.25">
      <c r="A3696" t="str">
        <f>IF(Scan2VK!AA10&lt;&gt;"",Scan2VK!AA10,"")</f>
        <v>'8'</v>
      </c>
      <c r="B3696" t="str">
        <f>IF(ISERROR(MATCH(0,INDEX(COUNTIF($B$1:B3695,$A$2:$A$4629),0,0),0)),"",INDEX($A$2:$A$4629,MATCH(0,INDEX(COUNTIF($B$1:B3695,$A$2:$A$4629),0,0),0)))</f>
        <v/>
      </c>
      <c r="C3696" t="str">
        <f t="shared" si="57"/>
        <v/>
      </c>
    </row>
    <row r="3697" spans="1:3" x14ac:dyDescent="0.25">
      <c r="A3697" t="str">
        <f>IF(Scan2VK!AA11&lt;&gt;"",Scan2VK!AA11,"")</f>
        <v>'9'</v>
      </c>
      <c r="B3697" t="str">
        <f>IF(ISERROR(MATCH(0,INDEX(COUNTIF($B$1:B3696,$A$2:$A$4629),0,0),0)),"",INDEX($A$2:$A$4629,MATCH(0,INDEX(COUNTIF($B$1:B3696,$A$2:$A$4629),0,0),0)))</f>
        <v/>
      </c>
      <c r="C3697" t="str">
        <f t="shared" si="57"/>
        <v/>
      </c>
    </row>
    <row r="3698" spans="1:3" x14ac:dyDescent="0.25">
      <c r="A3698" t="str">
        <f>IF(Scan2VK!AA12&lt;&gt;"",Scan2VK!AA12,"")</f>
        <v>'0'</v>
      </c>
      <c r="B3698" t="str">
        <f>IF(ISERROR(MATCH(0,INDEX(COUNTIF($B$1:B3697,$A$2:$A$4629),0,0),0)),"",INDEX($A$2:$A$4629,MATCH(0,INDEX(COUNTIF($B$1:B3697,$A$2:$A$4629),0,0),0)))</f>
        <v/>
      </c>
      <c r="C3698" t="str">
        <f t="shared" si="57"/>
        <v/>
      </c>
    </row>
    <row r="3699" spans="1:3" x14ac:dyDescent="0.25">
      <c r="A3699" t="str">
        <f>IF(Scan2VK!AA13&lt;&gt;"",Scan2VK!AA13,"")</f>
        <v>OEM_MINUS</v>
      </c>
      <c r="B3699" t="str">
        <f>IF(ISERROR(MATCH(0,INDEX(COUNTIF($B$1:B3698,$A$2:$A$4629),0,0),0)),"",INDEX($A$2:$A$4629,MATCH(0,INDEX(COUNTIF($B$1:B3698,$A$2:$A$4629),0,0),0)))</f>
        <v/>
      </c>
      <c r="C3699" t="str">
        <f t="shared" si="57"/>
        <v/>
      </c>
    </row>
    <row r="3700" spans="1:3" x14ac:dyDescent="0.25">
      <c r="A3700" t="str">
        <f>IF(Scan2VK!AA14&lt;&gt;"",Scan2VK!AA14,"")</f>
        <v>OEM_7</v>
      </c>
      <c r="B3700" t="str">
        <f>IF(ISERROR(MATCH(0,INDEX(COUNTIF($B$1:B3699,$A$2:$A$4629),0,0),0)),"",INDEX($A$2:$A$4629,MATCH(0,INDEX(COUNTIF($B$1:B3699,$A$2:$A$4629),0,0),0)))</f>
        <v/>
      </c>
      <c r="C3700" t="str">
        <f t="shared" si="57"/>
        <v/>
      </c>
    </row>
    <row r="3701" spans="1:3" x14ac:dyDescent="0.25">
      <c r="A3701" t="str">
        <f>IF(Scan2VK!AA15&lt;&gt;"",Scan2VK!AA15,"")</f>
        <v>OEM_5</v>
      </c>
      <c r="B3701" t="str">
        <f>IF(ISERROR(MATCH(0,INDEX(COUNTIF($B$1:B3700,$A$2:$A$4629),0,0),0)),"",INDEX($A$2:$A$4629,MATCH(0,INDEX(COUNTIF($B$1:B3700,$A$2:$A$4629),0,0),0)))</f>
        <v/>
      </c>
      <c r="C3701" t="str">
        <f t="shared" si="57"/>
        <v/>
      </c>
    </row>
    <row r="3702" spans="1:3" x14ac:dyDescent="0.25">
      <c r="A3702" t="str">
        <f>IF(Scan2VK!AA16&lt;&gt;"",Scan2VK!AA16,"")</f>
        <v>BACK</v>
      </c>
      <c r="B3702" t="str">
        <f>IF(ISERROR(MATCH(0,INDEX(COUNTIF($B$1:B3701,$A$2:$A$4629),0,0),0)),"",INDEX($A$2:$A$4629,MATCH(0,INDEX(COUNTIF($B$1:B3701,$A$2:$A$4629),0,0),0)))</f>
        <v/>
      </c>
      <c r="C3702" t="str">
        <f t="shared" si="57"/>
        <v/>
      </c>
    </row>
    <row r="3703" spans="1:3" x14ac:dyDescent="0.25">
      <c r="A3703" t="str">
        <f>IF(Scan2VK!AA17&lt;&gt;"",Scan2VK!AA17,"")</f>
        <v>TAB</v>
      </c>
      <c r="B3703" t="str">
        <f>IF(ISERROR(MATCH(0,INDEX(COUNTIF($B$1:B3702,$A$2:$A$4629),0,0),0)),"",INDEX($A$2:$A$4629,MATCH(0,INDEX(COUNTIF($B$1:B3702,$A$2:$A$4629),0,0),0)))</f>
        <v/>
      </c>
      <c r="C3703" t="str">
        <f t="shared" si="57"/>
        <v/>
      </c>
    </row>
    <row r="3704" spans="1:3" x14ac:dyDescent="0.25">
      <c r="A3704" t="str">
        <f>IF(Scan2VK!AA18&lt;&gt;"",Scan2VK!AA18,"")</f>
        <v>'Q'</v>
      </c>
      <c r="B3704" t="str">
        <f>IF(ISERROR(MATCH(0,INDEX(COUNTIF($B$1:B3703,$A$2:$A$4629),0,0),0)),"",INDEX($A$2:$A$4629,MATCH(0,INDEX(COUNTIF($B$1:B3703,$A$2:$A$4629),0,0),0)))</f>
        <v/>
      </c>
      <c r="C3704" t="str">
        <f t="shared" si="57"/>
        <v/>
      </c>
    </row>
    <row r="3705" spans="1:3" x14ac:dyDescent="0.25">
      <c r="A3705" t="str">
        <f>IF(Scan2VK!AA19&lt;&gt;"",Scan2VK!AA19,"")</f>
        <v>'W'</v>
      </c>
      <c r="B3705" t="str">
        <f>IF(ISERROR(MATCH(0,INDEX(COUNTIF($B$1:B3704,$A$2:$A$4629),0,0),0)),"",INDEX($A$2:$A$4629,MATCH(0,INDEX(COUNTIF($B$1:B3704,$A$2:$A$4629),0,0),0)))</f>
        <v/>
      </c>
      <c r="C3705" t="str">
        <f t="shared" si="57"/>
        <v/>
      </c>
    </row>
    <row r="3706" spans="1:3" x14ac:dyDescent="0.25">
      <c r="A3706" t="str">
        <f>IF(Scan2VK!AA20&lt;&gt;"",Scan2VK!AA20,"")</f>
        <v>'E'</v>
      </c>
      <c r="B3706" t="str">
        <f>IF(ISERROR(MATCH(0,INDEX(COUNTIF($B$1:B3705,$A$2:$A$4629),0,0),0)),"",INDEX($A$2:$A$4629,MATCH(0,INDEX(COUNTIF($B$1:B3705,$A$2:$A$4629),0,0),0)))</f>
        <v/>
      </c>
      <c r="C3706" t="str">
        <f t="shared" si="57"/>
        <v/>
      </c>
    </row>
    <row r="3707" spans="1:3" x14ac:dyDescent="0.25">
      <c r="A3707" t="str">
        <f>IF(Scan2VK!AA21&lt;&gt;"",Scan2VK!AA21,"")</f>
        <v>'R'</v>
      </c>
      <c r="B3707" t="str">
        <f>IF(ISERROR(MATCH(0,INDEX(COUNTIF($B$1:B3706,$A$2:$A$4629),0,0),0)),"",INDEX($A$2:$A$4629,MATCH(0,INDEX(COUNTIF($B$1:B3706,$A$2:$A$4629),0,0),0)))</f>
        <v/>
      </c>
      <c r="C3707" t="str">
        <f t="shared" si="57"/>
        <v/>
      </c>
    </row>
    <row r="3708" spans="1:3" x14ac:dyDescent="0.25">
      <c r="A3708" t="str">
        <f>IF(Scan2VK!AA22&lt;&gt;"",Scan2VK!AA22,"")</f>
        <v>'T'</v>
      </c>
      <c r="B3708" t="str">
        <f>IF(ISERROR(MATCH(0,INDEX(COUNTIF($B$1:B3707,$A$2:$A$4629),0,0),0)),"",INDEX($A$2:$A$4629,MATCH(0,INDEX(COUNTIF($B$1:B3707,$A$2:$A$4629),0,0),0)))</f>
        <v/>
      </c>
      <c r="C3708" t="str">
        <f t="shared" si="57"/>
        <v/>
      </c>
    </row>
    <row r="3709" spans="1:3" x14ac:dyDescent="0.25">
      <c r="A3709" t="str">
        <f>IF(Scan2VK!AA23&lt;&gt;"",Scan2VK!AA23,"")</f>
        <v>'Y'</v>
      </c>
      <c r="B3709" t="str">
        <f>IF(ISERROR(MATCH(0,INDEX(COUNTIF($B$1:B3708,$A$2:$A$4629),0,0),0)),"",INDEX($A$2:$A$4629,MATCH(0,INDEX(COUNTIF($B$1:B3708,$A$2:$A$4629),0,0),0)))</f>
        <v/>
      </c>
      <c r="C3709" t="str">
        <f t="shared" si="57"/>
        <v/>
      </c>
    </row>
    <row r="3710" spans="1:3" x14ac:dyDescent="0.25">
      <c r="A3710" t="str">
        <f>IF(Scan2VK!AA24&lt;&gt;"",Scan2VK!AA24,"")</f>
        <v>'U'</v>
      </c>
      <c r="B3710" t="str">
        <f>IF(ISERROR(MATCH(0,INDEX(COUNTIF($B$1:B3709,$A$2:$A$4629),0,0),0)),"",INDEX($A$2:$A$4629,MATCH(0,INDEX(COUNTIF($B$1:B3709,$A$2:$A$4629),0,0),0)))</f>
        <v/>
      </c>
      <c r="C3710" t="str">
        <f t="shared" si="57"/>
        <v/>
      </c>
    </row>
    <row r="3711" spans="1:3" x14ac:dyDescent="0.25">
      <c r="A3711" t="str">
        <f>IF(Scan2VK!AA25&lt;&gt;"",Scan2VK!AA25,"")</f>
        <v>'I'</v>
      </c>
      <c r="B3711" t="str">
        <f>IF(ISERROR(MATCH(0,INDEX(COUNTIF($B$1:B3710,$A$2:$A$4629),0,0),0)),"",INDEX($A$2:$A$4629,MATCH(0,INDEX(COUNTIF($B$1:B3710,$A$2:$A$4629),0,0),0)))</f>
        <v/>
      </c>
      <c r="C3711" t="str">
        <f t="shared" si="57"/>
        <v/>
      </c>
    </row>
    <row r="3712" spans="1:3" x14ac:dyDescent="0.25">
      <c r="A3712" t="str">
        <f>IF(Scan2VK!AA26&lt;&gt;"",Scan2VK!AA26,"")</f>
        <v>'O'</v>
      </c>
      <c r="B3712" t="str">
        <f>IF(ISERROR(MATCH(0,INDEX(COUNTIF($B$1:B3711,$A$2:$A$4629),0,0),0)),"",INDEX($A$2:$A$4629,MATCH(0,INDEX(COUNTIF($B$1:B3711,$A$2:$A$4629),0,0),0)))</f>
        <v/>
      </c>
      <c r="C3712" t="str">
        <f t="shared" si="57"/>
        <v/>
      </c>
    </row>
    <row r="3713" spans="1:3" x14ac:dyDescent="0.25">
      <c r="A3713" t="str">
        <f>IF(Scan2VK!AA27&lt;&gt;"",Scan2VK!AA27,"")</f>
        <v>'P'</v>
      </c>
      <c r="B3713" t="str">
        <f>IF(ISERROR(MATCH(0,INDEX(COUNTIF($B$1:B3712,$A$2:$A$4629),0,0),0)),"",INDEX($A$2:$A$4629,MATCH(0,INDEX(COUNTIF($B$1:B3712,$A$2:$A$4629),0,0),0)))</f>
        <v/>
      </c>
      <c r="C3713" t="str">
        <f t="shared" si="57"/>
        <v/>
      </c>
    </row>
    <row r="3714" spans="1:3" x14ac:dyDescent="0.25">
      <c r="A3714" t="str">
        <f>IF(Scan2VK!AA28&lt;&gt;"",Scan2VK!AA28,"")</f>
        <v>OEM_3</v>
      </c>
      <c r="B3714" t="str">
        <f>IF(ISERROR(MATCH(0,INDEX(COUNTIF($B$1:B3713,$A$2:$A$4629),0,0),0)),"",INDEX($A$2:$A$4629,MATCH(0,INDEX(COUNTIF($B$1:B3713,$A$2:$A$4629),0,0),0)))</f>
        <v/>
      </c>
      <c r="C3714" t="str">
        <f t="shared" si="57"/>
        <v/>
      </c>
    </row>
    <row r="3715" spans="1:3" x14ac:dyDescent="0.25">
      <c r="A3715" t="str">
        <f>IF(Scan2VK!AA29&lt;&gt;"",Scan2VK!AA29,"")</f>
        <v>OEM_4</v>
      </c>
      <c r="B3715" t="str">
        <f>IF(ISERROR(MATCH(0,INDEX(COUNTIF($B$1:B3714,$A$2:$A$4629),0,0),0)),"",INDEX($A$2:$A$4629,MATCH(0,INDEX(COUNTIF($B$1:B3714,$A$2:$A$4629),0,0),0)))</f>
        <v/>
      </c>
      <c r="C3715" t="str">
        <f t="shared" ref="C3715:C3778" si="58">IF(B3715&lt;&gt;"","&lt;xs:enumeration value="""&amp;B3715&amp;"""/&gt;","")</f>
        <v/>
      </c>
    </row>
    <row r="3716" spans="1:3" x14ac:dyDescent="0.25">
      <c r="A3716" t="str">
        <f>IF(Scan2VK!AA30&lt;&gt;"",Scan2VK!AA30,"")</f>
        <v>RETURN</v>
      </c>
      <c r="B3716" t="str">
        <f>IF(ISERROR(MATCH(0,INDEX(COUNTIF($B$1:B3715,$A$2:$A$4629),0,0),0)),"",INDEX($A$2:$A$4629,MATCH(0,INDEX(COUNTIF($B$1:B3715,$A$2:$A$4629),0,0),0)))</f>
        <v/>
      </c>
      <c r="C3716" t="str">
        <f t="shared" si="58"/>
        <v/>
      </c>
    </row>
    <row r="3717" spans="1:3" x14ac:dyDescent="0.25">
      <c r="A3717" t="str">
        <f>IF(Scan2VK!AA31&lt;&gt;"",Scan2VK!AA31,"")</f>
        <v>'A'</v>
      </c>
      <c r="B3717" t="str">
        <f>IF(ISERROR(MATCH(0,INDEX(COUNTIF($B$1:B3716,$A$2:$A$4629),0,0),0)),"",INDEX($A$2:$A$4629,MATCH(0,INDEX(COUNTIF($B$1:B3716,$A$2:$A$4629),0,0),0)))</f>
        <v/>
      </c>
      <c r="C3717" t="str">
        <f t="shared" si="58"/>
        <v/>
      </c>
    </row>
    <row r="3718" spans="1:3" x14ac:dyDescent="0.25">
      <c r="A3718" t="str">
        <f>IF(Scan2VK!AA32&lt;&gt;"",Scan2VK!AA32,"")</f>
        <v>'S'</v>
      </c>
      <c r="B3718" t="str">
        <f>IF(ISERROR(MATCH(0,INDEX(COUNTIF($B$1:B3717,$A$2:$A$4629),0,0),0)),"",INDEX($A$2:$A$4629,MATCH(0,INDEX(COUNTIF($B$1:B3717,$A$2:$A$4629),0,0),0)))</f>
        <v/>
      </c>
      <c r="C3718" t="str">
        <f t="shared" si="58"/>
        <v/>
      </c>
    </row>
    <row r="3719" spans="1:3" x14ac:dyDescent="0.25">
      <c r="A3719" t="str">
        <f>IF(Scan2VK!AA33&lt;&gt;"",Scan2VK!AA33,"")</f>
        <v>'D'</v>
      </c>
      <c r="B3719" t="str">
        <f>IF(ISERROR(MATCH(0,INDEX(COUNTIF($B$1:B3718,$A$2:$A$4629),0,0),0)),"",INDEX($A$2:$A$4629,MATCH(0,INDEX(COUNTIF($B$1:B3718,$A$2:$A$4629),0,0),0)))</f>
        <v/>
      </c>
      <c r="C3719" t="str">
        <f t="shared" si="58"/>
        <v/>
      </c>
    </row>
    <row r="3720" spans="1:3" x14ac:dyDescent="0.25">
      <c r="A3720" t="str">
        <f>IF(Scan2VK!AA34&lt;&gt;"",Scan2VK!AA34,"")</f>
        <v>'F'</v>
      </c>
      <c r="B3720" t="str">
        <f>IF(ISERROR(MATCH(0,INDEX(COUNTIF($B$1:B3719,$A$2:$A$4629),0,0),0)),"",INDEX($A$2:$A$4629,MATCH(0,INDEX(COUNTIF($B$1:B3719,$A$2:$A$4629),0,0),0)))</f>
        <v/>
      </c>
      <c r="C3720" t="str">
        <f t="shared" si="58"/>
        <v/>
      </c>
    </row>
    <row r="3721" spans="1:3" x14ac:dyDescent="0.25">
      <c r="A3721" t="str">
        <f>IF(Scan2VK!AA35&lt;&gt;"",Scan2VK!AA35,"")</f>
        <v>'G'</v>
      </c>
      <c r="B3721" t="str">
        <f>IF(ISERROR(MATCH(0,INDEX(COUNTIF($B$1:B3720,$A$2:$A$4629),0,0),0)),"",INDEX($A$2:$A$4629,MATCH(0,INDEX(COUNTIF($B$1:B3720,$A$2:$A$4629),0,0),0)))</f>
        <v/>
      </c>
      <c r="C3721" t="str">
        <f t="shared" si="58"/>
        <v/>
      </c>
    </row>
    <row r="3722" spans="1:3" x14ac:dyDescent="0.25">
      <c r="A3722" t="str">
        <f>IF(Scan2VK!AA36&lt;&gt;"",Scan2VK!AA36,"")</f>
        <v>'H'</v>
      </c>
      <c r="B3722" t="str">
        <f>IF(ISERROR(MATCH(0,INDEX(COUNTIF($B$1:B3721,$A$2:$A$4629),0,0),0)),"",INDEX($A$2:$A$4629,MATCH(0,INDEX(COUNTIF($B$1:B3721,$A$2:$A$4629),0,0),0)))</f>
        <v/>
      </c>
      <c r="C3722" t="str">
        <f t="shared" si="58"/>
        <v/>
      </c>
    </row>
    <row r="3723" spans="1:3" x14ac:dyDescent="0.25">
      <c r="A3723" t="str">
        <f>IF(Scan2VK!AA37&lt;&gt;"",Scan2VK!AA37,"")</f>
        <v>'J'</v>
      </c>
      <c r="B3723" t="str">
        <f>IF(ISERROR(MATCH(0,INDEX(COUNTIF($B$1:B3722,$A$2:$A$4629),0,0),0)),"",INDEX($A$2:$A$4629,MATCH(0,INDEX(COUNTIF($B$1:B3722,$A$2:$A$4629),0,0),0)))</f>
        <v/>
      </c>
      <c r="C3723" t="str">
        <f t="shared" si="58"/>
        <v/>
      </c>
    </row>
    <row r="3724" spans="1:3" x14ac:dyDescent="0.25">
      <c r="A3724" t="str">
        <f>IF(Scan2VK!AA38&lt;&gt;"",Scan2VK!AA38,"")</f>
        <v>'K'</v>
      </c>
      <c r="B3724" t="str">
        <f>IF(ISERROR(MATCH(0,INDEX(COUNTIF($B$1:B3723,$A$2:$A$4629),0,0),0)),"",INDEX($A$2:$A$4629,MATCH(0,INDEX(COUNTIF($B$1:B3723,$A$2:$A$4629),0,0),0)))</f>
        <v/>
      </c>
      <c r="C3724" t="str">
        <f t="shared" si="58"/>
        <v/>
      </c>
    </row>
    <row r="3725" spans="1:3" x14ac:dyDescent="0.25">
      <c r="A3725" t="str">
        <f>IF(Scan2VK!AA39&lt;&gt;"",Scan2VK!AA39,"")</f>
        <v>'L'</v>
      </c>
      <c r="B3725" t="str">
        <f>IF(ISERROR(MATCH(0,INDEX(COUNTIF($B$1:B3724,$A$2:$A$4629),0,0),0)),"",INDEX($A$2:$A$4629,MATCH(0,INDEX(COUNTIF($B$1:B3724,$A$2:$A$4629),0,0),0)))</f>
        <v/>
      </c>
      <c r="C3725" t="str">
        <f t="shared" si="58"/>
        <v/>
      </c>
    </row>
    <row r="3726" spans="1:3" x14ac:dyDescent="0.25">
      <c r="A3726" t="str">
        <f>IF(Scan2VK!AA40&lt;&gt;"",Scan2VK!AA40,"")</f>
        <v>OEM_PLUS</v>
      </c>
      <c r="B3726" t="str">
        <f>IF(ISERROR(MATCH(0,INDEX(COUNTIF($B$1:B3725,$A$2:$A$4629),0,0),0)),"",INDEX($A$2:$A$4629,MATCH(0,INDEX(COUNTIF($B$1:B3725,$A$2:$A$4629),0,0),0)))</f>
        <v/>
      </c>
      <c r="C3726" t="str">
        <f t="shared" si="58"/>
        <v/>
      </c>
    </row>
    <row r="3727" spans="1:3" x14ac:dyDescent="0.25">
      <c r="A3727" t="str">
        <f>IF(Scan2VK!AA41&lt;&gt;"",Scan2VK!AA41,"")</f>
        <v>OEM_1</v>
      </c>
      <c r="B3727" t="str">
        <f>IF(ISERROR(MATCH(0,INDEX(COUNTIF($B$1:B3726,$A$2:$A$4629),0,0),0)),"",INDEX($A$2:$A$4629,MATCH(0,INDEX(COUNTIF($B$1:B3726,$A$2:$A$4629),0,0),0)))</f>
        <v/>
      </c>
      <c r="C3727" t="str">
        <f t="shared" si="58"/>
        <v/>
      </c>
    </row>
    <row r="3728" spans="1:3" x14ac:dyDescent="0.25">
      <c r="A3728" t="str">
        <f>IF(Scan2VK!AA42&lt;&gt;"",Scan2VK!AA42,"")</f>
        <v>OEM_6</v>
      </c>
      <c r="B3728" t="str">
        <f>IF(ISERROR(MATCH(0,INDEX(COUNTIF($B$1:B3727,$A$2:$A$4629),0,0),0)),"",INDEX($A$2:$A$4629,MATCH(0,INDEX(COUNTIF($B$1:B3727,$A$2:$A$4629),0,0),0)))</f>
        <v/>
      </c>
      <c r="C3728" t="str">
        <f t="shared" si="58"/>
        <v/>
      </c>
    </row>
    <row r="3729" spans="1:3" x14ac:dyDescent="0.25">
      <c r="A3729" t="str">
        <f>IF(Scan2VK!AA43&lt;&gt;"",Scan2VK!AA43,"")</f>
        <v>'Z'</v>
      </c>
      <c r="B3729" t="str">
        <f>IF(ISERROR(MATCH(0,INDEX(COUNTIF($B$1:B3728,$A$2:$A$4629),0,0),0)),"",INDEX($A$2:$A$4629,MATCH(0,INDEX(COUNTIF($B$1:B3728,$A$2:$A$4629),0,0),0)))</f>
        <v/>
      </c>
      <c r="C3729" t="str">
        <f t="shared" si="58"/>
        <v/>
      </c>
    </row>
    <row r="3730" spans="1:3" x14ac:dyDescent="0.25">
      <c r="A3730" t="str">
        <f>IF(Scan2VK!AA44&lt;&gt;"",Scan2VK!AA44,"")</f>
        <v>'X'</v>
      </c>
      <c r="B3730" t="str">
        <f>IF(ISERROR(MATCH(0,INDEX(COUNTIF($B$1:B3729,$A$2:$A$4629),0,0),0)),"",INDEX($A$2:$A$4629,MATCH(0,INDEX(COUNTIF($B$1:B3729,$A$2:$A$4629),0,0),0)))</f>
        <v/>
      </c>
      <c r="C3730" t="str">
        <f t="shared" si="58"/>
        <v/>
      </c>
    </row>
    <row r="3731" spans="1:3" x14ac:dyDescent="0.25">
      <c r="A3731" t="str">
        <f>IF(Scan2VK!AA45&lt;&gt;"",Scan2VK!AA45,"")</f>
        <v>'C'</v>
      </c>
      <c r="B3731" t="str">
        <f>IF(ISERROR(MATCH(0,INDEX(COUNTIF($B$1:B3730,$A$2:$A$4629),0,0),0)),"",INDEX($A$2:$A$4629,MATCH(0,INDEX(COUNTIF($B$1:B3730,$A$2:$A$4629),0,0),0)))</f>
        <v/>
      </c>
      <c r="C3731" t="str">
        <f t="shared" si="58"/>
        <v/>
      </c>
    </row>
    <row r="3732" spans="1:3" x14ac:dyDescent="0.25">
      <c r="A3732" t="str">
        <f>IF(Scan2VK!AA46&lt;&gt;"",Scan2VK!AA46,"")</f>
        <v>'V'</v>
      </c>
      <c r="B3732" t="str">
        <f>IF(ISERROR(MATCH(0,INDEX(COUNTIF($B$1:B3731,$A$2:$A$4629),0,0),0)),"",INDEX($A$2:$A$4629,MATCH(0,INDEX(COUNTIF($B$1:B3731,$A$2:$A$4629),0,0),0)))</f>
        <v/>
      </c>
      <c r="C3732" t="str">
        <f t="shared" si="58"/>
        <v/>
      </c>
    </row>
    <row r="3733" spans="1:3" x14ac:dyDescent="0.25">
      <c r="A3733" t="str">
        <f>IF(Scan2VK!AA47&lt;&gt;"",Scan2VK!AA47,"")</f>
        <v>'B'</v>
      </c>
      <c r="B3733" t="str">
        <f>IF(ISERROR(MATCH(0,INDEX(COUNTIF($B$1:B3732,$A$2:$A$4629),0,0),0)),"",INDEX($A$2:$A$4629,MATCH(0,INDEX(COUNTIF($B$1:B3732,$A$2:$A$4629),0,0),0)))</f>
        <v/>
      </c>
      <c r="C3733" t="str">
        <f t="shared" si="58"/>
        <v/>
      </c>
    </row>
    <row r="3734" spans="1:3" x14ac:dyDescent="0.25">
      <c r="A3734" t="str">
        <f>IF(Scan2VK!AA48&lt;&gt;"",Scan2VK!AA48,"")</f>
        <v>'N'</v>
      </c>
      <c r="B3734" t="str">
        <f>IF(ISERROR(MATCH(0,INDEX(COUNTIF($B$1:B3733,$A$2:$A$4629),0,0),0)),"",INDEX($A$2:$A$4629,MATCH(0,INDEX(COUNTIF($B$1:B3733,$A$2:$A$4629),0,0),0)))</f>
        <v/>
      </c>
      <c r="C3734" t="str">
        <f t="shared" si="58"/>
        <v/>
      </c>
    </row>
    <row r="3735" spans="1:3" x14ac:dyDescent="0.25">
      <c r="A3735" t="str">
        <f>IF(Scan2VK!AA49&lt;&gt;"",Scan2VK!AA49,"")</f>
        <v>'M'</v>
      </c>
      <c r="B3735" t="str">
        <f>IF(ISERROR(MATCH(0,INDEX(COUNTIF($B$1:B3734,$A$2:$A$4629),0,0),0)),"",INDEX($A$2:$A$4629,MATCH(0,INDEX(COUNTIF($B$1:B3734,$A$2:$A$4629),0,0),0)))</f>
        <v/>
      </c>
      <c r="C3735" t="str">
        <f t="shared" si="58"/>
        <v/>
      </c>
    </row>
    <row r="3736" spans="1:3" x14ac:dyDescent="0.25">
      <c r="A3736" t="str">
        <f>IF(Scan2VK!AA50&lt;&gt;"",Scan2VK!AA50,"")</f>
        <v>OEM_COMMA</v>
      </c>
      <c r="B3736" t="str">
        <f>IF(ISERROR(MATCH(0,INDEX(COUNTIF($B$1:B3735,$A$2:$A$4629),0,0),0)),"",INDEX($A$2:$A$4629,MATCH(0,INDEX(COUNTIF($B$1:B3735,$A$2:$A$4629),0,0),0)))</f>
        <v/>
      </c>
      <c r="C3736" t="str">
        <f t="shared" si="58"/>
        <v/>
      </c>
    </row>
    <row r="3737" spans="1:3" x14ac:dyDescent="0.25">
      <c r="A3737" t="str">
        <f>IF(Scan2VK!AA51&lt;&gt;"",Scan2VK!AA51,"")</f>
        <v>OEM_PERIOD</v>
      </c>
      <c r="B3737" t="str">
        <f>IF(ISERROR(MATCH(0,INDEX(COUNTIF($B$1:B3736,$A$2:$A$4629),0,0),0)),"",INDEX($A$2:$A$4629,MATCH(0,INDEX(COUNTIF($B$1:B3736,$A$2:$A$4629),0,0),0)))</f>
        <v/>
      </c>
      <c r="C3737" t="str">
        <f t="shared" si="58"/>
        <v/>
      </c>
    </row>
    <row r="3738" spans="1:3" x14ac:dyDescent="0.25">
      <c r="A3738" t="str">
        <f>IF(Scan2VK!AA52&lt;&gt;"",Scan2VK!AA52,"")</f>
        <v>OEM_2</v>
      </c>
      <c r="B3738" t="str">
        <f>IF(ISERROR(MATCH(0,INDEX(COUNTIF($B$1:B3737,$A$2:$A$4629),0,0),0)),"",INDEX($A$2:$A$4629,MATCH(0,INDEX(COUNTIF($B$1:B3737,$A$2:$A$4629),0,0),0)))</f>
        <v/>
      </c>
      <c r="C3738" t="str">
        <f t="shared" si="58"/>
        <v/>
      </c>
    </row>
    <row r="3739" spans="1:3" x14ac:dyDescent="0.25">
      <c r="A3739" t="str">
        <f>IF(Scan2VK!AA53&lt;&gt;"",Scan2VK!AA53,"")</f>
        <v>OEM_8</v>
      </c>
      <c r="B3739" t="str">
        <f>IF(ISERROR(MATCH(0,INDEX(COUNTIF($B$1:B3738,$A$2:$A$4629),0,0),0)),"",INDEX($A$2:$A$4629,MATCH(0,INDEX(COUNTIF($B$1:B3738,$A$2:$A$4629),0,0),0)))</f>
        <v/>
      </c>
      <c r="C3739" t="str">
        <f t="shared" si="58"/>
        <v/>
      </c>
    </row>
    <row r="3740" spans="1:3" x14ac:dyDescent="0.25">
      <c r="A3740" t="str">
        <f>IF(Scan2VK!AA54&lt;&gt;"",Scan2VK!AA54,"")</f>
        <v>''</v>
      </c>
      <c r="B3740" t="str">
        <f>IF(ISERROR(MATCH(0,INDEX(COUNTIF($B$1:B3739,$A$2:$A$4629),0,0),0)),"",INDEX($A$2:$A$4629,MATCH(0,INDEX(COUNTIF($B$1:B3739,$A$2:$A$4629),0,0),0)))</f>
        <v/>
      </c>
      <c r="C3740" t="str">
        <f t="shared" si="58"/>
        <v/>
      </c>
    </row>
    <row r="3741" spans="1:3" x14ac:dyDescent="0.25">
      <c r="A3741" t="str">
        <f>IF(Scan2VK!AA55&lt;&gt;"",Scan2VK!AA55,"")</f>
        <v>CONVERT</v>
      </c>
      <c r="B3741" t="str">
        <f>IF(ISERROR(MATCH(0,INDEX(COUNTIF($B$1:B3740,$A$2:$A$4629),0,0),0)),"",INDEX($A$2:$A$4629,MATCH(0,INDEX(COUNTIF($B$1:B3740,$A$2:$A$4629),0,0),0)))</f>
        <v/>
      </c>
      <c r="C3741" t="str">
        <f t="shared" si="58"/>
        <v/>
      </c>
    </row>
    <row r="3742" spans="1:3" x14ac:dyDescent="0.25">
      <c r="A3742" t="str">
        <f>IF(Scan2VK!AA56&lt;&gt;"",Scan2VK!AA56,"")</f>
        <v>NEXT</v>
      </c>
      <c r="B3742" t="str">
        <f>IF(ISERROR(MATCH(0,INDEX(COUNTIF($B$1:B3741,$A$2:$A$4629),0,0),0)),"",INDEX($A$2:$A$4629,MATCH(0,INDEX(COUNTIF($B$1:B3741,$A$2:$A$4629),0,0),0)))</f>
        <v/>
      </c>
      <c r="C3742" t="str">
        <f t="shared" si="58"/>
        <v/>
      </c>
    </row>
    <row r="3743" spans="1:3" x14ac:dyDescent="0.25">
      <c r="A3743" t="str">
        <f>IF(Scan2VK!AA57&lt;&gt;"",Scan2VK!AA57,"")</f>
        <v>PRIOR</v>
      </c>
      <c r="B3743" t="str">
        <f>IF(ISERROR(MATCH(0,INDEX(COUNTIF($B$1:B3742,$A$2:$A$4629),0,0),0)),"",INDEX($A$2:$A$4629,MATCH(0,INDEX(COUNTIF($B$1:B3742,$A$2:$A$4629),0,0),0)))</f>
        <v/>
      </c>
      <c r="C3743" t="str">
        <f t="shared" si="58"/>
        <v/>
      </c>
    </row>
    <row r="3744" spans="1:3" x14ac:dyDescent="0.25">
      <c r="A3744" t="str">
        <f>IF(Scan2VK!AA58&lt;&gt;"",Scan2VK!AA58,"")</f>
        <v>INSERT</v>
      </c>
      <c r="B3744" t="str">
        <f>IF(ISERROR(MATCH(0,INDEX(COUNTIF($B$1:B3743,$A$2:$A$4629),0,0),0)),"",INDEX($A$2:$A$4629,MATCH(0,INDEX(COUNTIF($B$1:B3743,$A$2:$A$4629),0,0),0)))</f>
        <v/>
      </c>
      <c r="C3744" t="str">
        <f t="shared" si="58"/>
        <v/>
      </c>
    </row>
    <row r="3745" spans="1:3" x14ac:dyDescent="0.25">
      <c r="A3745" t="str">
        <f>IF(Scan2VK!AA59&lt;&gt;"",Scan2VK!AA59,"")</f>
        <v>DELETE</v>
      </c>
      <c r="B3745" t="str">
        <f>IF(ISERROR(MATCH(0,INDEX(COUNTIF($B$1:B3744,$A$2:$A$4629),0,0),0)),"",INDEX($A$2:$A$4629,MATCH(0,INDEX(COUNTIF($B$1:B3744,$A$2:$A$4629),0,0),0)))</f>
        <v/>
      </c>
      <c r="C3745" t="str">
        <f t="shared" si="58"/>
        <v/>
      </c>
    </row>
    <row r="3746" spans="1:3" x14ac:dyDescent="0.25">
      <c r="A3746" t="str">
        <f>IF(Scan2VK!AA60&lt;&gt;"",Scan2VK!AA60,"")</f>
        <v>UP</v>
      </c>
      <c r="B3746" t="str">
        <f>IF(ISERROR(MATCH(0,INDEX(COUNTIF($B$1:B3745,$A$2:$A$4629),0,0),0)),"",INDEX($A$2:$A$4629,MATCH(0,INDEX(COUNTIF($B$1:B3745,$A$2:$A$4629),0,0),0)))</f>
        <v/>
      </c>
      <c r="C3746" t="str">
        <f t="shared" si="58"/>
        <v/>
      </c>
    </row>
    <row r="3747" spans="1:3" x14ac:dyDescent="0.25">
      <c r="A3747" t="str">
        <f>IF(Scan2VK!AA61&lt;&gt;"",Scan2VK!AA61,"")</f>
        <v>LEFT</v>
      </c>
      <c r="B3747" t="str">
        <f>IF(ISERROR(MATCH(0,INDEX(COUNTIF($B$1:B3746,$A$2:$A$4629),0,0),0)),"",INDEX($A$2:$A$4629,MATCH(0,INDEX(COUNTIF($B$1:B3746,$A$2:$A$4629),0,0),0)))</f>
        <v/>
      </c>
      <c r="C3747" t="str">
        <f t="shared" si="58"/>
        <v/>
      </c>
    </row>
    <row r="3748" spans="1:3" x14ac:dyDescent="0.25">
      <c r="A3748" t="str">
        <f>IF(Scan2VK!AA62&lt;&gt;"",Scan2VK!AA62,"")</f>
        <v>RIGHT</v>
      </c>
      <c r="B3748" t="str">
        <f>IF(ISERROR(MATCH(0,INDEX(COUNTIF($B$1:B3747,$A$2:$A$4629),0,0),0)),"",INDEX($A$2:$A$4629,MATCH(0,INDEX(COUNTIF($B$1:B3747,$A$2:$A$4629),0,0),0)))</f>
        <v/>
      </c>
      <c r="C3748" t="str">
        <f t="shared" si="58"/>
        <v/>
      </c>
    </row>
    <row r="3749" spans="1:3" x14ac:dyDescent="0.25">
      <c r="A3749" t="str">
        <f>IF(Scan2VK!AA63&lt;&gt;"",Scan2VK!AA63,"")</f>
        <v>DOWN</v>
      </c>
      <c r="B3749" t="str">
        <f>IF(ISERROR(MATCH(0,INDEX(COUNTIF($B$1:B3748,$A$2:$A$4629),0,0),0)),"",INDEX($A$2:$A$4629,MATCH(0,INDEX(COUNTIF($B$1:B3748,$A$2:$A$4629),0,0),0)))</f>
        <v/>
      </c>
      <c r="C3749" t="str">
        <f t="shared" si="58"/>
        <v/>
      </c>
    </row>
    <row r="3750" spans="1:3" x14ac:dyDescent="0.25">
      <c r="A3750" t="str">
        <f>IF(Scan2VK!AA64&lt;&gt;"",Scan2VK!AA64,"")</f>
        <v>HOME</v>
      </c>
      <c r="B3750" t="str">
        <f>IF(ISERROR(MATCH(0,INDEX(COUNTIF($B$1:B3749,$A$2:$A$4629),0,0),0)),"",INDEX($A$2:$A$4629,MATCH(0,INDEX(COUNTIF($B$1:B3749,$A$2:$A$4629),0,0),0)))</f>
        <v/>
      </c>
      <c r="C3750" t="str">
        <f t="shared" si="58"/>
        <v/>
      </c>
    </row>
    <row r="3751" spans="1:3" x14ac:dyDescent="0.25">
      <c r="A3751" t="str">
        <f>IF(Scan2VK!AA65&lt;&gt;"",Scan2VK!AA65,"")</f>
        <v>END</v>
      </c>
      <c r="B3751" t="str">
        <f>IF(ISERROR(MATCH(0,INDEX(COUNTIF($B$1:B3750,$A$2:$A$4629),0,0),0)),"",INDEX($A$2:$A$4629,MATCH(0,INDEX(COUNTIF($B$1:B3750,$A$2:$A$4629),0,0),0)))</f>
        <v/>
      </c>
      <c r="C3751" t="str">
        <f t="shared" si="58"/>
        <v/>
      </c>
    </row>
    <row r="3752" spans="1:3" x14ac:dyDescent="0.25">
      <c r="A3752" t="str">
        <f>IF(Scan2VK!AA66&lt;&gt;"",Scan2VK!AA66,"")</f>
        <v>SUBTRACT</v>
      </c>
      <c r="B3752" t="str">
        <f>IF(ISERROR(MATCH(0,INDEX(COUNTIF($B$1:B3751,$A$2:$A$4629),0,0),0)),"",INDEX($A$2:$A$4629,MATCH(0,INDEX(COUNTIF($B$1:B3751,$A$2:$A$4629),0,0),0)))</f>
        <v/>
      </c>
      <c r="C3752" t="str">
        <f t="shared" si="58"/>
        <v/>
      </c>
    </row>
    <row r="3753" spans="1:3" x14ac:dyDescent="0.25">
      <c r="A3753" t="str">
        <f>IF(Scan2VK!AA67&lt;&gt;"",Scan2VK!AA67,"")</f>
        <v>DIVIDE</v>
      </c>
      <c r="B3753" t="str">
        <f>IF(ISERROR(MATCH(0,INDEX(COUNTIF($B$1:B3752,$A$2:$A$4629),0,0),0)),"",INDEX($A$2:$A$4629,MATCH(0,INDEX(COUNTIF($B$1:B3752,$A$2:$A$4629),0,0),0)))</f>
        <v/>
      </c>
      <c r="C3753" t="str">
        <f t="shared" si="58"/>
        <v/>
      </c>
    </row>
    <row r="3754" spans="1:3" x14ac:dyDescent="0.25">
      <c r="A3754" t="str">
        <f>IF(Scan2VK!AA68&lt;&gt;"",Scan2VK!AA68,"")</f>
        <v>NUMPAD7</v>
      </c>
      <c r="B3754" t="str">
        <f>IF(ISERROR(MATCH(0,INDEX(COUNTIF($B$1:B3753,$A$2:$A$4629),0,0),0)),"",INDEX($A$2:$A$4629,MATCH(0,INDEX(COUNTIF($B$1:B3753,$A$2:$A$4629),0,0),0)))</f>
        <v/>
      </c>
      <c r="C3754" t="str">
        <f t="shared" si="58"/>
        <v/>
      </c>
    </row>
    <row r="3755" spans="1:3" x14ac:dyDescent="0.25">
      <c r="A3755" t="str">
        <f>IF(Scan2VK!AA69&lt;&gt;"",Scan2VK!AA69,"")</f>
        <v>NUMPAD8</v>
      </c>
      <c r="B3755" t="str">
        <f>IF(ISERROR(MATCH(0,INDEX(COUNTIF($B$1:B3754,$A$2:$A$4629),0,0),0)),"",INDEX($A$2:$A$4629,MATCH(0,INDEX(COUNTIF($B$1:B3754,$A$2:$A$4629),0,0),0)))</f>
        <v/>
      </c>
      <c r="C3755" t="str">
        <f t="shared" si="58"/>
        <v/>
      </c>
    </row>
    <row r="3756" spans="1:3" x14ac:dyDescent="0.25">
      <c r="A3756" t="str">
        <f>IF(Scan2VK!AA70&lt;&gt;"",Scan2VK!AA70,"")</f>
        <v>NUMPAD9</v>
      </c>
      <c r="B3756" t="str">
        <f>IF(ISERROR(MATCH(0,INDEX(COUNTIF($B$1:B3755,$A$2:$A$4629),0,0),0)),"",INDEX($A$2:$A$4629,MATCH(0,INDEX(COUNTIF($B$1:B3755,$A$2:$A$4629),0,0),0)))</f>
        <v/>
      </c>
      <c r="C3756" t="str">
        <f t="shared" si="58"/>
        <v/>
      </c>
    </row>
    <row r="3757" spans="1:3" x14ac:dyDescent="0.25">
      <c r="A3757" t="str">
        <f>IF(Scan2VK!AA71&lt;&gt;"",Scan2VK!AA71,"")</f>
        <v>MULTIPLY</v>
      </c>
      <c r="B3757" t="str">
        <f>IF(ISERROR(MATCH(0,INDEX(COUNTIF($B$1:B3756,$A$2:$A$4629),0,0),0)),"",INDEX($A$2:$A$4629,MATCH(0,INDEX(COUNTIF($B$1:B3756,$A$2:$A$4629),0,0),0)))</f>
        <v/>
      </c>
      <c r="C3757" t="str">
        <f t="shared" si="58"/>
        <v/>
      </c>
    </row>
    <row r="3758" spans="1:3" x14ac:dyDescent="0.25">
      <c r="A3758" t="str">
        <f>IF(Scan2VK!AA72&lt;&gt;"",Scan2VK!AA72,"")</f>
        <v>NUMPAD4</v>
      </c>
      <c r="B3758" t="str">
        <f>IF(ISERROR(MATCH(0,INDEX(COUNTIF($B$1:B3757,$A$2:$A$4629),0,0),0)),"",INDEX($A$2:$A$4629,MATCH(0,INDEX(COUNTIF($B$1:B3757,$A$2:$A$4629),0,0),0)))</f>
        <v/>
      </c>
      <c r="C3758" t="str">
        <f t="shared" si="58"/>
        <v/>
      </c>
    </row>
    <row r="3759" spans="1:3" x14ac:dyDescent="0.25">
      <c r="A3759" t="str">
        <f>IF(Scan2VK!AA73&lt;&gt;"",Scan2VK!AA73,"")</f>
        <v>NUMPAD5</v>
      </c>
      <c r="B3759" t="str">
        <f>IF(ISERROR(MATCH(0,INDEX(COUNTIF($B$1:B3758,$A$2:$A$4629),0,0),0)),"",INDEX($A$2:$A$4629,MATCH(0,INDEX(COUNTIF($B$1:B3758,$A$2:$A$4629),0,0),0)))</f>
        <v/>
      </c>
      <c r="C3759" t="str">
        <f t="shared" si="58"/>
        <v/>
      </c>
    </row>
    <row r="3760" spans="1:3" x14ac:dyDescent="0.25">
      <c r="A3760" t="str">
        <f>IF(Scan2VK!AA74&lt;&gt;"",Scan2VK!AA74,"")</f>
        <v>NUMPAD6</v>
      </c>
      <c r="B3760" t="str">
        <f>IF(ISERROR(MATCH(0,INDEX(COUNTIF($B$1:B3759,$A$2:$A$4629),0,0),0)),"",INDEX($A$2:$A$4629,MATCH(0,INDEX(COUNTIF($B$1:B3759,$A$2:$A$4629),0,0),0)))</f>
        <v/>
      </c>
      <c r="C3760" t="str">
        <f t="shared" si="58"/>
        <v/>
      </c>
    </row>
    <row r="3761" spans="1:3" x14ac:dyDescent="0.25">
      <c r="A3761" t="str">
        <f>IF(Scan2VK!AA75&lt;&gt;"",Scan2VK!AA75,"")</f>
        <v>ADD</v>
      </c>
      <c r="B3761" t="str">
        <f>IF(ISERROR(MATCH(0,INDEX(COUNTIF($B$1:B3760,$A$2:$A$4629),0,0),0)),"",INDEX($A$2:$A$4629,MATCH(0,INDEX(COUNTIF($B$1:B3760,$A$2:$A$4629),0,0),0)))</f>
        <v/>
      </c>
      <c r="C3761" t="str">
        <f t="shared" si="58"/>
        <v/>
      </c>
    </row>
    <row r="3762" spans="1:3" x14ac:dyDescent="0.25">
      <c r="A3762" t="str">
        <f>IF(Scan2VK!AA76&lt;&gt;"",Scan2VK!AA76,"")</f>
        <v>NUMPAD1</v>
      </c>
      <c r="B3762" t="str">
        <f>IF(ISERROR(MATCH(0,INDEX(COUNTIF($B$1:B3761,$A$2:$A$4629),0,0),0)),"",INDEX($A$2:$A$4629,MATCH(0,INDEX(COUNTIF($B$1:B3761,$A$2:$A$4629),0,0),0)))</f>
        <v/>
      </c>
      <c r="C3762" t="str">
        <f t="shared" si="58"/>
        <v/>
      </c>
    </row>
    <row r="3763" spans="1:3" x14ac:dyDescent="0.25">
      <c r="A3763" t="str">
        <f>IF(Scan2VK!AA77&lt;&gt;"",Scan2VK!AA77,"")</f>
        <v>NUMPAD2</v>
      </c>
      <c r="B3763" t="str">
        <f>IF(ISERROR(MATCH(0,INDEX(COUNTIF($B$1:B3762,$A$2:$A$4629),0,0),0)),"",INDEX($A$2:$A$4629,MATCH(0,INDEX(COUNTIF($B$1:B3762,$A$2:$A$4629),0,0),0)))</f>
        <v/>
      </c>
      <c r="C3763" t="str">
        <f t="shared" si="58"/>
        <v/>
      </c>
    </row>
    <row r="3764" spans="1:3" x14ac:dyDescent="0.25">
      <c r="A3764" t="str">
        <f>IF(Scan2VK!AA78&lt;&gt;"",Scan2VK!AA78,"")</f>
        <v>NUMPAD3</v>
      </c>
      <c r="B3764" t="str">
        <f>IF(ISERROR(MATCH(0,INDEX(COUNTIF($B$1:B3763,$A$2:$A$4629),0,0),0)),"",INDEX($A$2:$A$4629,MATCH(0,INDEX(COUNTIF($B$1:B3763,$A$2:$A$4629),0,0),0)))</f>
        <v/>
      </c>
      <c r="C3764" t="str">
        <f t="shared" si="58"/>
        <v/>
      </c>
    </row>
    <row r="3765" spans="1:3" x14ac:dyDescent="0.25">
      <c r="A3765" t="str">
        <f>IF(Scan2VK!AA79&lt;&gt;"",Scan2VK!AA79,"")</f>
        <v>OEM_NEC_EQUAL</v>
      </c>
      <c r="B3765" t="str">
        <f>IF(ISERROR(MATCH(0,INDEX(COUNTIF($B$1:B3764,$A$2:$A$4629),0,0),0)),"",INDEX($A$2:$A$4629,MATCH(0,INDEX(COUNTIF($B$1:B3764,$A$2:$A$4629),0,0),0)))</f>
        <v/>
      </c>
      <c r="C3765" t="str">
        <f t="shared" si="58"/>
        <v/>
      </c>
    </row>
    <row r="3766" spans="1:3" x14ac:dyDescent="0.25">
      <c r="A3766" t="str">
        <f>IF(Scan2VK!AA80&lt;&gt;"",Scan2VK!AA80,"")</f>
        <v>NUMPAD0</v>
      </c>
      <c r="B3766" t="str">
        <f>IF(ISERROR(MATCH(0,INDEX(COUNTIF($B$1:B3765,$A$2:$A$4629),0,0),0)),"",INDEX($A$2:$A$4629,MATCH(0,INDEX(COUNTIF($B$1:B3765,$A$2:$A$4629),0,0),0)))</f>
        <v/>
      </c>
      <c r="C3766" t="str">
        <f t="shared" si="58"/>
        <v/>
      </c>
    </row>
    <row r="3767" spans="1:3" x14ac:dyDescent="0.25">
      <c r="A3767" t="str">
        <f>IF(Scan2VK!AA81&lt;&gt;"",Scan2VK!AA81,"")</f>
        <v>SEPARATOR</v>
      </c>
      <c r="B3767" t="str">
        <f>IF(ISERROR(MATCH(0,INDEX(COUNTIF($B$1:B3766,$A$2:$A$4629),0,0),0)),"",INDEX($A$2:$A$4629,MATCH(0,INDEX(COUNTIF($B$1:B3766,$A$2:$A$4629),0,0),0)))</f>
        <v/>
      </c>
      <c r="C3767" t="str">
        <f t="shared" si="58"/>
        <v/>
      </c>
    </row>
    <row r="3768" spans="1:3" x14ac:dyDescent="0.25">
      <c r="A3768" t="str">
        <f>IF(Scan2VK!AA82&lt;&gt;"",Scan2VK!AA82,"")</f>
        <v>DECIMAL</v>
      </c>
      <c r="B3768" t="str">
        <f>IF(ISERROR(MATCH(0,INDEX(COUNTIF($B$1:B3767,$A$2:$A$4629),0,0),0)),"",INDEX($A$2:$A$4629,MATCH(0,INDEX(COUNTIF($B$1:B3767,$A$2:$A$4629),0,0),0)))</f>
        <v/>
      </c>
      <c r="C3768" t="str">
        <f t="shared" si="58"/>
        <v/>
      </c>
    </row>
    <row r="3769" spans="1:3" x14ac:dyDescent="0.25">
      <c r="A3769" t="str">
        <f>IF(Scan2VK!AA83&lt;&gt;"",Scan2VK!AA83,"")</f>
        <v>NONCONVERT</v>
      </c>
      <c r="B3769" t="str">
        <f>IF(ISERROR(MATCH(0,INDEX(COUNTIF($B$1:B3768,$A$2:$A$4629),0,0),0)),"",INDEX($A$2:$A$4629,MATCH(0,INDEX(COUNTIF($B$1:B3768,$A$2:$A$4629),0,0),0)))</f>
        <v/>
      </c>
      <c r="C3769" t="str">
        <f t="shared" si="58"/>
        <v/>
      </c>
    </row>
    <row r="3770" spans="1:3" x14ac:dyDescent="0.25">
      <c r="A3770" t="str">
        <f>IF(Scan2VK!AA84&lt;&gt;"",Scan2VK!AA84,"")</f>
        <v>F11</v>
      </c>
      <c r="B3770" t="str">
        <f>IF(ISERROR(MATCH(0,INDEX(COUNTIF($B$1:B3769,$A$2:$A$4629),0,0),0)),"",INDEX($A$2:$A$4629,MATCH(0,INDEX(COUNTIF($B$1:B3769,$A$2:$A$4629),0,0),0)))</f>
        <v/>
      </c>
      <c r="C3770" t="str">
        <f t="shared" si="58"/>
        <v/>
      </c>
    </row>
    <row r="3771" spans="1:3" x14ac:dyDescent="0.25">
      <c r="A3771" t="str">
        <f>IF(Scan2VK!AA85&lt;&gt;"",Scan2VK!AA85,"")</f>
        <v>F12</v>
      </c>
      <c r="B3771" t="str">
        <f>IF(ISERROR(MATCH(0,INDEX(COUNTIF($B$1:B3770,$A$2:$A$4629),0,0),0)),"",INDEX($A$2:$A$4629,MATCH(0,INDEX(COUNTIF($B$1:B3770,$A$2:$A$4629),0,0),0)))</f>
        <v/>
      </c>
      <c r="C3771" t="str">
        <f t="shared" si="58"/>
        <v/>
      </c>
    </row>
    <row r="3772" spans="1:3" x14ac:dyDescent="0.25">
      <c r="A3772" t="str">
        <f>IF(Scan2VK!AA86&lt;&gt;"",Scan2VK!AA86,"")</f>
        <v>F13</v>
      </c>
      <c r="B3772" t="str">
        <f>IF(ISERROR(MATCH(0,INDEX(COUNTIF($B$1:B3771,$A$2:$A$4629),0,0),0)),"",INDEX($A$2:$A$4629,MATCH(0,INDEX(COUNTIF($B$1:B3771,$A$2:$A$4629),0,0),0)))</f>
        <v/>
      </c>
      <c r="C3772" t="str">
        <f t="shared" si="58"/>
        <v/>
      </c>
    </row>
    <row r="3773" spans="1:3" x14ac:dyDescent="0.25">
      <c r="A3773" t="str">
        <f>IF(Scan2VK!AA87&lt;&gt;"",Scan2VK!AA87,"")</f>
        <v>F14</v>
      </c>
      <c r="B3773" t="str">
        <f>IF(ISERROR(MATCH(0,INDEX(COUNTIF($B$1:B3772,$A$2:$A$4629),0,0),0)),"",INDEX($A$2:$A$4629,MATCH(0,INDEX(COUNTIF($B$1:B3772,$A$2:$A$4629),0,0),0)))</f>
        <v/>
      </c>
      <c r="C3773" t="str">
        <f t="shared" si="58"/>
        <v/>
      </c>
    </row>
    <row r="3774" spans="1:3" x14ac:dyDescent="0.25">
      <c r="A3774" t="str">
        <f>IF(Scan2VK!AA88&lt;&gt;"",Scan2VK!AA88,"")</f>
        <v>F15</v>
      </c>
      <c r="B3774" t="str">
        <f>IF(ISERROR(MATCH(0,INDEX(COUNTIF($B$1:B3773,$A$2:$A$4629),0,0),0)),"",INDEX($A$2:$A$4629,MATCH(0,INDEX(COUNTIF($B$1:B3773,$A$2:$A$4629),0,0),0)))</f>
        <v/>
      </c>
      <c r="C3774" t="str">
        <f t="shared" si="58"/>
        <v/>
      </c>
    </row>
    <row r="3775" spans="1:3" x14ac:dyDescent="0.25">
      <c r="A3775" t="str">
        <f>IF(Scan2VK!AA89&lt;&gt;"",Scan2VK!AA89,"")</f>
        <v>_none_</v>
      </c>
      <c r="B3775" t="str">
        <f>IF(ISERROR(MATCH(0,INDEX(COUNTIF($B$1:B3774,$A$2:$A$4629),0,0),0)),"",INDEX($A$2:$A$4629,MATCH(0,INDEX(COUNTIF($B$1:B3774,$A$2:$A$4629),0,0),0)))</f>
        <v/>
      </c>
      <c r="C3775" t="str">
        <f t="shared" si="58"/>
        <v/>
      </c>
    </row>
    <row r="3776" spans="1:3" x14ac:dyDescent="0.25">
      <c r="A3776" t="str">
        <f>IF(Scan2VK!AA90&lt;&gt;"",Scan2VK!AA90,"")</f>
        <v>_none_</v>
      </c>
      <c r="B3776" t="str">
        <f>IF(ISERROR(MATCH(0,INDEX(COUNTIF($B$1:B3775,$A$2:$A$4629),0,0),0)),"",INDEX($A$2:$A$4629,MATCH(0,INDEX(COUNTIF($B$1:B3775,$A$2:$A$4629),0,0),0)))</f>
        <v/>
      </c>
      <c r="C3776" t="str">
        <f t="shared" si="58"/>
        <v/>
      </c>
    </row>
    <row r="3777" spans="1:3" x14ac:dyDescent="0.25">
      <c r="A3777" t="str">
        <f>IF(Scan2VK!AA91&lt;&gt;"",Scan2VK!AA91,"")</f>
        <v>_none_</v>
      </c>
      <c r="B3777" t="str">
        <f>IF(ISERROR(MATCH(0,INDEX(COUNTIF($B$1:B3776,$A$2:$A$4629),0,0),0)),"",INDEX($A$2:$A$4629,MATCH(0,INDEX(COUNTIF($B$1:B3776,$A$2:$A$4629),0,0),0)))</f>
        <v/>
      </c>
      <c r="C3777" t="str">
        <f t="shared" si="58"/>
        <v/>
      </c>
    </row>
    <row r="3778" spans="1:3" x14ac:dyDescent="0.25">
      <c r="A3778" t="str">
        <f>IF(Scan2VK!AA92&lt;&gt;"",Scan2VK!AA92,"")</f>
        <v>_none_</v>
      </c>
      <c r="B3778" t="str">
        <f>IF(ISERROR(MATCH(0,INDEX(COUNTIF($B$1:B3777,$A$2:$A$4629),0,0),0)),"",INDEX($A$2:$A$4629,MATCH(0,INDEX(COUNTIF($B$1:B3777,$A$2:$A$4629),0,0),0)))</f>
        <v/>
      </c>
      <c r="C3778" t="str">
        <f t="shared" si="58"/>
        <v/>
      </c>
    </row>
    <row r="3779" spans="1:3" x14ac:dyDescent="0.25">
      <c r="A3779" t="str">
        <f>IF(Scan2VK!AA93&lt;&gt;"",Scan2VK!AA93,"")</f>
        <v>_none_</v>
      </c>
      <c r="B3779" t="str">
        <f>IF(ISERROR(MATCH(0,INDEX(COUNTIF($B$1:B3778,$A$2:$A$4629),0,0),0)),"",INDEX($A$2:$A$4629,MATCH(0,INDEX(COUNTIF($B$1:B3778,$A$2:$A$4629),0,0),0)))</f>
        <v/>
      </c>
      <c r="C3779" t="str">
        <f t="shared" ref="C3779:C3842" si="59">IF(B3779&lt;&gt;"","&lt;xs:enumeration value="""&amp;B3779&amp;"""/&gt;","")</f>
        <v/>
      </c>
    </row>
    <row r="3780" spans="1:3" x14ac:dyDescent="0.25">
      <c r="A3780" t="str">
        <f>IF(Scan2VK!AA94&lt;&gt;"",Scan2VK!AA94,"")</f>
        <v>RETURN</v>
      </c>
      <c r="B3780" t="str">
        <f>IF(ISERROR(MATCH(0,INDEX(COUNTIF($B$1:B3779,$A$2:$A$4629),0,0),0)),"",INDEX($A$2:$A$4629,MATCH(0,INDEX(COUNTIF($B$1:B3779,$A$2:$A$4629),0,0),0)))</f>
        <v/>
      </c>
      <c r="C3780" t="str">
        <f t="shared" si="59"/>
        <v/>
      </c>
    </row>
    <row r="3781" spans="1:3" x14ac:dyDescent="0.25">
      <c r="A3781" t="str">
        <f>IF(Scan2VK!AA95&lt;&gt;"",Scan2VK!AA95,"")</f>
        <v>_none_</v>
      </c>
      <c r="B3781" t="str">
        <f>IF(ISERROR(MATCH(0,INDEX(COUNTIF($B$1:B3780,$A$2:$A$4629),0,0),0)),"",INDEX($A$2:$A$4629,MATCH(0,INDEX(COUNTIF($B$1:B3780,$A$2:$A$4629),0,0),0)))</f>
        <v/>
      </c>
      <c r="C3781" t="str">
        <f t="shared" si="59"/>
        <v/>
      </c>
    </row>
    <row r="3782" spans="1:3" x14ac:dyDescent="0.25">
      <c r="A3782" t="str">
        <f>IF(Scan2VK!AA96&lt;&gt;"",Scan2VK!AA96,"")</f>
        <v>_none_</v>
      </c>
      <c r="B3782" t="str">
        <f>IF(ISERROR(MATCH(0,INDEX(COUNTIF($B$1:B3781,$A$2:$A$4629),0,0),0)),"",INDEX($A$2:$A$4629,MATCH(0,INDEX(COUNTIF($B$1:B3781,$A$2:$A$4629),0,0),0)))</f>
        <v/>
      </c>
      <c r="C3782" t="str">
        <f t="shared" si="59"/>
        <v/>
      </c>
    </row>
    <row r="3783" spans="1:3" x14ac:dyDescent="0.25">
      <c r="A3783" t="str">
        <f>IF(Scan2VK!AA97&lt;&gt;"",Scan2VK!AA97,"")</f>
        <v>_none_</v>
      </c>
      <c r="B3783" t="str">
        <f>IF(ISERROR(MATCH(0,INDEX(COUNTIF($B$1:B3782,$A$2:$A$4629),0,0),0)),"",INDEX($A$2:$A$4629,MATCH(0,INDEX(COUNTIF($B$1:B3782,$A$2:$A$4629),0,0),0)))</f>
        <v/>
      </c>
      <c r="C3783" t="str">
        <f t="shared" si="59"/>
        <v/>
      </c>
    </row>
    <row r="3784" spans="1:3" x14ac:dyDescent="0.25">
      <c r="A3784" t="str">
        <f>IF(Scan2VK!AA98&lt;&gt;"",Scan2VK!AA98,"")</f>
        <v>CANCEL</v>
      </c>
      <c r="B3784" t="str">
        <f>IF(ISERROR(MATCH(0,INDEX(COUNTIF($B$1:B3783,$A$2:$A$4629),0,0),0)),"",INDEX($A$2:$A$4629,MATCH(0,INDEX(COUNTIF($B$1:B3783,$A$2:$A$4629),0,0),0)))</f>
        <v/>
      </c>
      <c r="C3784" t="str">
        <f t="shared" si="59"/>
        <v/>
      </c>
    </row>
    <row r="3785" spans="1:3" x14ac:dyDescent="0.25">
      <c r="A3785" t="str">
        <f>IF(Scan2VK!AA99&lt;&gt;"",Scan2VK!AA99,"")</f>
        <v>SNAPSHOT</v>
      </c>
      <c r="B3785" t="str">
        <f>IF(ISERROR(MATCH(0,INDEX(COUNTIF($B$1:B3784,$A$2:$A$4629),0,0),0)),"",INDEX($A$2:$A$4629,MATCH(0,INDEX(COUNTIF($B$1:B3784,$A$2:$A$4629),0,0),0)))</f>
        <v/>
      </c>
      <c r="C3785" t="str">
        <f t="shared" si="59"/>
        <v/>
      </c>
    </row>
    <row r="3786" spans="1:3" x14ac:dyDescent="0.25">
      <c r="A3786" t="str">
        <f>IF(Scan2VK!AA100&lt;&gt;"",Scan2VK!AA100,"")</f>
        <v>F1</v>
      </c>
      <c r="B3786" t="str">
        <f>IF(ISERROR(MATCH(0,INDEX(COUNTIF($B$1:B3785,$A$2:$A$4629),0,0),0)),"",INDEX($A$2:$A$4629,MATCH(0,INDEX(COUNTIF($B$1:B3785,$A$2:$A$4629),0,0),0)))</f>
        <v/>
      </c>
      <c r="C3786" t="str">
        <f t="shared" si="59"/>
        <v/>
      </c>
    </row>
    <row r="3787" spans="1:3" x14ac:dyDescent="0.25">
      <c r="A3787" t="str">
        <f>IF(Scan2VK!AA101&lt;&gt;"",Scan2VK!AA101,"")</f>
        <v>F2</v>
      </c>
      <c r="B3787" t="str">
        <f>IF(ISERROR(MATCH(0,INDEX(COUNTIF($B$1:B3786,$A$2:$A$4629),0,0),0)),"",INDEX($A$2:$A$4629,MATCH(0,INDEX(COUNTIF($B$1:B3786,$A$2:$A$4629),0,0),0)))</f>
        <v/>
      </c>
      <c r="C3787" t="str">
        <f t="shared" si="59"/>
        <v/>
      </c>
    </row>
    <row r="3788" spans="1:3" x14ac:dyDescent="0.25">
      <c r="A3788" t="str">
        <f>IF(Scan2VK!AA102&lt;&gt;"",Scan2VK!AA102,"")</f>
        <v>F3</v>
      </c>
      <c r="B3788" t="str">
        <f>IF(ISERROR(MATCH(0,INDEX(COUNTIF($B$1:B3787,$A$2:$A$4629),0,0),0)),"",INDEX($A$2:$A$4629,MATCH(0,INDEX(COUNTIF($B$1:B3787,$A$2:$A$4629),0,0),0)))</f>
        <v/>
      </c>
      <c r="C3788" t="str">
        <f t="shared" si="59"/>
        <v/>
      </c>
    </row>
    <row r="3789" spans="1:3" x14ac:dyDescent="0.25">
      <c r="A3789" t="str">
        <f>IF(Scan2VK!AA103&lt;&gt;"",Scan2VK!AA103,"")</f>
        <v>F4</v>
      </c>
      <c r="B3789" t="str">
        <f>IF(ISERROR(MATCH(0,INDEX(COUNTIF($B$1:B3788,$A$2:$A$4629),0,0),0)),"",INDEX($A$2:$A$4629,MATCH(0,INDEX(COUNTIF($B$1:B3788,$A$2:$A$4629),0,0),0)))</f>
        <v/>
      </c>
      <c r="C3789" t="str">
        <f t="shared" si="59"/>
        <v/>
      </c>
    </row>
    <row r="3790" spans="1:3" x14ac:dyDescent="0.25">
      <c r="A3790" t="str">
        <f>IF(Scan2VK!AA104&lt;&gt;"",Scan2VK!AA104,"")</f>
        <v>F5</v>
      </c>
      <c r="B3790" t="str">
        <f>IF(ISERROR(MATCH(0,INDEX(COUNTIF($B$1:B3789,$A$2:$A$4629),0,0),0)),"",INDEX($A$2:$A$4629,MATCH(0,INDEX(COUNTIF($B$1:B3789,$A$2:$A$4629),0,0),0)))</f>
        <v/>
      </c>
      <c r="C3790" t="str">
        <f t="shared" si="59"/>
        <v/>
      </c>
    </row>
    <row r="3791" spans="1:3" x14ac:dyDescent="0.25">
      <c r="A3791" t="str">
        <f>IF(Scan2VK!AA105&lt;&gt;"",Scan2VK!AA105,"")</f>
        <v>F6</v>
      </c>
      <c r="B3791" t="str">
        <f>IF(ISERROR(MATCH(0,INDEX(COUNTIF($B$1:B3790,$A$2:$A$4629),0,0),0)),"",INDEX($A$2:$A$4629,MATCH(0,INDEX(COUNTIF($B$1:B3790,$A$2:$A$4629),0,0),0)))</f>
        <v/>
      </c>
      <c r="C3791" t="str">
        <f t="shared" si="59"/>
        <v/>
      </c>
    </row>
    <row r="3792" spans="1:3" x14ac:dyDescent="0.25">
      <c r="A3792" t="str">
        <f>IF(Scan2VK!AA106&lt;&gt;"",Scan2VK!AA106,"")</f>
        <v>F7</v>
      </c>
      <c r="B3792" t="str">
        <f>IF(ISERROR(MATCH(0,INDEX(COUNTIF($B$1:B3791,$A$2:$A$4629),0,0),0)),"",INDEX($A$2:$A$4629,MATCH(0,INDEX(COUNTIF($B$1:B3791,$A$2:$A$4629),0,0),0)))</f>
        <v/>
      </c>
      <c r="C3792" t="str">
        <f t="shared" si="59"/>
        <v/>
      </c>
    </row>
    <row r="3793" spans="1:3" x14ac:dyDescent="0.25">
      <c r="A3793" t="str">
        <f>IF(Scan2VK!AA107&lt;&gt;"",Scan2VK!AA107,"")</f>
        <v>F8</v>
      </c>
      <c r="B3793" t="str">
        <f>IF(ISERROR(MATCH(0,INDEX(COUNTIF($B$1:B3792,$A$2:$A$4629),0,0),0)),"",INDEX($A$2:$A$4629,MATCH(0,INDEX(COUNTIF($B$1:B3792,$A$2:$A$4629),0,0),0)))</f>
        <v/>
      </c>
      <c r="C3793" t="str">
        <f t="shared" si="59"/>
        <v/>
      </c>
    </row>
    <row r="3794" spans="1:3" x14ac:dyDescent="0.25">
      <c r="A3794" t="str">
        <f>IF(Scan2VK!AA108&lt;&gt;"",Scan2VK!AA108,"")</f>
        <v>F9</v>
      </c>
      <c r="B3794" t="str">
        <f>IF(ISERROR(MATCH(0,INDEX(COUNTIF($B$1:B3793,$A$2:$A$4629),0,0),0)),"",INDEX($A$2:$A$4629,MATCH(0,INDEX(COUNTIF($B$1:B3793,$A$2:$A$4629),0,0),0)))</f>
        <v/>
      </c>
      <c r="C3794" t="str">
        <f t="shared" si="59"/>
        <v/>
      </c>
    </row>
    <row r="3795" spans="1:3" x14ac:dyDescent="0.25">
      <c r="A3795" t="str">
        <f>IF(Scan2VK!AA109&lt;&gt;"",Scan2VK!AA109,"")</f>
        <v>F10</v>
      </c>
      <c r="B3795" t="str">
        <f>IF(ISERROR(MATCH(0,INDEX(COUNTIF($B$1:B3794,$A$2:$A$4629),0,0),0)),"",INDEX($A$2:$A$4629,MATCH(0,INDEX(COUNTIF($B$1:B3794,$A$2:$A$4629),0,0),0)))</f>
        <v/>
      </c>
      <c r="C3795" t="str">
        <f t="shared" si="59"/>
        <v/>
      </c>
    </row>
    <row r="3796" spans="1:3" x14ac:dyDescent="0.25">
      <c r="A3796" t="str">
        <f>IF(Scan2VK!AA110&lt;&gt;"",Scan2VK!AA110,"")</f>
        <v>_none_</v>
      </c>
      <c r="B3796" t="str">
        <f>IF(ISERROR(MATCH(0,INDEX(COUNTIF($B$1:B3795,$A$2:$A$4629),0,0),0)),"",INDEX($A$2:$A$4629,MATCH(0,INDEX(COUNTIF($B$1:B3795,$A$2:$A$4629),0,0),0)))</f>
        <v/>
      </c>
      <c r="C3796" t="str">
        <f t="shared" si="59"/>
        <v/>
      </c>
    </row>
    <row r="3797" spans="1:3" x14ac:dyDescent="0.25">
      <c r="A3797" t="str">
        <f>IF(Scan2VK!AA111&lt;&gt;"",Scan2VK!AA111,"")</f>
        <v>_none_</v>
      </c>
      <c r="B3797" t="str">
        <f>IF(ISERROR(MATCH(0,INDEX(COUNTIF($B$1:B3796,$A$2:$A$4629),0,0),0)),"",INDEX($A$2:$A$4629,MATCH(0,INDEX(COUNTIF($B$1:B3796,$A$2:$A$4629),0,0),0)))</f>
        <v/>
      </c>
      <c r="C3797" t="str">
        <f t="shared" si="59"/>
        <v/>
      </c>
    </row>
    <row r="3798" spans="1:3" x14ac:dyDescent="0.25">
      <c r="A3798" t="str">
        <f>IF(Scan2VK!AA112&lt;&gt;"",Scan2VK!AA112,"")</f>
        <v>_none_</v>
      </c>
      <c r="B3798" t="str">
        <f>IF(ISERROR(MATCH(0,INDEX(COUNTIF($B$1:B3797,$A$2:$A$4629),0,0),0)),"",INDEX($A$2:$A$4629,MATCH(0,INDEX(COUNTIF($B$1:B3797,$A$2:$A$4629),0,0),0)))</f>
        <v/>
      </c>
      <c r="C3798" t="str">
        <f t="shared" si="59"/>
        <v/>
      </c>
    </row>
    <row r="3799" spans="1:3" x14ac:dyDescent="0.25">
      <c r="A3799" t="str">
        <f>IF(Scan2VK!AA113&lt;&gt;"",Scan2VK!AA113,"")</f>
        <v>_none_</v>
      </c>
      <c r="B3799" t="str">
        <f>IF(ISERROR(MATCH(0,INDEX(COUNTIF($B$1:B3798,$A$2:$A$4629),0,0),0)),"",INDEX($A$2:$A$4629,MATCH(0,INDEX(COUNTIF($B$1:B3798,$A$2:$A$4629),0,0),0)))</f>
        <v/>
      </c>
      <c r="C3799" t="str">
        <f t="shared" si="59"/>
        <v/>
      </c>
    </row>
    <row r="3800" spans="1:3" x14ac:dyDescent="0.25">
      <c r="A3800" t="str">
        <f>IF(Scan2VK!AA114&lt;&gt;"",Scan2VK!AA114,"")</f>
        <v>LSHIFT</v>
      </c>
      <c r="B3800" t="str">
        <f>IF(ISERROR(MATCH(0,INDEX(COUNTIF($B$1:B3799,$A$2:$A$4629),0,0),0)),"",INDEX($A$2:$A$4629,MATCH(0,INDEX(COUNTIF($B$1:B3799,$A$2:$A$4629),0,0),0)))</f>
        <v/>
      </c>
      <c r="C3800" t="str">
        <f t="shared" si="59"/>
        <v/>
      </c>
    </row>
    <row r="3801" spans="1:3" x14ac:dyDescent="0.25">
      <c r="A3801" t="str">
        <f>IF(Scan2VK!AA115&lt;&gt;"",Scan2VK!AA115,"")</f>
        <v>CAPITAL</v>
      </c>
      <c r="B3801" t="str">
        <f>IF(ISERROR(MATCH(0,INDEX(COUNTIF($B$1:B3800,$A$2:$A$4629),0,0),0)),"",INDEX($A$2:$A$4629,MATCH(0,INDEX(COUNTIF($B$1:B3800,$A$2:$A$4629),0,0),0)))</f>
        <v/>
      </c>
      <c r="C3801" t="str">
        <f t="shared" si="59"/>
        <v/>
      </c>
    </row>
    <row r="3802" spans="1:3" x14ac:dyDescent="0.25">
      <c r="A3802" t="str">
        <f>IF(Scan2VK!AA116&lt;&gt;"",Scan2VK!AA116,"")</f>
        <v>KANA</v>
      </c>
      <c r="B3802" t="str">
        <f>IF(ISERROR(MATCH(0,INDEX(COUNTIF($B$1:B3801,$A$2:$A$4629),0,0),0)),"",INDEX($A$2:$A$4629,MATCH(0,INDEX(COUNTIF($B$1:B3801,$A$2:$A$4629),0,0),0)))</f>
        <v/>
      </c>
      <c r="C3802" t="str">
        <f t="shared" si="59"/>
        <v/>
      </c>
    </row>
    <row r="3803" spans="1:3" x14ac:dyDescent="0.25">
      <c r="A3803" t="str">
        <f>IF(Scan2VK!AA117&lt;&gt;"",Scan2VK!AA117,"")</f>
        <v>LMENU</v>
      </c>
      <c r="B3803" t="str">
        <f>IF(ISERROR(MATCH(0,INDEX(COUNTIF($B$1:B3802,$A$2:$A$4629),0,0),0)),"",INDEX($A$2:$A$4629,MATCH(0,INDEX(COUNTIF($B$1:B3802,$A$2:$A$4629),0,0),0)))</f>
        <v/>
      </c>
      <c r="C3803" t="str">
        <f t="shared" si="59"/>
        <v/>
      </c>
    </row>
    <row r="3804" spans="1:3" x14ac:dyDescent="0.25">
      <c r="A3804" t="str">
        <f>IF(Scan2VK!AA118&lt;&gt;"",Scan2VK!AA118,"")</f>
        <v>LCONTROL</v>
      </c>
      <c r="B3804" t="str">
        <f>IF(ISERROR(MATCH(0,INDEX(COUNTIF($B$1:B3803,$A$2:$A$4629),0,0),0)),"",INDEX($A$2:$A$4629,MATCH(0,INDEX(COUNTIF($B$1:B3803,$A$2:$A$4629),0,0),0)))</f>
        <v/>
      </c>
      <c r="C3804" t="str">
        <f t="shared" si="59"/>
        <v/>
      </c>
    </row>
    <row r="3805" spans="1:3" x14ac:dyDescent="0.25">
      <c r="A3805" t="str">
        <f>IF(Scan2VK!AA119&lt;&gt;"",Scan2VK!AA119,"")</f>
        <v>_none_</v>
      </c>
      <c r="B3805" t="str">
        <f>IF(ISERROR(MATCH(0,INDEX(COUNTIF($B$1:B3804,$A$2:$A$4629),0,0),0)),"",INDEX($A$2:$A$4629,MATCH(0,INDEX(COUNTIF($B$1:B3804,$A$2:$A$4629),0,0),0)))</f>
        <v/>
      </c>
      <c r="C3805" t="str">
        <f t="shared" si="59"/>
        <v/>
      </c>
    </row>
    <row r="3806" spans="1:3" x14ac:dyDescent="0.25">
      <c r="A3806" t="str">
        <f>IF(Scan2VK!AA120&lt;&gt;"",Scan2VK!AA120,"")</f>
        <v>_none_</v>
      </c>
      <c r="B3806" t="str">
        <f>IF(ISERROR(MATCH(0,INDEX(COUNTIF($B$1:B3805,$A$2:$A$4629),0,0),0)),"",INDEX($A$2:$A$4629,MATCH(0,INDEX(COUNTIF($B$1:B3805,$A$2:$A$4629),0,0),0)))</f>
        <v/>
      </c>
      <c r="C3806" t="str">
        <f t="shared" si="59"/>
        <v/>
      </c>
    </row>
    <row r="3807" spans="1:3" x14ac:dyDescent="0.25">
      <c r="A3807" t="str">
        <f>IF(Scan2VK!AA121&lt;&gt;"",Scan2VK!AA121,"")</f>
        <v>LWIN</v>
      </c>
      <c r="B3807" t="str">
        <f>IF(ISERROR(MATCH(0,INDEX(COUNTIF($B$1:B3806,$A$2:$A$4629),0,0),0)),"",INDEX($A$2:$A$4629,MATCH(0,INDEX(COUNTIF($B$1:B3806,$A$2:$A$4629),0,0),0)))</f>
        <v/>
      </c>
      <c r="C3807" t="str">
        <f t="shared" si="59"/>
        <v/>
      </c>
    </row>
    <row r="3808" spans="1:3" x14ac:dyDescent="0.25">
      <c r="A3808" t="str">
        <f>IF(Scan2VK!AA122&lt;&gt;"",Scan2VK!AA122,"")</f>
        <v>RWIN</v>
      </c>
      <c r="B3808" t="str">
        <f>IF(ISERROR(MATCH(0,INDEX(COUNTIF($B$1:B3807,$A$2:$A$4629),0,0),0)),"",INDEX($A$2:$A$4629,MATCH(0,INDEX(COUNTIF($B$1:B3807,$A$2:$A$4629),0,0),0)))</f>
        <v/>
      </c>
      <c r="C3808" t="str">
        <f t="shared" si="59"/>
        <v/>
      </c>
    </row>
    <row r="3809" spans="1:3" x14ac:dyDescent="0.25">
      <c r="A3809" t="str">
        <f>IF(Scan2VK!AA123&lt;&gt;"",Scan2VK!AA123,"")</f>
        <v>APPS</v>
      </c>
      <c r="B3809" t="str">
        <f>IF(ISERROR(MATCH(0,INDEX(COUNTIF($B$1:B3808,$A$2:$A$4629),0,0),0)),"",INDEX($A$2:$A$4629,MATCH(0,INDEX(COUNTIF($B$1:B3808,$A$2:$A$4629),0,0),0)))</f>
        <v/>
      </c>
      <c r="C3809" t="str">
        <f t="shared" si="59"/>
        <v/>
      </c>
    </row>
    <row r="3810" spans="1:3" x14ac:dyDescent="0.25">
      <c r="A3810" t="str">
        <f>IF(Scan2VK!AA124&lt;&gt;"",Scan2VK!AA124,"")</f>
        <v>_none_</v>
      </c>
      <c r="B3810" t="str">
        <f>IF(ISERROR(MATCH(0,INDEX(COUNTIF($B$1:B3809,$A$2:$A$4629),0,0),0)),"",INDEX($A$2:$A$4629,MATCH(0,INDEX(COUNTIF($B$1:B3809,$A$2:$A$4629),0,0),0)))</f>
        <v/>
      </c>
      <c r="C3810" t="str">
        <f t="shared" si="59"/>
        <v/>
      </c>
    </row>
    <row r="3811" spans="1:3" x14ac:dyDescent="0.25">
      <c r="A3811" t="str">
        <f>IF(Scan2VK!AA125&lt;&gt;"",Scan2VK!AA125,"")</f>
        <v>_none_</v>
      </c>
      <c r="B3811" t="str">
        <f>IF(ISERROR(MATCH(0,INDEX(COUNTIF($B$1:B3810,$A$2:$A$4629),0,0),0)),"",INDEX($A$2:$A$4629,MATCH(0,INDEX(COUNTIF($B$1:B3810,$A$2:$A$4629),0,0),0)))</f>
        <v/>
      </c>
      <c r="C3811" t="str">
        <f t="shared" si="59"/>
        <v/>
      </c>
    </row>
    <row r="3812" spans="1:3" x14ac:dyDescent="0.25">
      <c r="A3812" t="str">
        <f>IF(Scan2VK!AA126&lt;&gt;"",Scan2VK!AA126,"")</f>
        <v>_none_</v>
      </c>
      <c r="B3812" t="str">
        <f>IF(ISERROR(MATCH(0,INDEX(COUNTIF($B$1:B3811,$A$2:$A$4629),0,0),0)),"",INDEX($A$2:$A$4629,MATCH(0,INDEX(COUNTIF($B$1:B3811,$A$2:$A$4629),0,0),0)))</f>
        <v/>
      </c>
      <c r="C3812" t="str">
        <f t="shared" si="59"/>
        <v/>
      </c>
    </row>
    <row r="3813" spans="1:3" x14ac:dyDescent="0.25">
      <c r="A3813" t="str">
        <f>IF(Scan2VK!AA127&lt;&gt;"",Scan2VK!AA127,"")</f>
        <v>RSHIFT</v>
      </c>
      <c r="B3813" t="str">
        <f>IF(ISERROR(MATCH(0,INDEX(COUNTIF($B$1:B3812,$A$2:$A$4629),0,0),0)),"",INDEX($A$2:$A$4629,MATCH(0,INDEX(COUNTIF($B$1:B3812,$A$2:$A$4629),0,0),0)))</f>
        <v/>
      </c>
      <c r="C3813" t="str">
        <f t="shared" si="59"/>
        <v/>
      </c>
    </row>
    <row r="3814" spans="1:3" x14ac:dyDescent="0.25">
      <c r="A3814" t="str">
        <f>IF(Scan2VK!AA128&lt;&gt;"",Scan2VK!AA128,"")</f>
        <v>ABNT_C2</v>
      </c>
      <c r="B3814" t="str">
        <f>IF(ISERROR(MATCH(0,INDEX(COUNTIF($B$1:B3813,$A$2:$A$4629),0,0),0)),"",INDEX($A$2:$A$4629,MATCH(0,INDEX(COUNTIF($B$1:B3813,$A$2:$A$4629),0,0),0)))</f>
        <v/>
      </c>
      <c r="C3814" t="str">
        <f t="shared" si="59"/>
        <v/>
      </c>
    </row>
    <row r="3815" spans="1:3" x14ac:dyDescent="0.25">
      <c r="A3815" t="str">
        <f>IF(Scan2VK!AA129&lt;&gt;"",Scan2VK!AA129,"")</f>
        <v>OEM_PA2</v>
      </c>
      <c r="B3815" t="str">
        <f>IF(ISERROR(MATCH(0,INDEX(COUNTIF($B$1:B3814,$A$2:$A$4629),0,0),0)),"",INDEX($A$2:$A$4629,MATCH(0,INDEX(COUNTIF($B$1:B3814,$A$2:$A$4629),0,0),0)))</f>
        <v/>
      </c>
      <c r="C3815" t="str">
        <f t="shared" si="59"/>
        <v/>
      </c>
    </row>
    <row r="3816" spans="1:3" x14ac:dyDescent="0.25">
      <c r="A3816" t="str">
        <f>IF(Scan2VK!AA130&lt;&gt;"",Scan2VK!AA130,"")</f>
        <v/>
      </c>
      <c r="B3816" t="str">
        <f>IF(ISERROR(MATCH(0,INDEX(COUNTIF($B$1:B3815,$A$2:$A$4629),0,0),0)),"",INDEX($A$2:$A$4629,MATCH(0,INDEX(COUNTIF($B$1:B3815,$A$2:$A$4629),0,0),0)))</f>
        <v/>
      </c>
      <c r="C3816" t="str">
        <f t="shared" si="59"/>
        <v/>
      </c>
    </row>
    <row r="3817" spans="1:3" x14ac:dyDescent="0.25">
      <c r="A3817" t="str">
        <f>IF(Scan2VK!AA131&lt;&gt;"",Scan2VK!AA131,"")</f>
        <v/>
      </c>
      <c r="B3817" t="str">
        <f>IF(ISERROR(MATCH(0,INDEX(COUNTIF($B$1:B3816,$A$2:$A$4629),0,0),0)),"",INDEX($A$2:$A$4629,MATCH(0,INDEX(COUNTIF($B$1:B3816,$A$2:$A$4629),0,0),0)))</f>
        <v/>
      </c>
      <c r="C3817" t="str">
        <f t="shared" si="59"/>
        <v/>
      </c>
    </row>
    <row r="3818" spans="1:3" x14ac:dyDescent="0.25">
      <c r="A3818" t="str">
        <f>IF(Scan2VK!AA132&lt;&gt;"",Scan2VK!AA132,"")</f>
        <v/>
      </c>
      <c r="B3818" t="str">
        <f>IF(ISERROR(MATCH(0,INDEX(COUNTIF($B$1:B3817,$A$2:$A$4629),0,0),0)),"",INDEX($A$2:$A$4629,MATCH(0,INDEX(COUNTIF($B$1:B3817,$A$2:$A$4629),0,0),0)))</f>
        <v/>
      </c>
      <c r="C3818" t="str">
        <f t="shared" si="59"/>
        <v/>
      </c>
    </row>
    <row r="3819" spans="1:3" x14ac:dyDescent="0.25">
      <c r="A3819" t="str">
        <f>IF(Scan2VK!AA133&lt;&gt;"",Scan2VK!AA133,"")</f>
        <v/>
      </c>
      <c r="B3819" t="str">
        <f>IF(ISERROR(MATCH(0,INDEX(COUNTIF($B$1:B3818,$A$2:$A$4629),0,0),0)),"",INDEX($A$2:$A$4629,MATCH(0,INDEX(COUNTIF($B$1:B3818,$A$2:$A$4629),0,0),0)))</f>
        <v/>
      </c>
      <c r="C3819" t="str">
        <f t="shared" si="59"/>
        <v/>
      </c>
    </row>
    <row r="3820" spans="1:3" x14ac:dyDescent="0.25">
      <c r="A3820" t="str">
        <f>IF(Scan2VK!AA134&lt;&gt;"",Scan2VK!AA134,"")</f>
        <v/>
      </c>
      <c r="B3820" t="str">
        <f>IF(ISERROR(MATCH(0,INDEX(COUNTIF($B$1:B3819,$A$2:$A$4629),0,0),0)),"",INDEX($A$2:$A$4629,MATCH(0,INDEX(COUNTIF($B$1:B3819,$A$2:$A$4629),0,0),0)))</f>
        <v/>
      </c>
      <c r="C3820" t="str">
        <f t="shared" si="59"/>
        <v/>
      </c>
    </row>
    <row r="3821" spans="1:3" x14ac:dyDescent="0.25">
      <c r="A3821" t="str">
        <f>IF(Scan2VK!AA135&lt;&gt;"",Scan2VK!AA135,"")</f>
        <v/>
      </c>
      <c r="B3821" t="str">
        <f>IF(ISERROR(MATCH(0,INDEX(COUNTIF($B$1:B3820,$A$2:$A$4629),0,0),0)),"",INDEX($A$2:$A$4629,MATCH(0,INDEX(COUNTIF($B$1:B3820,$A$2:$A$4629),0,0),0)))</f>
        <v/>
      </c>
      <c r="C3821" t="str">
        <f t="shared" si="59"/>
        <v/>
      </c>
    </row>
    <row r="3822" spans="1:3" x14ac:dyDescent="0.25">
      <c r="A3822" t="str">
        <f>IF(Scan2VK!AA136&lt;&gt;"",Scan2VK!AA136,"")</f>
        <v/>
      </c>
      <c r="B3822" t="str">
        <f>IF(ISERROR(MATCH(0,INDEX(COUNTIF($B$1:B3821,$A$2:$A$4629),0,0),0)),"",INDEX($A$2:$A$4629,MATCH(0,INDEX(COUNTIF($B$1:B3821,$A$2:$A$4629),0,0),0)))</f>
        <v/>
      </c>
      <c r="C3822" t="str">
        <f t="shared" si="59"/>
        <v/>
      </c>
    </row>
    <row r="3823" spans="1:3" x14ac:dyDescent="0.25">
      <c r="A3823" t="str">
        <f>IF(Scan2VK!AA137&lt;&gt;"",Scan2VK!AA137,"")</f>
        <v/>
      </c>
      <c r="B3823" t="str">
        <f>IF(ISERROR(MATCH(0,INDEX(COUNTIF($B$1:B3822,$A$2:$A$4629),0,0),0)),"",INDEX($A$2:$A$4629,MATCH(0,INDEX(COUNTIF($B$1:B3822,$A$2:$A$4629),0,0),0)))</f>
        <v/>
      </c>
      <c r="C3823" t="str">
        <f t="shared" si="59"/>
        <v/>
      </c>
    </row>
    <row r="3824" spans="1:3" x14ac:dyDescent="0.25">
      <c r="A3824" t="str">
        <f>IF(Scan2VK!AA138&lt;&gt;"",Scan2VK!AA138,"")</f>
        <v/>
      </c>
      <c r="B3824" t="str">
        <f>IF(ISERROR(MATCH(0,INDEX(COUNTIF($B$1:B3823,$A$2:$A$4629),0,0),0)),"",INDEX($A$2:$A$4629,MATCH(0,INDEX(COUNTIF($B$1:B3823,$A$2:$A$4629),0,0),0)))</f>
        <v/>
      </c>
      <c r="C3824" t="str">
        <f t="shared" si="59"/>
        <v/>
      </c>
    </row>
    <row r="3825" spans="1:3" x14ac:dyDescent="0.25">
      <c r="A3825" t="str">
        <f>IF(Scan2VK!AA139&lt;&gt;"",Scan2VK!AA139,"")</f>
        <v/>
      </c>
      <c r="B3825" t="str">
        <f>IF(ISERROR(MATCH(0,INDEX(COUNTIF($B$1:B3824,$A$2:$A$4629),0,0),0)),"",INDEX($A$2:$A$4629,MATCH(0,INDEX(COUNTIF($B$1:B3824,$A$2:$A$4629),0,0),0)))</f>
        <v/>
      </c>
      <c r="C3825" t="str">
        <f t="shared" si="59"/>
        <v/>
      </c>
    </row>
    <row r="3826" spans="1:3" x14ac:dyDescent="0.25">
      <c r="A3826" t="str">
        <f>IF(Scan2VK!AA140&lt;&gt;"",Scan2VK!AA140,"")</f>
        <v/>
      </c>
      <c r="B3826" t="str">
        <f>IF(ISERROR(MATCH(0,INDEX(COUNTIF($B$1:B3825,$A$2:$A$4629),0,0),0)),"",INDEX($A$2:$A$4629,MATCH(0,INDEX(COUNTIF($B$1:B3825,$A$2:$A$4629),0,0),0)))</f>
        <v/>
      </c>
      <c r="C3826" t="str">
        <f t="shared" si="59"/>
        <v/>
      </c>
    </row>
    <row r="3827" spans="1:3" x14ac:dyDescent="0.25">
      <c r="A3827" t="str">
        <f>IF(Scan2VK!AA141&lt;&gt;"",Scan2VK!AA141,"")</f>
        <v/>
      </c>
      <c r="B3827" t="str">
        <f>IF(ISERROR(MATCH(0,INDEX(COUNTIF($B$1:B3826,$A$2:$A$4629),0,0),0)),"",INDEX($A$2:$A$4629,MATCH(0,INDEX(COUNTIF($B$1:B3826,$A$2:$A$4629),0,0),0)))</f>
        <v/>
      </c>
      <c r="C3827" t="str">
        <f t="shared" si="59"/>
        <v/>
      </c>
    </row>
    <row r="3828" spans="1:3" x14ac:dyDescent="0.25">
      <c r="A3828" t="str">
        <f>IF(Scan2VK!AA142&lt;&gt;"",Scan2VK!AA142,"")</f>
        <v/>
      </c>
      <c r="B3828" t="str">
        <f>IF(ISERROR(MATCH(0,INDEX(COUNTIF($B$1:B3827,$A$2:$A$4629),0,0),0)),"",INDEX($A$2:$A$4629,MATCH(0,INDEX(COUNTIF($B$1:B3827,$A$2:$A$4629),0,0),0)))</f>
        <v/>
      </c>
      <c r="C3828" t="str">
        <f t="shared" si="59"/>
        <v/>
      </c>
    </row>
    <row r="3829" spans="1:3" x14ac:dyDescent="0.25">
      <c r="A3829" t="str">
        <f>IF(Scan2VK!AA143&lt;&gt;"",Scan2VK!AA143,"")</f>
        <v/>
      </c>
      <c r="B3829" t="str">
        <f>IF(ISERROR(MATCH(0,INDEX(COUNTIF($B$1:B3828,$A$2:$A$4629),0,0),0)),"",INDEX($A$2:$A$4629,MATCH(0,INDEX(COUNTIF($B$1:B3828,$A$2:$A$4629),0,0),0)))</f>
        <v/>
      </c>
      <c r="C3829" t="str">
        <f t="shared" si="59"/>
        <v/>
      </c>
    </row>
    <row r="3830" spans="1:3" x14ac:dyDescent="0.25">
      <c r="A3830" t="str">
        <f>IF(Scan2VK!AA144&lt;&gt;"",Scan2VK!AA144,"")</f>
        <v/>
      </c>
      <c r="B3830" t="str">
        <f>IF(ISERROR(MATCH(0,INDEX(COUNTIF($B$1:B3829,$A$2:$A$4629),0,0),0)),"",INDEX($A$2:$A$4629,MATCH(0,INDEX(COUNTIF($B$1:B3829,$A$2:$A$4629),0,0),0)))</f>
        <v/>
      </c>
      <c r="C3830" t="str">
        <f t="shared" si="59"/>
        <v/>
      </c>
    </row>
    <row r="3831" spans="1:3" x14ac:dyDescent="0.25">
      <c r="A3831" t="str">
        <f>IF(Scan2VK!AA145&lt;&gt;"",Scan2VK!AA145,"")</f>
        <v/>
      </c>
      <c r="B3831" t="str">
        <f>IF(ISERROR(MATCH(0,INDEX(COUNTIF($B$1:B3830,$A$2:$A$4629),0,0),0)),"",INDEX($A$2:$A$4629,MATCH(0,INDEX(COUNTIF($B$1:B3830,$A$2:$A$4629),0,0),0)))</f>
        <v/>
      </c>
      <c r="C3831" t="str">
        <f t="shared" si="59"/>
        <v/>
      </c>
    </row>
    <row r="3832" spans="1:3" x14ac:dyDescent="0.25">
      <c r="A3832" t="str">
        <f>IF(Scan2VK!AA146&lt;&gt;"",Scan2VK!AA146,"")</f>
        <v/>
      </c>
      <c r="B3832" t="str">
        <f>IF(ISERROR(MATCH(0,INDEX(COUNTIF($B$1:B3831,$A$2:$A$4629),0,0),0)),"",INDEX($A$2:$A$4629,MATCH(0,INDEX(COUNTIF($B$1:B3831,$A$2:$A$4629),0,0),0)))</f>
        <v/>
      </c>
      <c r="C3832" t="str">
        <f t="shared" si="59"/>
        <v/>
      </c>
    </row>
    <row r="3833" spans="1:3" x14ac:dyDescent="0.25">
      <c r="A3833" t="str">
        <f>IF(Scan2VK!AA147&lt;&gt;"",Scan2VK!AA147,"")</f>
        <v/>
      </c>
      <c r="B3833" t="str">
        <f>IF(ISERROR(MATCH(0,INDEX(COUNTIF($B$1:B3832,$A$2:$A$4629),0,0),0)),"",INDEX($A$2:$A$4629,MATCH(0,INDEX(COUNTIF($B$1:B3832,$A$2:$A$4629),0,0),0)))</f>
        <v/>
      </c>
      <c r="C3833" t="str">
        <f t="shared" si="59"/>
        <v/>
      </c>
    </row>
    <row r="3834" spans="1:3" x14ac:dyDescent="0.25">
      <c r="A3834" t="str">
        <f>IF(Scan2VK!AA148&lt;&gt;"",Scan2VK!AA148,"")</f>
        <v/>
      </c>
      <c r="B3834" t="str">
        <f>IF(ISERROR(MATCH(0,INDEX(COUNTIF($B$1:B3833,$A$2:$A$4629),0,0),0)),"",INDEX($A$2:$A$4629,MATCH(0,INDEX(COUNTIF($B$1:B3833,$A$2:$A$4629),0,0),0)))</f>
        <v/>
      </c>
      <c r="C3834" t="str">
        <f t="shared" si="59"/>
        <v/>
      </c>
    </row>
    <row r="3835" spans="1:3" x14ac:dyDescent="0.25">
      <c r="A3835" t="str">
        <f>IF(Scan2VK!AA149&lt;&gt;"",Scan2VK!AA149,"")</f>
        <v/>
      </c>
      <c r="B3835" t="str">
        <f>IF(ISERROR(MATCH(0,INDEX(COUNTIF($B$1:B3834,$A$2:$A$4629),0,0),0)),"",INDEX($A$2:$A$4629,MATCH(0,INDEX(COUNTIF($B$1:B3834,$A$2:$A$4629),0,0),0)))</f>
        <v/>
      </c>
      <c r="C3835" t="str">
        <f t="shared" si="59"/>
        <v/>
      </c>
    </row>
    <row r="3836" spans="1:3" x14ac:dyDescent="0.25">
      <c r="A3836" t="str">
        <f>IF(Scan2VK!AA150&lt;&gt;"",Scan2VK!AA150,"")</f>
        <v/>
      </c>
      <c r="B3836" t="str">
        <f>IF(ISERROR(MATCH(0,INDEX(COUNTIF($B$1:B3835,$A$2:$A$4629),0,0),0)),"",INDEX($A$2:$A$4629,MATCH(0,INDEX(COUNTIF($B$1:B3835,$A$2:$A$4629),0,0),0)))</f>
        <v/>
      </c>
      <c r="C3836" t="str">
        <f t="shared" si="59"/>
        <v/>
      </c>
    </row>
    <row r="3837" spans="1:3" x14ac:dyDescent="0.25">
      <c r="A3837" t="str">
        <f>IF(Scan2VK!AA151&lt;&gt;"",Scan2VK!AA151,"")</f>
        <v/>
      </c>
      <c r="B3837" t="str">
        <f>IF(ISERROR(MATCH(0,INDEX(COUNTIF($B$1:B3836,$A$2:$A$4629),0,0),0)),"",INDEX($A$2:$A$4629,MATCH(0,INDEX(COUNTIF($B$1:B3836,$A$2:$A$4629),0,0),0)))</f>
        <v/>
      </c>
      <c r="C3837" t="str">
        <f t="shared" si="59"/>
        <v/>
      </c>
    </row>
    <row r="3838" spans="1:3" x14ac:dyDescent="0.25">
      <c r="A3838" t="str">
        <f>IF(Scan2VK!AA152&lt;&gt;"",Scan2VK!AA152,"")</f>
        <v/>
      </c>
      <c r="B3838" t="str">
        <f>IF(ISERROR(MATCH(0,INDEX(COUNTIF($B$1:B3837,$A$2:$A$4629),0,0),0)),"",INDEX($A$2:$A$4629,MATCH(0,INDEX(COUNTIF($B$1:B3837,$A$2:$A$4629),0,0),0)))</f>
        <v/>
      </c>
      <c r="C3838" t="str">
        <f t="shared" si="59"/>
        <v/>
      </c>
    </row>
    <row r="3839" spans="1:3" x14ac:dyDescent="0.25">
      <c r="A3839" t="str">
        <f>IF(Scan2VK!AA153&lt;&gt;"",Scan2VK!AA153,"")</f>
        <v/>
      </c>
      <c r="B3839" t="str">
        <f>IF(ISERROR(MATCH(0,INDEX(COUNTIF($B$1:B3838,$A$2:$A$4629),0,0),0)),"",INDEX($A$2:$A$4629,MATCH(0,INDEX(COUNTIF($B$1:B3838,$A$2:$A$4629),0,0),0)))</f>
        <v/>
      </c>
      <c r="C3839" t="str">
        <f t="shared" si="59"/>
        <v/>
      </c>
    </row>
    <row r="3840" spans="1:3" x14ac:dyDescent="0.25">
      <c r="A3840" t="str">
        <f>IF(Scan2VK!AA154&lt;&gt;"",Scan2VK!AA154,"")</f>
        <v/>
      </c>
      <c r="B3840" t="str">
        <f>IF(ISERROR(MATCH(0,INDEX(COUNTIF($B$1:B3839,$A$2:$A$4629),0,0),0)),"",INDEX($A$2:$A$4629,MATCH(0,INDEX(COUNTIF($B$1:B3839,$A$2:$A$4629),0,0),0)))</f>
        <v/>
      </c>
      <c r="C3840" t="str">
        <f t="shared" si="59"/>
        <v/>
      </c>
    </row>
    <row r="3841" spans="1:3" x14ac:dyDescent="0.25">
      <c r="A3841" t="str">
        <f>IF(Scan2VK!AA155&lt;&gt;"",Scan2VK!AA155,"")</f>
        <v/>
      </c>
      <c r="B3841" t="str">
        <f>IF(ISERROR(MATCH(0,INDEX(COUNTIF($B$1:B3840,$A$2:$A$4629),0,0),0)),"",INDEX($A$2:$A$4629,MATCH(0,INDEX(COUNTIF($B$1:B3840,$A$2:$A$4629),0,0),0)))</f>
        <v/>
      </c>
      <c r="C3841" t="str">
        <f t="shared" si="59"/>
        <v/>
      </c>
    </row>
    <row r="3842" spans="1:3" x14ac:dyDescent="0.25">
      <c r="A3842" t="str">
        <f>IF(Scan2VK!AA156&lt;&gt;"",Scan2VK!AA156,"")</f>
        <v/>
      </c>
      <c r="B3842" t="str">
        <f>IF(ISERROR(MATCH(0,INDEX(COUNTIF($B$1:B3841,$A$2:$A$4629),0,0),0)),"",INDEX($A$2:$A$4629,MATCH(0,INDEX(COUNTIF($B$1:B3841,$A$2:$A$4629),0,0),0)))</f>
        <v/>
      </c>
      <c r="C3842" t="str">
        <f t="shared" si="59"/>
        <v/>
      </c>
    </row>
    <row r="3843" spans="1:3" x14ac:dyDescent="0.25">
      <c r="A3843" t="str">
        <f>IF(Scan2VK!AA157&lt;&gt;"",Scan2VK!AA157,"")</f>
        <v/>
      </c>
      <c r="B3843" t="str">
        <f>IF(ISERROR(MATCH(0,INDEX(COUNTIF($B$1:B3842,$A$2:$A$4629),0,0),0)),"",INDEX($A$2:$A$4629,MATCH(0,INDEX(COUNTIF($B$1:B3842,$A$2:$A$4629),0,0),0)))</f>
        <v/>
      </c>
      <c r="C3843" t="str">
        <f t="shared" ref="C3843:C3906" si="60">IF(B3843&lt;&gt;"","&lt;xs:enumeration value="""&amp;B3843&amp;"""/&gt;","")</f>
        <v/>
      </c>
    </row>
    <row r="3844" spans="1:3" x14ac:dyDescent="0.25">
      <c r="A3844" t="str">
        <f>IF(Scan2VK!AA158&lt;&gt;"",Scan2VK!AA158,"")</f>
        <v/>
      </c>
      <c r="B3844" t="str">
        <f>IF(ISERROR(MATCH(0,INDEX(COUNTIF($B$1:B3843,$A$2:$A$4629),0,0),0)),"",INDEX($A$2:$A$4629,MATCH(0,INDEX(COUNTIF($B$1:B3843,$A$2:$A$4629),0,0),0)))</f>
        <v/>
      </c>
      <c r="C3844" t="str">
        <f t="shared" si="60"/>
        <v/>
      </c>
    </row>
    <row r="3845" spans="1:3" x14ac:dyDescent="0.25">
      <c r="A3845" t="str">
        <f>IF(Scan2VK!AA159&lt;&gt;"",Scan2VK!AA159,"")</f>
        <v/>
      </c>
      <c r="B3845" t="str">
        <f>IF(ISERROR(MATCH(0,INDEX(COUNTIF($B$1:B3844,$A$2:$A$4629),0,0),0)),"",INDEX($A$2:$A$4629,MATCH(0,INDEX(COUNTIF($B$1:B3844,$A$2:$A$4629),0,0),0)))</f>
        <v/>
      </c>
      <c r="C3845" t="str">
        <f t="shared" si="60"/>
        <v/>
      </c>
    </row>
    <row r="3846" spans="1:3" x14ac:dyDescent="0.25">
      <c r="A3846" t="str">
        <f>IF(Scan2VK!AA160&lt;&gt;"",Scan2VK!AA160,"")</f>
        <v/>
      </c>
      <c r="B3846" t="str">
        <f>IF(ISERROR(MATCH(0,INDEX(COUNTIF($B$1:B3845,$A$2:$A$4629),0,0),0)),"",INDEX($A$2:$A$4629,MATCH(0,INDEX(COUNTIF($B$1:B3845,$A$2:$A$4629),0,0),0)))</f>
        <v/>
      </c>
      <c r="C3846" t="str">
        <f t="shared" si="60"/>
        <v/>
      </c>
    </row>
    <row r="3847" spans="1:3" x14ac:dyDescent="0.25">
      <c r="A3847" t="str">
        <f>IF(Scan2VK!AA161&lt;&gt;"",Scan2VK!AA161,"")</f>
        <v/>
      </c>
      <c r="B3847" t="str">
        <f>IF(ISERROR(MATCH(0,INDEX(COUNTIF($B$1:B3846,$A$2:$A$4629),0,0),0)),"",INDEX($A$2:$A$4629,MATCH(0,INDEX(COUNTIF($B$1:B3846,$A$2:$A$4629),0,0),0)))</f>
        <v/>
      </c>
      <c r="C3847" t="str">
        <f t="shared" si="60"/>
        <v/>
      </c>
    </row>
    <row r="3848" spans="1:3" x14ac:dyDescent="0.25">
      <c r="A3848" t="str">
        <f>IF(Scan2VK!AA162&lt;&gt;"",Scan2VK!AA162,"")</f>
        <v/>
      </c>
      <c r="B3848" t="str">
        <f>IF(ISERROR(MATCH(0,INDEX(COUNTIF($B$1:B3847,$A$2:$A$4629),0,0),0)),"",INDEX($A$2:$A$4629,MATCH(0,INDEX(COUNTIF($B$1:B3847,$A$2:$A$4629),0,0),0)))</f>
        <v/>
      </c>
      <c r="C3848" t="str">
        <f t="shared" si="60"/>
        <v/>
      </c>
    </row>
    <row r="3849" spans="1:3" x14ac:dyDescent="0.25">
      <c r="A3849" t="str">
        <f>IF(Scan2VK!AA163&lt;&gt;"",Scan2VK!AA163,"")</f>
        <v/>
      </c>
      <c r="B3849" t="str">
        <f>IF(ISERROR(MATCH(0,INDEX(COUNTIF($B$1:B3848,$A$2:$A$4629),0,0),0)),"",INDEX($A$2:$A$4629,MATCH(0,INDEX(COUNTIF($B$1:B3848,$A$2:$A$4629),0,0),0)))</f>
        <v/>
      </c>
      <c r="C3849" t="str">
        <f t="shared" si="60"/>
        <v/>
      </c>
    </row>
    <row r="3850" spans="1:3" x14ac:dyDescent="0.25">
      <c r="A3850" t="str">
        <f>IF(Scan2VK!AA164&lt;&gt;"",Scan2VK!AA164,"")</f>
        <v/>
      </c>
      <c r="B3850" t="str">
        <f>IF(ISERROR(MATCH(0,INDEX(COUNTIF($B$1:B3849,$A$2:$A$4629),0,0),0)),"",INDEX($A$2:$A$4629,MATCH(0,INDEX(COUNTIF($B$1:B3849,$A$2:$A$4629),0,0),0)))</f>
        <v/>
      </c>
      <c r="C3850" t="str">
        <f t="shared" si="60"/>
        <v/>
      </c>
    </row>
    <row r="3851" spans="1:3" x14ac:dyDescent="0.25">
      <c r="A3851" t="str">
        <f>IF(Scan2VK!AA165&lt;&gt;"",Scan2VK!AA165,"")</f>
        <v/>
      </c>
      <c r="B3851" t="str">
        <f>IF(ISERROR(MATCH(0,INDEX(COUNTIF($B$1:B3850,$A$2:$A$4629),0,0),0)),"",INDEX($A$2:$A$4629,MATCH(0,INDEX(COUNTIF($B$1:B3850,$A$2:$A$4629),0,0),0)))</f>
        <v/>
      </c>
      <c r="C3851" t="str">
        <f t="shared" si="60"/>
        <v/>
      </c>
    </row>
    <row r="3852" spans="1:3" x14ac:dyDescent="0.25">
      <c r="A3852" t="str">
        <f>IF(Scan2VK!AA166&lt;&gt;"",Scan2VK!AA166,"")</f>
        <v/>
      </c>
      <c r="B3852" t="str">
        <f>IF(ISERROR(MATCH(0,INDEX(COUNTIF($B$1:B3851,$A$2:$A$4629),0,0),0)),"",INDEX($A$2:$A$4629,MATCH(0,INDEX(COUNTIF($B$1:B3851,$A$2:$A$4629),0,0),0)))</f>
        <v/>
      </c>
      <c r="C3852" t="str">
        <f t="shared" si="60"/>
        <v/>
      </c>
    </row>
    <row r="3853" spans="1:3" x14ac:dyDescent="0.25">
      <c r="A3853" t="str">
        <f>IF(Scan2VK!AA167&lt;&gt;"",Scan2VK!AA167,"")</f>
        <v/>
      </c>
      <c r="B3853" t="str">
        <f>IF(ISERROR(MATCH(0,INDEX(COUNTIF($B$1:B3852,$A$2:$A$4629),0,0),0)),"",INDEX($A$2:$A$4629,MATCH(0,INDEX(COUNTIF($B$1:B3852,$A$2:$A$4629),0,0),0)))</f>
        <v/>
      </c>
      <c r="C3853" t="str">
        <f t="shared" si="60"/>
        <v/>
      </c>
    </row>
    <row r="3854" spans="1:3" x14ac:dyDescent="0.25">
      <c r="A3854" t="str">
        <f>IF(Scan2VK!AA168&lt;&gt;"",Scan2VK!AA168,"")</f>
        <v/>
      </c>
      <c r="B3854" t="str">
        <f>IF(ISERROR(MATCH(0,INDEX(COUNTIF($B$1:B3853,$A$2:$A$4629),0,0),0)),"",INDEX($A$2:$A$4629,MATCH(0,INDEX(COUNTIF($B$1:B3853,$A$2:$A$4629),0,0),0)))</f>
        <v/>
      </c>
      <c r="C3854" t="str">
        <f t="shared" si="60"/>
        <v/>
      </c>
    </row>
    <row r="3855" spans="1:3" x14ac:dyDescent="0.25">
      <c r="A3855" t="str">
        <f>IF(Scan2VK!AA169&lt;&gt;"",Scan2VK!AA169,"")</f>
        <v/>
      </c>
      <c r="B3855" t="str">
        <f>IF(ISERROR(MATCH(0,INDEX(COUNTIF($B$1:B3854,$A$2:$A$4629),0,0),0)),"",INDEX($A$2:$A$4629,MATCH(0,INDEX(COUNTIF($B$1:B3854,$A$2:$A$4629),0,0),0)))</f>
        <v/>
      </c>
      <c r="C3855" t="str">
        <f t="shared" si="60"/>
        <v/>
      </c>
    </row>
    <row r="3856" spans="1:3" x14ac:dyDescent="0.25">
      <c r="A3856" t="str">
        <f>IF(Scan2VK!AA170&lt;&gt;"",Scan2VK!AA170,"")</f>
        <v/>
      </c>
      <c r="B3856" t="str">
        <f>IF(ISERROR(MATCH(0,INDEX(COUNTIF($B$1:B3855,$A$2:$A$4629),0,0),0)),"",INDEX($A$2:$A$4629,MATCH(0,INDEX(COUNTIF($B$1:B3855,$A$2:$A$4629),0,0),0)))</f>
        <v/>
      </c>
      <c r="C3856" t="str">
        <f t="shared" si="60"/>
        <v/>
      </c>
    </row>
    <row r="3857" spans="1:3" x14ac:dyDescent="0.25">
      <c r="A3857" t="str">
        <f>IF(Scan2VK!AA171&lt;&gt;"",Scan2VK!AA171,"")</f>
        <v/>
      </c>
      <c r="B3857" t="str">
        <f>IF(ISERROR(MATCH(0,INDEX(COUNTIF($B$1:B3856,$A$2:$A$4629),0,0),0)),"",INDEX($A$2:$A$4629,MATCH(0,INDEX(COUNTIF($B$1:B3856,$A$2:$A$4629),0,0),0)))</f>
        <v/>
      </c>
      <c r="C3857" t="str">
        <f t="shared" si="60"/>
        <v/>
      </c>
    </row>
    <row r="3858" spans="1:3" x14ac:dyDescent="0.25">
      <c r="A3858" t="str">
        <f>IF(Scan2VK!AA172&lt;&gt;"",Scan2VK!AA172,"")</f>
        <v/>
      </c>
      <c r="B3858" t="str">
        <f>IF(ISERROR(MATCH(0,INDEX(COUNTIF($B$1:B3857,$A$2:$A$4629),0,0),0)),"",INDEX($A$2:$A$4629,MATCH(0,INDEX(COUNTIF($B$1:B3857,$A$2:$A$4629),0,0),0)))</f>
        <v/>
      </c>
      <c r="C3858" t="str">
        <f t="shared" si="60"/>
        <v/>
      </c>
    </row>
    <row r="3859" spans="1:3" x14ac:dyDescent="0.25">
      <c r="A3859" t="str">
        <f>IF(Scan2VK!AA173&lt;&gt;"",Scan2VK!AA173,"")</f>
        <v/>
      </c>
      <c r="B3859" t="str">
        <f>IF(ISERROR(MATCH(0,INDEX(COUNTIF($B$1:B3858,$A$2:$A$4629),0,0),0)),"",INDEX($A$2:$A$4629,MATCH(0,INDEX(COUNTIF($B$1:B3858,$A$2:$A$4629),0,0),0)))</f>
        <v/>
      </c>
      <c r="C3859" t="str">
        <f t="shared" si="60"/>
        <v/>
      </c>
    </row>
    <row r="3860" spans="1:3" x14ac:dyDescent="0.25">
      <c r="A3860" t="str">
        <f>IF(Scan2VK!AA174&lt;&gt;"",Scan2VK!AA174,"")</f>
        <v/>
      </c>
      <c r="B3860" t="str">
        <f>IF(ISERROR(MATCH(0,INDEX(COUNTIF($B$1:B3859,$A$2:$A$4629),0,0),0)),"",INDEX($A$2:$A$4629,MATCH(0,INDEX(COUNTIF($B$1:B3859,$A$2:$A$4629),0,0),0)))</f>
        <v/>
      </c>
      <c r="C3860" t="str">
        <f t="shared" si="60"/>
        <v/>
      </c>
    </row>
    <row r="3861" spans="1:3" x14ac:dyDescent="0.25">
      <c r="A3861" t="str">
        <f>IF(Scan2VK!AA175&lt;&gt;"",Scan2VK!AA175,"")</f>
        <v/>
      </c>
      <c r="B3861" t="str">
        <f>IF(ISERROR(MATCH(0,INDEX(COUNTIF($B$1:B3860,$A$2:$A$4629),0,0),0)),"",INDEX($A$2:$A$4629,MATCH(0,INDEX(COUNTIF($B$1:B3860,$A$2:$A$4629),0,0),0)))</f>
        <v/>
      </c>
      <c r="C3861" t="str">
        <f t="shared" si="60"/>
        <v/>
      </c>
    </row>
    <row r="3862" spans="1:3" x14ac:dyDescent="0.25">
      <c r="A3862" t="str">
        <f>IF(Scan2VK!AA176&lt;&gt;"",Scan2VK!AA176,"")</f>
        <v/>
      </c>
      <c r="B3862" t="str">
        <f>IF(ISERROR(MATCH(0,INDEX(COUNTIF($B$1:B3861,$A$2:$A$4629),0,0),0)),"",INDEX($A$2:$A$4629,MATCH(0,INDEX(COUNTIF($B$1:B3861,$A$2:$A$4629),0,0),0)))</f>
        <v/>
      </c>
      <c r="C3862" t="str">
        <f t="shared" si="60"/>
        <v/>
      </c>
    </row>
    <row r="3863" spans="1:3" x14ac:dyDescent="0.25">
      <c r="A3863" t="str">
        <f>IF(Scan2VK!AA177&lt;&gt;"",Scan2VK!AA177,"")</f>
        <v/>
      </c>
      <c r="B3863" t="str">
        <f>IF(ISERROR(MATCH(0,INDEX(COUNTIF($B$1:B3862,$A$2:$A$4629),0,0),0)),"",INDEX($A$2:$A$4629,MATCH(0,INDEX(COUNTIF($B$1:B3862,$A$2:$A$4629),0,0),0)))</f>
        <v/>
      </c>
      <c r="C3863" t="str">
        <f t="shared" si="60"/>
        <v/>
      </c>
    </row>
    <row r="3864" spans="1:3" x14ac:dyDescent="0.25">
      <c r="A3864" t="str">
        <f>IF(Scan2VK!AA178&lt;&gt;"",Scan2VK!AA178,"")</f>
        <v/>
      </c>
      <c r="B3864" t="str">
        <f>IF(ISERROR(MATCH(0,INDEX(COUNTIF($B$1:B3863,$A$2:$A$4629),0,0),0)),"",INDEX($A$2:$A$4629,MATCH(0,INDEX(COUNTIF($B$1:B3863,$A$2:$A$4629),0,0),0)))</f>
        <v/>
      </c>
      <c r="C3864" t="str">
        <f t="shared" si="60"/>
        <v/>
      </c>
    </row>
    <row r="3865" spans="1:3" x14ac:dyDescent="0.25">
      <c r="A3865" t="str">
        <f>IF(Scan2VK!AA179&lt;&gt;"",Scan2VK!AA179,"")</f>
        <v/>
      </c>
      <c r="B3865" t="str">
        <f>IF(ISERROR(MATCH(0,INDEX(COUNTIF($B$1:B3864,$A$2:$A$4629),0,0),0)),"",INDEX($A$2:$A$4629,MATCH(0,INDEX(COUNTIF($B$1:B3864,$A$2:$A$4629),0,0),0)))</f>
        <v/>
      </c>
      <c r="C3865" t="str">
        <f t="shared" si="60"/>
        <v/>
      </c>
    </row>
    <row r="3866" spans="1:3" x14ac:dyDescent="0.25">
      <c r="A3866" t="str">
        <f>IF(Scan2VK!AA180&lt;&gt;"",Scan2VK!AA180,"")</f>
        <v/>
      </c>
      <c r="B3866" t="str">
        <f>IF(ISERROR(MATCH(0,INDEX(COUNTIF($B$1:B3865,$A$2:$A$4629),0,0),0)),"",INDEX($A$2:$A$4629,MATCH(0,INDEX(COUNTIF($B$1:B3865,$A$2:$A$4629),0,0),0)))</f>
        <v/>
      </c>
      <c r="C3866" t="str">
        <f t="shared" si="60"/>
        <v/>
      </c>
    </row>
    <row r="3867" spans="1:3" x14ac:dyDescent="0.25">
      <c r="A3867" t="str">
        <f>IF(Scan2VK!AA181&lt;&gt;"",Scan2VK!AA181,"")</f>
        <v/>
      </c>
      <c r="B3867" t="str">
        <f>IF(ISERROR(MATCH(0,INDEX(COUNTIF($B$1:B3866,$A$2:$A$4629),0,0),0)),"",INDEX($A$2:$A$4629,MATCH(0,INDEX(COUNTIF($B$1:B3866,$A$2:$A$4629),0,0),0)))</f>
        <v/>
      </c>
      <c r="C3867" t="str">
        <f t="shared" si="60"/>
        <v/>
      </c>
    </row>
    <row r="3868" spans="1:3" x14ac:dyDescent="0.25">
      <c r="A3868" t="str">
        <f>IF(Scan2VK!AA182&lt;&gt;"",Scan2VK!AA182,"")</f>
        <v/>
      </c>
      <c r="B3868" t="str">
        <f>IF(ISERROR(MATCH(0,INDEX(COUNTIF($B$1:B3867,$A$2:$A$4629),0,0),0)),"",INDEX($A$2:$A$4629,MATCH(0,INDEX(COUNTIF($B$1:B3867,$A$2:$A$4629),0,0),0)))</f>
        <v/>
      </c>
      <c r="C3868" t="str">
        <f t="shared" si="60"/>
        <v/>
      </c>
    </row>
    <row r="3869" spans="1:3" x14ac:dyDescent="0.25">
      <c r="A3869" t="str">
        <f>IF(Scan2VK!AA183&lt;&gt;"",Scan2VK!AA183,"")</f>
        <v/>
      </c>
      <c r="B3869" t="str">
        <f>IF(ISERROR(MATCH(0,INDEX(COUNTIF($B$1:B3868,$A$2:$A$4629),0,0),0)),"",INDEX($A$2:$A$4629,MATCH(0,INDEX(COUNTIF($B$1:B3868,$A$2:$A$4629),0,0),0)))</f>
        <v/>
      </c>
      <c r="C3869" t="str">
        <f t="shared" si="60"/>
        <v/>
      </c>
    </row>
    <row r="3870" spans="1:3" x14ac:dyDescent="0.25">
      <c r="A3870" t="str">
        <f>IF(Scan2VK!AA184&lt;&gt;"",Scan2VK!AA184,"")</f>
        <v/>
      </c>
      <c r="B3870" t="str">
        <f>IF(ISERROR(MATCH(0,INDEX(COUNTIF($B$1:B3869,$A$2:$A$4629),0,0),0)),"",INDEX($A$2:$A$4629,MATCH(0,INDEX(COUNTIF($B$1:B3869,$A$2:$A$4629),0,0),0)))</f>
        <v/>
      </c>
      <c r="C3870" t="str">
        <f t="shared" si="60"/>
        <v/>
      </c>
    </row>
    <row r="3871" spans="1:3" x14ac:dyDescent="0.25">
      <c r="A3871" t="str">
        <f>IF(Scan2VK!AA185&lt;&gt;"",Scan2VK!AA185,"")</f>
        <v/>
      </c>
      <c r="B3871" t="str">
        <f>IF(ISERROR(MATCH(0,INDEX(COUNTIF($B$1:B3870,$A$2:$A$4629),0,0),0)),"",INDEX($A$2:$A$4629,MATCH(0,INDEX(COUNTIF($B$1:B3870,$A$2:$A$4629),0,0),0)))</f>
        <v/>
      </c>
      <c r="C3871" t="str">
        <f t="shared" si="60"/>
        <v/>
      </c>
    </row>
    <row r="3872" spans="1:3" x14ac:dyDescent="0.25">
      <c r="A3872" t="str">
        <f>IF(Scan2VK!AA186&lt;&gt;"",Scan2VK!AA186,"")</f>
        <v/>
      </c>
      <c r="B3872" t="str">
        <f>IF(ISERROR(MATCH(0,INDEX(COUNTIF($B$1:B3871,$A$2:$A$4629),0,0),0)),"",INDEX($A$2:$A$4629,MATCH(0,INDEX(COUNTIF($B$1:B3871,$A$2:$A$4629),0,0),0)))</f>
        <v/>
      </c>
      <c r="C3872" t="str">
        <f t="shared" si="60"/>
        <v/>
      </c>
    </row>
    <row r="3873" spans="1:3" x14ac:dyDescent="0.25">
      <c r="A3873" t="str">
        <f>IF(Scan2VK!AA187&lt;&gt;"",Scan2VK!AA187,"")</f>
        <v/>
      </c>
      <c r="B3873" t="str">
        <f>IF(ISERROR(MATCH(0,INDEX(COUNTIF($B$1:B3872,$A$2:$A$4629),0,0),0)),"",INDEX($A$2:$A$4629,MATCH(0,INDEX(COUNTIF($B$1:B3872,$A$2:$A$4629),0,0),0)))</f>
        <v/>
      </c>
      <c r="C3873" t="str">
        <f t="shared" si="60"/>
        <v/>
      </c>
    </row>
    <row r="3874" spans="1:3" x14ac:dyDescent="0.25">
      <c r="A3874" t="str">
        <f>IF(Scan2VK!AA188&lt;&gt;"",Scan2VK!AA188,"")</f>
        <v/>
      </c>
      <c r="B3874" t="str">
        <f>IF(ISERROR(MATCH(0,INDEX(COUNTIF($B$1:B3873,$A$2:$A$4629),0,0),0)),"",INDEX($A$2:$A$4629,MATCH(0,INDEX(COUNTIF($B$1:B3873,$A$2:$A$4629),0,0),0)))</f>
        <v/>
      </c>
      <c r="C3874" t="str">
        <f t="shared" si="60"/>
        <v/>
      </c>
    </row>
    <row r="3875" spans="1:3" x14ac:dyDescent="0.25">
      <c r="A3875" t="str">
        <f>IF(Scan2VK!AA189&lt;&gt;"",Scan2VK!AA189,"")</f>
        <v/>
      </c>
      <c r="B3875" t="str">
        <f>IF(ISERROR(MATCH(0,INDEX(COUNTIF($B$1:B3874,$A$2:$A$4629),0,0),0)),"",INDEX($A$2:$A$4629,MATCH(0,INDEX(COUNTIF($B$1:B3874,$A$2:$A$4629),0,0),0)))</f>
        <v/>
      </c>
      <c r="C3875" t="str">
        <f t="shared" si="60"/>
        <v/>
      </c>
    </row>
    <row r="3876" spans="1:3" x14ac:dyDescent="0.25">
      <c r="A3876" t="str">
        <f>IF(Scan2VK!AA190&lt;&gt;"",Scan2VK!AA190,"")</f>
        <v/>
      </c>
      <c r="B3876" t="str">
        <f>IF(ISERROR(MATCH(0,INDEX(COUNTIF($B$1:B3875,$A$2:$A$4629),0,0),0)),"",INDEX($A$2:$A$4629,MATCH(0,INDEX(COUNTIF($B$1:B3875,$A$2:$A$4629),0,0),0)))</f>
        <v/>
      </c>
      <c r="C3876" t="str">
        <f t="shared" si="60"/>
        <v/>
      </c>
    </row>
    <row r="3877" spans="1:3" x14ac:dyDescent="0.25">
      <c r="A3877" t="str">
        <f>IF(Scan2VK!AA191&lt;&gt;"",Scan2VK!AA191,"")</f>
        <v/>
      </c>
      <c r="B3877" t="str">
        <f>IF(ISERROR(MATCH(0,INDEX(COUNTIF($B$1:B3876,$A$2:$A$4629),0,0),0)),"",INDEX($A$2:$A$4629,MATCH(0,INDEX(COUNTIF($B$1:B3876,$A$2:$A$4629),0,0),0)))</f>
        <v/>
      </c>
      <c r="C3877" t="str">
        <f t="shared" si="60"/>
        <v/>
      </c>
    </row>
    <row r="3878" spans="1:3" x14ac:dyDescent="0.25">
      <c r="A3878" t="str">
        <f>IF(Scan2VK!AA192&lt;&gt;"",Scan2VK!AA192,"")</f>
        <v/>
      </c>
      <c r="B3878" t="str">
        <f>IF(ISERROR(MATCH(0,INDEX(COUNTIF($B$1:B3877,$A$2:$A$4629),0,0),0)),"",INDEX($A$2:$A$4629,MATCH(0,INDEX(COUNTIF($B$1:B3877,$A$2:$A$4629),0,0),0)))</f>
        <v/>
      </c>
      <c r="C3878" t="str">
        <f t="shared" si="60"/>
        <v/>
      </c>
    </row>
    <row r="3879" spans="1:3" x14ac:dyDescent="0.25">
      <c r="A3879" t="str">
        <f>IF(Scan2VK!AA193&lt;&gt;"",Scan2VK!AA193,"")</f>
        <v/>
      </c>
      <c r="B3879" t="str">
        <f>IF(ISERROR(MATCH(0,INDEX(COUNTIF($B$1:B3878,$A$2:$A$4629),0,0),0)),"",INDEX($A$2:$A$4629,MATCH(0,INDEX(COUNTIF($B$1:B3878,$A$2:$A$4629),0,0),0)))</f>
        <v/>
      </c>
      <c r="C3879" t="str">
        <f t="shared" si="60"/>
        <v/>
      </c>
    </row>
    <row r="3880" spans="1:3" x14ac:dyDescent="0.25">
      <c r="A3880" t="str">
        <f>IF(Scan2VK!AA194&lt;&gt;"",Scan2VK!AA194,"")</f>
        <v/>
      </c>
      <c r="B3880" t="str">
        <f>IF(ISERROR(MATCH(0,INDEX(COUNTIF($B$1:B3879,$A$2:$A$4629),0,0),0)),"",INDEX($A$2:$A$4629,MATCH(0,INDEX(COUNTIF($B$1:B3879,$A$2:$A$4629),0,0),0)))</f>
        <v/>
      </c>
      <c r="C3880" t="str">
        <f t="shared" si="60"/>
        <v/>
      </c>
    </row>
    <row r="3881" spans="1:3" x14ac:dyDescent="0.25">
      <c r="A3881" t="str">
        <f>IF(Scan2VK!AA195&lt;&gt;"",Scan2VK!AA195,"")</f>
        <v>PAUSE</v>
      </c>
      <c r="B3881" t="str">
        <f>IF(ISERROR(MATCH(0,INDEX(COUNTIF($B$1:B3880,$A$2:$A$4629),0,0),0)),"",INDEX($A$2:$A$4629,MATCH(0,INDEX(COUNTIF($B$1:B3880,$A$2:$A$4629),0,0),0)))</f>
        <v/>
      </c>
      <c r="C3881" t="str">
        <f t="shared" si="60"/>
        <v/>
      </c>
    </row>
    <row r="3882" spans="1:3" x14ac:dyDescent="0.25">
      <c r="A3882" t="str">
        <f>IF(Scan2VK!AC2&lt;&gt;"",Scan2VK!AC2,"")</f>
        <v>_none_</v>
      </c>
      <c r="B3882" t="str">
        <f>IF(ISERROR(MATCH(0,INDEX(COUNTIF($B$1:B3881,$A$2:$A$4629),0,0),0)),"",INDEX($A$2:$A$4629,MATCH(0,INDEX(COUNTIF($B$1:B3881,$A$2:$A$4629),0,0),0)))</f>
        <v/>
      </c>
      <c r="C3882" t="str">
        <f t="shared" si="60"/>
        <v/>
      </c>
    </row>
    <row r="3883" spans="1:3" x14ac:dyDescent="0.25">
      <c r="A3883" t="str">
        <f>IF(Scan2VK!AC3&lt;&gt;"",Scan2VK!AC3,"")</f>
        <v>ESCAPE</v>
      </c>
      <c r="B3883" t="str">
        <f>IF(ISERROR(MATCH(0,INDEX(COUNTIF($B$1:B3882,$A$2:$A$4629),0,0),0)),"",INDEX($A$2:$A$4629,MATCH(0,INDEX(COUNTIF($B$1:B3882,$A$2:$A$4629),0,0),0)))</f>
        <v/>
      </c>
      <c r="C3883" t="str">
        <f t="shared" si="60"/>
        <v/>
      </c>
    </row>
    <row r="3884" spans="1:3" x14ac:dyDescent="0.25">
      <c r="A3884" t="str">
        <f>IF(Scan2VK!AC4&lt;&gt;"",Scan2VK!AC4,"")</f>
        <v>'1'</v>
      </c>
      <c r="B3884" t="str">
        <f>IF(ISERROR(MATCH(0,INDEX(COUNTIF($B$1:B3883,$A$2:$A$4629),0,0),0)),"",INDEX($A$2:$A$4629,MATCH(0,INDEX(COUNTIF($B$1:B3883,$A$2:$A$4629),0,0),0)))</f>
        <v/>
      </c>
      <c r="C3884" t="str">
        <f t="shared" si="60"/>
        <v/>
      </c>
    </row>
    <row r="3885" spans="1:3" x14ac:dyDescent="0.25">
      <c r="A3885" t="str">
        <f>IF(Scan2VK!AC5&lt;&gt;"",Scan2VK!AC5,"")</f>
        <v>'2'</v>
      </c>
      <c r="B3885" t="str">
        <f>IF(ISERROR(MATCH(0,INDEX(COUNTIF($B$1:B3884,$A$2:$A$4629),0,0),0)),"",INDEX($A$2:$A$4629,MATCH(0,INDEX(COUNTIF($B$1:B3884,$A$2:$A$4629),0,0),0)))</f>
        <v/>
      </c>
      <c r="C3885" t="str">
        <f t="shared" si="60"/>
        <v/>
      </c>
    </row>
    <row r="3886" spans="1:3" x14ac:dyDescent="0.25">
      <c r="A3886" t="str">
        <f>IF(Scan2VK!AC6&lt;&gt;"",Scan2VK!AC6,"")</f>
        <v>'3'</v>
      </c>
      <c r="B3886" t="str">
        <f>IF(ISERROR(MATCH(0,INDEX(COUNTIF($B$1:B3885,$A$2:$A$4629),0,0),0)),"",INDEX($A$2:$A$4629,MATCH(0,INDEX(COUNTIF($B$1:B3885,$A$2:$A$4629),0,0),0)))</f>
        <v/>
      </c>
      <c r="C3886" t="str">
        <f t="shared" si="60"/>
        <v/>
      </c>
    </row>
    <row r="3887" spans="1:3" x14ac:dyDescent="0.25">
      <c r="A3887" t="str">
        <f>IF(Scan2VK!AC7&lt;&gt;"",Scan2VK!AC7,"")</f>
        <v>'4'</v>
      </c>
      <c r="B3887" t="str">
        <f>IF(ISERROR(MATCH(0,INDEX(COUNTIF($B$1:B3886,$A$2:$A$4629),0,0),0)),"",INDEX($A$2:$A$4629,MATCH(0,INDEX(COUNTIF($B$1:B3886,$A$2:$A$4629),0,0),0)))</f>
        <v/>
      </c>
      <c r="C3887" t="str">
        <f t="shared" si="60"/>
        <v/>
      </c>
    </row>
    <row r="3888" spans="1:3" x14ac:dyDescent="0.25">
      <c r="A3888" t="str">
        <f>IF(Scan2VK!AC8&lt;&gt;"",Scan2VK!AC8,"")</f>
        <v>'5'</v>
      </c>
      <c r="B3888" t="str">
        <f>IF(ISERROR(MATCH(0,INDEX(COUNTIF($B$1:B3887,$A$2:$A$4629),0,0),0)),"",INDEX($A$2:$A$4629,MATCH(0,INDEX(COUNTIF($B$1:B3887,$A$2:$A$4629),0,0),0)))</f>
        <v/>
      </c>
      <c r="C3888" t="str">
        <f t="shared" si="60"/>
        <v/>
      </c>
    </row>
    <row r="3889" spans="1:3" x14ac:dyDescent="0.25">
      <c r="A3889" t="str">
        <f>IF(Scan2VK!AC9&lt;&gt;"",Scan2VK!AC9,"")</f>
        <v>'6'</v>
      </c>
      <c r="B3889" t="str">
        <f>IF(ISERROR(MATCH(0,INDEX(COUNTIF($B$1:B3888,$A$2:$A$4629),0,0),0)),"",INDEX($A$2:$A$4629,MATCH(0,INDEX(COUNTIF($B$1:B3888,$A$2:$A$4629),0,0),0)))</f>
        <v/>
      </c>
      <c r="C3889" t="str">
        <f t="shared" si="60"/>
        <v/>
      </c>
    </row>
    <row r="3890" spans="1:3" x14ac:dyDescent="0.25">
      <c r="A3890" t="str">
        <f>IF(Scan2VK!AC10&lt;&gt;"",Scan2VK!AC10,"")</f>
        <v>'7'</v>
      </c>
      <c r="B3890" t="str">
        <f>IF(ISERROR(MATCH(0,INDEX(COUNTIF($B$1:B3889,$A$2:$A$4629),0,0),0)),"",INDEX($A$2:$A$4629,MATCH(0,INDEX(COUNTIF($B$1:B3889,$A$2:$A$4629),0,0),0)))</f>
        <v/>
      </c>
      <c r="C3890" t="str">
        <f t="shared" si="60"/>
        <v/>
      </c>
    </row>
    <row r="3891" spans="1:3" x14ac:dyDescent="0.25">
      <c r="A3891" t="str">
        <f>IF(Scan2VK!AC11&lt;&gt;"",Scan2VK!AC11,"")</f>
        <v>'8'</v>
      </c>
      <c r="B3891" t="str">
        <f>IF(ISERROR(MATCH(0,INDEX(COUNTIF($B$1:B3890,$A$2:$A$4629),0,0),0)),"",INDEX($A$2:$A$4629,MATCH(0,INDEX(COUNTIF($B$1:B3890,$A$2:$A$4629),0,0),0)))</f>
        <v/>
      </c>
      <c r="C3891" t="str">
        <f t="shared" si="60"/>
        <v/>
      </c>
    </row>
    <row r="3892" spans="1:3" x14ac:dyDescent="0.25">
      <c r="A3892" t="str">
        <f>IF(Scan2VK!AC12&lt;&gt;"",Scan2VK!AC12,"")</f>
        <v>'9'</v>
      </c>
      <c r="B3892" t="str">
        <f>IF(ISERROR(MATCH(0,INDEX(COUNTIF($B$1:B3891,$A$2:$A$4629),0,0),0)),"",INDEX($A$2:$A$4629,MATCH(0,INDEX(COUNTIF($B$1:B3891,$A$2:$A$4629),0,0),0)))</f>
        <v/>
      </c>
      <c r="C3892" t="str">
        <f t="shared" si="60"/>
        <v/>
      </c>
    </row>
    <row r="3893" spans="1:3" x14ac:dyDescent="0.25">
      <c r="A3893" t="str">
        <f>IF(Scan2VK!AC13&lt;&gt;"",Scan2VK!AC13,"")</f>
        <v>'0'</v>
      </c>
      <c r="B3893" t="str">
        <f>IF(ISERROR(MATCH(0,INDEX(COUNTIF($B$1:B3892,$A$2:$A$4629),0,0),0)),"",INDEX($A$2:$A$4629,MATCH(0,INDEX(COUNTIF($B$1:B3892,$A$2:$A$4629),0,0),0)))</f>
        <v/>
      </c>
      <c r="C3893" t="str">
        <f t="shared" si="60"/>
        <v/>
      </c>
    </row>
    <row r="3894" spans="1:3" x14ac:dyDescent="0.25">
      <c r="A3894" t="str">
        <f>IF(Scan2VK!AC14&lt;&gt;"",Scan2VK!AC14,"")</f>
        <v>OEM_MINUS</v>
      </c>
      <c r="B3894" t="str">
        <f>IF(ISERROR(MATCH(0,INDEX(COUNTIF($B$1:B3893,$A$2:$A$4629),0,0),0)),"",INDEX($A$2:$A$4629,MATCH(0,INDEX(COUNTIF($B$1:B3893,$A$2:$A$4629),0,0),0)))</f>
        <v/>
      </c>
      <c r="C3894" t="str">
        <f t="shared" si="60"/>
        <v/>
      </c>
    </row>
    <row r="3895" spans="1:3" x14ac:dyDescent="0.25">
      <c r="A3895" t="str">
        <f>IF(Scan2VK!AC15&lt;&gt;"",Scan2VK!AC15,"")</f>
        <v>OEM_7</v>
      </c>
      <c r="B3895" t="str">
        <f>IF(ISERROR(MATCH(0,INDEX(COUNTIF($B$1:B3894,$A$2:$A$4629),0,0),0)),"",INDEX($A$2:$A$4629,MATCH(0,INDEX(COUNTIF($B$1:B3894,$A$2:$A$4629),0,0),0)))</f>
        <v/>
      </c>
      <c r="C3895" t="str">
        <f t="shared" si="60"/>
        <v/>
      </c>
    </row>
    <row r="3896" spans="1:3" x14ac:dyDescent="0.25">
      <c r="A3896" t="str">
        <f>IF(Scan2VK!AC16&lt;&gt;"",Scan2VK!AC16,"")</f>
        <v>BACK</v>
      </c>
      <c r="B3896" t="str">
        <f>IF(ISERROR(MATCH(0,INDEX(COUNTIF($B$1:B3895,$A$2:$A$4629),0,0),0)),"",INDEX($A$2:$A$4629,MATCH(0,INDEX(COUNTIF($B$1:B3895,$A$2:$A$4629),0,0),0)))</f>
        <v/>
      </c>
      <c r="C3896" t="str">
        <f t="shared" si="60"/>
        <v/>
      </c>
    </row>
    <row r="3897" spans="1:3" x14ac:dyDescent="0.25">
      <c r="A3897" t="str">
        <f>IF(Scan2VK!AC17&lt;&gt;"",Scan2VK!AC17,"")</f>
        <v>TAB</v>
      </c>
      <c r="B3897" t="str">
        <f>IF(ISERROR(MATCH(0,INDEX(COUNTIF($B$1:B3896,$A$2:$A$4629),0,0),0)),"",INDEX($A$2:$A$4629,MATCH(0,INDEX(COUNTIF($B$1:B3896,$A$2:$A$4629),0,0),0)))</f>
        <v/>
      </c>
      <c r="C3897" t="str">
        <f t="shared" si="60"/>
        <v/>
      </c>
    </row>
    <row r="3898" spans="1:3" x14ac:dyDescent="0.25">
      <c r="A3898" t="str">
        <f>IF(Scan2VK!AC18&lt;&gt;"",Scan2VK!AC18,"")</f>
        <v>'Q'</v>
      </c>
      <c r="B3898" t="str">
        <f>IF(ISERROR(MATCH(0,INDEX(COUNTIF($B$1:B3897,$A$2:$A$4629),0,0),0)),"",INDEX($A$2:$A$4629,MATCH(0,INDEX(COUNTIF($B$1:B3897,$A$2:$A$4629),0,0),0)))</f>
        <v/>
      </c>
      <c r="C3898" t="str">
        <f t="shared" si="60"/>
        <v/>
      </c>
    </row>
    <row r="3899" spans="1:3" x14ac:dyDescent="0.25">
      <c r="A3899" t="str">
        <f>IF(Scan2VK!AC19&lt;&gt;"",Scan2VK!AC19,"")</f>
        <v>'W'</v>
      </c>
      <c r="B3899" t="str">
        <f>IF(ISERROR(MATCH(0,INDEX(COUNTIF($B$1:B3898,$A$2:$A$4629),0,0),0)),"",INDEX($A$2:$A$4629,MATCH(0,INDEX(COUNTIF($B$1:B3898,$A$2:$A$4629),0,0),0)))</f>
        <v/>
      </c>
      <c r="C3899" t="str">
        <f t="shared" si="60"/>
        <v/>
      </c>
    </row>
    <row r="3900" spans="1:3" x14ac:dyDescent="0.25">
      <c r="A3900" t="str">
        <f>IF(Scan2VK!AC20&lt;&gt;"",Scan2VK!AC20,"")</f>
        <v>'E'</v>
      </c>
      <c r="B3900" t="str">
        <f>IF(ISERROR(MATCH(0,INDEX(COUNTIF($B$1:B3899,$A$2:$A$4629),0,0),0)),"",INDEX($A$2:$A$4629,MATCH(0,INDEX(COUNTIF($B$1:B3899,$A$2:$A$4629),0,0),0)))</f>
        <v/>
      </c>
      <c r="C3900" t="str">
        <f t="shared" si="60"/>
        <v/>
      </c>
    </row>
    <row r="3901" spans="1:3" x14ac:dyDescent="0.25">
      <c r="A3901" t="str">
        <f>IF(Scan2VK!AC21&lt;&gt;"",Scan2VK!AC21,"")</f>
        <v>'R'</v>
      </c>
      <c r="B3901" t="str">
        <f>IF(ISERROR(MATCH(0,INDEX(COUNTIF($B$1:B3900,$A$2:$A$4629),0,0),0)),"",INDEX($A$2:$A$4629,MATCH(0,INDEX(COUNTIF($B$1:B3900,$A$2:$A$4629),0,0),0)))</f>
        <v/>
      </c>
      <c r="C3901" t="str">
        <f t="shared" si="60"/>
        <v/>
      </c>
    </row>
    <row r="3902" spans="1:3" x14ac:dyDescent="0.25">
      <c r="A3902" t="str">
        <f>IF(Scan2VK!AC22&lt;&gt;"",Scan2VK!AC22,"")</f>
        <v>'T'</v>
      </c>
      <c r="B3902" t="str">
        <f>IF(ISERROR(MATCH(0,INDEX(COUNTIF($B$1:B3901,$A$2:$A$4629),0,0),0)),"",INDEX($A$2:$A$4629,MATCH(0,INDEX(COUNTIF($B$1:B3901,$A$2:$A$4629),0,0),0)))</f>
        <v/>
      </c>
      <c r="C3902" t="str">
        <f t="shared" si="60"/>
        <v/>
      </c>
    </row>
    <row r="3903" spans="1:3" x14ac:dyDescent="0.25">
      <c r="A3903" t="str">
        <f>IF(Scan2VK!AC23&lt;&gt;"",Scan2VK!AC23,"")</f>
        <v>'Y'</v>
      </c>
      <c r="B3903" t="str">
        <f>IF(ISERROR(MATCH(0,INDEX(COUNTIF($B$1:B3902,$A$2:$A$4629),0,0),0)),"",INDEX($A$2:$A$4629,MATCH(0,INDEX(COUNTIF($B$1:B3902,$A$2:$A$4629),0,0),0)))</f>
        <v/>
      </c>
      <c r="C3903" t="str">
        <f t="shared" si="60"/>
        <v/>
      </c>
    </row>
    <row r="3904" spans="1:3" x14ac:dyDescent="0.25">
      <c r="A3904" t="str">
        <f>IF(Scan2VK!AC24&lt;&gt;"",Scan2VK!AC24,"")</f>
        <v>'U'</v>
      </c>
      <c r="B3904" t="str">
        <f>IF(ISERROR(MATCH(0,INDEX(COUNTIF($B$1:B3903,$A$2:$A$4629),0,0),0)),"",INDEX($A$2:$A$4629,MATCH(0,INDEX(COUNTIF($B$1:B3903,$A$2:$A$4629),0,0),0)))</f>
        <v/>
      </c>
      <c r="C3904" t="str">
        <f t="shared" si="60"/>
        <v/>
      </c>
    </row>
    <row r="3905" spans="1:3" x14ac:dyDescent="0.25">
      <c r="A3905" t="str">
        <f>IF(Scan2VK!AC25&lt;&gt;"",Scan2VK!AC25,"")</f>
        <v>'I'</v>
      </c>
      <c r="B3905" t="str">
        <f>IF(ISERROR(MATCH(0,INDEX(COUNTIF($B$1:B3904,$A$2:$A$4629),0,0),0)),"",INDEX($A$2:$A$4629,MATCH(0,INDEX(COUNTIF($B$1:B3904,$A$2:$A$4629),0,0),0)))</f>
        <v/>
      </c>
      <c r="C3905" t="str">
        <f t="shared" si="60"/>
        <v/>
      </c>
    </row>
    <row r="3906" spans="1:3" x14ac:dyDescent="0.25">
      <c r="A3906" t="str">
        <f>IF(Scan2VK!AC26&lt;&gt;"",Scan2VK!AC26,"")</f>
        <v>'O'</v>
      </c>
      <c r="B3906" t="str">
        <f>IF(ISERROR(MATCH(0,INDEX(COUNTIF($B$1:B3905,$A$2:$A$4629),0,0),0)),"",INDEX($A$2:$A$4629,MATCH(0,INDEX(COUNTIF($B$1:B3905,$A$2:$A$4629),0,0),0)))</f>
        <v/>
      </c>
      <c r="C3906" t="str">
        <f t="shared" si="60"/>
        <v/>
      </c>
    </row>
    <row r="3907" spans="1:3" x14ac:dyDescent="0.25">
      <c r="A3907" t="str">
        <f>IF(Scan2VK!AC27&lt;&gt;"",Scan2VK!AC27,"")</f>
        <v>'P'</v>
      </c>
      <c r="B3907" t="str">
        <f>IF(ISERROR(MATCH(0,INDEX(COUNTIF($B$1:B3906,$A$2:$A$4629),0,0),0)),"",INDEX($A$2:$A$4629,MATCH(0,INDEX(COUNTIF($B$1:B3906,$A$2:$A$4629),0,0),0)))</f>
        <v/>
      </c>
      <c r="C3907" t="str">
        <f t="shared" ref="C3907:C3970" si="61">IF(B3907&lt;&gt;"","&lt;xs:enumeration value="""&amp;B3907&amp;"""/&gt;","")</f>
        <v/>
      </c>
    </row>
    <row r="3908" spans="1:3" x14ac:dyDescent="0.25">
      <c r="A3908" t="str">
        <f>IF(Scan2VK!AC28&lt;&gt;"",Scan2VK!AC28,"")</f>
        <v>OEM_3</v>
      </c>
      <c r="B3908" t="str">
        <f>IF(ISERROR(MATCH(0,INDEX(COUNTIF($B$1:B3907,$A$2:$A$4629),0,0),0)),"",INDEX($A$2:$A$4629,MATCH(0,INDEX(COUNTIF($B$1:B3907,$A$2:$A$4629),0,0),0)))</f>
        <v/>
      </c>
      <c r="C3908" t="str">
        <f t="shared" si="61"/>
        <v/>
      </c>
    </row>
    <row r="3909" spans="1:3" x14ac:dyDescent="0.25">
      <c r="A3909" t="str">
        <f>IF(Scan2VK!AC29&lt;&gt;"",Scan2VK!AC29,"")</f>
        <v>OEM_4</v>
      </c>
      <c r="B3909" t="str">
        <f>IF(ISERROR(MATCH(0,INDEX(COUNTIF($B$1:B3908,$A$2:$A$4629),0,0),0)),"",INDEX($A$2:$A$4629,MATCH(0,INDEX(COUNTIF($B$1:B3908,$A$2:$A$4629),0,0),0)))</f>
        <v/>
      </c>
      <c r="C3909" t="str">
        <f t="shared" si="61"/>
        <v/>
      </c>
    </row>
    <row r="3910" spans="1:3" x14ac:dyDescent="0.25">
      <c r="A3910" t="str">
        <f>IF(Scan2VK!AC30&lt;&gt;"",Scan2VK!AC30,"")</f>
        <v>RETURN</v>
      </c>
      <c r="B3910" t="str">
        <f>IF(ISERROR(MATCH(0,INDEX(COUNTIF($B$1:B3909,$A$2:$A$4629),0,0),0)),"",INDEX($A$2:$A$4629,MATCH(0,INDEX(COUNTIF($B$1:B3909,$A$2:$A$4629),0,0),0)))</f>
        <v/>
      </c>
      <c r="C3910" t="str">
        <f t="shared" si="61"/>
        <v/>
      </c>
    </row>
    <row r="3911" spans="1:3" x14ac:dyDescent="0.25">
      <c r="A3911" t="str">
        <f>IF(Scan2VK!AC31&lt;&gt;"",Scan2VK!AC31,"")</f>
        <v>LCONTROL</v>
      </c>
      <c r="B3911" t="str">
        <f>IF(ISERROR(MATCH(0,INDEX(COUNTIF($B$1:B3910,$A$2:$A$4629),0,0),0)),"",INDEX($A$2:$A$4629,MATCH(0,INDEX(COUNTIF($B$1:B3910,$A$2:$A$4629),0,0),0)))</f>
        <v/>
      </c>
      <c r="C3911" t="str">
        <f t="shared" si="61"/>
        <v/>
      </c>
    </row>
    <row r="3912" spans="1:3" x14ac:dyDescent="0.25">
      <c r="A3912" t="str">
        <f>IF(Scan2VK!AC32&lt;&gt;"",Scan2VK!AC32,"")</f>
        <v>'A'</v>
      </c>
      <c r="B3912" t="str">
        <f>IF(ISERROR(MATCH(0,INDEX(COUNTIF($B$1:B3911,$A$2:$A$4629),0,0),0)),"",INDEX($A$2:$A$4629,MATCH(0,INDEX(COUNTIF($B$1:B3911,$A$2:$A$4629),0,0),0)))</f>
        <v/>
      </c>
      <c r="C3912" t="str">
        <f t="shared" si="61"/>
        <v/>
      </c>
    </row>
    <row r="3913" spans="1:3" x14ac:dyDescent="0.25">
      <c r="A3913" t="str">
        <f>IF(Scan2VK!AC33&lt;&gt;"",Scan2VK!AC33,"")</f>
        <v>'S'</v>
      </c>
      <c r="B3913" t="str">
        <f>IF(ISERROR(MATCH(0,INDEX(COUNTIF($B$1:B3912,$A$2:$A$4629),0,0),0)),"",INDEX($A$2:$A$4629,MATCH(0,INDEX(COUNTIF($B$1:B3912,$A$2:$A$4629),0,0),0)))</f>
        <v/>
      </c>
      <c r="C3913" t="str">
        <f t="shared" si="61"/>
        <v/>
      </c>
    </row>
    <row r="3914" spans="1:3" x14ac:dyDescent="0.25">
      <c r="A3914" t="str">
        <f>IF(Scan2VK!AC34&lt;&gt;"",Scan2VK!AC34,"")</f>
        <v>'D'</v>
      </c>
      <c r="B3914" t="str">
        <f>IF(ISERROR(MATCH(0,INDEX(COUNTIF($B$1:B3913,$A$2:$A$4629),0,0),0)),"",INDEX($A$2:$A$4629,MATCH(0,INDEX(COUNTIF($B$1:B3913,$A$2:$A$4629),0,0),0)))</f>
        <v/>
      </c>
      <c r="C3914" t="str">
        <f t="shared" si="61"/>
        <v/>
      </c>
    </row>
    <row r="3915" spans="1:3" x14ac:dyDescent="0.25">
      <c r="A3915" t="str">
        <f>IF(Scan2VK!AC35&lt;&gt;"",Scan2VK!AC35,"")</f>
        <v>'F'</v>
      </c>
      <c r="B3915" t="str">
        <f>IF(ISERROR(MATCH(0,INDEX(COUNTIF($B$1:B3914,$A$2:$A$4629),0,0),0)),"",INDEX($A$2:$A$4629,MATCH(0,INDEX(COUNTIF($B$1:B3914,$A$2:$A$4629),0,0),0)))</f>
        <v/>
      </c>
      <c r="C3915" t="str">
        <f t="shared" si="61"/>
        <v/>
      </c>
    </row>
    <row r="3916" spans="1:3" x14ac:dyDescent="0.25">
      <c r="A3916" t="str">
        <f>IF(Scan2VK!AC36&lt;&gt;"",Scan2VK!AC36,"")</f>
        <v>'G'</v>
      </c>
      <c r="B3916" t="str">
        <f>IF(ISERROR(MATCH(0,INDEX(COUNTIF($B$1:B3915,$A$2:$A$4629),0,0),0)),"",INDEX($A$2:$A$4629,MATCH(0,INDEX(COUNTIF($B$1:B3915,$A$2:$A$4629),0,0),0)))</f>
        <v/>
      </c>
      <c r="C3916" t="str">
        <f t="shared" si="61"/>
        <v/>
      </c>
    </row>
    <row r="3917" spans="1:3" x14ac:dyDescent="0.25">
      <c r="A3917" t="str">
        <f>IF(Scan2VK!AC37&lt;&gt;"",Scan2VK!AC37,"")</f>
        <v>'H'</v>
      </c>
      <c r="B3917" t="str">
        <f>IF(ISERROR(MATCH(0,INDEX(COUNTIF($B$1:B3916,$A$2:$A$4629),0,0),0)),"",INDEX($A$2:$A$4629,MATCH(0,INDEX(COUNTIF($B$1:B3916,$A$2:$A$4629),0,0),0)))</f>
        <v/>
      </c>
      <c r="C3917" t="str">
        <f t="shared" si="61"/>
        <v/>
      </c>
    </row>
    <row r="3918" spans="1:3" x14ac:dyDescent="0.25">
      <c r="A3918" t="str">
        <f>IF(Scan2VK!AC38&lt;&gt;"",Scan2VK!AC38,"")</f>
        <v>'J'</v>
      </c>
      <c r="B3918" t="str">
        <f>IF(ISERROR(MATCH(0,INDEX(COUNTIF($B$1:B3917,$A$2:$A$4629),0,0),0)),"",INDEX($A$2:$A$4629,MATCH(0,INDEX(COUNTIF($B$1:B3917,$A$2:$A$4629),0,0),0)))</f>
        <v/>
      </c>
      <c r="C3918" t="str">
        <f t="shared" si="61"/>
        <v/>
      </c>
    </row>
    <row r="3919" spans="1:3" x14ac:dyDescent="0.25">
      <c r="A3919" t="str">
        <f>IF(Scan2VK!AC39&lt;&gt;"",Scan2VK!AC39,"")</f>
        <v>'K'</v>
      </c>
      <c r="B3919" t="str">
        <f>IF(ISERROR(MATCH(0,INDEX(COUNTIF($B$1:B3918,$A$2:$A$4629),0,0),0)),"",INDEX($A$2:$A$4629,MATCH(0,INDEX(COUNTIF($B$1:B3918,$A$2:$A$4629),0,0),0)))</f>
        <v/>
      </c>
      <c r="C3919" t="str">
        <f t="shared" si="61"/>
        <v/>
      </c>
    </row>
    <row r="3920" spans="1:3" x14ac:dyDescent="0.25">
      <c r="A3920" t="str">
        <f>IF(Scan2VK!AC40&lt;&gt;"",Scan2VK!AC40,"")</f>
        <v>'L'</v>
      </c>
      <c r="B3920" t="str">
        <f>IF(ISERROR(MATCH(0,INDEX(COUNTIF($B$1:B3919,$A$2:$A$4629),0,0),0)),"",INDEX($A$2:$A$4629,MATCH(0,INDEX(COUNTIF($B$1:B3919,$A$2:$A$4629),0,0),0)))</f>
        <v/>
      </c>
      <c r="C3920" t="str">
        <f t="shared" si="61"/>
        <v/>
      </c>
    </row>
    <row r="3921" spans="1:3" x14ac:dyDescent="0.25">
      <c r="A3921" t="str">
        <f>IF(Scan2VK!AC41&lt;&gt;"",Scan2VK!AC41,"")</f>
        <v>OEM_PLUS</v>
      </c>
      <c r="B3921" t="str">
        <f>IF(ISERROR(MATCH(0,INDEX(COUNTIF($B$1:B3920,$A$2:$A$4629),0,0),0)),"",INDEX($A$2:$A$4629,MATCH(0,INDEX(COUNTIF($B$1:B3920,$A$2:$A$4629),0,0),0)))</f>
        <v/>
      </c>
      <c r="C3921" t="str">
        <f t="shared" si="61"/>
        <v/>
      </c>
    </row>
    <row r="3922" spans="1:3" x14ac:dyDescent="0.25">
      <c r="A3922" t="str">
        <f>IF(Scan2VK!AC42&lt;&gt;"",Scan2VK!AC42,"")</f>
        <v>OEM_1</v>
      </c>
      <c r="B3922" t="str">
        <f>IF(ISERROR(MATCH(0,INDEX(COUNTIF($B$1:B3921,$A$2:$A$4629),0,0),0)),"",INDEX($A$2:$A$4629,MATCH(0,INDEX(COUNTIF($B$1:B3921,$A$2:$A$4629),0,0),0)))</f>
        <v/>
      </c>
      <c r="C3922" t="str">
        <f t="shared" si="61"/>
        <v/>
      </c>
    </row>
    <row r="3923" spans="1:3" x14ac:dyDescent="0.25">
      <c r="A3923" t="str">
        <f>IF(Scan2VK!AC43&lt;&gt;"",Scan2VK!AC43,"")</f>
        <v>_none_</v>
      </c>
      <c r="B3923" t="str">
        <f>IF(ISERROR(MATCH(0,INDEX(COUNTIF($B$1:B3922,$A$2:$A$4629),0,0),0)),"",INDEX($A$2:$A$4629,MATCH(0,INDEX(COUNTIF($B$1:B3922,$A$2:$A$4629),0,0),0)))</f>
        <v/>
      </c>
      <c r="C3923" t="str">
        <f t="shared" si="61"/>
        <v/>
      </c>
    </row>
    <row r="3924" spans="1:3" x14ac:dyDescent="0.25">
      <c r="A3924" t="str">
        <f>IF(Scan2VK!AC44&lt;&gt;"",Scan2VK!AC44,"")</f>
        <v>LSHIFT</v>
      </c>
      <c r="B3924" t="str">
        <f>IF(ISERROR(MATCH(0,INDEX(COUNTIF($B$1:B3923,$A$2:$A$4629),0,0),0)),"",INDEX($A$2:$A$4629,MATCH(0,INDEX(COUNTIF($B$1:B3923,$A$2:$A$4629),0,0),0)))</f>
        <v/>
      </c>
      <c r="C3924" t="str">
        <f t="shared" si="61"/>
        <v/>
      </c>
    </row>
    <row r="3925" spans="1:3" x14ac:dyDescent="0.25">
      <c r="A3925" t="str">
        <f>IF(Scan2VK!AC45&lt;&gt;"",Scan2VK!AC45,"")</f>
        <v>OEM_6</v>
      </c>
      <c r="B3925" t="str">
        <f>IF(ISERROR(MATCH(0,INDEX(COUNTIF($B$1:B3924,$A$2:$A$4629),0,0),0)),"",INDEX($A$2:$A$4629,MATCH(0,INDEX(COUNTIF($B$1:B3924,$A$2:$A$4629),0,0),0)))</f>
        <v/>
      </c>
      <c r="C3925" t="str">
        <f t="shared" si="61"/>
        <v/>
      </c>
    </row>
    <row r="3926" spans="1:3" x14ac:dyDescent="0.25">
      <c r="A3926" t="str">
        <f>IF(Scan2VK!AC46&lt;&gt;"",Scan2VK!AC46,"")</f>
        <v>'Z'</v>
      </c>
      <c r="B3926" t="str">
        <f>IF(ISERROR(MATCH(0,INDEX(COUNTIF($B$1:B3925,$A$2:$A$4629),0,0),0)),"",INDEX($A$2:$A$4629,MATCH(0,INDEX(COUNTIF($B$1:B3925,$A$2:$A$4629),0,0),0)))</f>
        <v/>
      </c>
      <c r="C3926" t="str">
        <f t="shared" si="61"/>
        <v/>
      </c>
    </row>
    <row r="3927" spans="1:3" x14ac:dyDescent="0.25">
      <c r="A3927" t="str">
        <f>IF(Scan2VK!AC47&lt;&gt;"",Scan2VK!AC47,"")</f>
        <v>'X'</v>
      </c>
      <c r="B3927" t="str">
        <f>IF(ISERROR(MATCH(0,INDEX(COUNTIF($B$1:B3926,$A$2:$A$4629),0,0),0)),"",INDEX($A$2:$A$4629,MATCH(0,INDEX(COUNTIF($B$1:B3926,$A$2:$A$4629),0,0),0)))</f>
        <v/>
      </c>
      <c r="C3927" t="str">
        <f t="shared" si="61"/>
        <v/>
      </c>
    </row>
    <row r="3928" spans="1:3" x14ac:dyDescent="0.25">
      <c r="A3928" t="str">
        <f>IF(Scan2VK!AC48&lt;&gt;"",Scan2VK!AC48,"")</f>
        <v>'C'</v>
      </c>
      <c r="B3928" t="str">
        <f>IF(ISERROR(MATCH(0,INDEX(COUNTIF($B$1:B3927,$A$2:$A$4629),0,0),0)),"",INDEX($A$2:$A$4629,MATCH(0,INDEX(COUNTIF($B$1:B3927,$A$2:$A$4629),0,0),0)))</f>
        <v/>
      </c>
      <c r="C3928" t="str">
        <f t="shared" si="61"/>
        <v/>
      </c>
    </row>
    <row r="3929" spans="1:3" x14ac:dyDescent="0.25">
      <c r="A3929" t="str">
        <f>IF(Scan2VK!AC49&lt;&gt;"",Scan2VK!AC49,"")</f>
        <v>'V'</v>
      </c>
      <c r="B3929" t="str">
        <f>IF(ISERROR(MATCH(0,INDEX(COUNTIF($B$1:B3928,$A$2:$A$4629),0,0),0)),"",INDEX($A$2:$A$4629,MATCH(0,INDEX(COUNTIF($B$1:B3928,$A$2:$A$4629),0,0),0)))</f>
        <v/>
      </c>
      <c r="C3929" t="str">
        <f t="shared" si="61"/>
        <v/>
      </c>
    </row>
    <row r="3930" spans="1:3" x14ac:dyDescent="0.25">
      <c r="A3930" t="str">
        <f>IF(Scan2VK!AC50&lt;&gt;"",Scan2VK!AC50,"")</f>
        <v>'B'</v>
      </c>
      <c r="B3930" t="str">
        <f>IF(ISERROR(MATCH(0,INDEX(COUNTIF($B$1:B3929,$A$2:$A$4629),0,0),0)),"",INDEX($A$2:$A$4629,MATCH(0,INDEX(COUNTIF($B$1:B3929,$A$2:$A$4629),0,0),0)))</f>
        <v/>
      </c>
      <c r="C3930" t="str">
        <f t="shared" si="61"/>
        <v/>
      </c>
    </row>
    <row r="3931" spans="1:3" x14ac:dyDescent="0.25">
      <c r="A3931" t="str">
        <f>IF(Scan2VK!AC51&lt;&gt;"",Scan2VK!AC51,"")</f>
        <v>'N'</v>
      </c>
      <c r="B3931" t="str">
        <f>IF(ISERROR(MATCH(0,INDEX(COUNTIF($B$1:B3930,$A$2:$A$4629),0,0),0)),"",INDEX($A$2:$A$4629,MATCH(0,INDEX(COUNTIF($B$1:B3930,$A$2:$A$4629),0,0),0)))</f>
        <v/>
      </c>
      <c r="C3931" t="str">
        <f t="shared" si="61"/>
        <v/>
      </c>
    </row>
    <row r="3932" spans="1:3" x14ac:dyDescent="0.25">
      <c r="A3932" t="str">
        <f>IF(Scan2VK!AC52&lt;&gt;"",Scan2VK!AC52,"")</f>
        <v>'M'</v>
      </c>
      <c r="B3932" t="str">
        <f>IF(ISERROR(MATCH(0,INDEX(COUNTIF($B$1:B3931,$A$2:$A$4629),0,0),0)),"",INDEX($A$2:$A$4629,MATCH(0,INDEX(COUNTIF($B$1:B3931,$A$2:$A$4629),0,0),0)))</f>
        <v/>
      </c>
      <c r="C3932" t="str">
        <f t="shared" si="61"/>
        <v/>
      </c>
    </row>
    <row r="3933" spans="1:3" x14ac:dyDescent="0.25">
      <c r="A3933" t="str">
        <f>IF(Scan2VK!AC53&lt;&gt;"",Scan2VK!AC53,"")</f>
        <v>OEM_COMMA</v>
      </c>
      <c r="B3933" t="str">
        <f>IF(ISERROR(MATCH(0,INDEX(COUNTIF($B$1:B3932,$A$2:$A$4629),0,0),0)),"",INDEX($A$2:$A$4629,MATCH(0,INDEX(COUNTIF($B$1:B3932,$A$2:$A$4629),0,0),0)))</f>
        <v/>
      </c>
      <c r="C3933" t="str">
        <f t="shared" si="61"/>
        <v/>
      </c>
    </row>
    <row r="3934" spans="1:3" x14ac:dyDescent="0.25">
      <c r="A3934" t="str">
        <f>IF(Scan2VK!AC54&lt;&gt;"",Scan2VK!AC54,"")</f>
        <v>OEM_PERIOD</v>
      </c>
      <c r="B3934" t="str">
        <f>IF(ISERROR(MATCH(0,INDEX(COUNTIF($B$1:B3933,$A$2:$A$4629),0,0),0)),"",INDEX($A$2:$A$4629,MATCH(0,INDEX(COUNTIF($B$1:B3933,$A$2:$A$4629),0,0),0)))</f>
        <v/>
      </c>
      <c r="C3934" t="str">
        <f t="shared" si="61"/>
        <v/>
      </c>
    </row>
    <row r="3935" spans="1:3" x14ac:dyDescent="0.25">
      <c r="A3935" t="str">
        <f>IF(Scan2VK!AC55&lt;&gt;"",Scan2VK!AC55,"")</f>
        <v>OEM_2</v>
      </c>
      <c r="B3935" t="str">
        <f>IF(ISERROR(MATCH(0,INDEX(COUNTIF($B$1:B3934,$A$2:$A$4629),0,0),0)),"",INDEX($A$2:$A$4629,MATCH(0,INDEX(COUNTIF($B$1:B3934,$A$2:$A$4629),0,0),0)))</f>
        <v/>
      </c>
      <c r="C3935" t="str">
        <f t="shared" si="61"/>
        <v/>
      </c>
    </row>
    <row r="3936" spans="1:3" x14ac:dyDescent="0.25">
      <c r="A3936" t="str">
        <f>IF(Scan2VK!AC56&lt;&gt;"",Scan2VK!AC56,"")</f>
        <v>RSHIFT</v>
      </c>
      <c r="B3936" t="str">
        <f>IF(ISERROR(MATCH(0,INDEX(COUNTIF($B$1:B3935,$A$2:$A$4629),0,0),0)),"",INDEX($A$2:$A$4629,MATCH(0,INDEX(COUNTIF($B$1:B3935,$A$2:$A$4629),0,0),0)))</f>
        <v/>
      </c>
      <c r="C3936" t="str">
        <f t="shared" si="61"/>
        <v/>
      </c>
    </row>
    <row r="3937" spans="1:3" x14ac:dyDescent="0.25">
      <c r="A3937" t="str">
        <f>IF(Scan2VK!AC57&lt;&gt;"",Scan2VK!AC57,"")</f>
        <v>MULTIPLY</v>
      </c>
      <c r="B3937" t="str">
        <f>IF(ISERROR(MATCH(0,INDEX(COUNTIF($B$1:B3936,$A$2:$A$4629),0,0),0)),"",INDEX($A$2:$A$4629,MATCH(0,INDEX(COUNTIF($B$1:B3936,$A$2:$A$4629),0,0),0)))</f>
        <v/>
      </c>
      <c r="C3937" t="str">
        <f t="shared" si="61"/>
        <v/>
      </c>
    </row>
    <row r="3938" spans="1:3" x14ac:dyDescent="0.25">
      <c r="A3938" t="str">
        <f>IF(Scan2VK!AC58&lt;&gt;"",Scan2VK!AC58,"")</f>
        <v>LMENU</v>
      </c>
      <c r="B3938" t="str">
        <f>IF(ISERROR(MATCH(0,INDEX(COUNTIF($B$1:B3937,$A$2:$A$4629),0,0),0)),"",INDEX($A$2:$A$4629,MATCH(0,INDEX(COUNTIF($B$1:B3937,$A$2:$A$4629),0,0),0)))</f>
        <v/>
      </c>
      <c r="C3938" t="str">
        <f t="shared" si="61"/>
        <v/>
      </c>
    </row>
    <row r="3939" spans="1:3" x14ac:dyDescent="0.25">
      <c r="A3939" t="str">
        <f>IF(Scan2VK!AC59&lt;&gt;"",Scan2VK!AC59,"")</f>
        <v>''</v>
      </c>
      <c r="B3939" t="str">
        <f>IF(ISERROR(MATCH(0,INDEX(COUNTIF($B$1:B3938,$A$2:$A$4629),0,0),0)),"",INDEX($A$2:$A$4629,MATCH(0,INDEX(COUNTIF($B$1:B3938,$A$2:$A$4629),0,0),0)))</f>
        <v/>
      </c>
      <c r="C3939" t="str">
        <f t="shared" si="61"/>
        <v/>
      </c>
    </row>
    <row r="3940" spans="1:3" x14ac:dyDescent="0.25">
      <c r="A3940" t="str">
        <f>IF(Scan2VK!AC60&lt;&gt;"",Scan2VK!AC60,"")</f>
        <v>CAPITAL</v>
      </c>
      <c r="B3940" t="str">
        <f>IF(ISERROR(MATCH(0,INDEX(COUNTIF($B$1:B3939,$A$2:$A$4629),0,0),0)),"",INDEX($A$2:$A$4629,MATCH(0,INDEX(COUNTIF($B$1:B3939,$A$2:$A$4629),0,0),0)))</f>
        <v/>
      </c>
      <c r="C3940" t="str">
        <f t="shared" si="61"/>
        <v/>
      </c>
    </row>
    <row r="3941" spans="1:3" x14ac:dyDescent="0.25">
      <c r="A3941" t="str">
        <f>IF(Scan2VK!AC61&lt;&gt;"",Scan2VK!AC61,"")</f>
        <v>F1</v>
      </c>
      <c r="B3941" t="str">
        <f>IF(ISERROR(MATCH(0,INDEX(COUNTIF($B$1:B3940,$A$2:$A$4629),0,0),0)),"",INDEX($A$2:$A$4629,MATCH(0,INDEX(COUNTIF($B$1:B3940,$A$2:$A$4629),0,0),0)))</f>
        <v/>
      </c>
      <c r="C3941" t="str">
        <f t="shared" si="61"/>
        <v/>
      </c>
    </row>
    <row r="3942" spans="1:3" x14ac:dyDescent="0.25">
      <c r="A3942" t="str">
        <f>IF(Scan2VK!AC62&lt;&gt;"",Scan2VK!AC62,"")</f>
        <v>F2</v>
      </c>
      <c r="B3942" t="str">
        <f>IF(ISERROR(MATCH(0,INDEX(COUNTIF($B$1:B3941,$A$2:$A$4629),0,0),0)),"",INDEX($A$2:$A$4629,MATCH(0,INDEX(COUNTIF($B$1:B3941,$A$2:$A$4629),0,0),0)))</f>
        <v/>
      </c>
      <c r="C3942" t="str">
        <f t="shared" si="61"/>
        <v/>
      </c>
    </row>
    <row r="3943" spans="1:3" x14ac:dyDescent="0.25">
      <c r="A3943" t="str">
        <f>IF(Scan2VK!AC63&lt;&gt;"",Scan2VK!AC63,"")</f>
        <v>F3</v>
      </c>
      <c r="B3943" t="str">
        <f>IF(ISERROR(MATCH(0,INDEX(COUNTIF($B$1:B3942,$A$2:$A$4629),0,0),0)),"",INDEX($A$2:$A$4629,MATCH(0,INDEX(COUNTIF($B$1:B3942,$A$2:$A$4629),0,0),0)))</f>
        <v/>
      </c>
      <c r="C3943" t="str">
        <f t="shared" si="61"/>
        <v/>
      </c>
    </row>
    <row r="3944" spans="1:3" x14ac:dyDescent="0.25">
      <c r="A3944" t="str">
        <f>IF(Scan2VK!AC64&lt;&gt;"",Scan2VK!AC64,"")</f>
        <v>F4</v>
      </c>
      <c r="B3944" t="str">
        <f>IF(ISERROR(MATCH(0,INDEX(COUNTIF($B$1:B3943,$A$2:$A$4629),0,0),0)),"",INDEX($A$2:$A$4629,MATCH(0,INDEX(COUNTIF($B$1:B3943,$A$2:$A$4629),0,0),0)))</f>
        <v/>
      </c>
      <c r="C3944" t="str">
        <f t="shared" si="61"/>
        <v/>
      </c>
    </row>
    <row r="3945" spans="1:3" x14ac:dyDescent="0.25">
      <c r="A3945" t="str">
        <f>IF(Scan2VK!AC65&lt;&gt;"",Scan2VK!AC65,"")</f>
        <v>F5</v>
      </c>
      <c r="B3945" t="str">
        <f>IF(ISERROR(MATCH(0,INDEX(COUNTIF($B$1:B3944,$A$2:$A$4629),0,0),0)),"",INDEX($A$2:$A$4629,MATCH(0,INDEX(COUNTIF($B$1:B3944,$A$2:$A$4629),0,0),0)))</f>
        <v/>
      </c>
      <c r="C3945" t="str">
        <f t="shared" si="61"/>
        <v/>
      </c>
    </row>
    <row r="3946" spans="1:3" x14ac:dyDescent="0.25">
      <c r="A3946" t="str">
        <f>IF(Scan2VK!AC66&lt;&gt;"",Scan2VK!AC66,"")</f>
        <v>F6</v>
      </c>
      <c r="B3946" t="str">
        <f>IF(ISERROR(MATCH(0,INDEX(COUNTIF($B$1:B3945,$A$2:$A$4629),0,0),0)),"",INDEX($A$2:$A$4629,MATCH(0,INDEX(COUNTIF($B$1:B3945,$A$2:$A$4629),0,0),0)))</f>
        <v/>
      </c>
      <c r="C3946" t="str">
        <f t="shared" si="61"/>
        <v/>
      </c>
    </row>
    <row r="3947" spans="1:3" x14ac:dyDescent="0.25">
      <c r="A3947" t="str">
        <f>IF(Scan2VK!AC67&lt;&gt;"",Scan2VK!AC67,"")</f>
        <v>F7</v>
      </c>
      <c r="B3947" t="str">
        <f>IF(ISERROR(MATCH(0,INDEX(COUNTIF($B$1:B3946,$A$2:$A$4629),0,0),0)),"",INDEX($A$2:$A$4629,MATCH(0,INDEX(COUNTIF($B$1:B3946,$A$2:$A$4629),0,0),0)))</f>
        <v/>
      </c>
      <c r="C3947" t="str">
        <f t="shared" si="61"/>
        <v/>
      </c>
    </row>
    <row r="3948" spans="1:3" x14ac:dyDescent="0.25">
      <c r="A3948" t="str">
        <f>IF(Scan2VK!AC68&lt;&gt;"",Scan2VK!AC68,"")</f>
        <v>F8</v>
      </c>
      <c r="B3948" t="str">
        <f>IF(ISERROR(MATCH(0,INDEX(COUNTIF($B$1:B3947,$A$2:$A$4629),0,0),0)),"",INDEX($A$2:$A$4629,MATCH(0,INDEX(COUNTIF($B$1:B3947,$A$2:$A$4629),0,0),0)))</f>
        <v/>
      </c>
      <c r="C3948" t="str">
        <f t="shared" si="61"/>
        <v/>
      </c>
    </row>
    <row r="3949" spans="1:3" x14ac:dyDescent="0.25">
      <c r="A3949" t="str">
        <f>IF(Scan2VK!AC69&lt;&gt;"",Scan2VK!AC69,"")</f>
        <v>F9</v>
      </c>
      <c r="B3949" t="str">
        <f>IF(ISERROR(MATCH(0,INDEX(COUNTIF($B$1:B3948,$A$2:$A$4629),0,0),0)),"",INDEX($A$2:$A$4629,MATCH(0,INDEX(COUNTIF($B$1:B3948,$A$2:$A$4629),0,0),0)))</f>
        <v/>
      </c>
      <c r="C3949" t="str">
        <f t="shared" si="61"/>
        <v/>
      </c>
    </row>
    <row r="3950" spans="1:3" x14ac:dyDescent="0.25">
      <c r="A3950" t="str">
        <f>IF(Scan2VK!AC70&lt;&gt;"",Scan2VK!AC70,"")</f>
        <v>F10</v>
      </c>
      <c r="B3950" t="str">
        <f>IF(ISERROR(MATCH(0,INDEX(COUNTIF($B$1:B3949,$A$2:$A$4629),0,0),0)),"",INDEX($A$2:$A$4629,MATCH(0,INDEX(COUNTIF($B$1:B3949,$A$2:$A$4629),0,0),0)))</f>
        <v/>
      </c>
      <c r="C3950" t="str">
        <f t="shared" si="61"/>
        <v/>
      </c>
    </row>
    <row r="3951" spans="1:3" x14ac:dyDescent="0.25">
      <c r="A3951" t="str">
        <f>IF(Scan2VK!AC71&lt;&gt;"",Scan2VK!AC71,"")</f>
        <v>NUMLOCK</v>
      </c>
      <c r="B3951" t="str">
        <f>IF(ISERROR(MATCH(0,INDEX(COUNTIF($B$1:B3950,$A$2:$A$4629),0,0),0)),"",INDEX($A$2:$A$4629,MATCH(0,INDEX(COUNTIF($B$1:B3950,$A$2:$A$4629),0,0),0)))</f>
        <v/>
      </c>
      <c r="C3951" t="str">
        <f t="shared" si="61"/>
        <v/>
      </c>
    </row>
    <row r="3952" spans="1:3" x14ac:dyDescent="0.25">
      <c r="A3952" t="str">
        <f>IF(Scan2VK!AC72&lt;&gt;"",Scan2VK!AC72,"")</f>
        <v>SCROLL</v>
      </c>
      <c r="B3952" t="str">
        <f>IF(ISERROR(MATCH(0,INDEX(COUNTIF($B$1:B3951,$A$2:$A$4629),0,0),0)),"",INDEX($A$2:$A$4629,MATCH(0,INDEX(COUNTIF($B$1:B3951,$A$2:$A$4629),0,0),0)))</f>
        <v/>
      </c>
      <c r="C3952" t="str">
        <f t="shared" si="61"/>
        <v/>
      </c>
    </row>
    <row r="3953" spans="1:3" x14ac:dyDescent="0.25">
      <c r="A3953" t="str">
        <f>IF(Scan2VK!AC73&lt;&gt;"",Scan2VK!AC73,"")</f>
        <v>HOME</v>
      </c>
      <c r="B3953" t="str">
        <f>IF(ISERROR(MATCH(0,INDEX(COUNTIF($B$1:B3952,$A$2:$A$4629),0,0),0)),"",INDEX($A$2:$A$4629,MATCH(0,INDEX(COUNTIF($B$1:B3952,$A$2:$A$4629),0,0),0)))</f>
        <v/>
      </c>
      <c r="C3953" t="str">
        <f t="shared" si="61"/>
        <v/>
      </c>
    </row>
    <row r="3954" spans="1:3" x14ac:dyDescent="0.25">
      <c r="A3954" t="str">
        <f>IF(Scan2VK!AC74&lt;&gt;"",Scan2VK!AC74,"")</f>
        <v>UP</v>
      </c>
      <c r="B3954" t="str">
        <f>IF(ISERROR(MATCH(0,INDEX(COUNTIF($B$1:B3953,$A$2:$A$4629),0,0),0)),"",INDEX($A$2:$A$4629,MATCH(0,INDEX(COUNTIF($B$1:B3953,$A$2:$A$4629),0,0),0)))</f>
        <v/>
      </c>
      <c r="C3954" t="str">
        <f t="shared" si="61"/>
        <v/>
      </c>
    </row>
    <row r="3955" spans="1:3" x14ac:dyDescent="0.25">
      <c r="A3955" t="str">
        <f>IF(Scan2VK!AC75&lt;&gt;"",Scan2VK!AC75,"")</f>
        <v>PRIOR</v>
      </c>
      <c r="B3955" t="str">
        <f>IF(ISERROR(MATCH(0,INDEX(COUNTIF($B$1:B3954,$A$2:$A$4629),0,0),0)),"",INDEX($A$2:$A$4629,MATCH(0,INDEX(COUNTIF($B$1:B3954,$A$2:$A$4629),0,0),0)))</f>
        <v/>
      </c>
      <c r="C3955" t="str">
        <f t="shared" si="61"/>
        <v/>
      </c>
    </row>
    <row r="3956" spans="1:3" x14ac:dyDescent="0.25">
      <c r="A3956" t="str">
        <f>IF(Scan2VK!AC76&lt;&gt;"",Scan2VK!AC76,"")</f>
        <v>SUBTRACT</v>
      </c>
      <c r="B3956" t="str">
        <f>IF(ISERROR(MATCH(0,INDEX(COUNTIF($B$1:B3955,$A$2:$A$4629),0,0),0)),"",INDEX($A$2:$A$4629,MATCH(0,INDEX(COUNTIF($B$1:B3955,$A$2:$A$4629),0,0),0)))</f>
        <v/>
      </c>
      <c r="C3956" t="str">
        <f t="shared" si="61"/>
        <v/>
      </c>
    </row>
    <row r="3957" spans="1:3" x14ac:dyDescent="0.25">
      <c r="A3957" t="str">
        <f>IF(Scan2VK!AC77&lt;&gt;"",Scan2VK!AC77,"")</f>
        <v>LEFT</v>
      </c>
      <c r="B3957" t="str">
        <f>IF(ISERROR(MATCH(0,INDEX(COUNTIF($B$1:B3956,$A$2:$A$4629),0,0),0)),"",INDEX($A$2:$A$4629,MATCH(0,INDEX(COUNTIF($B$1:B3956,$A$2:$A$4629),0,0),0)))</f>
        <v/>
      </c>
      <c r="C3957" t="str">
        <f t="shared" si="61"/>
        <v/>
      </c>
    </row>
    <row r="3958" spans="1:3" x14ac:dyDescent="0.25">
      <c r="A3958" t="str">
        <f>IF(Scan2VK!AC78&lt;&gt;"",Scan2VK!AC78,"")</f>
        <v>CLEAR</v>
      </c>
      <c r="B3958" t="str">
        <f>IF(ISERROR(MATCH(0,INDEX(COUNTIF($B$1:B3957,$A$2:$A$4629),0,0),0)),"",INDEX($A$2:$A$4629,MATCH(0,INDEX(COUNTIF($B$1:B3957,$A$2:$A$4629),0,0),0)))</f>
        <v/>
      </c>
      <c r="C3958" t="str">
        <f t="shared" si="61"/>
        <v/>
      </c>
    </row>
    <row r="3959" spans="1:3" x14ac:dyDescent="0.25">
      <c r="A3959" t="str">
        <f>IF(Scan2VK!AC79&lt;&gt;"",Scan2VK!AC79,"")</f>
        <v>RIGHT</v>
      </c>
      <c r="B3959" t="str">
        <f>IF(ISERROR(MATCH(0,INDEX(COUNTIF($B$1:B3958,$A$2:$A$4629),0,0),0)),"",INDEX($A$2:$A$4629,MATCH(0,INDEX(COUNTIF($B$1:B3958,$A$2:$A$4629),0,0),0)))</f>
        <v/>
      </c>
      <c r="C3959" t="str">
        <f t="shared" si="61"/>
        <v/>
      </c>
    </row>
    <row r="3960" spans="1:3" x14ac:dyDescent="0.25">
      <c r="A3960" t="str">
        <f>IF(Scan2VK!AC80&lt;&gt;"",Scan2VK!AC80,"")</f>
        <v>ADD</v>
      </c>
      <c r="B3960" t="str">
        <f>IF(ISERROR(MATCH(0,INDEX(COUNTIF($B$1:B3959,$A$2:$A$4629),0,0),0)),"",INDEX($A$2:$A$4629,MATCH(0,INDEX(COUNTIF($B$1:B3959,$A$2:$A$4629),0,0),0)))</f>
        <v/>
      </c>
      <c r="C3960" t="str">
        <f t="shared" si="61"/>
        <v/>
      </c>
    </row>
    <row r="3961" spans="1:3" x14ac:dyDescent="0.25">
      <c r="A3961" t="str">
        <f>IF(Scan2VK!AC81&lt;&gt;"",Scan2VK!AC81,"")</f>
        <v>END</v>
      </c>
      <c r="B3961" t="str">
        <f>IF(ISERROR(MATCH(0,INDEX(COUNTIF($B$1:B3960,$A$2:$A$4629),0,0),0)),"",INDEX($A$2:$A$4629,MATCH(0,INDEX(COUNTIF($B$1:B3960,$A$2:$A$4629),0,0),0)))</f>
        <v/>
      </c>
      <c r="C3961" t="str">
        <f t="shared" si="61"/>
        <v/>
      </c>
    </row>
    <row r="3962" spans="1:3" x14ac:dyDescent="0.25">
      <c r="A3962" t="str">
        <f>IF(Scan2VK!AC82&lt;&gt;"",Scan2VK!AC82,"")</f>
        <v>DOWN</v>
      </c>
      <c r="B3962" t="str">
        <f>IF(ISERROR(MATCH(0,INDEX(COUNTIF($B$1:B3961,$A$2:$A$4629),0,0),0)),"",INDEX($A$2:$A$4629,MATCH(0,INDEX(COUNTIF($B$1:B3961,$A$2:$A$4629),0,0),0)))</f>
        <v/>
      </c>
      <c r="C3962" t="str">
        <f t="shared" si="61"/>
        <v/>
      </c>
    </row>
    <row r="3963" spans="1:3" x14ac:dyDescent="0.25">
      <c r="A3963" t="str">
        <f>IF(Scan2VK!AC83&lt;&gt;"",Scan2VK!AC83,"")</f>
        <v>NEXT</v>
      </c>
      <c r="B3963" t="str">
        <f>IF(ISERROR(MATCH(0,INDEX(COUNTIF($B$1:B3962,$A$2:$A$4629),0,0),0)),"",INDEX($A$2:$A$4629,MATCH(0,INDEX(COUNTIF($B$1:B3962,$A$2:$A$4629),0,0),0)))</f>
        <v/>
      </c>
      <c r="C3963" t="str">
        <f t="shared" si="61"/>
        <v/>
      </c>
    </row>
    <row r="3964" spans="1:3" x14ac:dyDescent="0.25">
      <c r="A3964" t="str">
        <f>IF(Scan2VK!AC84&lt;&gt;"",Scan2VK!AC84,"")</f>
        <v>INSERT</v>
      </c>
      <c r="B3964" t="str">
        <f>IF(ISERROR(MATCH(0,INDEX(COUNTIF($B$1:B3963,$A$2:$A$4629),0,0),0)),"",INDEX($A$2:$A$4629,MATCH(0,INDEX(COUNTIF($B$1:B3963,$A$2:$A$4629),0,0),0)))</f>
        <v/>
      </c>
      <c r="C3964" t="str">
        <f t="shared" si="61"/>
        <v/>
      </c>
    </row>
    <row r="3965" spans="1:3" x14ac:dyDescent="0.25">
      <c r="A3965" t="str">
        <f>IF(Scan2VK!AC85&lt;&gt;"",Scan2VK!AC85,"")</f>
        <v>DELETE</v>
      </c>
      <c r="B3965" t="str">
        <f>IF(ISERROR(MATCH(0,INDEX(COUNTIF($B$1:B3964,$A$2:$A$4629),0,0),0)),"",INDEX($A$2:$A$4629,MATCH(0,INDEX(COUNTIF($B$1:B3964,$A$2:$A$4629),0,0),0)))</f>
        <v/>
      </c>
      <c r="C3965" t="str">
        <f t="shared" si="61"/>
        <v/>
      </c>
    </row>
    <row r="3966" spans="1:3" x14ac:dyDescent="0.25">
      <c r="A3966" t="str">
        <f>IF(Scan2VK!AC86&lt;&gt;"",Scan2VK!AC86,"")</f>
        <v>SNAPSHOT</v>
      </c>
      <c r="B3966" t="str">
        <f>IF(ISERROR(MATCH(0,INDEX(COUNTIF($B$1:B3965,$A$2:$A$4629),0,0),0)),"",INDEX($A$2:$A$4629,MATCH(0,INDEX(COUNTIF($B$1:B3965,$A$2:$A$4629),0,0),0)))</f>
        <v/>
      </c>
      <c r="C3966" t="str">
        <f t="shared" si="61"/>
        <v/>
      </c>
    </row>
    <row r="3967" spans="1:3" x14ac:dyDescent="0.25">
      <c r="A3967" t="str">
        <f>IF(Scan2VK!AC87&lt;&gt;"",Scan2VK!AC87,"")</f>
        <v>_none_</v>
      </c>
      <c r="B3967" t="str">
        <f>IF(ISERROR(MATCH(0,INDEX(COUNTIF($B$1:B3966,$A$2:$A$4629),0,0),0)),"",INDEX($A$2:$A$4629,MATCH(0,INDEX(COUNTIF($B$1:B3966,$A$2:$A$4629),0,0),0)))</f>
        <v/>
      </c>
      <c r="C3967" t="str">
        <f t="shared" si="61"/>
        <v/>
      </c>
    </row>
    <row r="3968" spans="1:3" x14ac:dyDescent="0.25">
      <c r="A3968" t="str">
        <f>IF(Scan2VK!AC88&lt;&gt;"",Scan2VK!AC88,"")</f>
        <v>_none_</v>
      </c>
      <c r="B3968" t="str">
        <f>IF(ISERROR(MATCH(0,INDEX(COUNTIF($B$1:B3967,$A$2:$A$4629),0,0),0)),"",INDEX($A$2:$A$4629,MATCH(0,INDEX(COUNTIF($B$1:B3967,$A$2:$A$4629),0,0),0)))</f>
        <v/>
      </c>
      <c r="C3968" t="str">
        <f t="shared" si="61"/>
        <v/>
      </c>
    </row>
    <row r="3969" spans="1:3" x14ac:dyDescent="0.25">
      <c r="A3969" t="str">
        <f>IF(Scan2VK!AC89&lt;&gt;"",Scan2VK!AC89,"")</f>
        <v>F11</v>
      </c>
      <c r="B3969" t="str">
        <f>IF(ISERROR(MATCH(0,INDEX(COUNTIF($B$1:B3968,$A$2:$A$4629),0,0),0)),"",INDEX($A$2:$A$4629,MATCH(0,INDEX(COUNTIF($B$1:B3968,$A$2:$A$4629),0,0),0)))</f>
        <v/>
      </c>
      <c r="C3969" t="str">
        <f t="shared" si="61"/>
        <v/>
      </c>
    </row>
    <row r="3970" spans="1:3" x14ac:dyDescent="0.25">
      <c r="A3970" t="str">
        <f>IF(Scan2VK!AC90&lt;&gt;"",Scan2VK!AC90,"")</f>
        <v>F12</v>
      </c>
      <c r="B3970" t="str">
        <f>IF(ISERROR(MATCH(0,INDEX(COUNTIF($B$1:B3969,$A$2:$A$4629),0,0),0)),"",INDEX($A$2:$A$4629,MATCH(0,INDEX(COUNTIF($B$1:B3969,$A$2:$A$4629),0,0),0)))</f>
        <v/>
      </c>
      <c r="C3970" t="str">
        <f t="shared" si="61"/>
        <v/>
      </c>
    </row>
    <row r="3971" spans="1:3" x14ac:dyDescent="0.25">
      <c r="A3971" t="str">
        <f>IF(Scan2VK!AC91&lt;&gt;"",Scan2VK!AC91,"")</f>
        <v>_none_</v>
      </c>
      <c r="B3971" t="str">
        <f>IF(ISERROR(MATCH(0,INDEX(COUNTIF($B$1:B3970,$A$2:$A$4629),0,0),0)),"",INDEX($A$2:$A$4629,MATCH(0,INDEX(COUNTIF($B$1:B3970,$A$2:$A$4629),0,0),0)))</f>
        <v/>
      </c>
      <c r="C3971" t="str">
        <f t="shared" ref="C3971:C4034" si="62">IF(B3971&lt;&gt;"","&lt;xs:enumeration value="""&amp;B3971&amp;"""/&gt;","")</f>
        <v/>
      </c>
    </row>
    <row r="3972" spans="1:3" x14ac:dyDescent="0.25">
      <c r="A3972" t="str">
        <f>IF(Scan2VK!AC92&lt;&gt;"",Scan2VK!AC92,"")</f>
        <v>_none_</v>
      </c>
      <c r="B3972" t="str">
        <f>IF(ISERROR(MATCH(0,INDEX(COUNTIF($B$1:B3971,$A$2:$A$4629),0,0),0)),"",INDEX($A$2:$A$4629,MATCH(0,INDEX(COUNTIF($B$1:B3971,$A$2:$A$4629),0,0),0)))</f>
        <v/>
      </c>
      <c r="C3972" t="str">
        <f t="shared" si="62"/>
        <v/>
      </c>
    </row>
    <row r="3973" spans="1:3" x14ac:dyDescent="0.25">
      <c r="A3973" t="str">
        <f>IF(Scan2VK!AC93&lt;&gt;"",Scan2VK!AC93,"")</f>
        <v>_none_</v>
      </c>
      <c r="B3973" t="str">
        <f>IF(ISERROR(MATCH(0,INDEX(COUNTIF($B$1:B3972,$A$2:$A$4629),0,0),0)),"",INDEX($A$2:$A$4629,MATCH(0,INDEX(COUNTIF($B$1:B3972,$A$2:$A$4629),0,0),0)))</f>
        <v/>
      </c>
      <c r="C3973" t="str">
        <f t="shared" si="62"/>
        <v/>
      </c>
    </row>
    <row r="3974" spans="1:3" x14ac:dyDescent="0.25">
      <c r="A3974" t="str">
        <f>IF(Scan2VK!AC94&lt;&gt;"",Scan2VK!AC94,"")</f>
        <v>_none_</v>
      </c>
      <c r="B3974" t="str">
        <f>IF(ISERROR(MATCH(0,INDEX(COUNTIF($B$1:B3973,$A$2:$A$4629),0,0),0)),"",INDEX($A$2:$A$4629,MATCH(0,INDEX(COUNTIF($B$1:B3973,$A$2:$A$4629),0,0),0)))</f>
        <v/>
      </c>
      <c r="C3974" t="str">
        <f t="shared" si="62"/>
        <v/>
      </c>
    </row>
    <row r="3975" spans="1:3" x14ac:dyDescent="0.25">
      <c r="A3975" t="str">
        <f>IF(Scan2VK!AC95&lt;&gt;"",Scan2VK!AC95,"")</f>
        <v>_none_</v>
      </c>
      <c r="B3975" t="str">
        <f>IF(ISERROR(MATCH(0,INDEX(COUNTIF($B$1:B3974,$A$2:$A$4629),0,0),0)),"",INDEX($A$2:$A$4629,MATCH(0,INDEX(COUNTIF($B$1:B3974,$A$2:$A$4629),0,0),0)))</f>
        <v/>
      </c>
      <c r="C3975" t="str">
        <f t="shared" si="62"/>
        <v/>
      </c>
    </row>
    <row r="3976" spans="1:3" x14ac:dyDescent="0.25">
      <c r="A3976" t="str">
        <f>IF(Scan2VK!AC96&lt;&gt;"",Scan2VK!AC96,"")</f>
        <v>_none_</v>
      </c>
      <c r="B3976" t="str">
        <f>IF(ISERROR(MATCH(0,INDEX(COUNTIF($B$1:B3975,$A$2:$A$4629),0,0),0)),"",INDEX($A$2:$A$4629,MATCH(0,INDEX(COUNTIF($B$1:B3975,$A$2:$A$4629),0,0),0)))</f>
        <v/>
      </c>
      <c r="C3976" t="str">
        <f t="shared" si="62"/>
        <v/>
      </c>
    </row>
    <row r="3977" spans="1:3" x14ac:dyDescent="0.25">
      <c r="A3977" t="str">
        <f>IF(Scan2VK!AC97&lt;&gt;"",Scan2VK!AC97,"")</f>
        <v>_none_</v>
      </c>
      <c r="B3977" t="str">
        <f>IF(ISERROR(MATCH(0,INDEX(COUNTIF($B$1:B3976,$A$2:$A$4629),0,0),0)),"",INDEX($A$2:$A$4629,MATCH(0,INDEX(COUNTIF($B$1:B3976,$A$2:$A$4629),0,0),0)))</f>
        <v/>
      </c>
      <c r="C3977" t="str">
        <f t="shared" si="62"/>
        <v/>
      </c>
    </row>
    <row r="3978" spans="1:3" x14ac:dyDescent="0.25">
      <c r="A3978" t="str">
        <f>IF(Scan2VK!AC98&lt;&gt;"",Scan2VK!AC98,"")</f>
        <v>_none_</v>
      </c>
      <c r="B3978" t="str">
        <f>IF(ISERROR(MATCH(0,INDEX(COUNTIF($B$1:B3977,$A$2:$A$4629),0,0),0)),"",INDEX($A$2:$A$4629,MATCH(0,INDEX(COUNTIF($B$1:B3977,$A$2:$A$4629),0,0),0)))</f>
        <v/>
      </c>
      <c r="C3978" t="str">
        <f t="shared" si="62"/>
        <v/>
      </c>
    </row>
    <row r="3979" spans="1:3" x14ac:dyDescent="0.25">
      <c r="A3979" t="str">
        <f>IF(Scan2VK!AC99&lt;&gt;"",Scan2VK!AC99,"")</f>
        <v>_none_</v>
      </c>
      <c r="B3979" t="str">
        <f>IF(ISERROR(MATCH(0,INDEX(COUNTIF($B$1:B3978,$A$2:$A$4629),0,0),0)),"",INDEX($A$2:$A$4629,MATCH(0,INDEX(COUNTIF($B$1:B3978,$A$2:$A$4629),0,0),0)))</f>
        <v/>
      </c>
      <c r="C3979" t="str">
        <f t="shared" si="62"/>
        <v/>
      </c>
    </row>
    <row r="3980" spans="1:3" x14ac:dyDescent="0.25">
      <c r="A3980" t="str">
        <f>IF(Scan2VK!AC100&lt;&gt;"",Scan2VK!AC100,"")</f>
        <v>_none_</v>
      </c>
      <c r="B3980" t="str">
        <f>IF(ISERROR(MATCH(0,INDEX(COUNTIF($B$1:B3979,$A$2:$A$4629),0,0),0)),"",INDEX($A$2:$A$4629,MATCH(0,INDEX(COUNTIF($B$1:B3979,$A$2:$A$4629),0,0),0)))</f>
        <v/>
      </c>
      <c r="C3980" t="str">
        <f t="shared" si="62"/>
        <v/>
      </c>
    </row>
    <row r="3981" spans="1:3" x14ac:dyDescent="0.25">
      <c r="A3981" t="str">
        <f>IF(Scan2VK!AC101&lt;&gt;"",Scan2VK!AC101,"")</f>
        <v>_none_</v>
      </c>
      <c r="B3981" t="str">
        <f>IF(ISERROR(MATCH(0,INDEX(COUNTIF($B$1:B3980,$A$2:$A$4629),0,0),0)),"",INDEX($A$2:$A$4629,MATCH(0,INDEX(COUNTIF($B$1:B3980,$A$2:$A$4629),0,0),0)))</f>
        <v/>
      </c>
      <c r="C3981" t="str">
        <f t="shared" si="62"/>
        <v/>
      </c>
    </row>
    <row r="3982" spans="1:3" x14ac:dyDescent="0.25">
      <c r="A3982" t="str">
        <f>IF(Scan2VK!AC102&lt;&gt;"",Scan2VK!AC102,"")</f>
        <v>_none_</v>
      </c>
      <c r="B3982" t="str">
        <f>IF(ISERROR(MATCH(0,INDEX(COUNTIF($B$1:B3981,$A$2:$A$4629),0,0),0)),"",INDEX($A$2:$A$4629,MATCH(0,INDEX(COUNTIF($B$1:B3981,$A$2:$A$4629),0,0),0)))</f>
        <v/>
      </c>
      <c r="C3982" t="str">
        <f t="shared" si="62"/>
        <v/>
      </c>
    </row>
    <row r="3983" spans="1:3" x14ac:dyDescent="0.25">
      <c r="A3983" t="str">
        <f>IF(Scan2VK!AC103&lt;&gt;"",Scan2VK!AC103,"")</f>
        <v>_none_</v>
      </c>
      <c r="B3983" t="str">
        <f>IF(ISERROR(MATCH(0,INDEX(COUNTIF($B$1:B3982,$A$2:$A$4629),0,0),0)),"",INDEX($A$2:$A$4629,MATCH(0,INDEX(COUNTIF($B$1:B3982,$A$2:$A$4629),0,0),0)))</f>
        <v/>
      </c>
      <c r="C3983" t="str">
        <f t="shared" si="62"/>
        <v/>
      </c>
    </row>
    <row r="3984" spans="1:3" x14ac:dyDescent="0.25">
      <c r="A3984" t="str">
        <f>IF(Scan2VK!AC104&lt;&gt;"",Scan2VK!AC104,"")</f>
        <v>_none_</v>
      </c>
      <c r="B3984" t="str">
        <f>IF(ISERROR(MATCH(0,INDEX(COUNTIF($B$1:B3983,$A$2:$A$4629),0,0),0)),"",INDEX($A$2:$A$4629,MATCH(0,INDEX(COUNTIF($B$1:B3983,$A$2:$A$4629),0,0),0)))</f>
        <v/>
      </c>
      <c r="C3984" t="str">
        <f t="shared" si="62"/>
        <v/>
      </c>
    </row>
    <row r="3985" spans="1:3" x14ac:dyDescent="0.25">
      <c r="A3985" t="str">
        <f>IF(Scan2VK!AC105&lt;&gt;"",Scan2VK!AC105,"")</f>
        <v>_none_</v>
      </c>
      <c r="B3985" t="str">
        <f>IF(ISERROR(MATCH(0,INDEX(COUNTIF($B$1:B3984,$A$2:$A$4629),0,0),0)),"",INDEX($A$2:$A$4629,MATCH(0,INDEX(COUNTIF($B$1:B3984,$A$2:$A$4629),0,0),0)))</f>
        <v/>
      </c>
      <c r="C3985" t="str">
        <f t="shared" si="62"/>
        <v/>
      </c>
    </row>
    <row r="3986" spans="1:3" x14ac:dyDescent="0.25">
      <c r="A3986" t="str">
        <f>IF(Scan2VK!AC106&lt;&gt;"",Scan2VK!AC106,"")</f>
        <v>_none_</v>
      </c>
      <c r="B3986" t="str">
        <f>IF(ISERROR(MATCH(0,INDEX(COUNTIF($B$1:B3985,$A$2:$A$4629),0,0),0)),"",INDEX($A$2:$A$4629,MATCH(0,INDEX(COUNTIF($B$1:B3985,$A$2:$A$4629),0,0),0)))</f>
        <v/>
      </c>
      <c r="C3986" t="str">
        <f t="shared" si="62"/>
        <v/>
      </c>
    </row>
    <row r="3987" spans="1:3" x14ac:dyDescent="0.25">
      <c r="A3987" t="str">
        <f>IF(Scan2VK!AC107&lt;&gt;"",Scan2VK!AC107,"")</f>
        <v>_none_</v>
      </c>
      <c r="B3987" t="str">
        <f>IF(ISERROR(MATCH(0,INDEX(COUNTIF($B$1:B3986,$A$2:$A$4629),0,0),0)),"",INDEX($A$2:$A$4629,MATCH(0,INDEX(COUNTIF($B$1:B3986,$A$2:$A$4629),0,0),0)))</f>
        <v/>
      </c>
      <c r="C3987" t="str">
        <f t="shared" si="62"/>
        <v/>
      </c>
    </row>
    <row r="3988" spans="1:3" x14ac:dyDescent="0.25">
      <c r="A3988" t="str">
        <f>IF(Scan2VK!AC108&lt;&gt;"",Scan2VK!AC108,"")</f>
        <v>_none_</v>
      </c>
      <c r="B3988" t="str">
        <f>IF(ISERROR(MATCH(0,INDEX(COUNTIF($B$1:B3987,$A$2:$A$4629),0,0),0)),"",INDEX($A$2:$A$4629,MATCH(0,INDEX(COUNTIF($B$1:B3987,$A$2:$A$4629),0,0),0)))</f>
        <v/>
      </c>
      <c r="C3988" t="str">
        <f t="shared" si="62"/>
        <v/>
      </c>
    </row>
    <row r="3989" spans="1:3" x14ac:dyDescent="0.25">
      <c r="A3989" t="str">
        <f>IF(Scan2VK!AC109&lt;&gt;"",Scan2VK!AC109,"")</f>
        <v>_none_</v>
      </c>
      <c r="B3989" t="str">
        <f>IF(ISERROR(MATCH(0,INDEX(COUNTIF($B$1:B3988,$A$2:$A$4629),0,0),0)),"",INDEX($A$2:$A$4629,MATCH(0,INDEX(COUNTIF($B$1:B3988,$A$2:$A$4629),0,0),0)))</f>
        <v/>
      </c>
      <c r="C3989" t="str">
        <f t="shared" si="62"/>
        <v/>
      </c>
    </row>
    <row r="3990" spans="1:3" x14ac:dyDescent="0.25">
      <c r="A3990" t="str">
        <f>IF(Scan2VK!AC110&lt;&gt;"",Scan2VK!AC110,"")</f>
        <v>_none_</v>
      </c>
      <c r="B3990" t="str">
        <f>IF(ISERROR(MATCH(0,INDEX(COUNTIF($B$1:B3989,$A$2:$A$4629),0,0),0)),"",INDEX($A$2:$A$4629,MATCH(0,INDEX(COUNTIF($B$1:B3989,$A$2:$A$4629),0,0),0)))</f>
        <v/>
      </c>
      <c r="C3990" t="str">
        <f t="shared" si="62"/>
        <v/>
      </c>
    </row>
    <row r="3991" spans="1:3" x14ac:dyDescent="0.25">
      <c r="A3991" t="str">
        <f>IF(Scan2VK!AC111&lt;&gt;"",Scan2VK!AC111,"")</f>
        <v>_none_</v>
      </c>
      <c r="B3991" t="str">
        <f>IF(ISERROR(MATCH(0,INDEX(COUNTIF($B$1:B3990,$A$2:$A$4629),0,0),0)),"",INDEX($A$2:$A$4629,MATCH(0,INDEX(COUNTIF($B$1:B3990,$A$2:$A$4629),0,0),0)))</f>
        <v/>
      </c>
      <c r="C3991" t="str">
        <f t="shared" si="62"/>
        <v/>
      </c>
    </row>
    <row r="3992" spans="1:3" x14ac:dyDescent="0.25">
      <c r="A3992" t="str">
        <f>IF(Scan2VK!AC112&lt;&gt;"",Scan2VK!AC112,"")</f>
        <v>_none_</v>
      </c>
      <c r="B3992" t="str">
        <f>IF(ISERROR(MATCH(0,INDEX(COUNTIF($B$1:B3991,$A$2:$A$4629),0,0),0)),"",INDEX($A$2:$A$4629,MATCH(0,INDEX(COUNTIF($B$1:B3991,$A$2:$A$4629),0,0),0)))</f>
        <v/>
      </c>
      <c r="C3992" t="str">
        <f t="shared" si="62"/>
        <v/>
      </c>
    </row>
    <row r="3993" spans="1:3" x14ac:dyDescent="0.25">
      <c r="A3993" t="str">
        <f>IF(Scan2VK!AC113&lt;&gt;"",Scan2VK!AC113,"")</f>
        <v>_none_</v>
      </c>
      <c r="B3993" t="str">
        <f>IF(ISERROR(MATCH(0,INDEX(COUNTIF($B$1:B3992,$A$2:$A$4629),0,0),0)),"",INDEX($A$2:$A$4629,MATCH(0,INDEX(COUNTIF($B$1:B3992,$A$2:$A$4629),0,0),0)))</f>
        <v/>
      </c>
      <c r="C3993" t="str">
        <f t="shared" si="62"/>
        <v/>
      </c>
    </row>
    <row r="3994" spans="1:3" x14ac:dyDescent="0.25">
      <c r="A3994" t="str">
        <f>IF(Scan2VK!AC114&lt;&gt;"",Scan2VK!AC114,"")</f>
        <v>DBE_HIRAGANA</v>
      </c>
      <c r="B3994" t="str">
        <f>IF(ISERROR(MATCH(0,INDEX(COUNTIF($B$1:B3993,$A$2:$A$4629),0,0),0)),"",INDEX($A$2:$A$4629,MATCH(0,INDEX(COUNTIF($B$1:B3993,$A$2:$A$4629),0,0),0)))</f>
        <v/>
      </c>
      <c r="C3994" t="str">
        <f t="shared" si="62"/>
        <v/>
      </c>
    </row>
    <row r="3995" spans="1:3" x14ac:dyDescent="0.25">
      <c r="A3995" t="str">
        <f>IF(Scan2VK!AC115&lt;&gt;"",Scan2VK!AC115,"")</f>
        <v>_none_</v>
      </c>
      <c r="B3995" t="str">
        <f>IF(ISERROR(MATCH(0,INDEX(COUNTIF($B$1:B3994,$A$2:$A$4629),0,0),0)),"",INDEX($A$2:$A$4629,MATCH(0,INDEX(COUNTIF($B$1:B3994,$A$2:$A$4629),0,0),0)))</f>
        <v/>
      </c>
      <c r="C3995" t="str">
        <f t="shared" si="62"/>
        <v/>
      </c>
    </row>
    <row r="3996" spans="1:3" x14ac:dyDescent="0.25">
      <c r="A3996" t="str">
        <f>IF(Scan2VK!AC116&lt;&gt;"",Scan2VK!AC116,"")</f>
        <v>_none_</v>
      </c>
      <c r="B3996" t="str">
        <f>IF(ISERROR(MATCH(0,INDEX(COUNTIF($B$1:B3995,$A$2:$A$4629),0,0),0)),"",INDEX($A$2:$A$4629,MATCH(0,INDEX(COUNTIF($B$1:B3995,$A$2:$A$4629),0,0),0)))</f>
        <v/>
      </c>
      <c r="C3996" t="str">
        <f t="shared" si="62"/>
        <v/>
      </c>
    </row>
    <row r="3997" spans="1:3" x14ac:dyDescent="0.25">
      <c r="A3997" t="str">
        <f>IF(Scan2VK!AC117&lt;&gt;"",Scan2VK!AC117,"")</f>
        <v>OEM_102</v>
      </c>
      <c r="B3997" t="str">
        <f>IF(ISERROR(MATCH(0,INDEX(COUNTIF($B$1:B3996,$A$2:$A$4629),0,0),0)),"",INDEX($A$2:$A$4629,MATCH(0,INDEX(COUNTIF($B$1:B3996,$A$2:$A$4629),0,0),0)))</f>
        <v/>
      </c>
      <c r="C3997" t="str">
        <f t="shared" si="62"/>
        <v/>
      </c>
    </row>
    <row r="3998" spans="1:3" x14ac:dyDescent="0.25">
      <c r="A3998" t="str">
        <f>IF(Scan2VK!AC118&lt;&gt;"",Scan2VK!AC118,"")</f>
        <v>_none_</v>
      </c>
      <c r="B3998" t="str">
        <f>IF(ISERROR(MATCH(0,INDEX(COUNTIF($B$1:B3997,$A$2:$A$4629),0,0),0)),"",INDEX($A$2:$A$4629,MATCH(0,INDEX(COUNTIF($B$1:B3997,$A$2:$A$4629),0,0),0)))</f>
        <v/>
      </c>
      <c r="C3998" t="str">
        <f t="shared" si="62"/>
        <v/>
      </c>
    </row>
    <row r="3999" spans="1:3" x14ac:dyDescent="0.25">
      <c r="A3999" t="str">
        <f>IF(Scan2VK!AC119&lt;&gt;"",Scan2VK!AC119,"")</f>
        <v>_none_</v>
      </c>
      <c r="B3999" t="str">
        <f>IF(ISERROR(MATCH(0,INDEX(COUNTIF($B$1:B3998,$A$2:$A$4629),0,0),0)),"",INDEX($A$2:$A$4629,MATCH(0,INDEX(COUNTIF($B$1:B3998,$A$2:$A$4629),0,0),0)))</f>
        <v/>
      </c>
      <c r="C3999" t="str">
        <f t="shared" si="62"/>
        <v/>
      </c>
    </row>
    <row r="4000" spans="1:3" x14ac:dyDescent="0.25">
      <c r="A4000" t="str">
        <f>IF(Scan2VK!AC120&lt;&gt;"",Scan2VK!AC120,"")</f>
        <v>_none_</v>
      </c>
      <c r="B4000" t="str">
        <f>IF(ISERROR(MATCH(0,INDEX(COUNTIF($B$1:B3999,$A$2:$A$4629),0,0),0)),"",INDEX($A$2:$A$4629,MATCH(0,INDEX(COUNTIF($B$1:B3999,$A$2:$A$4629),0,0),0)))</f>
        <v/>
      </c>
      <c r="C4000" t="str">
        <f t="shared" si="62"/>
        <v/>
      </c>
    </row>
    <row r="4001" spans="1:3" x14ac:dyDescent="0.25">
      <c r="A4001" t="str">
        <f>IF(Scan2VK!AC121&lt;&gt;"",Scan2VK!AC121,"")</f>
        <v>_none_</v>
      </c>
      <c r="B4001" t="str">
        <f>IF(ISERROR(MATCH(0,INDEX(COUNTIF($B$1:B4000,$A$2:$A$4629),0,0),0)),"",INDEX($A$2:$A$4629,MATCH(0,INDEX(COUNTIF($B$1:B4000,$A$2:$A$4629),0,0),0)))</f>
        <v/>
      </c>
      <c r="C4001" t="str">
        <f t="shared" si="62"/>
        <v/>
      </c>
    </row>
    <row r="4002" spans="1:3" x14ac:dyDescent="0.25">
      <c r="A4002" t="str">
        <f>IF(Scan2VK!AC122&lt;&gt;"",Scan2VK!AC122,"")</f>
        <v>_none_</v>
      </c>
      <c r="B4002" t="str">
        <f>IF(ISERROR(MATCH(0,INDEX(COUNTIF($B$1:B4001,$A$2:$A$4629),0,0),0)),"",INDEX($A$2:$A$4629,MATCH(0,INDEX(COUNTIF($B$1:B4001,$A$2:$A$4629),0,0),0)))</f>
        <v/>
      </c>
      <c r="C4002" t="str">
        <f t="shared" si="62"/>
        <v/>
      </c>
    </row>
    <row r="4003" spans="1:3" x14ac:dyDescent="0.25">
      <c r="A4003" t="str">
        <f>IF(Scan2VK!AC123&lt;&gt;"",Scan2VK!AC123,"")</f>
        <v>CONVERT</v>
      </c>
      <c r="B4003" t="str">
        <f>IF(ISERROR(MATCH(0,INDEX(COUNTIF($B$1:B4002,$A$2:$A$4629),0,0),0)),"",INDEX($A$2:$A$4629,MATCH(0,INDEX(COUNTIF($B$1:B4002,$A$2:$A$4629),0,0),0)))</f>
        <v/>
      </c>
      <c r="C4003" t="str">
        <f t="shared" si="62"/>
        <v/>
      </c>
    </row>
    <row r="4004" spans="1:3" x14ac:dyDescent="0.25">
      <c r="A4004" t="str">
        <f>IF(Scan2VK!AC124&lt;&gt;"",Scan2VK!AC124,"")</f>
        <v>_none_</v>
      </c>
      <c r="B4004" t="str">
        <f>IF(ISERROR(MATCH(0,INDEX(COUNTIF($B$1:B4003,$A$2:$A$4629),0,0),0)),"",INDEX($A$2:$A$4629,MATCH(0,INDEX(COUNTIF($B$1:B4003,$A$2:$A$4629),0,0),0)))</f>
        <v/>
      </c>
      <c r="C4004" t="str">
        <f t="shared" si="62"/>
        <v/>
      </c>
    </row>
    <row r="4005" spans="1:3" x14ac:dyDescent="0.25">
      <c r="A4005" t="str">
        <f>IF(Scan2VK!AC125&lt;&gt;"",Scan2VK!AC125,"")</f>
        <v>NONCONVERT</v>
      </c>
      <c r="B4005" t="str">
        <f>IF(ISERROR(MATCH(0,INDEX(COUNTIF($B$1:B4004,$A$2:$A$4629),0,0),0)),"",INDEX($A$2:$A$4629,MATCH(0,INDEX(COUNTIF($B$1:B4004,$A$2:$A$4629),0,0),0)))</f>
        <v/>
      </c>
      <c r="C4005" t="str">
        <f t="shared" si="62"/>
        <v/>
      </c>
    </row>
    <row r="4006" spans="1:3" x14ac:dyDescent="0.25">
      <c r="A4006" t="str">
        <f>IF(Scan2VK!AC126&lt;&gt;"",Scan2VK!AC126,"")</f>
        <v>_none_</v>
      </c>
      <c r="B4006" t="str">
        <f>IF(ISERROR(MATCH(0,INDEX(COUNTIF($B$1:B4005,$A$2:$A$4629),0,0),0)),"",INDEX($A$2:$A$4629,MATCH(0,INDEX(COUNTIF($B$1:B4005,$A$2:$A$4629),0,0),0)))</f>
        <v/>
      </c>
      <c r="C4006" t="str">
        <f t="shared" si="62"/>
        <v/>
      </c>
    </row>
    <row r="4007" spans="1:3" x14ac:dyDescent="0.25">
      <c r="A4007" t="str">
        <f>IF(Scan2VK!AC127&lt;&gt;"",Scan2VK!AC127,"")</f>
        <v>OEM_5</v>
      </c>
      <c r="B4007" t="str">
        <f>IF(ISERROR(MATCH(0,INDEX(COUNTIF($B$1:B4006,$A$2:$A$4629),0,0),0)),"",INDEX($A$2:$A$4629,MATCH(0,INDEX(COUNTIF($B$1:B4006,$A$2:$A$4629),0,0),0)))</f>
        <v/>
      </c>
      <c r="C4007" t="str">
        <f t="shared" si="62"/>
        <v/>
      </c>
    </row>
    <row r="4008" spans="1:3" x14ac:dyDescent="0.25">
      <c r="A4008" t="str">
        <f>IF(Scan2VK!AC128&lt;&gt;"",Scan2VK!AC128,"")</f>
        <v>_none_</v>
      </c>
      <c r="B4008" t="str">
        <f>IF(ISERROR(MATCH(0,INDEX(COUNTIF($B$1:B4007,$A$2:$A$4629),0,0),0)),"",INDEX($A$2:$A$4629,MATCH(0,INDEX(COUNTIF($B$1:B4007,$A$2:$A$4629),0,0),0)))</f>
        <v/>
      </c>
      <c r="C4008" t="str">
        <f t="shared" si="62"/>
        <v/>
      </c>
    </row>
    <row r="4009" spans="1:3" x14ac:dyDescent="0.25">
      <c r="A4009" t="str">
        <f>IF(Scan2VK!AC129&lt;&gt;"",Scan2VK!AC129,"")</f>
        <v>_none_</v>
      </c>
      <c r="B4009" t="str">
        <f>IF(ISERROR(MATCH(0,INDEX(COUNTIF($B$1:B4008,$A$2:$A$4629),0,0),0)),"",INDEX($A$2:$A$4629,MATCH(0,INDEX(COUNTIF($B$1:B4008,$A$2:$A$4629),0,0),0)))</f>
        <v/>
      </c>
      <c r="C4009" t="str">
        <f t="shared" si="62"/>
        <v/>
      </c>
    </row>
    <row r="4010" spans="1:3" x14ac:dyDescent="0.25">
      <c r="A4010" t="str">
        <f>IF(Scan2VK!AC130&lt;&gt;"",Scan2VK!AC130,"")</f>
        <v>KANA</v>
      </c>
      <c r="B4010" t="str">
        <f>IF(ISERROR(MATCH(0,INDEX(COUNTIF($B$1:B4009,$A$2:$A$4629),0,0),0)),"",INDEX($A$2:$A$4629,MATCH(0,INDEX(COUNTIF($B$1:B4009,$A$2:$A$4629),0,0),0)))</f>
        <v/>
      </c>
      <c r="C4010" t="str">
        <f t="shared" si="62"/>
        <v/>
      </c>
    </row>
    <row r="4011" spans="1:3" x14ac:dyDescent="0.25">
      <c r="A4011" t="str">
        <f>IF(Scan2VK!AC131&lt;&gt;"",Scan2VK!AC131,"")</f>
        <v/>
      </c>
      <c r="B4011" t="str">
        <f>IF(ISERROR(MATCH(0,INDEX(COUNTIF($B$1:B4010,$A$2:$A$4629),0,0),0)),"",INDEX($A$2:$A$4629,MATCH(0,INDEX(COUNTIF($B$1:B4010,$A$2:$A$4629),0,0),0)))</f>
        <v/>
      </c>
      <c r="C4011" t="str">
        <f t="shared" si="62"/>
        <v/>
      </c>
    </row>
    <row r="4012" spans="1:3" x14ac:dyDescent="0.25">
      <c r="A4012" t="str">
        <f>IF(Scan2VK!AC132&lt;&gt;"",Scan2VK!AC132,"")</f>
        <v/>
      </c>
      <c r="B4012" t="str">
        <f>IF(ISERROR(MATCH(0,INDEX(COUNTIF($B$1:B4011,$A$2:$A$4629),0,0),0)),"",INDEX($A$2:$A$4629,MATCH(0,INDEX(COUNTIF($B$1:B4011,$A$2:$A$4629),0,0),0)))</f>
        <v/>
      </c>
      <c r="C4012" t="str">
        <f t="shared" si="62"/>
        <v/>
      </c>
    </row>
    <row r="4013" spans="1:3" x14ac:dyDescent="0.25">
      <c r="A4013" t="str">
        <f>IF(Scan2VK!AC133&lt;&gt;"",Scan2VK!AC133,"")</f>
        <v>RETURN</v>
      </c>
      <c r="B4013" t="str">
        <f>IF(ISERROR(MATCH(0,INDEX(COUNTIF($B$1:B4012,$A$2:$A$4629),0,0),0)),"",INDEX($A$2:$A$4629,MATCH(0,INDEX(COUNTIF($B$1:B4012,$A$2:$A$4629),0,0),0)))</f>
        <v/>
      </c>
      <c r="C4013" t="str">
        <f t="shared" si="62"/>
        <v/>
      </c>
    </row>
    <row r="4014" spans="1:3" x14ac:dyDescent="0.25">
      <c r="A4014" t="str">
        <f>IF(Scan2VK!AC134&lt;&gt;"",Scan2VK!AC134,"")</f>
        <v>RCONTROL</v>
      </c>
      <c r="B4014" t="str">
        <f>IF(ISERROR(MATCH(0,INDEX(COUNTIF($B$1:B4013,$A$2:$A$4629),0,0),0)),"",INDEX($A$2:$A$4629,MATCH(0,INDEX(COUNTIF($B$1:B4013,$A$2:$A$4629),0,0),0)))</f>
        <v/>
      </c>
      <c r="C4014" t="str">
        <f t="shared" si="62"/>
        <v/>
      </c>
    </row>
    <row r="4015" spans="1:3" x14ac:dyDescent="0.25">
      <c r="A4015" t="str">
        <f>IF(Scan2VK!AC135&lt;&gt;"",Scan2VK!AC135,"")</f>
        <v/>
      </c>
      <c r="B4015" t="str">
        <f>IF(ISERROR(MATCH(0,INDEX(COUNTIF($B$1:B4014,$A$2:$A$4629),0,0),0)),"",INDEX($A$2:$A$4629,MATCH(0,INDEX(COUNTIF($B$1:B4014,$A$2:$A$4629),0,0),0)))</f>
        <v/>
      </c>
      <c r="C4015" t="str">
        <f t="shared" si="62"/>
        <v/>
      </c>
    </row>
    <row r="4016" spans="1:3" x14ac:dyDescent="0.25">
      <c r="A4016" t="str">
        <f>IF(Scan2VK!AC136&lt;&gt;"",Scan2VK!AC136,"")</f>
        <v/>
      </c>
      <c r="B4016" t="str">
        <f>IF(ISERROR(MATCH(0,INDEX(COUNTIF($B$1:B4015,$A$2:$A$4629),0,0),0)),"",INDEX($A$2:$A$4629,MATCH(0,INDEX(COUNTIF($B$1:B4015,$A$2:$A$4629),0,0),0)))</f>
        <v/>
      </c>
      <c r="C4016" t="str">
        <f t="shared" si="62"/>
        <v/>
      </c>
    </row>
    <row r="4017" spans="1:3" x14ac:dyDescent="0.25">
      <c r="A4017" t="str">
        <f>IF(Scan2VK!AC137&lt;&gt;"",Scan2VK!AC137,"")</f>
        <v/>
      </c>
      <c r="B4017" t="str">
        <f>IF(ISERROR(MATCH(0,INDEX(COUNTIF($B$1:B4016,$A$2:$A$4629),0,0),0)),"",INDEX($A$2:$A$4629,MATCH(0,INDEX(COUNTIF($B$1:B4016,$A$2:$A$4629),0,0),0)))</f>
        <v/>
      </c>
      <c r="C4017" t="str">
        <f t="shared" si="62"/>
        <v/>
      </c>
    </row>
    <row r="4018" spans="1:3" x14ac:dyDescent="0.25">
      <c r="A4018" t="str">
        <f>IF(Scan2VK!AC138&lt;&gt;"",Scan2VK!AC138,"")</f>
        <v/>
      </c>
      <c r="B4018" t="str">
        <f>IF(ISERROR(MATCH(0,INDEX(COUNTIF($B$1:B4017,$A$2:$A$4629),0,0),0)),"",INDEX($A$2:$A$4629,MATCH(0,INDEX(COUNTIF($B$1:B4017,$A$2:$A$4629),0,0),0)))</f>
        <v/>
      </c>
      <c r="C4018" t="str">
        <f t="shared" si="62"/>
        <v/>
      </c>
    </row>
    <row r="4019" spans="1:3" x14ac:dyDescent="0.25">
      <c r="A4019" t="str">
        <f>IF(Scan2VK!AC139&lt;&gt;"",Scan2VK!AC139,"")</f>
        <v/>
      </c>
      <c r="B4019" t="str">
        <f>IF(ISERROR(MATCH(0,INDEX(COUNTIF($B$1:B4018,$A$2:$A$4629),0,0),0)),"",INDEX($A$2:$A$4629,MATCH(0,INDEX(COUNTIF($B$1:B4018,$A$2:$A$4629),0,0),0)))</f>
        <v/>
      </c>
      <c r="C4019" t="str">
        <f t="shared" si="62"/>
        <v/>
      </c>
    </row>
    <row r="4020" spans="1:3" x14ac:dyDescent="0.25">
      <c r="A4020" t="str">
        <f>IF(Scan2VK!AC140&lt;&gt;"",Scan2VK!AC140,"")</f>
        <v/>
      </c>
      <c r="B4020" t="str">
        <f>IF(ISERROR(MATCH(0,INDEX(COUNTIF($B$1:B4019,$A$2:$A$4629),0,0),0)),"",INDEX($A$2:$A$4629,MATCH(0,INDEX(COUNTIF($B$1:B4019,$A$2:$A$4629),0,0),0)))</f>
        <v/>
      </c>
      <c r="C4020" t="str">
        <f t="shared" si="62"/>
        <v/>
      </c>
    </row>
    <row r="4021" spans="1:3" x14ac:dyDescent="0.25">
      <c r="A4021" t="str">
        <f>IF(Scan2VK!AC141&lt;&gt;"",Scan2VK!AC141,"")</f>
        <v/>
      </c>
      <c r="B4021" t="str">
        <f>IF(ISERROR(MATCH(0,INDEX(COUNTIF($B$1:B4020,$A$2:$A$4629),0,0),0)),"",INDEX($A$2:$A$4629,MATCH(0,INDEX(COUNTIF($B$1:B4020,$A$2:$A$4629),0,0),0)))</f>
        <v/>
      </c>
      <c r="C4021" t="str">
        <f t="shared" si="62"/>
        <v/>
      </c>
    </row>
    <row r="4022" spans="1:3" x14ac:dyDescent="0.25">
      <c r="A4022" t="str">
        <f>IF(Scan2VK!AC142&lt;&gt;"",Scan2VK!AC142,"")</f>
        <v>_none_</v>
      </c>
      <c r="B4022" t="str">
        <f>IF(ISERROR(MATCH(0,INDEX(COUNTIF($B$1:B4021,$A$2:$A$4629),0,0),0)),"",INDEX($A$2:$A$4629,MATCH(0,INDEX(COUNTIF($B$1:B4021,$A$2:$A$4629),0,0),0)))</f>
        <v/>
      </c>
      <c r="C4022" t="str">
        <f t="shared" si="62"/>
        <v/>
      </c>
    </row>
    <row r="4023" spans="1:3" x14ac:dyDescent="0.25">
      <c r="A4023" t="str">
        <f>IF(Scan2VK!AC143&lt;&gt;"",Scan2VK!AC143,"")</f>
        <v>DIVIDE</v>
      </c>
      <c r="B4023" t="str">
        <f>IF(ISERROR(MATCH(0,INDEX(COUNTIF($B$1:B4022,$A$2:$A$4629),0,0),0)),"",INDEX($A$2:$A$4629,MATCH(0,INDEX(COUNTIF($B$1:B4022,$A$2:$A$4629),0,0),0)))</f>
        <v/>
      </c>
      <c r="C4023" t="str">
        <f t="shared" si="62"/>
        <v/>
      </c>
    </row>
    <row r="4024" spans="1:3" x14ac:dyDescent="0.25">
      <c r="A4024" t="str">
        <f>IF(Scan2VK!AC144&lt;&gt;"",Scan2VK!AC144,"")</f>
        <v>SNAPSHOT</v>
      </c>
      <c r="B4024" t="str">
        <f>IF(ISERROR(MATCH(0,INDEX(COUNTIF($B$1:B4023,$A$2:$A$4629),0,0),0)),"",INDEX($A$2:$A$4629,MATCH(0,INDEX(COUNTIF($B$1:B4023,$A$2:$A$4629),0,0),0)))</f>
        <v/>
      </c>
      <c r="C4024" t="str">
        <f t="shared" si="62"/>
        <v/>
      </c>
    </row>
    <row r="4025" spans="1:3" x14ac:dyDescent="0.25">
      <c r="A4025" t="str">
        <f>IF(Scan2VK!AC145&lt;&gt;"",Scan2VK!AC145,"")</f>
        <v>RMENU</v>
      </c>
      <c r="B4025" t="str">
        <f>IF(ISERROR(MATCH(0,INDEX(COUNTIF($B$1:B4024,$A$2:$A$4629),0,0),0)),"",INDEX($A$2:$A$4629,MATCH(0,INDEX(COUNTIF($B$1:B4024,$A$2:$A$4629),0,0),0)))</f>
        <v/>
      </c>
      <c r="C4025" t="str">
        <f t="shared" si="62"/>
        <v/>
      </c>
    </row>
    <row r="4026" spans="1:3" x14ac:dyDescent="0.25">
      <c r="A4026" t="str">
        <f>IF(Scan2VK!AC146&lt;&gt;"",Scan2VK!AC146,"")</f>
        <v>F13</v>
      </c>
      <c r="B4026" t="str">
        <f>IF(ISERROR(MATCH(0,INDEX(COUNTIF($B$1:B4025,$A$2:$A$4629),0,0),0)),"",INDEX($A$2:$A$4629,MATCH(0,INDEX(COUNTIF($B$1:B4025,$A$2:$A$4629),0,0),0)))</f>
        <v/>
      </c>
      <c r="C4026" t="str">
        <f t="shared" si="62"/>
        <v/>
      </c>
    </row>
    <row r="4027" spans="1:3" x14ac:dyDescent="0.25">
      <c r="A4027" t="str">
        <f>IF(Scan2VK!AC147&lt;&gt;"",Scan2VK!AC147,"")</f>
        <v>F14</v>
      </c>
      <c r="B4027" t="str">
        <f>IF(ISERROR(MATCH(0,INDEX(COUNTIF($B$1:B4026,$A$2:$A$4629),0,0),0)),"",INDEX($A$2:$A$4629,MATCH(0,INDEX(COUNTIF($B$1:B4026,$A$2:$A$4629),0,0),0)))</f>
        <v/>
      </c>
      <c r="C4027" t="str">
        <f t="shared" si="62"/>
        <v/>
      </c>
    </row>
    <row r="4028" spans="1:3" x14ac:dyDescent="0.25">
      <c r="A4028" t="str">
        <f>IF(Scan2VK!AC148&lt;&gt;"",Scan2VK!AC148,"")</f>
        <v>F15</v>
      </c>
      <c r="B4028" t="str">
        <f>IF(ISERROR(MATCH(0,INDEX(COUNTIF($B$1:B4027,$A$2:$A$4629),0,0),0)),"",INDEX($A$2:$A$4629,MATCH(0,INDEX(COUNTIF($B$1:B4027,$A$2:$A$4629),0,0),0)))</f>
        <v/>
      </c>
      <c r="C4028" t="str">
        <f t="shared" si="62"/>
        <v/>
      </c>
    </row>
    <row r="4029" spans="1:3" x14ac:dyDescent="0.25">
      <c r="A4029" t="str">
        <f>IF(Scan2VK!AC149&lt;&gt;"",Scan2VK!AC149,"")</f>
        <v>F16</v>
      </c>
      <c r="B4029" t="str">
        <f>IF(ISERROR(MATCH(0,INDEX(COUNTIF($B$1:B4028,$A$2:$A$4629),0,0),0)),"",INDEX($A$2:$A$4629,MATCH(0,INDEX(COUNTIF($B$1:B4028,$A$2:$A$4629),0,0),0)))</f>
        <v/>
      </c>
      <c r="C4029" t="str">
        <f t="shared" si="62"/>
        <v/>
      </c>
    </row>
    <row r="4030" spans="1:3" x14ac:dyDescent="0.25">
      <c r="A4030" t="str">
        <f>IF(Scan2VK!AC150&lt;&gt;"",Scan2VK!AC150,"")</f>
        <v>F17</v>
      </c>
      <c r="B4030" t="str">
        <f>IF(ISERROR(MATCH(0,INDEX(COUNTIF($B$1:B4029,$A$2:$A$4629),0,0),0)),"",INDEX($A$2:$A$4629,MATCH(0,INDEX(COUNTIF($B$1:B4029,$A$2:$A$4629),0,0),0)))</f>
        <v/>
      </c>
      <c r="C4030" t="str">
        <f t="shared" si="62"/>
        <v/>
      </c>
    </row>
    <row r="4031" spans="1:3" x14ac:dyDescent="0.25">
      <c r="A4031" t="str">
        <f>IF(Scan2VK!AC151&lt;&gt;"",Scan2VK!AC151,"")</f>
        <v>_none_</v>
      </c>
      <c r="B4031" t="str">
        <f>IF(ISERROR(MATCH(0,INDEX(COUNTIF($B$1:B4030,$A$2:$A$4629),0,0),0)),"",INDEX($A$2:$A$4629,MATCH(0,INDEX(COUNTIF($B$1:B4030,$A$2:$A$4629),0,0),0)))</f>
        <v/>
      </c>
      <c r="C4031" t="str">
        <f t="shared" si="62"/>
        <v/>
      </c>
    </row>
    <row r="4032" spans="1:3" x14ac:dyDescent="0.25">
      <c r="A4032" t="str">
        <f>IF(Scan2VK!AC152&lt;&gt;"",Scan2VK!AC152,"")</f>
        <v>_none_</v>
      </c>
      <c r="B4032" t="str">
        <f>IF(ISERROR(MATCH(0,INDEX(COUNTIF($B$1:B4031,$A$2:$A$4629),0,0),0)),"",INDEX($A$2:$A$4629,MATCH(0,INDEX(COUNTIF($B$1:B4031,$A$2:$A$4629),0,0),0)))</f>
        <v/>
      </c>
      <c r="C4032" t="str">
        <f t="shared" si="62"/>
        <v/>
      </c>
    </row>
    <row r="4033" spans="1:3" x14ac:dyDescent="0.25">
      <c r="A4033" t="str">
        <f>IF(Scan2VK!AC153&lt;&gt;"",Scan2VK!AC153,"")</f>
        <v>_none_</v>
      </c>
      <c r="B4033" t="str">
        <f>IF(ISERROR(MATCH(0,INDEX(COUNTIF($B$1:B4032,$A$2:$A$4629),0,0),0)),"",INDEX($A$2:$A$4629,MATCH(0,INDEX(COUNTIF($B$1:B4032,$A$2:$A$4629),0,0),0)))</f>
        <v/>
      </c>
      <c r="C4033" t="str">
        <f t="shared" si="62"/>
        <v/>
      </c>
    </row>
    <row r="4034" spans="1:3" x14ac:dyDescent="0.25">
      <c r="A4034" t="str">
        <f>IF(Scan2VK!AC154&lt;&gt;"",Scan2VK!AC154,"")</f>
        <v>CANCEL</v>
      </c>
      <c r="B4034" t="str">
        <f>IF(ISERROR(MATCH(0,INDEX(COUNTIF($B$1:B4033,$A$2:$A$4629),0,0),0)),"",INDEX($A$2:$A$4629,MATCH(0,INDEX(COUNTIF($B$1:B4033,$A$2:$A$4629),0,0),0)))</f>
        <v/>
      </c>
      <c r="C4034" t="str">
        <f t="shared" si="62"/>
        <v/>
      </c>
    </row>
    <row r="4035" spans="1:3" x14ac:dyDescent="0.25">
      <c r="A4035" t="str">
        <f>IF(Scan2VK!AC155&lt;&gt;"",Scan2VK!AC155,"")</f>
        <v>HOME</v>
      </c>
      <c r="B4035" t="str">
        <f>IF(ISERROR(MATCH(0,INDEX(COUNTIF($B$1:B4034,$A$2:$A$4629),0,0),0)),"",INDEX($A$2:$A$4629,MATCH(0,INDEX(COUNTIF($B$1:B4034,$A$2:$A$4629),0,0),0)))</f>
        <v/>
      </c>
      <c r="C4035" t="str">
        <f t="shared" ref="C4035:C4098" si="63">IF(B4035&lt;&gt;"","&lt;xs:enumeration value="""&amp;B4035&amp;"""/&gt;","")</f>
        <v/>
      </c>
    </row>
    <row r="4036" spans="1:3" x14ac:dyDescent="0.25">
      <c r="A4036" t="str">
        <f>IF(Scan2VK!AC156&lt;&gt;"",Scan2VK!AC156,"")</f>
        <v>UP</v>
      </c>
      <c r="B4036" t="str">
        <f>IF(ISERROR(MATCH(0,INDEX(COUNTIF($B$1:B4035,$A$2:$A$4629),0,0),0)),"",INDEX($A$2:$A$4629,MATCH(0,INDEX(COUNTIF($B$1:B4035,$A$2:$A$4629),0,0),0)))</f>
        <v/>
      </c>
      <c r="C4036" t="str">
        <f t="shared" si="63"/>
        <v/>
      </c>
    </row>
    <row r="4037" spans="1:3" x14ac:dyDescent="0.25">
      <c r="A4037" t="str">
        <f>IF(Scan2VK!AC157&lt;&gt;"",Scan2VK!AC157,"")</f>
        <v>PRIOR</v>
      </c>
      <c r="B4037" t="str">
        <f>IF(ISERROR(MATCH(0,INDEX(COUNTIF($B$1:B4036,$A$2:$A$4629),0,0),0)),"",INDEX($A$2:$A$4629,MATCH(0,INDEX(COUNTIF($B$1:B4036,$A$2:$A$4629),0,0),0)))</f>
        <v/>
      </c>
      <c r="C4037" t="str">
        <f t="shared" si="63"/>
        <v/>
      </c>
    </row>
    <row r="4038" spans="1:3" x14ac:dyDescent="0.25">
      <c r="A4038" t="str">
        <f>IF(Scan2VK!AC158&lt;&gt;"",Scan2VK!AC158,"")</f>
        <v>LEFT</v>
      </c>
      <c r="B4038" t="str">
        <f>IF(ISERROR(MATCH(0,INDEX(COUNTIF($B$1:B4037,$A$2:$A$4629),0,0),0)),"",INDEX($A$2:$A$4629,MATCH(0,INDEX(COUNTIF($B$1:B4037,$A$2:$A$4629),0,0),0)))</f>
        <v/>
      </c>
      <c r="C4038" t="str">
        <f t="shared" si="63"/>
        <v/>
      </c>
    </row>
    <row r="4039" spans="1:3" x14ac:dyDescent="0.25">
      <c r="A4039" t="str">
        <f>IF(Scan2VK!AC159&lt;&gt;"",Scan2VK!AC159,"")</f>
        <v>RIGHT</v>
      </c>
      <c r="B4039" t="str">
        <f>IF(ISERROR(MATCH(0,INDEX(COUNTIF($B$1:B4038,$A$2:$A$4629),0,0),0)),"",INDEX($A$2:$A$4629,MATCH(0,INDEX(COUNTIF($B$1:B4038,$A$2:$A$4629),0,0),0)))</f>
        <v/>
      </c>
      <c r="C4039" t="str">
        <f t="shared" si="63"/>
        <v/>
      </c>
    </row>
    <row r="4040" spans="1:3" x14ac:dyDescent="0.25">
      <c r="A4040" t="str">
        <f>IF(Scan2VK!AC160&lt;&gt;"",Scan2VK!AC160,"")</f>
        <v>ADD</v>
      </c>
      <c r="B4040" t="str">
        <f>IF(ISERROR(MATCH(0,INDEX(COUNTIF($B$1:B4039,$A$2:$A$4629),0,0),0)),"",INDEX($A$2:$A$4629,MATCH(0,INDEX(COUNTIF($B$1:B4039,$A$2:$A$4629),0,0),0)))</f>
        <v/>
      </c>
      <c r="C4040" t="str">
        <f t="shared" si="63"/>
        <v/>
      </c>
    </row>
    <row r="4041" spans="1:3" x14ac:dyDescent="0.25">
      <c r="A4041" t="str">
        <f>IF(Scan2VK!AC161&lt;&gt;"",Scan2VK!AC161,"")</f>
        <v>END</v>
      </c>
      <c r="B4041" t="str">
        <f>IF(ISERROR(MATCH(0,INDEX(COUNTIF($B$1:B4040,$A$2:$A$4629),0,0),0)),"",INDEX($A$2:$A$4629,MATCH(0,INDEX(COUNTIF($B$1:B4040,$A$2:$A$4629),0,0),0)))</f>
        <v/>
      </c>
      <c r="C4041" t="str">
        <f t="shared" si="63"/>
        <v/>
      </c>
    </row>
    <row r="4042" spans="1:3" x14ac:dyDescent="0.25">
      <c r="A4042" t="str">
        <f>IF(Scan2VK!AC162&lt;&gt;"",Scan2VK!AC162,"")</f>
        <v>DOWN</v>
      </c>
      <c r="B4042" t="str">
        <f>IF(ISERROR(MATCH(0,INDEX(COUNTIF($B$1:B4041,$A$2:$A$4629),0,0),0)),"",INDEX($A$2:$A$4629,MATCH(0,INDEX(COUNTIF($B$1:B4041,$A$2:$A$4629),0,0),0)))</f>
        <v/>
      </c>
      <c r="C4042" t="str">
        <f t="shared" si="63"/>
        <v/>
      </c>
    </row>
    <row r="4043" spans="1:3" x14ac:dyDescent="0.25">
      <c r="A4043" t="str">
        <f>IF(Scan2VK!AC163&lt;&gt;"",Scan2VK!AC163,"")</f>
        <v>NEXT</v>
      </c>
      <c r="B4043" t="str">
        <f>IF(ISERROR(MATCH(0,INDEX(COUNTIF($B$1:B4042,$A$2:$A$4629),0,0),0)),"",INDEX($A$2:$A$4629,MATCH(0,INDEX(COUNTIF($B$1:B4042,$A$2:$A$4629),0,0),0)))</f>
        <v/>
      </c>
      <c r="C4043" t="str">
        <f t="shared" si="63"/>
        <v/>
      </c>
    </row>
    <row r="4044" spans="1:3" x14ac:dyDescent="0.25">
      <c r="A4044" t="str">
        <f>IF(Scan2VK!AC164&lt;&gt;"",Scan2VK!AC164,"")</f>
        <v>INSERT</v>
      </c>
      <c r="B4044" t="str">
        <f>IF(ISERROR(MATCH(0,INDEX(COUNTIF($B$1:B4043,$A$2:$A$4629),0,0),0)),"",INDEX($A$2:$A$4629,MATCH(0,INDEX(COUNTIF($B$1:B4043,$A$2:$A$4629),0,0),0)))</f>
        <v/>
      </c>
      <c r="C4044" t="str">
        <f t="shared" si="63"/>
        <v/>
      </c>
    </row>
    <row r="4045" spans="1:3" x14ac:dyDescent="0.25">
      <c r="A4045" t="str">
        <f>IF(Scan2VK!AC165&lt;&gt;"",Scan2VK!AC165,"")</f>
        <v>DELETE</v>
      </c>
      <c r="B4045" t="str">
        <f>IF(ISERROR(MATCH(0,INDEX(COUNTIF($B$1:B4044,$A$2:$A$4629),0,0),0)),"",INDEX($A$2:$A$4629,MATCH(0,INDEX(COUNTIF($B$1:B4044,$A$2:$A$4629),0,0),0)))</f>
        <v/>
      </c>
      <c r="C4045" t="str">
        <f t="shared" si="63"/>
        <v/>
      </c>
    </row>
    <row r="4046" spans="1:3" x14ac:dyDescent="0.25">
      <c r="A4046" t="str">
        <f>IF(Scan2VK!AC166&lt;&gt;"",Scan2VK!AC166,"")</f>
        <v>_none_</v>
      </c>
      <c r="B4046" t="str">
        <f>IF(ISERROR(MATCH(0,INDEX(COUNTIF($B$1:B4045,$A$2:$A$4629),0,0),0)),"",INDEX($A$2:$A$4629,MATCH(0,INDEX(COUNTIF($B$1:B4045,$A$2:$A$4629),0,0),0)))</f>
        <v/>
      </c>
      <c r="C4046" t="str">
        <f t="shared" si="63"/>
        <v/>
      </c>
    </row>
    <row r="4047" spans="1:3" x14ac:dyDescent="0.25">
      <c r="A4047" t="str">
        <f>IF(Scan2VK!AC167&lt;&gt;"",Scan2VK!AC167,"")</f>
        <v>_none_</v>
      </c>
      <c r="B4047" t="str">
        <f>IF(ISERROR(MATCH(0,INDEX(COUNTIF($B$1:B4046,$A$2:$A$4629),0,0),0)),"",INDEX($A$2:$A$4629,MATCH(0,INDEX(COUNTIF($B$1:B4046,$A$2:$A$4629),0,0),0)))</f>
        <v/>
      </c>
      <c r="C4047" t="str">
        <f t="shared" si="63"/>
        <v/>
      </c>
    </row>
    <row r="4048" spans="1:3" x14ac:dyDescent="0.25">
      <c r="A4048" t="str">
        <f>IF(Scan2VK!AC168&lt;&gt;"",Scan2VK!AC168,"")</f>
        <v>_none_</v>
      </c>
      <c r="B4048" t="str">
        <f>IF(ISERROR(MATCH(0,INDEX(COUNTIF($B$1:B4047,$A$2:$A$4629),0,0),0)),"",INDEX($A$2:$A$4629,MATCH(0,INDEX(COUNTIF($B$1:B4047,$A$2:$A$4629),0,0),0)))</f>
        <v/>
      </c>
      <c r="C4048" t="str">
        <f t="shared" si="63"/>
        <v/>
      </c>
    </row>
    <row r="4049" spans="1:3" x14ac:dyDescent="0.25">
      <c r="A4049" t="str">
        <f>IF(Scan2VK!AC169&lt;&gt;"",Scan2VK!AC169,"")</f>
        <v>POWER</v>
      </c>
      <c r="B4049" t="str">
        <f>IF(ISERROR(MATCH(0,INDEX(COUNTIF($B$1:B4048,$A$2:$A$4629),0,0),0)),"",INDEX($A$2:$A$4629,MATCH(0,INDEX(COUNTIF($B$1:B4048,$A$2:$A$4629),0,0),0)))</f>
        <v/>
      </c>
      <c r="C4049" t="str">
        <f t="shared" si="63"/>
        <v/>
      </c>
    </row>
    <row r="4050" spans="1:3" x14ac:dyDescent="0.25">
      <c r="A4050" t="str">
        <f>IF(Scan2VK!AC170&lt;&gt;"",Scan2VK!AC170,"")</f>
        <v>SLEEP</v>
      </c>
      <c r="B4050" t="str">
        <f>IF(ISERROR(MATCH(0,INDEX(COUNTIF($B$1:B4049,$A$2:$A$4629),0,0),0)),"",INDEX($A$2:$A$4629,MATCH(0,INDEX(COUNTIF($B$1:B4049,$A$2:$A$4629),0,0),0)))</f>
        <v/>
      </c>
      <c r="C4050" t="str">
        <f t="shared" si="63"/>
        <v/>
      </c>
    </row>
    <row r="4051" spans="1:3" x14ac:dyDescent="0.25">
      <c r="A4051" t="str">
        <f>IF(Scan2VK!AC171&lt;&gt;"",Scan2VK!AC171,"")</f>
        <v/>
      </c>
      <c r="B4051" t="str">
        <f>IF(ISERROR(MATCH(0,INDEX(COUNTIF($B$1:B4050,$A$2:$A$4629),0,0),0)),"",INDEX($A$2:$A$4629,MATCH(0,INDEX(COUNTIF($B$1:B4050,$A$2:$A$4629),0,0),0)))</f>
        <v/>
      </c>
      <c r="C4051" t="str">
        <f t="shared" si="63"/>
        <v/>
      </c>
    </row>
    <row r="4052" spans="1:3" x14ac:dyDescent="0.25">
      <c r="A4052" t="str">
        <f>IF(Scan2VK!AC172&lt;&gt;"",Scan2VK!AC172,"")</f>
        <v/>
      </c>
      <c r="B4052" t="str">
        <f>IF(ISERROR(MATCH(0,INDEX(COUNTIF($B$1:B4051,$A$2:$A$4629),0,0),0)),"",INDEX($A$2:$A$4629,MATCH(0,INDEX(COUNTIF($B$1:B4051,$A$2:$A$4629),0,0),0)))</f>
        <v/>
      </c>
      <c r="C4052" t="str">
        <f t="shared" si="63"/>
        <v/>
      </c>
    </row>
    <row r="4053" spans="1:3" x14ac:dyDescent="0.25">
      <c r="A4053" t="str">
        <f>IF(Scan2VK!AC173&lt;&gt;"",Scan2VK!AC173,"")</f>
        <v/>
      </c>
      <c r="B4053" t="str">
        <f>IF(ISERROR(MATCH(0,INDEX(COUNTIF($B$1:B4052,$A$2:$A$4629),0,0),0)),"",INDEX($A$2:$A$4629,MATCH(0,INDEX(COUNTIF($B$1:B4052,$A$2:$A$4629),0,0),0)))</f>
        <v/>
      </c>
      <c r="C4053" t="str">
        <f t="shared" si="63"/>
        <v/>
      </c>
    </row>
    <row r="4054" spans="1:3" x14ac:dyDescent="0.25">
      <c r="A4054" t="str">
        <f>IF(Scan2VK!AC174&lt;&gt;"",Scan2VK!AC174,"")</f>
        <v/>
      </c>
      <c r="B4054" t="str">
        <f>IF(ISERROR(MATCH(0,INDEX(COUNTIF($B$1:B4053,$A$2:$A$4629),0,0),0)),"",INDEX($A$2:$A$4629,MATCH(0,INDEX(COUNTIF($B$1:B4053,$A$2:$A$4629),0,0),0)))</f>
        <v/>
      </c>
      <c r="C4054" t="str">
        <f t="shared" si="63"/>
        <v/>
      </c>
    </row>
    <row r="4055" spans="1:3" x14ac:dyDescent="0.25">
      <c r="A4055" t="str">
        <f>IF(Scan2VK!AC175&lt;&gt;"",Scan2VK!AC175,"")</f>
        <v/>
      </c>
      <c r="B4055" t="str">
        <f>IF(ISERROR(MATCH(0,INDEX(COUNTIF($B$1:B4054,$A$2:$A$4629),0,0),0)),"",INDEX($A$2:$A$4629,MATCH(0,INDEX(COUNTIF($B$1:B4054,$A$2:$A$4629),0,0),0)))</f>
        <v/>
      </c>
      <c r="C4055" t="str">
        <f t="shared" si="63"/>
        <v/>
      </c>
    </row>
    <row r="4056" spans="1:3" x14ac:dyDescent="0.25">
      <c r="A4056" t="str">
        <f>IF(Scan2VK!AC176&lt;&gt;"",Scan2VK!AC176,"")</f>
        <v/>
      </c>
      <c r="B4056" t="str">
        <f>IF(ISERROR(MATCH(0,INDEX(COUNTIF($B$1:B4055,$A$2:$A$4629),0,0),0)),"",INDEX($A$2:$A$4629,MATCH(0,INDEX(COUNTIF($B$1:B4055,$A$2:$A$4629),0,0),0)))</f>
        <v/>
      </c>
      <c r="C4056" t="str">
        <f t="shared" si="63"/>
        <v/>
      </c>
    </row>
    <row r="4057" spans="1:3" x14ac:dyDescent="0.25">
      <c r="A4057" t="str">
        <f>IF(Scan2VK!AC177&lt;&gt;"",Scan2VK!AC177,"")</f>
        <v/>
      </c>
      <c r="B4057" t="str">
        <f>IF(ISERROR(MATCH(0,INDEX(COUNTIF($B$1:B4056,$A$2:$A$4629),0,0),0)),"",INDEX($A$2:$A$4629,MATCH(0,INDEX(COUNTIF($B$1:B4056,$A$2:$A$4629),0,0),0)))</f>
        <v/>
      </c>
      <c r="C4057" t="str">
        <f t="shared" si="63"/>
        <v/>
      </c>
    </row>
    <row r="4058" spans="1:3" x14ac:dyDescent="0.25">
      <c r="A4058" t="str">
        <f>IF(Scan2VK!AC178&lt;&gt;"",Scan2VK!AC178,"")</f>
        <v/>
      </c>
      <c r="B4058" t="str">
        <f>IF(ISERROR(MATCH(0,INDEX(COUNTIF($B$1:B4057,$A$2:$A$4629),0,0),0)),"",INDEX($A$2:$A$4629,MATCH(0,INDEX(COUNTIF($B$1:B4057,$A$2:$A$4629),0,0),0)))</f>
        <v/>
      </c>
      <c r="C4058" t="str">
        <f t="shared" si="63"/>
        <v/>
      </c>
    </row>
    <row r="4059" spans="1:3" x14ac:dyDescent="0.25">
      <c r="A4059" t="str">
        <f>IF(Scan2VK!AC179&lt;&gt;"",Scan2VK!AC179,"")</f>
        <v/>
      </c>
      <c r="B4059" t="str">
        <f>IF(ISERROR(MATCH(0,INDEX(COUNTIF($B$1:B4058,$A$2:$A$4629),0,0),0)),"",INDEX($A$2:$A$4629,MATCH(0,INDEX(COUNTIF($B$1:B4058,$A$2:$A$4629),0,0),0)))</f>
        <v/>
      </c>
      <c r="C4059" t="str">
        <f t="shared" si="63"/>
        <v/>
      </c>
    </row>
    <row r="4060" spans="1:3" x14ac:dyDescent="0.25">
      <c r="A4060" t="str">
        <f>IF(Scan2VK!AC180&lt;&gt;"",Scan2VK!AC180,"")</f>
        <v/>
      </c>
      <c r="B4060" t="str">
        <f>IF(ISERROR(MATCH(0,INDEX(COUNTIF($B$1:B4059,$A$2:$A$4629),0,0),0)),"",INDEX($A$2:$A$4629,MATCH(0,INDEX(COUNTIF($B$1:B4059,$A$2:$A$4629),0,0),0)))</f>
        <v/>
      </c>
      <c r="C4060" t="str">
        <f t="shared" si="63"/>
        <v/>
      </c>
    </row>
    <row r="4061" spans="1:3" x14ac:dyDescent="0.25">
      <c r="A4061" t="str">
        <f>IF(Scan2VK!AC181&lt;&gt;"",Scan2VK!AC181,"")</f>
        <v/>
      </c>
      <c r="B4061" t="str">
        <f>IF(ISERROR(MATCH(0,INDEX(COUNTIF($B$1:B4060,$A$2:$A$4629),0,0),0)),"",INDEX($A$2:$A$4629,MATCH(0,INDEX(COUNTIF($B$1:B4060,$A$2:$A$4629),0,0),0)))</f>
        <v/>
      </c>
      <c r="C4061" t="str">
        <f t="shared" si="63"/>
        <v/>
      </c>
    </row>
    <row r="4062" spans="1:3" x14ac:dyDescent="0.25">
      <c r="A4062" t="str">
        <f>IF(Scan2VK!AC182&lt;&gt;"",Scan2VK!AC182,"")</f>
        <v/>
      </c>
      <c r="B4062" t="str">
        <f>IF(ISERROR(MATCH(0,INDEX(COUNTIF($B$1:B4061,$A$2:$A$4629),0,0),0)),"",INDEX($A$2:$A$4629,MATCH(0,INDEX(COUNTIF($B$1:B4061,$A$2:$A$4629),0,0),0)))</f>
        <v/>
      </c>
      <c r="C4062" t="str">
        <f t="shared" si="63"/>
        <v/>
      </c>
    </row>
    <row r="4063" spans="1:3" x14ac:dyDescent="0.25">
      <c r="A4063" t="str">
        <f>IF(Scan2VK!AC183&lt;&gt;"",Scan2VK!AC183,"")</f>
        <v/>
      </c>
      <c r="B4063" t="str">
        <f>IF(ISERROR(MATCH(0,INDEX(COUNTIF($B$1:B4062,$A$2:$A$4629),0,0),0)),"",INDEX($A$2:$A$4629,MATCH(0,INDEX(COUNTIF($B$1:B4062,$A$2:$A$4629),0,0),0)))</f>
        <v/>
      </c>
      <c r="C4063" t="str">
        <f t="shared" si="63"/>
        <v/>
      </c>
    </row>
    <row r="4064" spans="1:3" x14ac:dyDescent="0.25">
      <c r="A4064" t="str">
        <f>IF(Scan2VK!AC184&lt;&gt;"",Scan2VK!AC184,"")</f>
        <v/>
      </c>
      <c r="B4064" t="str">
        <f>IF(ISERROR(MATCH(0,INDEX(COUNTIF($B$1:B4063,$A$2:$A$4629),0,0),0)),"",INDEX($A$2:$A$4629,MATCH(0,INDEX(COUNTIF($B$1:B4063,$A$2:$A$4629),0,0),0)))</f>
        <v/>
      </c>
      <c r="C4064" t="str">
        <f t="shared" si="63"/>
        <v/>
      </c>
    </row>
    <row r="4065" spans="1:3" x14ac:dyDescent="0.25">
      <c r="A4065" t="str">
        <f>IF(Scan2VK!AC185&lt;&gt;"",Scan2VK!AC185,"")</f>
        <v/>
      </c>
      <c r="B4065" t="str">
        <f>IF(ISERROR(MATCH(0,INDEX(COUNTIF($B$1:B4064,$A$2:$A$4629),0,0),0)),"",INDEX($A$2:$A$4629,MATCH(0,INDEX(COUNTIF($B$1:B4064,$A$2:$A$4629),0,0),0)))</f>
        <v/>
      </c>
      <c r="C4065" t="str">
        <f t="shared" si="63"/>
        <v/>
      </c>
    </row>
    <row r="4066" spans="1:3" x14ac:dyDescent="0.25">
      <c r="A4066" t="str">
        <f>IF(Scan2VK!AC186&lt;&gt;"",Scan2VK!AC186,"")</f>
        <v/>
      </c>
      <c r="B4066" t="str">
        <f>IF(ISERROR(MATCH(0,INDEX(COUNTIF($B$1:B4065,$A$2:$A$4629),0,0),0)),"",INDEX($A$2:$A$4629,MATCH(0,INDEX(COUNTIF($B$1:B4065,$A$2:$A$4629),0,0),0)))</f>
        <v/>
      </c>
      <c r="C4066" t="str">
        <f t="shared" si="63"/>
        <v/>
      </c>
    </row>
    <row r="4067" spans="1:3" x14ac:dyDescent="0.25">
      <c r="A4067" t="str">
        <f>IF(Scan2VK!AC187&lt;&gt;"",Scan2VK!AC187,"")</f>
        <v/>
      </c>
      <c r="B4067" t="str">
        <f>IF(ISERROR(MATCH(0,INDEX(COUNTIF($B$1:B4066,$A$2:$A$4629),0,0),0)),"",INDEX($A$2:$A$4629,MATCH(0,INDEX(COUNTIF($B$1:B4066,$A$2:$A$4629),0,0),0)))</f>
        <v/>
      </c>
      <c r="C4067" t="str">
        <f t="shared" si="63"/>
        <v/>
      </c>
    </row>
    <row r="4068" spans="1:3" x14ac:dyDescent="0.25">
      <c r="A4068" t="str">
        <f>IF(Scan2VK!AC188&lt;&gt;"",Scan2VK!AC188,"")</f>
        <v/>
      </c>
      <c r="B4068" t="str">
        <f>IF(ISERROR(MATCH(0,INDEX(COUNTIF($B$1:B4067,$A$2:$A$4629),0,0),0)),"",INDEX($A$2:$A$4629,MATCH(0,INDEX(COUNTIF($B$1:B4067,$A$2:$A$4629),0,0),0)))</f>
        <v/>
      </c>
      <c r="C4068" t="str">
        <f t="shared" si="63"/>
        <v/>
      </c>
    </row>
    <row r="4069" spans="1:3" x14ac:dyDescent="0.25">
      <c r="A4069" t="str">
        <f>IF(Scan2VK!AC189&lt;&gt;"",Scan2VK!AC189,"")</f>
        <v/>
      </c>
      <c r="B4069" t="str">
        <f>IF(ISERROR(MATCH(0,INDEX(COUNTIF($B$1:B4068,$A$2:$A$4629),0,0),0)),"",INDEX($A$2:$A$4629,MATCH(0,INDEX(COUNTIF($B$1:B4068,$A$2:$A$4629),0,0),0)))</f>
        <v/>
      </c>
      <c r="C4069" t="str">
        <f t="shared" si="63"/>
        <v/>
      </c>
    </row>
    <row r="4070" spans="1:3" x14ac:dyDescent="0.25">
      <c r="A4070" t="str">
        <f>IF(Scan2VK!AC190&lt;&gt;"",Scan2VK!AC190,"")</f>
        <v/>
      </c>
      <c r="B4070" t="str">
        <f>IF(ISERROR(MATCH(0,INDEX(COUNTIF($B$1:B4069,$A$2:$A$4629),0,0),0)),"",INDEX($A$2:$A$4629,MATCH(0,INDEX(COUNTIF($B$1:B4069,$A$2:$A$4629),0,0),0)))</f>
        <v/>
      </c>
      <c r="C4070" t="str">
        <f t="shared" si="63"/>
        <v/>
      </c>
    </row>
    <row r="4071" spans="1:3" x14ac:dyDescent="0.25">
      <c r="A4071" t="str">
        <f>IF(Scan2VK!AC191&lt;&gt;"",Scan2VK!AC191,"")</f>
        <v/>
      </c>
      <c r="B4071" t="str">
        <f>IF(ISERROR(MATCH(0,INDEX(COUNTIF($B$1:B4070,$A$2:$A$4629),0,0),0)),"",INDEX($A$2:$A$4629,MATCH(0,INDEX(COUNTIF($B$1:B4070,$A$2:$A$4629),0,0),0)))</f>
        <v/>
      </c>
      <c r="C4071" t="str">
        <f t="shared" si="63"/>
        <v/>
      </c>
    </row>
    <row r="4072" spans="1:3" x14ac:dyDescent="0.25">
      <c r="A4072" t="str">
        <f>IF(Scan2VK!AC192&lt;&gt;"",Scan2VK!AC192,"")</f>
        <v/>
      </c>
      <c r="B4072" t="str">
        <f>IF(ISERROR(MATCH(0,INDEX(COUNTIF($B$1:B4071,$A$2:$A$4629),0,0),0)),"",INDEX($A$2:$A$4629,MATCH(0,INDEX(COUNTIF($B$1:B4071,$A$2:$A$4629),0,0),0)))</f>
        <v/>
      </c>
      <c r="C4072" t="str">
        <f t="shared" si="63"/>
        <v/>
      </c>
    </row>
    <row r="4073" spans="1:3" x14ac:dyDescent="0.25">
      <c r="A4073" t="str">
        <f>IF(Scan2VK!AC193&lt;&gt;"",Scan2VK!AC193,"")</f>
        <v/>
      </c>
      <c r="B4073" t="str">
        <f>IF(ISERROR(MATCH(0,INDEX(COUNTIF($B$1:B4072,$A$2:$A$4629),0,0),0)),"",INDEX($A$2:$A$4629,MATCH(0,INDEX(COUNTIF($B$1:B4072,$A$2:$A$4629),0,0),0)))</f>
        <v/>
      </c>
      <c r="C4073" t="str">
        <f t="shared" si="63"/>
        <v/>
      </c>
    </row>
    <row r="4074" spans="1:3" x14ac:dyDescent="0.25">
      <c r="A4074" t="str">
        <f>IF(Scan2VK!AC194&lt;&gt;"",Scan2VK!AC194,"")</f>
        <v/>
      </c>
      <c r="B4074" t="str">
        <f>IF(ISERROR(MATCH(0,INDEX(COUNTIF($B$1:B4073,$A$2:$A$4629),0,0),0)),"",INDEX($A$2:$A$4629,MATCH(0,INDEX(COUNTIF($B$1:B4073,$A$2:$A$4629),0,0),0)))</f>
        <v/>
      </c>
      <c r="C4074" t="str">
        <f t="shared" si="63"/>
        <v/>
      </c>
    </row>
    <row r="4075" spans="1:3" x14ac:dyDescent="0.25">
      <c r="A4075" t="str">
        <f>IF(Scan2VK!AC195&lt;&gt;"",Scan2VK!AC195,"")</f>
        <v>PAUSE</v>
      </c>
      <c r="B4075" t="str">
        <f>IF(ISERROR(MATCH(0,INDEX(COUNTIF($B$1:B4074,$A$2:$A$4629),0,0),0)),"",INDEX($A$2:$A$4629,MATCH(0,INDEX(COUNTIF($B$1:B4074,$A$2:$A$4629),0,0),0)))</f>
        <v/>
      </c>
      <c r="C4075" t="str">
        <f t="shared" si="63"/>
        <v/>
      </c>
    </row>
    <row r="4076" spans="1:3" x14ac:dyDescent="0.25">
      <c r="A4076" t="str">
        <f>IF(Scan2VK!AD2&lt;&gt;"",Scan2VK!AD2,"")</f>
        <v>_none_</v>
      </c>
      <c r="B4076" t="str">
        <f>IF(ISERROR(MATCH(0,INDEX(COUNTIF($B$1:B4075,$A$2:$A$4629),0,0),0)),"",INDEX($A$2:$A$4629,MATCH(0,INDEX(COUNTIF($B$1:B4075,$A$2:$A$4629),0,0),0)))</f>
        <v/>
      </c>
      <c r="C4076" t="str">
        <f t="shared" si="63"/>
        <v/>
      </c>
    </row>
    <row r="4077" spans="1:3" x14ac:dyDescent="0.25">
      <c r="A4077" t="str">
        <f>IF(Scan2VK!AD3&lt;&gt;"",Scan2VK!AD3,"")</f>
        <v>ESCAPE</v>
      </c>
      <c r="B4077" t="str">
        <f>IF(ISERROR(MATCH(0,INDEX(COUNTIF($B$1:B4076,$A$2:$A$4629),0,0),0)),"",INDEX($A$2:$A$4629,MATCH(0,INDEX(COUNTIF($B$1:B4076,$A$2:$A$4629),0,0),0)))</f>
        <v/>
      </c>
      <c r="C4077" t="str">
        <f t="shared" si="63"/>
        <v/>
      </c>
    </row>
    <row r="4078" spans="1:3" x14ac:dyDescent="0.25">
      <c r="A4078" t="str">
        <f>IF(Scan2VK!AD4&lt;&gt;"",Scan2VK!AD4,"")</f>
        <v>'1'</v>
      </c>
      <c r="B4078" t="str">
        <f>IF(ISERROR(MATCH(0,INDEX(COUNTIF($B$1:B4077,$A$2:$A$4629),0,0),0)),"",INDEX($A$2:$A$4629,MATCH(0,INDEX(COUNTIF($B$1:B4077,$A$2:$A$4629),0,0),0)))</f>
        <v/>
      </c>
      <c r="C4078" t="str">
        <f t="shared" si="63"/>
        <v/>
      </c>
    </row>
    <row r="4079" spans="1:3" x14ac:dyDescent="0.25">
      <c r="A4079" t="str">
        <f>IF(Scan2VK!AD5&lt;&gt;"",Scan2VK!AD5,"")</f>
        <v>'2'</v>
      </c>
      <c r="B4079" t="str">
        <f>IF(ISERROR(MATCH(0,INDEX(COUNTIF($B$1:B4078,$A$2:$A$4629),0,0),0)),"",INDEX($A$2:$A$4629,MATCH(0,INDEX(COUNTIF($B$1:B4078,$A$2:$A$4629),0,0),0)))</f>
        <v/>
      </c>
      <c r="C4079" t="str">
        <f t="shared" si="63"/>
        <v/>
      </c>
    </row>
    <row r="4080" spans="1:3" x14ac:dyDescent="0.25">
      <c r="A4080" t="str">
        <f>IF(Scan2VK!AD6&lt;&gt;"",Scan2VK!AD6,"")</f>
        <v>'3'</v>
      </c>
      <c r="B4080" t="str">
        <f>IF(ISERROR(MATCH(0,INDEX(COUNTIF($B$1:B4079,$A$2:$A$4629),0,0),0)),"",INDEX($A$2:$A$4629,MATCH(0,INDEX(COUNTIF($B$1:B4079,$A$2:$A$4629),0,0),0)))</f>
        <v/>
      </c>
      <c r="C4080" t="str">
        <f t="shared" si="63"/>
        <v/>
      </c>
    </row>
    <row r="4081" spans="1:3" x14ac:dyDescent="0.25">
      <c r="A4081" t="str">
        <f>IF(Scan2VK!AD7&lt;&gt;"",Scan2VK!AD7,"")</f>
        <v>'4'</v>
      </c>
      <c r="B4081" t="str">
        <f>IF(ISERROR(MATCH(0,INDEX(COUNTIF($B$1:B4080,$A$2:$A$4629),0,0),0)),"",INDEX($A$2:$A$4629,MATCH(0,INDEX(COUNTIF($B$1:B4080,$A$2:$A$4629),0,0),0)))</f>
        <v/>
      </c>
      <c r="C4081" t="str">
        <f t="shared" si="63"/>
        <v/>
      </c>
    </row>
    <row r="4082" spans="1:3" x14ac:dyDescent="0.25">
      <c r="A4082" t="str">
        <f>IF(Scan2VK!AD8&lt;&gt;"",Scan2VK!AD8,"")</f>
        <v>'5'</v>
      </c>
      <c r="B4082" t="str">
        <f>IF(ISERROR(MATCH(0,INDEX(COUNTIF($B$1:B4081,$A$2:$A$4629),0,0),0)),"",INDEX($A$2:$A$4629,MATCH(0,INDEX(COUNTIF($B$1:B4081,$A$2:$A$4629),0,0),0)))</f>
        <v/>
      </c>
      <c r="C4082" t="str">
        <f t="shared" si="63"/>
        <v/>
      </c>
    </row>
    <row r="4083" spans="1:3" x14ac:dyDescent="0.25">
      <c r="A4083" t="str">
        <f>IF(Scan2VK!AD9&lt;&gt;"",Scan2VK!AD9,"")</f>
        <v>'6'</v>
      </c>
      <c r="B4083" t="str">
        <f>IF(ISERROR(MATCH(0,INDEX(COUNTIF($B$1:B4082,$A$2:$A$4629),0,0),0)),"",INDEX($A$2:$A$4629,MATCH(0,INDEX(COUNTIF($B$1:B4082,$A$2:$A$4629),0,0),0)))</f>
        <v/>
      </c>
      <c r="C4083" t="str">
        <f t="shared" si="63"/>
        <v/>
      </c>
    </row>
    <row r="4084" spans="1:3" x14ac:dyDescent="0.25">
      <c r="A4084" t="str">
        <f>IF(Scan2VK!AD10&lt;&gt;"",Scan2VK!AD10,"")</f>
        <v>'7'</v>
      </c>
      <c r="B4084" t="str">
        <f>IF(ISERROR(MATCH(0,INDEX(COUNTIF($B$1:B4083,$A$2:$A$4629),0,0),0)),"",INDEX($A$2:$A$4629,MATCH(0,INDEX(COUNTIF($B$1:B4083,$A$2:$A$4629),0,0),0)))</f>
        <v/>
      </c>
      <c r="C4084" t="str">
        <f t="shared" si="63"/>
        <v/>
      </c>
    </row>
    <row r="4085" spans="1:3" x14ac:dyDescent="0.25">
      <c r="A4085" t="str">
        <f>IF(Scan2VK!AD11&lt;&gt;"",Scan2VK!AD11,"")</f>
        <v>'8'</v>
      </c>
      <c r="B4085" t="str">
        <f>IF(ISERROR(MATCH(0,INDEX(COUNTIF($B$1:B4084,$A$2:$A$4629),0,0),0)),"",INDEX($A$2:$A$4629,MATCH(0,INDEX(COUNTIF($B$1:B4084,$A$2:$A$4629),0,0),0)))</f>
        <v/>
      </c>
      <c r="C4085" t="str">
        <f t="shared" si="63"/>
        <v/>
      </c>
    </row>
    <row r="4086" spans="1:3" x14ac:dyDescent="0.25">
      <c r="A4086" t="str">
        <f>IF(Scan2VK!AD12&lt;&gt;"",Scan2VK!AD12,"")</f>
        <v>'9'</v>
      </c>
      <c r="B4086" t="str">
        <f>IF(ISERROR(MATCH(0,INDEX(COUNTIF($B$1:B4085,$A$2:$A$4629),0,0),0)),"",INDEX($A$2:$A$4629,MATCH(0,INDEX(COUNTIF($B$1:B4085,$A$2:$A$4629),0,0),0)))</f>
        <v/>
      </c>
      <c r="C4086" t="str">
        <f t="shared" si="63"/>
        <v/>
      </c>
    </row>
    <row r="4087" spans="1:3" x14ac:dyDescent="0.25">
      <c r="A4087" t="str">
        <f>IF(Scan2VK!AD13&lt;&gt;"",Scan2VK!AD13,"")</f>
        <v>'0'</v>
      </c>
      <c r="B4087" t="str">
        <f>IF(ISERROR(MATCH(0,INDEX(COUNTIF($B$1:B4086,$A$2:$A$4629),0,0),0)),"",INDEX($A$2:$A$4629,MATCH(0,INDEX(COUNTIF($B$1:B4086,$A$2:$A$4629),0,0),0)))</f>
        <v/>
      </c>
      <c r="C4087" t="str">
        <f t="shared" si="63"/>
        <v/>
      </c>
    </row>
    <row r="4088" spans="1:3" x14ac:dyDescent="0.25">
      <c r="A4088" t="str">
        <f>IF(Scan2VK!AD14&lt;&gt;"",Scan2VK!AD14,"")</f>
        <v>OEM_MINUS</v>
      </c>
      <c r="B4088" t="str">
        <f>IF(ISERROR(MATCH(0,INDEX(COUNTIF($B$1:B4087,$A$2:$A$4629),0,0),0)),"",INDEX($A$2:$A$4629,MATCH(0,INDEX(COUNTIF($B$1:B4087,$A$2:$A$4629),0,0),0)))</f>
        <v/>
      </c>
      <c r="C4088" t="str">
        <f t="shared" si="63"/>
        <v/>
      </c>
    </row>
    <row r="4089" spans="1:3" x14ac:dyDescent="0.25">
      <c r="A4089" t="str">
        <f>IF(Scan2VK!AD15&lt;&gt;"",Scan2VK!AD15,"")</f>
        <v>OEM_PLUS</v>
      </c>
      <c r="B4089" t="str">
        <f>IF(ISERROR(MATCH(0,INDEX(COUNTIF($B$1:B4088,$A$2:$A$4629),0,0),0)),"",INDEX($A$2:$A$4629,MATCH(0,INDEX(COUNTIF($B$1:B4088,$A$2:$A$4629),0,0),0)))</f>
        <v/>
      </c>
      <c r="C4089" t="str">
        <f t="shared" si="63"/>
        <v/>
      </c>
    </row>
    <row r="4090" spans="1:3" x14ac:dyDescent="0.25">
      <c r="A4090" t="str">
        <f>IF(Scan2VK!AD16&lt;&gt;"",Scan2VK!AD16,"")</f>
        <v>BACK</v>
      </c>
      <c r="B4090" t="str">
        <f>IF(ISERROR(MATCH(0,INDEX(COUNTIF($B$1:B4089,$A$2:$A$4629),0,0),0)),"",INDEX($A$2:$A$4629,MATCH(0,INDEX(COUNTIF($B$1:B4089,$A$2:$A$4629),0,0),0)))</f>
        <v/>
      </c>
      <c r="C4090" t="str">
        <f t="shared" si="63"/>
        <v/>
      </c>
    </row>
    <row r="4091" spans="1:3" x14ac:dyDescent="0.25">
      <c r="A4091" t="str">
        <f>IF(Scan2VK!AD17&lt;&gt;"",Scan2VK!AD17,"")</f>
        <v>TAB</v>
      </c>
      <c r="B4091" t="str">
        <f>IF(ISERROR(MATCH(0,INDEX(COUNTIF($B$1:B4090,$A$2:$A$4629),0,0),0)),"",INDEX($A$2:$A$4629,MATCH(0,INDEX(COUNTIF($B$1:B4090,$A$2:$A$4629),0,0),0)))</f>
        <v/>
      </c>
      <c r="C4091" t="str">
        <f t="shared" si="63"/>
        <v/>
      </c>
    </row>
    <row r="4092" spans="1:3" x14ac:dyDescent="0.25">
      <c r="A4092" t="str">
        <f>IF(Scan2VK!AD18&lt;&gt;"",Scan2VK!AD18,"")</f>
        <v>'Q'</v>
      </c>
      <c r="B4092" t="str">
        <f>IF(ISERROR(MATCH(0,INDEX(COUNTIF($B$1:B4091,$A$2:$A$4629),0,0),0)),"",INDEX($A$2:$A$4629,MATCH(0,INDEX(COUNTIF($B$1:B4091,$A$2:$A$4629),0,0),0)))</f>
        <v/>
      </c>
      <c r="C4092" t="str">
        <f t="shared" si="63"/>
        <v/>
      </c>
    </row>
    <row r="4093" spans="1:3" x14ac:dyDescent="0.25">
      <c r="A4093" t="str">
        <f>IF(Scan2VK!AD19&lt;&gt;"",Scan2VK!AD19,"")</f>
        <v>'W'</v>
      </c>
      <c r="B4093" t="str">
        <f>IF(ISERROR(MATCH(0,INDEX(COUNTIF($B$1:B4092,$A$2:$A$4629),0,0),0)),"",INDEX($A$2:$A$4629,MATCH(0,INDEX(COUNTIF($B$1:B4092,$A$2:$A$4629),0,0),0)))</f>
        <v/>
      </c>
      <c r="C4093" t="str">
        <f t="shared" si="63"/>
        <v/>
      </c>
    </row>
    <row r="4094" spans="1:3" x14ac:dyDescent="0.25">
      <c r="A4094" t="str">
        <f>IF(Scan2VK!AD20&lt;&gt;"",Scan2VK!AD20,"")</f>
        <v>'E'</v>
      </c>
      <c r="B4094" t="str">
        <f>IF(ISERROR(MATCH(0,INDEX(COUNTIF($B$1:B4093,$A$2:$A$4629),0,0),0)),"",INDEX($A$2:$A$4629,MATCH(0,INDEX(COUNTIF($B$1:B4093,$A$2:$A$4629),0,0),0)))</f>
        <v/>
      </c>
      <c r="C4094" t="str">
        <f t="shared" si="63"/>
        <v/>
      </c>
    </row>
    <row r="4095" spans="1:3" x14ac:dyDescent="0.25">
      <c r="A4095" t="str">
        <f>IF(Scan2VK!AD21&lt;&gt;"",Scan2VK!AD21,"")</f>
        <v>'R'</v>
      </c>
      <c r="B4095" t="str">
        <f>IF(ISERROR(MATCH(0,INDEX(COUNTIF($B$1:B4094,$A$2:$A$4629),0,0),0)),"",INDEX($A$2:$A$4629,MATCH(0,INDEX(COUNTIF($B$1:B4094,$A$2:$A$4629),0,0),0)))</f>
        <v/>
      </c>
      <c r="C4095" t="str">
        <f t="shared" si="63"/>
        <v/>
      </c>
    </row>
    <row r="4096" spans="1:3" x14ac:dyDescent="0.25">
      <c r="A4096" t="str">
        <f>IF(Scan2VK!AD22&lt;&gt;"",Scan2VK!AD22,"")</f>
        <v>'T'</v>
      </c>
      <c r="B4096" t="str">
        <f>IF(ISERROR(MATCH(0,INDEX(COUNTIF($B$1:B4095,$A$2:$A$4629),0,0),0)),"",INDEX($A$2:$A$4629,MATCH(0,INDEX(COUNTIF($B$1:B4095,$A$2:$A$4629),0,0),0)))</f>
        <v/>
      </c>
      <c r="C4096" t="str">
        <f t="shared" si="63"/>
        <v/>
      </c>
    </row>
    <row r="4097" spans="1:3" x14ac:dyDescent="0.25">
      <c r="A4097" t="str">
        <f>IF(Scan2VK!AD23&lt;&gt;"",Scan2VK!AD23,"")</f>
        <v>'Y'</v>
      </c>
      <c r="B4097" t="str">
        <f>IF(ISERROR(MATCH(0,INDEX(COUNTIF($B$1:B4096,$A$2:$A$4629),0,0),0)),"",INDEX($A$2:$A$4629,MATCH(0,INDEX(COUNTIF($B$1:B4096,$A$2:$A$4629),0,0),0)))</f>
        <v/>
      </c>
      <c r="C4097" t="str">
        <f t="shared" si="63"/>
        <v/>
      </c>
    </row>
    <row r="4098" spans="1:3" x14ac:dyDescent="0.25">
      <c r="A4098" t="str">
        <f>IF(Scan2VK!AD24&lt;&gt;"",Scan2VK!AD24,"")</f>
        <v>'U'</v>
      </c>
      <c r="B4098" t="str">
        <f>IF(ISERROR(MATCH(0,INDEX(COUNTIF($B$1:B4097,$A$2:$A$4629),0,0),0)),"",INDEX($A$2:$A$4629,MATCH(0,INDEX(COUNTIF($B$1:B4097,$A$2:$A$4629),0,0),0)))</f>
        <v/>
      </c>
      <c r="C4098" t="str">
        <f t="shared" si="63"/>
        <v/>
      </c>
    </row>
    <row r="4099" spans="1:3" x14ac:dyDescent="0.25">
      <c r="A4099" t="str">
        <f>IF(Scan2VK!AD25&lt;&gt;"",Scan2VK!AD25,"")</f>
        <v>'I'</v>
      </c>
      <c r="B4099" t="str">
        <f>IF(ISERROR(MATCH(0,INDEX(COUNTIF($B$1:B4098,$A$2:$A$4629),0,0),0)),"",INDEX($A$2:$A$4629,MATCH(0,INDEX(COUNTIF($B$1:B4098,$A$2:$A$4629),0,0),0)))</f>
        <v/>
      </c>
      <c r="C4099" t="str">
        <f t="shared" ref="C4099:C4162" si="64">IF(B4099&lt;&gt;"","&lt;xs:enumeration value="""&amp;B4099&amp;"""/&gt;","")</f>
        <v/>
      </c>
    </row>
    <row r="4100" spans="1:3" x14ac:dyDescent="0.25">
      <c r="A4100" t="str">
        <f>IF(Scan2VK!AD26&lt;&gt;"",Scan2VK!AD26,"")</f>
        <v>'O'</v>
      </c>
      <c r="B4100" t="str">
        <f>IF(ISERROR(MATCH(0,INDEX(COUNTIF($B$1:B4099,$A$2:$A$4629),0,0),0)),"",INDEX($A$2:$A$4629,MATCH(0,INDEX(COUNTIF($B$1:B4099,$A$2:$A$4629),0,0),0)))</f>
        <v/>
      </c>
      <c r="C4100" t="str">
        <f t="shared" si="64"/>
        <v/>
      </c>
    </row>
    <row r="4101" spans="1:3" x14ac:dyDescent="0.25">
      <c r="A4101" t="str">
        <f>IF(Scan2VK!AD27&lt;&gt;"",Scan2VK!AD27,"")</f>
        <v>'P'</v>
      </c>
      <c r="B4101" t="str">
        <f>IF(ISERROR(MATCH(0,INDEX(COUNTIF($B$1:B4100,$A$2:$A$4629),0,0),0)),"",INDEX($A$2:$A$4629,MATCH(0,INDEX(COUNTIF($B$1:B4100,$A$2:$A$4629),0,0),0)))</f>
        <v/>
      </c>
      <c r="C4101" t="str">
        <f t="shared" si="64"/>
        <v/>
      </c>
    </row>
    <row r="4102" spans="1:3" x14ac:dyDescent="0.25">
      <c r="A4102" t="str">
        <f>IF(Scan2VK!AD28&lt;&gt;"",Scan2VK!AD28,"")</f>
        <v>OEM_4</v>
      </c>
      <c r="B4102" t="str">
        <f>IF(ISERROR(MATCH(0,INDEX(COUNTIF($B$1:B4101,$A$2:$A$4629),0,0),0)),"",INDEX($A$2:$A$4629,MATCH(0,INDEX(COUNTIF($B$1:B4101,$A$2:$A$4629),0,0),0)))</f>
        <v/>
      </c>
      <c r="C4102" t="str">
        <f t="shared" si="64"/>
        <v/>
      </c>
    </row>
    <row r="4103" spans="1:3" x14ac:dyDescent="0.25">
      <c r="A4103" t="str">
        <f>IF(Scan2VK!AD29&lt;&gt;"",Scan2VK!AD29,"")</f>
        <v>OEM_6</v>
      </c>
      <c r="B4103" t="str">
        <f>IF(ISERROR(MATCH(0,INDEX(COUNTIF($B$1:B4102,$A$2:$A$4629),0,0),0)),"",INDEX($A$2:$A$4629,MATCH(0,INDEX(COUNTIF($B$1:B4102,$A$2:$A$4629),0,0),0)))</f>
        <v/>
      </c>
      <c r="C4103" t="str">
        <f t="shared" si="64"/>
        <v/>
      </c>
    </row>
    <row r="4104" spans="1:3" x14ac:dyDescent="0.25">
      <c r="A4104" t="str">
        <f>IF(Scan2VK!AD30&lt;&gt;"",Scan2VK!AD30,"")</f>
        <v>RETURN</v>
      </c>
      <c r="B4104" t="str">
        <f>IF(ISERROR(MATCH(0,INDEX(COUNTIF($B$1:B4103,$A$2:$A$4629),0,0),0)),"",INDEX($A$2:$A$4629,MATCH(0,INDEX(COUNTIF($B$1:B4103,$A$2:$A$4629),0,0),0)))</f>
        <v/>
      </c>
      <c r="C4104" t="str">
        <f t="shared" si="64"/>
        <v/>
      </c>
    </row>
    <row r="4105" spans="1:3" x14ac:dyDescent="0.25">
      <c r="A4105" t="str">
        <f>IF(Scan2VK!AD31&lt;&gt;"",Scan2VK!AD31,"")</f>
        <v>LCONTROL</v>
      </c>
      <c r="B4105" t="str">
        <f>IF(ISERROR(MATCH(0,INDEX(COUNTIF($B$1:B4104,$A$2:$A$4629),0,0),0)),"",INDEX($A$2:$A$4629,MATCH(0,INDEX(COUNTIF($B$1:B4104,$A$2:$A$4629),0,0),0)))</f>
        <v/>
      </c>
      <c r="C4105" t="str">
        <f t="shared" si="64"/>
        <v/>
      </c>
    </row>
    <row r="4106" spans="1:3" x14ac:dyDescent="0.25">
      <c r="A4106" t="str">
        <f>IF(Scan2VK!AD32&lt;&gt;"",Scan2VK!AD32,"")</f>
        <v>'A'</v>
      </c>
      <c r="B4106" t="str">
        <f>IF(ISERROR(MATCH(0,INDEX(COUNTIF($B$1:B4105,$A$2:$A$4629),0,0),0)),"",INDEX($A$2:$A$4629,MATCH(0,INDEX(COUNTIF($B$1:B4105,$A$2:$A$4629),0,0),0)))</f>
        <v/>
      </c>
      <c r="C4106" t="str">
        <f t="shared" si="64"/>
        <v/>
      </c>
    </row>
    <row r="4107" spans="1:3" x14ac:dyDescent="0.25">
      <c r="A4107" t="str">
        <f>IF(Scan2VK!AD33&lt;&gt;"",Scan2VK!AD33,"")</f>
        <v>'S'</v>
      </c>
      <c r="B4107" t="str">
        <f>IF(ISERROR(MATCH(0,INDEX(COUNTIF($B$1:B4106,$A$2:$A$4629),0,0),0)),"",INDEX($A$2:$A$4629,MATCH(0,INDEX(COUNTIF($B$1:B4106,$A$2:$A$4629),0,0),0)))</f>
        <v/>
      </c>
      <c r="C4107" t="str">
        <f t="shared" si="64"/>
        <v/>
      </c>
    </row>
    <row r="4108" spans="1:3" x14ac:dyDescent="0.25">
      <c r="A4108" t="str">
        <f>IF(Scan2VK!AD34&lt;&gt;"",Scan2VK!AD34,"")</f>
        <v>'D'</v>
      </c>
      <c r="B4108" t="str">
        <f>IF(ISERROR(MATCH(0,INDEX(COUNTIF($B$1:B4107,$A$2:$A$4629),0,0),0)),"",INDEX($A$2:$A$4629,MATCH(0,INDEX(COUNTIF($B$1:B4107,$A$2:$A$4629),0,0),0)))</f>
        <v/>
      </c>
      <c r="C4108" t="str">
        <f t="shared" si="64"/>
        <v/>
      </c>
    </row>
    <row r="4109" spans="1:3" x14ac:dyDescent="0.25">
      <c r="A4109" t="str">
        <f>IF(Scan2VK!AD35&lt;&gt;"",Scan2VK!AD35,"")</f>
        <v>'F'</v>
      </c>
      <c r="B4109" t="str">
        <f>IF(ISERROR(MATCH(0,INDEX(COUNTIF($B$1:B4108,$A$2:$A$4629),0,0),0)),"",INDEX($A$2:$A$4629,MATCH(0,INDEX(COUNTIF($B$1:B4108,$A$2:$A$4629),0,0),0)))</f>
        <v/>
      </c>
      <c r="C4109" t="str">
        <f t="shared" si="64"/>
        <v/>
      </c>
    </row>
    <row r="4110" spans="1:3" x14ac:dyDescent="0.25">
      <c r="A4110" t="str">
        <f>IF(Scan2VK!AD36&lt;&gt;"",Scan2VK!AD36,"")</f>
        <v>'G'</v>
      </c>
      <c r="B4110" t="str">
        <f>IF(ISERROR(MATCH(0,INDEX(COUNTIF($B$1:B4109,$A$2:$A$4629),0,0),0)),"",INDEX($A$2:$A$4629,MATCH(0,INDEX(COUNTIF($B$1:B4109,$A$2:$A$4629),0,0),0)))</f>
        <v/>
      </c>
      <c r="C4110" t="str">
        <f t="shared" si="64"/>
        <v/>
      </c>
    </row>
    <row r="4111" spans="1:3" x14ac:dyDescent="0.25">
      <c r="A4111" t="str">
        <f>IF(Scan2VK!AD37&lt;&gt;"",Scan2VK!AD37,"")</f>
        <v>'H'</v>
      </c>
      <c r="B4111" t="str">
        <f>IF(ISERROR(MATCH(0,INDEX(COUNTIF($B$1:B4110,$A$2:$A$4629),0,0),0)),"",INDEX($A$2:$A$4629,MATCH(0,INDEX(COUNTIF($B$1:B4110,$A$2:$A$4629),0,0),0)))</f>
        <v/>
      </c>
      <c r="C4111" t="str">
        <f t="shared" si="64"/>
        <v/>
      </c>
    </row>
    <row r="4112" spans="1:3" x14ac:dyDescent="0.25">
      <c r="A4112" t="str">
        <f>IF(Scan2VK!AD38&lt;&gt;"",Scan2VK!AD38,"")</f>
        <v>'J'</v>
      </c>
      <c r="B4112" t="str">
        <f>IF(ISERROR(MATCH(0,INDEX(COUNTIF($B$1:B4111,$A$2:$A$4629),0,0),0)),"",INDEX($A$2:$A$4629,MATCH(0,INDEX(COUNTIF($B$1:B4111,$A$2:$A$4629),0,0),0)))</f>
        <v/>
      </c>
      <c r="C4112" t="str">
        <f t="shared" si="64"/>
        <v/>
      </c>
    </row>
    <row r="4113" spans="1:3" x14ac:dyDescent="0.25">
      <c r="A4113" t="str">
        <f>IF(Scan2VK!AD39&lt;&gt;"",Scan2VK!AD39,"")</f>
        <v>'K'</v>
      </c>
      <c r="B4113" t="str">
        <f>IF(ISERROR(MATCH(0,INDEX(COUNTIF($B$1:B4112,$A$2:$A$4629),0,0),0)),"",INDEX($A$2:$A$4629,MATCH(0,INDEX(COUNTIF($B$1:B4112,$A$2:$A$4629),0,0),0)))</f>
        <v/>
      </c>
      <c r="C4113" t="str">
        <f t="shared" si="64"/>
        <v/>
      </c>
    </row>
    <row r="4114" spans="1:3" x14ac:dyDescent="0.25">
      <c r="A4114" t="str">
        <f>IF(Scan2VK!AD40&lt;&gt;"",Scan2VK!AD40,"")</f>
        <v>'L'</v>
      </c>
      <c r="B4114" t="str">
        <f>IF(ISERROR(MATCH(0,INDEX(COUNTIF($B$1:B4113,$A$2:$A$4629),0,0),0)),"",INDEX($A$2:$A$4629,MATCH(0,INDEX(COUNTIF($B$1:B4113,$A$2:$A$4629),0,0),0)))</f>
        <v/>
      </c>
      <c r="C4114" t="str">
        <f t="shared" si="64"/>
        <v/>
      </c>
    </row>
    <row r="4115" spans="1:3" x14ac:dyDescent="0.25">
      <c r="A4115" t="str">
        <f>IF(Scan2VK!AD41&lt;&gt;"",Scan2VK!AD41,"")</f>
        <v>OEM_1</v>
      </c>
      <c r="B4115" t="str">
        <f>IF(ISERROR(MATCH(0,INDEX(COUNTIF($B$1:B4114,$A$2:$A$4629),0,0),0)),"",INDEX($A$2:$A$4629,MATCH(0,INDEX(COUNTIF($B$1:B4114,$A$2:$A$4629),0,0),0)))</f>
        <v/>
      </c>
      <c r="C4115" t="str">
        <f t="shared" si="64"/>
        <v/>
      </c>
    </row>
    <row r="4116" spans="1:3" x14ac:dyDescent="0.25">
      <c r="A4116" t="str">
        <f>IF(Scan2VK!AD42&lt;&gt;"",Scan2VK!AD42,"")</f>
        <v>OEM_7</v>
      </c>
      <c r="B4116" t="str">
        <f>IF(ISERROR(MATCH(0,INDEX(COUNTIF($B$1:B4115,$A$2:$A$4629),0,0),0)),"",INDEX($A$2:$A$4629,MATCH(0,INDEX(COUNTIF($B$1:B4115,$A$2:$A$4629),0,0),0)))</f>
        <v/>
      </c>
      <c r="C4116" t="str">
        <f t="shared" si="64"/>
        <v/>
      </c>
    </row>
    <row r="4117" spans="1:3" x14ac:dyDescent="0.25">
      <c r="A4117" t="str">
        <f>IF(Scan2VK!AD43&lt;&gt;"",Scan2VK!AD43,"")</f>
        <v>DBE_SBCSCHAR</v>
      </c>
      <c r="B4117" t="str">
        <f>IF(ISERROR(MATCH(0,INDEX(COUNTIF($B$1:B4116,$A$2:$A$4629),0,0),0)),"",INDEX($A$2:$A$4629,MATCH(0,INDEX(COUNTIF($B$1:B4116,$A$2:$A$4629),0,0),0)))</f>
        <v/>
      </c>
      <c r="C4117" t="str">
        <f t="shared" si="64"/>
        <v/>
      </c>
    </row>
    <row r="4118" spans="1:3" x14ac:dyDescent="0.25">
      <c r="A4118" t="str">
        <f>IF(Scan2VK!AD44&lt;&gt;"",Scan2VK!AD44,"")</f>
        <v>LSHIFT</v>
      </c>
      <c r="B4118" t="str">
        <f>IF(ISERROR(MATCH(0,INDEX(COUNTIF($B$1:B4117,$A$2:$A$4629),0,0),0)),"",INDEX($A$2:$A$4629,MATCH(0,INDEX(COUNTIF($B$1:B4117,$A$2:$A$4629),0,0),0)))</f>
        <v/>
      </c>
      <c r="C4118" t="str">
        <f t="shared" si="64"/>
        <v/>
      </c>
    </row>
    <row r="4119" spans="1:3" x14ac:dyDescent="0.25">
      <c r="A4119" t="str">
        <f>IF(Scan2VK!AD45&lt;&gt;"",Scan2VK!AD45,"")</f>
        <v>OEM_5</v>
      </c>
      <c r="B4119" t="str">
        <f>IF(ISERROR(MATCH(0,INDEX(COUNTIF($B$1:B4118,$A$2:$A$4629),0,0),0)),"",INDEX($A$2:$A$4629,MATCH(0,INDEX(COUNTIF($B$1:B4118,$A$2:$A$4629),0,0),0)))</f>
        <v/>
      </c>
      <c r="C4119" t="str">
        <f t="shared" si="64"/>
        <v/>
      </c>
    </row>
    <row r="4120" spans="1:3" x14ac:dyDescent="0.25">
      <c r="A4120" t="str">
        <f>IF(Scan2VK!AD46&lt;&gt;"",Scan2VK!AD46,"")</f>
        <v>'Z'</v>
      </c>
      <c r="B4120" t="str">
        <f>IF(ISERROR(MATCH(0,INDEX(COUNTIF($B$1:B4119,$A$2:$A$4629),0,0),0)),"",INDEX($A$2:$A$4629,MATCH(0,INDEX(COUNTIF($B$1:B4119,$A$2:$A$4629),0,0),0)))</f>
        <v/>
      </c>
      <c r="C4120" t="str">
        <f t="shared" si="64"/>
        <v/>
      </c>
    </row>
    <row r="4121" spans="1:3" x14ac:dyDescent="0.25">
      <c r="A4121" t="str">
        <f>IF(Scan2VK!AD47&lt;&gt;"",Scan2VK!AD47,"")</f>
        <v>'X'</v>
      </c>
      <c r="B4121" t="str">
        <f>IF(ISERROR(MATCH(0,INDEX(COUNTIF($B$1:B4120,$A$2:$A$4629),0,0),0)),"",INDEX($A$2:$A$4629,MATCH(0,INDEX(COUNTIF($B$1:B4120,$A$2:$A$4629),0,0),0)))</f>
        <v/>
      </c>
      <c r="C4121" t="str">
        <f t="shared" si="64"/>
        <v/>
      </c>
    </row>
    <row r="4122" spans="1:3" x14ac:dyDescent="0.25">
      <c r="A4122" t="str">
        <f>IF(Scan2VK!AD48&lt;&gt;"",Scan2VK!AD48,"")</f>
        <v>'C'</v>
      </c>
      <c r="B4122" t="str">
        <f>IF(ISERROR(MATCH(0,INDEX(COUNTIF($B$1:B4121,$A$2:$A$4629),0,0),0)),"",INDEX($A$2:$A$4629,MATCH(0,INDEX(COUNTIF($B$1:B4121,$A$2:$A$4629),0,0),0)))</f>
        <v/>
      </c>
      <c r="C4122" t="str">
        <f t="shared" si="64"/>
        <v/>
      </c>
    </row>
    <row r="4123" spans="1:3" x14ac:dyDescent="0.25">
      <c r="A4123" t="str">
        <f>IF(Scan2VK!AD49&lt;&gt;"",Scan2VK!AD49,"")</f>
        <v>'V'</v>
      </c>
      <c r="B4123" t="str">
        <f>IF(ISERROR(MATCH(0,INDEX(COUNTIF($B$1:B4122,$A$2:$A$4629),0,0),0)),"",INDEX($A$2:$A$4629,MATCH(0,INDEX(COUNTIF($B$1:B4122,$A$2:$A$4629),0,0),0)))</f>
        <v/>
      </c>
      <c r="C4123" t="str">
        <f t="shared" si="64"/>
        <v/>
      </c>
    </row>
    <row r="4124" spans="1:3" x14ac:dyDescent="0.25">
      <c r="A4124" t="str">
        <f>IF(Scan2VK!AD50&lt;&gt;"",Scan2VK!AD50,"")</f>
        <v>'B'</v>
      </c>
      <c r="B4124" t="str">
        <f>IF(ISERROR(MATCH(0,INDEX(COUNTIF($B$1:B4123,$A$2:$A$4629),0,0),0)),"",INDEX($A$2:$A$4629,MATCH(0,INDEX(COUNTIF($B$1:B4123,$A$2:$A$4629),0,0),0)))</f>
        <v/>
      </c>
      <c r="C4124" t="str">
        <f t="shared" si="64"/>
        <v/>
      </c>
    </row>
    <row r="4125" spans="1:3" x14ac:dyDescent="0.25">
      <c r="A4125" t="str">
        <f>IF(Scan2VK!AD51&lt;&gt;"",Scan2VK!AD51,"")</f>
        <v>'N'</v>
      </c>
      <c r="B4125" t="str">
        <f>IF(ISERROR(MATCH(0,INDEX(COUNTIF($B$1:B4124,$A$2:$A$4629),0,0),0)),"",INDEX($A$2:$A$4629,MATCH(0,INDEX(COUNTIF($B$1:B4124,$A$2:$A$4629),0,0),0)))</f>
        <v/>
      </c>
      <c r="C4125" t="str">
        <f t="shared" si="64"/>
        <v/>
      </c>
    </row>
    <row r="4126" spans="1:3" x14ac:dyDescent="0.25">
      <c r="A4126" t="str">
        <f>IF(Scan2VK!AD52&lt;&gt;"",Scan2VK!AD52,"")</f>
        <v>'M'</v>
      </c>
      <c r="B4126" t="str">
        <f>IF(ISERROR(MATCH(0,INDEX(COUNTIF($B$1:B4125,$A$2:$A$4629),0,0),0)),"",INDEX($A$2:$A$4629,MATCH(0,INDEX(COUNTIF($B$1:B4125,$A$2:$A$4629),0,0),0)))</f>
        <v/>
      </c>
      <c r="C4126" t="str">
        <f t="shared" si="64"/>
        <v/>
      </c>
    </row>
    <row r="4127" spans="1:3" x14ac:dyDescent="0.25">
      <c r="A4127" t="str">
        <f>IF(Scan2VK!AD53&lt;&gt;"",Scan2VK!AD53,"")</f>
        <v>OEM_COMMA</v>
      </c>
      <c r="B4127" t="str">
        <f>IF(ISERROR(MATCH(0,INDEX(COUNTIF($B$1:B4126,$A$2:$A$4629),0,0),0)),"",INDEX($A$2:$A$4629,MATCH(0,INDEX(COUNTIF($B$1:B4126,$A$2:$A$4629),0,0),0)))</f>
        <v/>
      </c>
      <c r="C4127" t="str">
        <f t="shared" si="64"/>
        <v/>
      </c>
    </row>
    <row r="4128" spans="1:3" x14ac:dyDescent="0.25">
      <c r="A4128" t="str">
        <f>IF(Scan2VK!AD54&lt;&gt;"",Scan2VK!AD54,"")</f>
        <v>OEM_PERIOD</v>
      </c>
      <c r="B4128" t="str">
        <f>IF(ISERROR(MATCH(0,INDEX(COUNTIF($B$1:B4127,$A$2:$A$4629),0,0),0)),"",INDEX($A$2:$A$4629,MATCH(0,INDEX(COUNTIF($B$1:B4127,$A$2:$A$4629),0,0),0)))</f>
        <v/>
      </c>
      <c r="C4128" t="str">
        <f t="shared" si="64"/>
        <v/>
      </c>
    </row>
    <row r="4129" spans="1:3" x14ac:dyDescent="0.25">
      <c r="A4129" t="str">
        <f>IF(Scan2VK!AD55&lt;&gt;"",Scan2VK!AD55,"")</f>
        <v>OEM_2</v>
      </c>
      <c r="B4129" t="str">
        <f>IF(ISERROR(MATCH(0,INDEX(COUNTIF($B$1:B4128,$A$2:$A$4629),0,0),0)),"",INDEX($A$2:$A$4629,MATCH(0,INDEX(COUNTIF($B$1:B4128,$A$2:$A$4629),0,0),0)))</f>
        <v/>
      </c>
      <c r="C4129" t="str">
        <f t="shared" si="64"/>
        <v/>
      </c>
    </row>
    <row r="4130" spans="1:3" x14ac:dyDescent="0.25">
      <c r="A4130" t="str">
        <f>IF(Scan2VK!AD56&lt;&gt;"",Scan2VK!AD56,"")</f>
        <v>RSHIFT</v>
      </c>
      <c r="B4130" t="str">
        <f>IF(ISERROR(MATCH(0,INDEX(COUNTIF($B$1:B4129,$A$2:$A$4629),0,0),0)),"",INDEX($A$2:$A$4629,MATCH(0,INDEX(COUNTIF($B$1:B4129,$A$2:$A$4629),0,0),0)))</f>
        <v/>
      </c>
      <c r="C4130" t="str">
        <f t="shared" si="64"/>
        <v/>
      </c>
    </row>
    <row r="4131" spans="1:3" x14ac:dyDescent="0.25">
      <c r="A4131" t="str">
        <f>IF(Scan2VK!AD57&lt;&gt;"",Scan2VK!AD57,"")</f>
        <v>MULTIPLY</v>
      </c>
      <c r="B4131" t="str">
        <f>IF(ISERROR(MATCH(0,INDEX(COUNTIF($B$1:B4130,$A$2:$A$4629),0,0),0)),"",INDEX($A$2:$A$4629,MATCH(0,INDEX(COUNTIF($B$1:B4130,$A$2:$A$4629),0,0),0)))</f>
        <v/>
      </c>
      <c r="C4131" t="str">
        <f t="shared" si="64"/>
        <v/>
      </c>
    </row>
    <row r="4132" spans="1:3" x14ac:dyDescent="0.25">
      <c r="A4132" t="str">
        <f>IF(Scan2VK!AD58&lt;&gt;"",Scan2VK!AD58,"")</f>
        <v>LMENU</v>
      </c>
      <c r="B4132" t="str">
        <f>IF(ISERROR(MATCH(0,INDEX(COUNTIF($B$1:B4131,$A$2:$A$4629),0,0),0)),"",INDEX($A$2:$A$4629,MATCH(0,INDEX(COUNTIF($B$1:B4131,$A$2:$A$4629),0,0),0)))</f>
        <v/>
      </c>
      <c r="C4132" t="str">
        <f t="shared" si="64"/>
        <v/>
      </c>
    </row>
    <row r="4133" spans="1:3" x14ac:dyDescent="0.25">
      <c r="A4133" t="str">
        <f>IF(Scan2VK!AD59&lt;&gt;"",Scan2VK!AD59,"")</f>
        <v>''</v>
      </c>
      <c r="B4133" t="str">
        <f>IF(ISERROR(MATCH(0,INDEX(COUNTIF($B$1:B4132,$A$2:$A$4629),0,0),0)),"",INDEX($A$2:$A$4629,MATCH(0,INDEX(COUNTIF($B$1:B4132,$A$2:$A$4629),0,0),0)))</f>
        <v/>
      </c>
      <c r="C4133" t="str">
        <f t="shared" si="64"/>
        <v/>
      </c>
    </row>
    <row r="4134" spans="1:3" x14ac:dyDescent="0.25">
      <c r="A4134" t="str">
        <f>IF(Scan2VK!AD60&lt;&gt;"",Scan2VK!AD60,"")</f>
        <v>CAPITAL</v>
      </c>
      <c r="B4134" t="str">
        <f>IF(ISERROR(MATCH(0,INDEX(COUNTIF($B$1:B4133,$A$2:$A$4629),0,0),0)),"",INDEX($A$2:$A$4629,MATCH(0,INDEX(COUNTIF($B$1:B4133,$A$2:$A$4629),0,0),0)))</f>
        <v/>
      </c>
      <c r="C4134" t="str">
        <f t="shared" si="64"/>
        <v/>
      </c>
    </row>
    <row r="4135" spans="1:3" x14ac:dyDescent="0.25">
      <c r="A4135" t="str">
        <f>IF(Scan2VK!AD61&lt;&gt;"",Scan2VK!AD61,"")</f>
        <v>F1</v>
      </c>
      <c r="B4135" t="str">
        <f>IF(ISERROR(MATCH(0,INDEX(COUNTIF($B$1:B4134,$A$2:$A$4629),0,0),0)),"",INDEX($A$2:$A$4629,MATCH(0,INDEX(COUNTIF($B$1:B4134,$A$2:$A$4629),0,0),0)))</f>
        <v/>
      </c>
      <c r="C4135" t="str">
        <f t="shared" si="64"/>
        <v/>
      </c>
    </row>
    <row r="4136" spans="1:3" x14ac:dyDescent="0.25">
      <c r="A4136" t="str">
        <f>IF(Scan2VK!AD62&lt;&gt;"",Scan2VK!AD62,"")</f>
        <v>F2</v>
      </c>
      <c r="B4136" t="str">
        <f>IF(ISERROR(MATCH(0,INDEX(COUNTIF($B$1:B4135,$A$2:$A$4629),0,0),0)),"",INDEX($A$2:$A$4629,MATCH(0,INDEX(COUNTIF($B$1:B4135,$A$2:$A$4629),0,0),0)))</f>
        <v/>
      </c>
      <c r="C4136" t="str">
        <f t="shared" si="64"/>
        <v/>
      </c>
    </row>
    <row r="4137" spans="1:3" x14ac:dyDescent="0.25">
      <c r="A4137" t="str">
        <f>IF(Scan2VK!AD63&lt;&gt;"",Scan2VK!AD63,"")</f>
        <v>F3</v>
      </c>
      <c r="B4137" t="str">
        <f>IF(ISERROR(MATCH(0,INDEX(COUNTIF($B$1:B4136,$A$2:$A$4629),0,0),0)),"",INDEX($A$2:$A$4629,MATCH(0,INDEX(COUNTIF($B$1:B4136,$A$2:$A$4629),0,0),0)))</f>
        <v/>
      </c>
      <c r="C4137" t="str">
        <f t="shared" si="64"/>
        <v/>
      </c>
    </row>
    <row r="4138" spans="1:3" x14ac:dyDescent="0.25">
      <c r="A4138" t="str">
        <f>IF(Scan2VK!AD64&lt;&gt;"",Scan2VK!AD64,"")</f>
        <v>F4</v>
      </c>
      <c r="B4138" t="str">
        <f>IF(ISERROR(MATCH(0,INDEX(COUNTIF($B$1:B4137,$A$2:$A$4629),0,0),0)),"",INDEX($A$2:$A$4629,MATCH(0,INDEX(COUNTIF($B$1:B4137,$A$2:$A$4629),0,0),0)))</f>
        <v/>
      </c>
      <c r="C4138" t="str">
        <f t="shared" si="64"/>
        <v/>
      </c>
    </row>
    <row r="4139" spans="1:3" x14ac:dyDescent="0.25">
      <c r="A4139" t="str">
        <f>IF(Scan2VK!AD65&lt;&gt;"",Scan2VK!AD65,"")</f>
        <v>F5</v>
      </c>
      <c r="B4139" t="str">
        <f>IF(ISERROR(MATCH(0,INDEX(COUNTIF($B$1:B4138,$A$2:$A$4629),0,0),0)),"",INDEX($A$2:$A$4629,MATCH(0,INDEX(COUNTIF($B$1:B4138,$A$2:$A$4629),0,0),0)))</f>
        <v/>
      </c>
      <c r="C4139" t="str">
        <f t="shared" si="64"/>
        <v/>
      </c>
    </row>
    <row r="4140" spans="1:3" x14ac:dyDescent="0.25">
      <c r="A4140" t="str">
        <f>IF(Scan2VK!AD66&lt;&gt;"",Scan2VK!AD66,"")</f>
        <v>F6</v>
      </c>
      <c r="B4140" t="str">
        <f>IF(ISERROR(MATCH(0,INDEX(COUNTIF($B$1:B4139,$A$2:$A$4629),0,0),0)),"",INDEX($A$2:$A$4629,MATCH(0,INDEX(COUNTIF($B$1:B4139,$A$2:$A$4629),0,0),0)))</f>
        <v/>
      </c>
      <c r="C4140" t="str">
        <f t="shared" si="64"/>
        <v/>
      </c>
    </row>
    <row r="4141" spans="1:3" x14ac:dyDescent="0.25">
      <c r="A4141" t="str">
        <f>IF(Scan2VK!AD67&lt;&gt;"",Scan2VK!AD67,"")</f>
        <v>F7</v>
      </c>
      <c r="B4141" t="str">
        <f>IF(ISERROR(MATCH(0,INDEX(COUNTIF($B$1:B4140,$A$2:$A$4629),0,0),0)),"",INDEX($A$2:$A$4629,MATCH(0,INDEX(COUNTIF($B$1:B4140,$A$2:$A$4629),0,0),0)))</f>
        <v/>
      </c>
      <c r="C4141" t="str">
        <f t="shared" si="64"/>
        <v/>
      </c>
    </row>
    <row r="4142" spans="1:3" x14ac:dyDescent="0.25">
      <c r="A4142" t="str">
        <f>IF(Scan2VK!AD68&lt;&gt;"",Scan2VK!AD68,"")</f>
        <v>F8</v>
      </c>
      <c r="B4142" t="str">
        <f>IF(ISERROR(MATCH(0,INDEX(COUNTIF($B$1:B4141,$A$2:$A$4629),0,0),0)),"",INDEX($A$2:$A$4629,MATCH(0,INDEX(COUNTIF($B$1:B4141,$A$2:$A$4629),0,0),0)))</f>
        <v/>
      </c>
      <c r="C4142" t="str">
        <f t="shared" si="64"/>
        <v/>
      </c>
    </row>
    <row r="4143" spans="1:3" x14ac:dyDescent="0.25">
      <c r="A4143" t="str">
        <f>IF(Scan2VK!AD69&lt;&gt;"",Scan2VK!AD69,"")</f>
        <v>F9</v>
      </c>
      <c r="B4143" t="str">
        <f>IF(ISERROR(MATCH(0,INDEX(COUNTIF($B$1:B4142,$A$2:$A$4629),0,0),0)),"",INDEX($A$2:$A$4629,MATCH(0,INDEX(COUNTIF($B$1:B4142,$A$2:$A$4629),0,0),0)))</f>
        <v/>
      </c>
      <c r="C4143" t="str">
        <f t="shared" si="64"/>
        <v/>
      </c>
    </row>
    <row r="4144" spans="1:3" x14ac:dyDescent="0.25">
      <c r="A4144" t="str">
        <f>IF(Scan2VK!AD70&lt;&gt;"",Scan2VK!AD70,"")</f>
        <v>F10</v>
      </c>
      <c r="B4144" t="str">
        <f>IF(ISERROR(MATCH(0,INDEX(COUNTIF($B$1:B4143,$A$2:$A$4629),0,0),0)),"",INDEX($A$2:$A$4629,MATCH(0,INDEX(COUNTIF($B$1:B4143,$A$2:$A$4629),0,0),0)))</f>
        <v/>
      </c>
      <c r="C4144" t="str">
        <f t="shared" si="64"/>
        <v/>
      </c>
    </row>
    <row r="4145" spans="1:3" x14ac:dyDescent="0.25">
      <c r="A4145" t="str">
        <f>IF(Scan2VK!AD71&lt;&gt;"",Scan2VK!AD71,"")</f>
        <v>NUMLOCK</v>
      </c>
      <c r="B4145" t="str">
        <f>IF(ISERROR(MATCH(0,INDEX(COUNTIF($B$1:B4144,$A$2:$A$4629),0,0),0)),"",INDEX($A$2:$A$4629,MATCH(0,INDEX(COUNTIF($B$1:B4144,$A$2:$A$4629),0,0),0)))</f>
        <v/>
      </c>
      <c r="C4145" t="str">
        <f t="shared" si="64"/>
        <v/>
      </c>
    </row>
    <row r="4146" spans="1:3" x14ac:dyDescent="0.25">
      <c r="A4146" t="str">
        <f>IF(Scan2VK!AD72&lt;&gt;"",Scan2VK!AD72,"")</f>
        <v>SCROLL</v>
      </c>
      <c r="B4146" t="str">
        <f>IF(ISERROR(MATCH(0,INDEX(COUNTIF($B$1:B4145,$A$2:$A$4629),0,0),0)),"",INDEX($A$2:$A$4629,MATCH(0,INDEX(COUNTIF($B$1:B4145,$A$2:$A$4629),0,0),0)))</f>
        <v/>
      </c>
      <c r="C4146" t="str">
        <f t="shared" si="64"/>
        <v/>
      </c>
    </row>
    <row r="4147" spans="1:3" x14ac:dyDescent="0.25">
      <c r="A4147" t="str">
        <f>IF(Scan2VK!AD73&lt;&gt;"",Scan2VK!AD73,"")</f>
        <v>HOME</v>
      </c>
      <c r="B4147" t="str">
        <f>IF(ISERROR(MATCH(0,INDEX(COUNTIF($B$1:B4146,$A$2:$A$4629),0,0),0)),"",INDEX($A$2:$A$4629,MATCH(0,INDEX(COUNTIF($B$1:B4146,$A$2:$A$4629),0,0),0)))</f>
        <v/>
      </c>
      <c r="C4147" t="str">
        <f t="shared" si="64"/>
        <v/>
      </c>
    </row>
    <row r="4148" spans="1:3" x14ac:dyDescent="0.25">
      <c r="A4148" t="str">
        <f>IF(Scan2VK!AD74&lt;&gt;"",Scan2VK!AD74,"")</f>
        <v>UP</v>
      </c>
      <c r="B4148" t="str">
        <f>IF(ISERROR(MATCH(0,INDEX(COUNTIF($B$1:B4147,$A$2:$A$4629),0,0),0)),"",INDEX($A$2:$A$4629,MATCH(0,INDEX(COUNTIF($B$1:B4147,$A$2:$A$4629),0,0),0)))</f>
        <v/>
      </c>
      <c r="C4148" t="str">
        <f t="shared" si="64"/>
        <v/>
      </c>
    </row>
    <row r="4149" spans="1:3" x14ac:dyDescent="0.25">
      <c r="A4149" t="str">
        <f>IF(Scan2VK!AD75&lt;&gt;"",Scan2VK!AD75,"")</f>
        <v>PRIOR</v>
      </c>
      <c r="B4149" t="str">
        <f>IF(ISERROR(MATCH(0,INDEX(COUNTIF($B$1:B4148,$A$2:$A$4629),0,0),0)),"",INDEX($A$2:$A$4629,MATCH(0,INDEX(COUNTIF($B$1:B4148,$A$2:$A$4629),0,0),0)))</f>
        <v/>
      </c>
      <c r="C4149" t="str">
        <f t="shared" si="64"/>
        <v/>
      </c>
    </row>
    <row r="4150" spans="1:3" x14ac:dyDescent="0.25">
      <c r="A4150" t="str">
        <f>IF(Scan2VK!AD76&lt;&gt;"",Scan2VK!AD76,"")</f>
        <v>SUBTRACT</v>
      </c>
      <c r="B4150" t="str">
        <f>IF(ISERROR(MATCH(0,INDEX(COUNTIF($B$1:B4149,$A$2:$A$4629),0,0),0)),"",INDEX($A$2:$A$4629,MATCH(0,INDEX(COUNTIF($B$1:B4149,$A$2:$A$4629),0,0),0)))</f>
        <v/>
      </c>
      <c r="C4150" t="str">
        <f t="shared" si="64"/>
        <v/>
      </c>
    </row>
    <row r="4151" spans="1:3" x14ac:dyDescent="0.25">
      <c r="A4151" t="str">
        <f>IF(Scan2VK!AD77&lt;&gt;"",Scan2VK!AD77,"")</f>
        <v>LEFT</v>
      </c>
      <c r="B4151" t="str">
        <f>IF(ISERROR(MATCH(0,INDEX(COUNTIF($B$1:B4150,$A$2:$A$4629),0,0),0)),"",INDEX($A$2:$A$4629,MATCH(0,INDEX(COUNTIF($B$1:B4150,$A$2:$A$4629),0,0),0)))</f>
        <v/>
      </c>
      <c r="C4151" t="str">
        <f t="shared" si="64"/>
        <v/>
      </c>
    </row>
    <row r="4152" spans="1:3" x14ac:dyDescent="0.25">
      <c r="A4152" t="str">
        <f>IF(Scan2VK!AD78&lt;&gt;"",Scan2VK!AD78,"")</f>
        <v>CLEAR</v>
      </c>
      <c r="B4152" t="str">
        <f>IF(ISERROR(MATCH(0,INDEX(COUNTIF($B$1:B4151,$A$2:$A$4629),0,0),0)),"",INDEX($A$2:$A$4629,MATCH(0,INDEX(COUNTIF($B$1:B4151,$A$2:$A$4629),0,0),0)))</f>
        <v/>
      </c>
      <c r="C4152" t="str">
        <f t="shared" si="64"/>
        <v/>
      </c>
    </row>
    <row r="4153" spans="1:3" x14ac:dyDescent="0.25">
      <c r="A4153" t="str">
        <f>IF(Scan2VK!AD79&lt;&gt;"",Scan2VK!AD79,"")</f>
        <v>RIGHT</v>
      </c>
      <c r="B4153" t="str">
        <f>IF(ISERROR(MATCH(0,INDEX(COUNTIF($B$1:B4152,$A$2:$A$4629),0,0),0)),"",INDEX($A$2:$A$4629,MATCH(0,INDEX(COUNTIF($B$1:B4152,$A$2:$A$4629),0,0),0)))</f>
        <v/>
      </c>
      <c r="C4153" t="str">
        <f t="shared" si="64"/>
        <v/>
      </c>
    </row>
    <row r="4154" spans="1:3" x14ac:dyDescent="0.25">
      <c r="A4154" t="str">
        <f>IF(Scan2VK!AD80&lt;&gt;"",Scan2VK!AD80,"")</f>
        <v>ADD</v>
      </c>
      <c r="B4154" t="str">
        <f>IF(ISERROR(MATCH(0,INDEX(COUNTIF($B$1:B4153,$A$2:$A$4629),0,0),0)),"",INDEX($A$2:$A$4629,MATCH(0,INDEX(COUNTIF($B$1:B4153,$A$2:$A$4629),0,0),0)))</f>
        <v/>
      </c>
      <c r="C4154" t="str">
        <f t="shared" si="64"/>
        <v/>
      </c>
    </row>
    <row r="4155" spans="1:3" x14ac:dyDescent="0.25">
      <c r="A4155" t="str">
        <f>IF(Scan2VK!AD81&lt;&gt;"",Scan2VK!AD81,"")</f>
        <v>END</v>
      </c>
      <c r="B4155" t="str">
        <f>IF(ISERROR(MATCH(0,INDEX(COUNTIF($B$1:B4154,$A$2:$A$4629),0,0),0)),"",INDEX($A$2:$A$4629,MATCH(0,INDEX(COUNTIF($B$1:B4154,$A$2:$A$4629),0,0),0)))</f>
        <v/>
      </c>
      <c r="C4155" t="str">
        <f t="shared" si="64"/>
        <v/>
      </c>
    </row>
    <row r="4156" spans="1:3" x14ac:dyDescent="0.25">
      <c r="A4156" t="str">
        <f>IF(Scan2VK!AD82&lt;&gt;"",Scan2VK!AD82,"")</f>
        <v>DOWN</v>
      </c>
      <c r="B4156" t="str">
        <f>IF(ISERROR(MATCH(0,INDEX(COUNTIF($B$1:B4155,$A$2:$A$4629),0,0),0)),"",INDEX($A$2:$A$4629,MATCH(0,INDEX(COUNTIF($B$1:B4155,$A$2:$A$4629),0,0),0)))</f>
        <v/>
      </c>
      <c r="C4156" t="str">
        <f t="shared" si="64"/>
        <v/>
      </c>
    </row>
    <row r="4157" spans="1:3" x14ac:dyDescent="0.25">
      <c r="A4157" t="str">
        <f>IF(Scan2VK!AD83&lt;&gt;"",Scan2VK!AD83,"")</f>
        <v>NEXT</v>
      </c>
      <c r="B4157" t="str">
        <f>IF(ISERROR(MATCH(0,INDEX(COUNTIF($B$1:B4156,$A$2:$A$4629),0,0),0)),"",INDEX($A$2:$A$4629,MATCH(0,INDEX(COUNTIF($B$1:B4156,$A$2:$A$4629),0,0),0)))</f>
        <v/>
      </c>
      <c r="C4157" t="str">
        <f t="shared" si="64"/>
        <v/>
      </c>
    </row>
    <row r="4158" spans="1:3" x14ac:dyDescent="0.25">
      <c r="A4158" t="str">
        <f>IF(Scan2VK!AD84&lt;&gt;"",Scan2VK!AD84,"")</f>
        <v>INSERT</v>
      </c>
      <c r="B4158" t="str">
        <f>IF(ISERROR(MATCH(0,INDEX(COUNTIF($B$1:B4157,$A$2:$A$4629),0,0),0)),"",INDEX($A$2:$A$4629,MATCH(0,INDEX(COUNTIF($B$1:B4157,$A$2:$A$4629),0,0),0)))</f>
        <v/>
      </c>
      <c r="C4158" t="str">
        <f t="shared" si="64"/>
        <v/>
      </c>
    </row>
    <row r="4159" spans="1:3" x14ac:dyDescent="0.25">
      <c r="A4159" t="str">
        <f>IF(Scan2VK!AD85&lt;&gt;"",Scan2VK!AD85,"")</f>
        <v>DELETE</v>
      </c>
      <c r="B4159" t="str">
        <f>IF(ISERROR(MATCH(0,INDEX(COUNTIF($B$1:B4158,$A$2:$A$4629),0,0),0)),"",INDEX($A$2:$A$4629,MATCH(0,INDEX(COUNTIF($B$1:B4158,$A$2:$A$4629),0,0),0)))</f>
        <v/>
      </c>
      <c r="C4159" t="str">
        <f t="shared" si="64"/>
        <v/>
      </c>
    </row>
    <row r="4160" spans="1:3" x14ac:dyDescent="0.25">
      <c r="A4160" t="str">
        <f>IF(Scan2VK!AD86&lt;&gt;"",Scan2VK!AD86,"")</f>
        <v>SNAPSHOT</v>
      </c>
      <c r="B4160" t="str">
        <f>IF(ISERROR(MATCH(0,INDEX(COUNTIF($B$1:B4159,$A$2:$A$4629),0,0),0)),"",INDEX($A$2:$A$4629,MATCH(0,INDEX(COUNTIF($B$1:B4159,$A$2:$A$4629),0,0),0)))</f>
        <v/>
      </c>
      <c r="C4160" t="str">
        <f t="shared" si="64"/>
        <v/>
      </c>
    </row>
    <row r="4161" spans="1:3" x14ac:dyDescent="0.25">
      <c r="A4161" t="str">
        <f>IF(Scan2VK!AD87&lt;&gt;"",Scan2VK!AD87,"")</f>
        <v>_none_</v>
      </c>
      <c r="B4161" t="str">
        <f>IF(ISERROR(MATCH(0,INDEX(COUNTIF($B$1:B4160,$A$2:$A$4629),0,0),0)),"",INDEX($A$2:$A$4629,MATCH(0,INDEX(COUNTIF($B$1:B4160,$A$2:$A$4629),0,0),0)))</f>
        <v/>
      </c>
      <c r="C4161" t="str">
        <f t="shared" si="64"/>
        <v/>
      </c>
    </row>
    <row r="4162" spans="1:3" x14ac:dyDescent="0.25">
      <c r="A4162" t="str">
        <f>IF(Scan2VK!AD88&lt;&gt;"",Scan2VK!AD88,"")</f>
        <v>_none_</v>
      </c>
      <c r="B4162" t="str">
        <f>IF(ISERROR(MATCH(0,INDEX(COUNTIF($B$1:B4161,$A$2:$A$4629),0,0),0)),"",INDEX($A$2:$A$4629,MATCH(0,INDEX(COUNTIF($B$1:B4161,$A$2:$A$4629),0,0),0)))</f>
        <v/>
      </c>
      <c r="C4162" t="str">
        <f t="shared" si="64"/>
        <v/>
      </c>
    </row>
    <row r="4163" spans="1:3" x14ac:dyDescent="0.25">
      <c r="A4163" t="str">
        <f>IF(Scan2VK!AD89&lt;&gt;"",Scan2VK!AD89,"")</f>
        <v>F11</v>
      </c>
      <c r="B4163" t="str">
        <f>IF(ISERROR(MATCH(0,INDEX(COUNTIF($B$1:B4162,$A$2:$A$4629),0,0),0)),"",INDEX($A$2:$A$4629,MATCH(0,INDEX(COUNTIF($B$1:B4162,$A$2:$A$4629),0,0),0)))</f>
        <v/>
      </c>
      <c r="C4163" t="str">
        <f t="shared" ref="C4163:C4226" si="65">IF(B4163&lt;&gt;"","&lt;xs:enumeration value="""&amp;B4163&amp;"""/&gt;","")</f>
        <v/>
      </c>
    </row>
    <row r="4164" spans="1:3" x14ac:dyDescent="0.25">
      <c r="A4164" t="str">
        <f>IF(Scan2VK!AD90&lt;&gt;"",Scan2VK!AD90,"")</f>
        <v>F12</v>
      </c>
      <c r="B4164" t="str">
        <f>IF(ISERROR(MATCH(0,INDEX(COUNTIF($B$1:B4163,$A$2:$A$4629),0,0),0)),"",INDEX($A$2:$A$4629,MATCH(0,INDEX(COUNTIF($B$1:B4163,$A$2:$A$4629),0,0),0)))</f>
        <v/>
      </c>
      <c r="C4164" t="str">
        <f t="shared" si="65"/>
        <v/>
      </c>
    </row>
    <row r="4165" spans="1:3" x14ac:dyDescent="0.25">
      <c r="A4165" t="str">
        <f>IF(Scan2VK!AD91&lt;&gt;"",Scan2VK!AD91,"")</f>
        <v>_none_</v>
      </c>
      <c r="B4165" t="str">
        <f>IF(ISERROR(MATCH(0,INDEX(COUNTIF($B$1:B4164,$A$2:$A$4629),0,0),0)),"",INDEX($A$2:$A$4629,MATCH(0,INDEX(COUNTIF($B$1:B4164,$A$2:$A$4629),0,0),0)))</f>
        <v/>
      </c>
      <c r="C4165" t="str">
        <f t="shared" si="65"/>
        <v/>
      </c>
    </row>
    <row r="4166" spans="1:3" x14ac:dyDescent="0.25">
      <c r="A4166" t="str">
        <f>IF(Scan2VK!AD92&lt;&gt;"",Scan2VK!AD92,"")</f>
        <v>_none_</v>
      </c>
      <c r="B4166" t="str">
        <f>IF(ISERROR(MATCH(0,INDEX(COUNTIF($B$1:B4165,$A$2:$A$4629),0,0),0)),"",INDEX($A$2:$A$4629,MATCH(0,INDEX(COUNTIF($B$1:B4165,$A$2:$A$4629),0,0),0)))</f>
        <v/>
      </c>
      <c r="C4166" t="str">
        <f t="shared" si="65"/>
        <v/>
      </c>
    </row>
    <row r="4167" spans="1:3" x14ac:dyDescent="0.25">
      <c r="A4167" t="str">
        <f>IF(Scan2VK!AD93&lt;&gt;"",Scan2VK!AD93,"")</f>
        <v>_none_</v>
      </c>
      <c r="B4167" t="str">
        <f>IF(ISERROR(MATCH(0,INDEX(COUNTIF($B$1:B4166,$A$2:$A$4629),0,0),0)),"",INDEX($A$2:$A$4629,MATCH(0,INDEX(COUNTIF($B$1:B4166,$A$2:$A$4629),0,0),0)))</f>
        <v/>
      </c>
      <c r="C4167" t="str">
        <f t="shared" si="65"/>
        <v/>
      </c>
    </row>
    <row r="4168" spans="1:3" x14ac:dyDescent="0.25">
      <c r="A4168" t="str">
        <f>IF(Scan2VK!AD94&lt;&gt;"",Scan2VK!AD94,"")</f>
        <v>_none_</v>
      </c>
      <c r="B4168" t="str">
        <f>IF(ISERROR(MATCH(0,INDEX(COUNTIF($B$1:B4167,$A$2:$A$4629),0,0),0)),"",INDEX($A$2:$A$4629,MATCH(0,INDEX(COUNTIF($B$1:B4167,$A$2:$A$4629),0,0),0)))</f>
        <v/>
      </c>
      <c r="C4168" t="str">
        <f t="shared" si="65"/>
        <v/>
      </c>
    </row>
    <row r="4169" spans="1:3" x14ac:dyDescent="0.25">
      <c r="A4169" t="str">
        <f>IF(Scan2VK!AD95&lt;&gt;"",Scan2VK!AD95,"")</f>
        <v>_none_</v>
      </c>
      <c r="B4169" t="str">
        <f>IF(ISERROR(MATCH(0,INDEX(COUNTIF($B$1:B4168,$A$2:$A$4629),0,0),0)),"",INDEX($A$2:$A$4629,MATCH(0,INDEX(COUNTIF($B$1:B4168,$A$2:$A$4629),0,0),0)))</f>
        <v/>
      </c>
      <c r="C4169" t="str">
        <f t="shared" si="65"/>
        <v/>
      </c>
    </row>
    <row r="4170" spans="1:3" x14ac:dyDescent="0.25">
      <c r="A4170" t="str">
        <f>IF(Scan2VK!AD96&lt;&gt;"",Scan2VK!AD96,"")</f>
        <v>_none_</v>
      </c>
      <c r="B4170" t="str">
        <f>IF(ISERROR(MATCH(0,INDEX(COUNTIF($B$1:B4169,$A$2:$A$4629),0,0),0)),"",INDEX($A$2:$A$4629,MATCH(0,INDEX(COUNTIF($B$1:B4169,$A$2:$A$4629),0,0),0)))</f>
        <v/>
      </c>
      <c r="C4170" t="str">
        <f t="shared" si="65"/>
        <v/>
      </c>
    </row>
    <row r="4171" spans="1:3" x14ac:dyDescent="0.25">
      <c r="A4171" t="str">
        <f>IF(Scan2VK!AD97&lt;&gt;"",Scan2VK!AD97,"")</f>
        <v>_none_</v>
      </c>
      <c r="B4171" t="str">
        <f>IF(ISERROR(MATCH(0,INDEX(COUNTIF($B$1:B4170,$A$2:$A$4629),0,0),0)),"",INDEX($A$2:$A$4629,MATCH(0,INDEX(COUNTIF($B$1:B4170,$A$2:$A$4629),0,0),0)))</f>
        <v/>
      </c>
      <c r="C4171" t="str">
        <f t="shared" si="65"/>
        <v/>
      </c>
    </row>
    <row r="4172" spans="1:3" x14ac:dyDescent="0.25">
      <c r="A4172" t="str">
        <f>IF(Scan2VK!AD98&lt;&gt;"",Scan2VK!AD98,"")</f>
        <v>_none_</v>
      </c>
      <c r="B4172" t="str">
        <f>IF(ISERROR(MATCH(0,INDEX(COUNTIF($B$1:B4171,$A$2:$A$4629),0,0),0)),"",INDEX($A$2:$A$4629,MATCH(0,INDEX(COUNTIF($B$1:B4171,$A$2:$A$4629),0,0),0)))</f>
        <v/>
      </c>
      <c r="C4172" t="str">
        <f t="shared" si="65"/>
        <v/>
      </c>
    </row>
    <row r="4173" spans="1:3" x14ac:dyDescent="0.25">
      <c r="A4173" t="str">
        <f>IF(Scan2VK!AD99&lt;&gt;"",Scan2VK!AD99,"")</f>
        <v>_none_</v>
      </c>
      <c r="B4173" t="str">
        <f>IF(ISERROR(MATCH(0,INDEX(COUNTIF($B$1:B4172,$A$2:$A$4629),0,0),0)),"",INDEX($A$2:$A$4629,MATCH(0,INDEX(COUNTIF($B$1:B4172,$A$2:$A$4629),0,0),0)))</f>
        <v/>
      </c>
      <c r="C4173" t="str">
        <f t="shared" si="65"/>
        <v/>
      </c>
    </row>
    <row r="4174" spans="1:3" x14ac:dyDescent="0.25">
      <c r="A4174" t="str">
        <f>IF(Scan2VK!AD100&lt;&gt;"",Scan2VK!AD100,"")</f>
        <v>_none_</v>
      </c>
      <c r="B4174" t="str">
        <f>IF(ISERROR(MATCH(0,INDEX(COUNTIF($B$1:B4173,$A$2:$A$4629),0,0),0)),"",INDEX($A$2:$A$4629,MATCH(0,INDEX(COUNTIF($B$1:B4173,$A$2:$A$4629),0,0),0)))</f>
        <v/>
      </c>
      <c r="C4174" t="str">
        <f t="shared" si="65"/>
        <v/>
      </c>
    </row>
    <row r="4175" spans="1:3" x14ac:dyDescent="0.25">
      <c r="A4175" t="str">
        <f>IF(Scan2VK!AD101&lt;&gt;"",Scan2VK!AD101,"")</f>
        <v>_none_</v>
      </c>
      <c r="B4175" t="str">
        <f>IF(ISERROR(MATCH(0,INDEX(COUNTIF($B$1:B4174,$A$2:$A$4629),0,0),0)),"",INDEX($A$2:$A$4629,MATCH(0,INDEX(COUNTIF($B$1:B4174,$A$2:$A$4629),0,0),0)))</f>
        <v/>
      </c>
      <c r="C4175" t="str">
        <f t="shared" si="65"/>
        <v/>
      </c>
    </row>
    <row r="4176" spans="1:3" x14ac:dyDescent="0.25">
      <c r="A4176" t="str">
        <f>IF(Scan2VK!AD102&lt;&gt;"",Scan2VK!AD102,"")</f>
        <v>_none_</v>
      </c>
      <c r="B4176" t="str">
        <f>IF(ISERROR(MATCH(0,INDEX(COUNTIF($B$1:B4175,$A$2:$A$4629),0,0),0)),"",INDEX($A$2:$A$4629,MATCH(0,INDEX(COUNTIF($B$1:B4175,$A$2:$A$4629),0,0),0)))</f>
        <v/>
      </c>
      <c r="C4176" t="str">
        <f t="shared" si="65"/>
        <v/>
      </c>
    </row>
    <row r="4177" spans="1:3" x14ac:dyDescent="0.25">
      <c r="A4177" t="str">
        <f>IF(Scan2VK!AD103&lt;&gt;"",Scan2VK!AD103,"")</f>
        <v>_none_</v>
      </c>
      <c r="B4177" t="str">
        <f>IF(ISERROR(MATCH(0,INDEX(COUNTIF($B$1:B4176,$A$2:$A$4629),0,0),0)),"",INDEX($A$2:$A$4629,MATCH(0,INDEX(COUNTIF($B$1:B4176,$A$2:$A$4629),0,0),0)))</f>
        <v/>
      </c>
      <c r="C4177" t="str">
        <f t="shared" si="65"/>
        <v/>
      </c>
    </row>
    <row r="4178" spans="1:3" x14ac:dyDescent="0.25">
      <c r="A4178" t="str">
        <f>IF(Scan2VK!AD104&lt;&gt;"",Scan2VK!AD104,"")</f>
        <v>_none_</v>
      </c>
      <c r="B4178" t="str">
        <f>IF(ISERROR(MATCH(0,INDEX(COUNTIF($B$1:B4177,$A$2:$A$4629),0,0),0)),"",INDEX($A$2:$A$4629,MATCH(0,INDEX(COUNTIF($B$1:B4177,$A$2:$A$4629),0,0),0)))</f>
        <v/>
      </c>
      <c r="C4178" t="str">
        <f t="shared" si="65"/>
        <v/>
      </c>
    </row>
    <row r="4179" spans="1:3" x14ac:dyDescent="0.25">
      <c r="A4179" t="str">
        <f>IF(Scan2VK!AD105&lt;&gt;"",Scan2VK!AD105,"")</f>
        <v>_none_</v>
      </c>
      <c r="B4179" t="str">
        <f>IF(ISERROR(MATCH(0,INDEX(COUNTIF($B$1:B4178,$A$2:$A$4629),0,0),0)),"",INDEX($A$2:$A$4629,MATCH(0,INDEX(COUNTIF($B$1:B4178,$A$2:$A$4629),0,0),0)))</f>
        <v/>
      </c>
      <c r="C4179" t="str">
        <f t="shared" si="65"/>
        <v/>
      </c>
    </row>
    <row r="4180" spans="1:3" x14ac:dyDescent="0.25">
      <c r="A4180" t="str">
        <f>IF(Scan2VK!AD106&lt;&gt;"",Scan2VK!AD106,"")</f>
        <v>_none_</v>
      </c>
      <c r="B4180" t="str">
        <f>IF(ISERROR(MATCH(0,INDEX(COUNTIF($B$1:B4179,$A$2:$A$4629),0,0),0)),"",INDEX($A$2:$A$4629,MATCH(0,INDEX(COUNTIF($B$1:B4179,$A$2:$A$4629),0,0),0)))</f>
        <v/>
      </c>
      <c r="C4180" t="str">
        <f t="shared" si="65"/>
        <v/>
      </c>
    </row>
    <row r="4181" spans="1:3" x14ac:dyDescent="0.25">
      <c r="A4181" t="str">
        <f>IF(Scan2VK!AD107&lt;&gt;"",Scan2VK!AD107,"")</f>
        <v>_none_</v>
      </c>
      <c r="B4181" t="str">
        <f>IF(ISERROR(MATCH(0,INDEX(COUNTIF($B$1:B4180,$A$2:$A$4629),0,0),0)),"",INDEX($A$2:$A$4629,MATCH(0,INDEX(COUNTIF($B$1:B4180,$A$2:$A$4629),0,0),0)))</f>
        <v/>
      </c>
      <c r="C4181" t="str">
        <f t="shared" si="65"/>
        <v/>
      </c>
    </row>
    <row r="4182" spans="1:3" x14ac:dyDescent="0.25">
      <c r="A4182" t="str">
        <f>IF(Scan2VK!AD108&lt;&gt;"",Scan2VK!AD108,"")</f>
        <v>_none_</v>
      </c>
      <c r="B4182" t="str">
        <f>IF(ISERROR(MATCH(0,INDEX(COUNTIF($B$1:B4181,$A$2:$A$4629),0,0),0)),"",INDEX($A$2:$A$4629,MATCH(0,INDEX(COUNTIF($B$1:B4181,$A$2:$A$4629),0,0),0)))</f>
        <v/>
      </c>
      <c r="C4182" t="str">
        <f t="shared" si="65"/>
        <v/>
      </c>
    </row>
    <row r="4183" spans="1:3" x14ac:dyDescent="0.25">
      <c r="A4183" t="str">
        <f>IF(Scan2VK!AD109&lt;&gt;"",Scan2VK!AD109,"")</f>
        <v>_none_</v>
      </c>
      <c r="B4183" t="str">
        <f>IF(ISERROR(MATCH(0,INDEX(COUNTIF($B$1:B4182,$A$2:$A$4629),0,0),0)),"",INDEX($A$2:$A$4629,MATCH(0,INDEX(COUNTIF($B$1:B4182,$A$2:$A$4629),0,0),0)))</f>
        <v/>
      </c>
      <c r="C4183" t="str">
        <f t="shared" si="65"/>
        <v/>
      </c>
    </row>
    <row r="4184" spans="1:3" x14ac:dyDescent="0.25">
      <c r="A4184" t="str">
        <f>IF(Scan2VK!AD110&lt;&gt;"",Scan2VK!AD110,"")</f>
        <v>_none_</v>
      </c>
      <c r="B4184" t="str">
        <f>IF(ISERROR(MATCH(0,INDEX(COUNTIF($B$1:B4183,$A$2:$A$4629),0,0),0)),"",INDEX($A$2:$A$4629,MATCH(0,INDEX(COUNTIF($B$1:B4183,$A$2:$A$4629),0,0),0)))</f>
        <v/>
      </c>
      <c r="C4184" t="str">
        <f t="shared" si="65"/>
        <v/>
      </c>
    </row>
    <row r="4185" spans="1:3" x14ac:dyDescent="0.25">
      <c r="A4185" t="str">
        <f>IF(Scan2VK!AD111&lt;&gt;"",Scan2VK!AD111,"")</f>
        <v>_none_</v>
      </c>
      <c r="B4185" t="str">
        <f>IF(ISERROR(MATCH(0,INDEX(COUNTIF($B$1:B4184,$A$2:$A$4629),0,0),0)),"",INDEX($A$2:$A$4629,MATCH(0,INDEX(COUNTIF($B$1:B4184,$A$2:$A$4629),0,0),0)))</f>
        <v/>
      </c>
      <c r="C4185" t="str">
        <f t="shared" si="65"/>
        <v/>
      </c>
    </row>
    <row r="4186" spans="1:3" x14ac:dyDescent="0.25">
      <c r="A4186" t="str">
        <f>IF(Scan2VK!AD112&lt;&gt;"",Scan2VK!AD112,"")</f>
        <v>_none_</v>
      </c>
      <c r="B4186" t="str">
        <f>IF(ISERROR(MATCH(0,INDEX(COUNTIF($B$1:B4185,$A$2:$A$4629),0,0),0)),"",INDEX($A$2:$A$4629,MATCH(0,INDEX(COUNTIF($B$1:B4185,$A$2:$A$4629),0,0),0)))</f>
        <v/>
      </c>
      <c r="C4186" t="str">
        <f t="shared" si="65"/>
        <v/>
      </c>
    </row>
    <row r="4187" spans="1:3" x14ac:dyDescent="0.25">
      <c r="A4187" t="str">
        <f>IF(Scan2VK!AD113&lt;&gt;"",Scan2VK!AD113,"")</f>
        <v>_none_</v>
      </c>
      <c r="B4187" t="str">
        <f>IF(ISERROR(MATCH(0,INDEX(COUNTIF($B$1:B4186,$A$2:$A$4629),0,0),0)),"",INDEX($A$2:$A$4629,MATCH(0,INDEX(COUNTIF($B$1:B4186,$A$2:$A$4629),0,0),0)))</f>
        <v/>
      </c>
      <c r="C4187" t="str">
        <f t="shared" si="65"/>
        <v/>
      </c>
    </row>
    <row r="4188" spans="1:3" x14ac:dyDescent="0.25">
      <c r="A4188" t="str">
        <f>IF(Scan2VK!AD114&lt;&gt;"",Scan2VK!AD114,"")</f>
        <v>DBE_HIRAGANA</v>
      </c>
      <c r="B4188" t="str">
        <f>IF(ISERROR(MATCH(0,INDEX(COUNTIF($B$1:B4187,$A$2:$A$4629),0,0),0)),"",INDEX($A$2:$A$4629,MATCH(0,INDEX(COUNTIF($B$1:B4187,$A$2:$A$4629),0,0),0)))</f>
        <v/>
      </c>
      <c r="C4188" t="str">
        <f t="shared" si="65"/>
        <v/>
      </c>
    </row>
    <row r="4189" spans="1:3" x14ac:dyDescent="0.25">
      <c r="A4189" t="str">
        <f>IF(Scan2VK!AD115&lt;&gt;"",Scan2VK!AD115,"")</f>
        <v>_none_</v>
      </c>
      <c r="B4189" t="str">
        <f>IF(ISERROR(MATCH(0,INDEX(COUNTIF($B$1:B4188,$A$2:$A$4629),0,0),0)),"",INDEX($A$2:$A$4629,MATCH(0,INDEX(COUNTIF($B$1:B4188,$A$2:$A$4629),0,0),0)))</f>
        <v/>
      </c>
      <c r="C4189" t="str">
        <f t="shared" si="65"/>
        <v/>
      </c>
    </row>
    <row r="4190" spans="1:3" x14ac:dyDescent="0.25">
      <c r="A4190" t="str">
        <f>IF(Scan2VK!AD116&lt;&gt;"",Scan2VK!AD116,"")</f>
        <v>_none_</v>
      </c>
      <c r="B4190" t="str">
        <f>IF(ISERROR(MATCH(0,INDEX(COUNTIF($B$1:B4189,$A$2:$A$4629),0,0),0)),"",INDEX($A$2:$A$4629,MATCH(0,INDEX(COUNTIF($B$1:B4189,$A$2:$A$4629),0,0),0)))</f>
        <v/>
      </c>
      <c r="C4190" t="str">
        <f t="shared" si="65"/>
        <v/>
      </c>
    </row>
    <row r="4191" spans="1:3" x14ac:dyDescent="0.25">
      <c r="A4191" t="str">
        <f>IF(Scan2VK!AD117&lt;&gt;"",Scan2VK!AD117,"")</f>
        <v>_none_</v>
      </c>
      <c r="B4191" t="str">
        <f>IF(ISERROR(MATCH(0,INDEX(COUNTIF($B$1:B4190,$A$2:$A$4629),0,0),0)),"",INDEX($A$2:$A$4629,MATCH(0,INDEX(COUNTIF($B$1:B4190,$A$2:$A$4629),0,0),0)))</f>
        <v/>
      </c>
      <c r="C4191" t="str">
        <f t="shared" si="65"/>
        <v/>
      </c>
    </row>
    <row r="4192" spans="1:3" x14ac:dyDescent="0.25">
      <c r="A4192" t="str">
        <f>IF(Scan2VK!AD118&lt;&gt;"",Scan2VK!AD118,"")</f>
        <v>_none_</v>
      </c>
      <c r="B4192" t="str">
        <f>IF(ISERROR(MATCH(0,INDEX(COUNTIF($B$1:B4191,$A$2:$A$4629),0,0),0)),"",INDEX($A$2:$A$4629,MATCH(0,INDEX(COUNTIF($B$1:B4191,$A$2:$A$4629),0,0),0)))</f>
        <v/>
      </c>
      <c r="C4192" t="str">
        <f t="shared" si="65"/>
        <v/>
      </c>
    </row>
    <row r="4193" spans="1:3" x14ac:dyDescent="0.25">
      <c r="A4193" t="str">
        <f>IF(Scan2VK!AD119&lt;&gt;"",Scan2VK!AD119,"")</f>
        <v>_none_</v>
      </c>
      <c r="B4193" t="str">
        <f>IF(ISERROR(MATCH(0,INDEX(COUNTIF($B$1:B4192,$A$2:$A$4629),0,0),0)),"",INDEX($A$2:$A$4629,MATCH(0,INDEX(COUNTIF($B$1:B4192,$A$2:$A$4629),0,0),0)))</f>
        <v/>
      </c>
      <c r="C4193" t="str">
        <f t="shared" si="65"/>
        <v/>
      </c>
    </row>
    <row r="4194" spans="1:3" x14ac:dyDescent="0.25">
      <c r="A4194" t="str">
        <f>IF(Scan2VK!AD120&lt;&gt;"",Scan2VK!AD120,"")</f>
        <v>_none_</v>
      </c>
      <c r="B4194" t="str">
        <f>IF(ISERROR(MATCH(0,INDEX(COUNTIF($B$1:B4193,$A$2:$A$4629),0,0),0)),"",INDEX($A$2:$A$4629,MATCH(0,INDEX(COUNTIF($B$1:B4193,$A$2:$A$4629),0,0),0)))</f>
        <v/>
      </c>
      <c r="C4194" t="str">
        <f t="shared" si="65"/>
        <v/>
      </c>
    </row>
    <row r="4195" spans="1:3" x14ac:dyDescent="0.25">
      <c r="A4195" t="str">
        <f>IF(Scan2VK!AD121&lt;&gt;"",Scan2VK!AD121,"")</f>
        <v>_none_</v>
      </c>
      <c r="B4195" t="str">
        <f>IF(ISERROR(MATCH(0,INDEX(COUNTIF($B$1:B4194,$A$2:$A$4629),0,0),0)),"",INDEX($A$2:$A$4629,MATCH(0,INDEX(COUNTIF($B$1:B4194,$A$2:$A$4629),0,0),0)))</f>
        <v/>
      </c>
      <c r="C4195" t="str">
        <f t="shared" si="65"/>
        <v/>
      </c>
    </row>
    <row r="4196" spans="1:3" x14ac:dyDescent="0.25">
      <c r="A4196" t="str">
        <f>IF(Scan2VK!AD122&lt;&gt;"",Scan2VK!AD122,"")</f>
        <v>_none_</v>
      </c>
      <c r="B4196" t="str">
        <f>IF(ISERROR(MATCH(0,INDEX(COUNTIF($B$1:B4195,$A$2:$A$4629),0,0),0)),"",INDEX($A$2:$A$4629,MATCH(0,INDEX(COUNTIF($B$1:B4195,$A$2:$A$4629),0,0),0)))</f>
        <v/>
      </c>
      <c r="C4196" t="str">
        <f t="shared" si="65"/>
        <v/>
      </c>
    </row>
    <row r="4197" spans="1:3" x14ac:dyDescent="0.25">
      <c r="A4197" t="str">
        <f>IF(Scan2VK!AD123&lt;&gt;"",Scan2VK!AD123,"")</f>
        <v>CONVERT</v>
      </c>
      <c r="B4197" t="str">
        <f>IF(ISERROR(MATCH(0,INDEX(COUNTIF($B$1:B4196,$A$2:$A$4629),0,0),0)),"",INDEX($A$2:$A$4629,MATCH(0,INDEX(COUNTIF($B$1:B4196,$A$2:$A$4629),0,0),0)))</f>
        <v/>
      </c>
      <c r="C4197" t="str">
        <f t="shared" si="65"/>
        <v/>
      </c>
    </row>
    <row r="4198" spans="1:3" x14ac:dyDescent="0.25">
      <c r="A4198" t="str">
        <f>IF(Scan2VK!AD124&lt;&gt;"",Scan2VK!AD124,"")</f>
        <v>_none_</v>
      </c>
      <c r="B4198" t="str">
        <f>IF(ISERROR(MATCH(0,INDEX(COUNTIF($B$1:B4197,$A$2:$A$4629),0,0),0)),"",INDEX($A$2:$A$4629,MATCH(0,INDEX(COUNTIF($B$1:B4197,$A$2:$A$4629),0,0),0)))</f>
        <v/>
      </c>
      <c r="C4198" t="str">
        <f t="shared" si="65"/>
        <v/>
      </c>
    </row>
    <row r="4199" spans="1:3" x14ac:dyDescent="0.25">
      <c r="A4199" t="str">
        <f>IF(Scan2VK!AD125&lt;&gt;"",Scan2VK!AD125,"")</f>
        <v>NONCONVERT</v>
      </c>
      <c r="B4199" t="str">
        <f>IF(ISERROR(MATCH(0,INDEX(COUNTIF($B$1:B4198,$A$2:$A$4629),0,0),0)),"",INDEX($A$2:$A$4629,MATCH(0,INDEX(COUNTIF($B$1:B4198,$A$2:$A$4629),0,0),0)))</f>
        <v/>
      </c>
      <c r="C4199" t="str">
        <f t="shared" si="65"/>
        <v/>
      </c>
    </row>
    <row r="4200" spans="1:3" x14ac:dyDescent="0.25">
      <c r="A4200" t="str">
        <f>IF(Scan2VK!AD126&lt;&gt;"",Scan2VK!AD126,"")</f>
        <v>_none_</v>
      </c>
      <c r="B4200" t="str">
        <f>IF(ISERROR(MATCH(0,INDEX(COUNTIF($B$1:B4199,$A$2:$A$4629),0,0),0)),"",INDEX($A$2:$A$4629,MATCH(0,INDEX(COUNTIF($B$1:B4199,$A$2:$A$4629),0,0),0)))</f>
        <v/>
      </c>
      <c r="C4200" t="str">
        <f t="shared" si="65"/>
        <v/>
      </c>
    </row>
    <row r="4201" spans="1:3" x14ac:dyDescent="0.25">
      <c r="A4201" t="str">
        <f>IF(Scan2VK!AD127&lt;&gt;"",Scan2VK!AD127,"")</f>
        <v>_none_</v>
      </c>
      <c r="B4201" t="str">
        <f>IF(ISERROR(MATCH(0,INDEX(COUNTIF($B$1:B4200,$A$2:$A$4629),0,0),0)),"",INDEX($A$2:$A$4629,MATCH(0,INDEX(COUNTIF($B$1:B4200,$A$2:$A$4629),0,0),0)))</f>
        <v/>
      </c>
      <c r="C4201" t="str">
        <f t="shared" si="65"/>
        <v/>
      </c>
    </row>
    <row r="4202" spans="1:3" x14ac:dyDescent="0.25">
      <c r="A4202" t="str">
        <f>IF(Scan2VK!AD128&lt;&gt;"",Scan2VK!AD128,"")</f>
        <v>_none_</v>
      </c>
      <c r="B4202" t="str">
        <f>IF(ISERROR(MATCH(0,INDEX(COUNTIF($B$1:B4201,$A$2:$A$4629),0,0),0)),"",INDEX($A$2:$A$4629,MATCH(0,INDEX(COUNTIF($B$1:B4201,$A$2:$A$4629),0,0),0)))</f>
        <v/>
      </c>
      <c r="C4202" t="str">
        <f t="shared" si="65"/>
        <v/>
      </c>
    </row>
    <row r="4203" spans="1:3" x14ac:dyDescent="0.25">
      <c r="A4203" t="str">
        <f>IF(Scan2VK!AD129&lt;&gt;"",Scan2VK!AD129,"")</f>
        <v>_none_</v>
      </c>
      <c r="B4203" t="str">
        <f>IF(ISERROR(MATCH(0,INDEX(COUNTIF($B$1:B4202,$A$2:$A$4629),0,0),0)),"",INDEX($A$2:$A$4629,MATCH(0,INDEX(COUNTIF($B$1:B4202,$A$2:$A$4629),0,0),0)))</f>
        <v/>
      </c>
      <c r="C4203" t="str">
        <f t="shared" si="65"/>
        <v/>
      </c>
    </row>
    <row r="4204" spans="1:3" x14ac:dyDescent="0.25">
      <c r="A4204" t="str">
        <f>IF(Scan2VK!AD130&lt;&gt;"",Scan2VK!AD130,"")</f>
        <v>KANA</v>
      </c>
      <c r="B4204" t="str">
        <f>IF(ISERROR(MATCH(0,INDEX(COUNTIF($B$1:B4203,$A$2:$A$4629),0,0),0)),"",INDEX($A$2:$A$4629,MATCH(0,INDEX(COUNTIF($B$1:B4203,$A$2:$A$4629),0,0),0)))</f>
        <v/>
      </c>
      <c r="C4204" t="str">
        <f t="shared" si="65"/>
        <v/>
      </c>
    </row>
    <row r="4205" spans="1:3" x14ac:dyDescent="0.25">
      <c r="A4205" t="str">
        <f>IF(Scan2VK!AD131&lt;&gt;"",Scan2VK!AD131,"")</f>
        <v/>
      </c>
      <c r="B4205" t="str">
        <f>IF(ISERROR(MATCH(0,INDEX(COUNTIF($B$1:B4204,$A$2:$A$4629),0,0),0)),"",INDEX($A$2:$A$4629,MATCH(0,INDEX(COUNTIF($B$1:B4204,$A$2:$A$4629),0,0),0)))</f>
        <v/>
      </c>
      <c r="C4205" t="str">
        <f t="shared" si="65"/>
        <v/>
      </c>
    </row>
    <row r="4206" spans="1:3" x14ac:dyDescent="0.25">
      <c r="A4206" t="str">
        <f>IF(Scan2VK!AD132&lt;&gt;"",Scan2VK!AD132,"")</f>
        <v/>
      </c>
      <c r="B4206" t="str">
        <f>IF(ISERROR(MATCH(0,INDEX(COUNTIF($B$1:B4205,$A$2:$A$4629),0,0),0)),"",INDEX($A$2:$A$4629,MATCH(0,INDEX(COUNTIF($B$1:B4205,$A$2:$A$4629),0,0),0)))</f>
        <v/>
      </c>
      <c r="C4206" t="str">
        <f t="shared" si="65"/>
        <v/>
      </c>
    </row>
    <row r="4207" spans="1:3" x14ac:dyDescent="0.25">
      <c r="A4207" t="str">
        <f>IF(Scan2VK!AD133&lt;&gt;"",Scan2VK!AD133,"")</f>
        <v>RETURN</v>
      </c>
      <c r="B4207" t="str">
        <f>IF(ISERROR(MATCH(0,INDEX(COUNTIF($B$1:B4206,$A$2:$A$4629),0,0),0)),"",INDEX($A$2:$A$4629,MATCH(0,INDEX(COUNTIF($B$1:B4206,$A$2:$A$4629),0,0),0)))</f>
        <v/>
      </c>
      <c r="C4207" t="str">
        <f t="shared" si="65"/>
        <v/>
      </c>
    </row>
    <row r="4208" spans="1:3" x14ac:dyDescent="0.25">
      <c r="A4208" t="str">
        <f>IF(Scan2VK!AD134&lt;&gt;"",Scan2VK!AD134,"")</f>
        <v>RCONTROL</v>
      </c>
      <c r="B4208" t="str">
        <f>IF(ISERROR(MATCH(0,INDEX(COUNTIF($B$1:B4207,$A$2:$A$4629),0,0),0)),"",INDEX($A$2:$A$4629,MATCH(0,INDEX(COUNTIF($B$1:B4207,$A$2:$A$4629),0,0),0)))</f>
        <v/>
      </c>
      <c r="C4208" t="str">
        <f t="shared" si="65"/>
        <v/>
      </c>
    </row>
    <row r="4209" spans="1:3" x14ac:dyDescent="0.25">
      <c r="A4209" t="str">
        <f>IF(Scan2VK!AD135&lt;&gt;"",Scan2VK!AD135,"")</f>
        <v/>
      </c>
      <c r="B4209" t="str">
        <f>IF(ISERROR(MATCH(0,INDEX(COUNTIF($B$1:B4208,$A$2:$A$4629),0,0),0)),"",INDEX($A$2:$A$4629,MATCH(0,INDEX(COUNTIF($B$1:B4208,$A$2:$A$4629),0,0),0)))</f>
        <v/>
      </c>
      <c r="C4209" t="str">
        <f t="shared" si="65"/>
        <v/>
      </c>
    </row>
    <row r="4210" spans="1:3" x14ac:dyDescent="0.25">
      <c r="A4210" t="str">
        <f>IF(Scan2VK!AD136&lt;&gt;"",Scan2VK!AD136,"")</f>
        <v/>
      </c>
      <c r="B4210" t="str">
        <f>IF(ISERROR(MATCH(0,INDEX(COUNTIF($B$1:B4209,$A$2:$A$4629),0,0),0)),"",INDEX($A$2:$A$4629,MATCH(0,INDEX(COUNTIF($B$1:B4209,$A$2:$A$4629),0,0),0)))</f>
        <v/>
      </c>
      <c r="C4210" t="str">
        <f t="shared" si="65"/>
        <v/>
      </c>
    </row>
    <row r="4211" spans="1:3" x14ac:dyDescent="0.25">
      <c r="A4211" t="str">
        <f>IF(Scan2VK!AD137&lt;&gt;"",Scan2VK!AD137,"")</f>
        <v/>
      </c>
      <c r="B4211" t="str">
        <f>IF(ISERROR(MATCH(0,INDEX(COUNTIF($B$1:B4210,$A$2:$A$4629),0,0),0)),"",INDEX($A$2:$A$4629,MATCH(0,INDEX(COUNTIF($B$1:B4210,$A$2:$A$4629),0,0),0)))</f>
        <v/>
      </c>
      <c r="C4211" t="str">
        <f t="shared" si="65"/>
        <v/>
      </c>
    </row>
    <row r="4212" spans="1:3" x14ac:dyDescent="0.25">
      <c r="A4212" t="str">
        <f>IF(Scan2VK!AD138&lt;&gt;"",Scan2VK!AD138,"")</f>
        <v/>
      </c>
      <c r="B4212" t="str">
        <f>IF(ISERROR(MATCH(0,INDEX(COUNTIF($B$1:B4211,$A$2:$A$4629),0,0),0)),"",INDEX($A$2:$A$4629,MATCH(0,INDEX(COUNTIF($B$1:B4211,$A$2:$A$4629),0,0),0)))</f>
        <v/>
      </c>
      <c r="C4212" t="str">
        <f t="shared" si="65"/>
        <v/>
      </c>
    </row>
    <row r="4213" spans="1:3" x14ac:dyDescent="0.25">
      <c r="A4213" t="str">
        <f>IF(Scan2VK!AD139&lt;&gt;"",Scan2VK!AD139,"")</f>
        <v/>
      </c>
      <c r="B4213" t="str">
        <f>IF(ISERROR(MATCH(0,INDEX(COUNTIF($B$1:B4212,$A$2:$A$4629),0,0),0)),"",INDEX($A$2:$A$4629,MATCH(0,INDEX(COUNTIF($B$1:B4212,$A$2:$A$4629),0,0),0)))</f>
        <v/>
      </c>
      <c r="C4213" t="str">
        <f t="shared" si="65"/>
        <v/>
      </c>
    </row>
    <row r="4214" spans="1:3" x14ac:dyDescent="0.25">
      <c r="A4214" t="str">
        <f>IF(Scan2VK!AD140&lt;&gt;"",Scan2VK!AD140,"")</f>
        <v/>
      </c>
      <c r="B4214" t="str">
        <f>IF(ISERROR(MATCH(0,INDEX(COUNTIF($B$1:B4213,$A$2:$A$4629),0,0),0)),"",INDEX($A$2:$A$4629,MATCH(0,INDEX(COUNTIF($B$1:B4213,$A$2:$A$4629),0,0),0)))</f>
        <v/>
      </c>
      <c r="C4214" t="str">
        <f t="shared" si="65"/>
        <v/>
      </c>
    </row>
    <row r="4215" spans="1:3" x14ac:dyDescent="0.25">
      <c r="A4215" t="str">
        <f>IF(Scan2VK!AD141&lt;&gt;"",Scan2VK!AD141,"")</f>
        <v/>
      </c>
      <c r="B4215" t="str">
        <f>IF(ISERROR(MATCH(0,INDEX(COUNTIF($B$1:B4214,$A$2:$A$4629),0,0),0)),"",INDEX($A$2:$A$4629,MATCH(0,INDEX(COUNTIF($B$1:B4214,$A$2:$A$4629),0,0),0)))</f>
        <v/>
      </c>
      <c r="C4215" t="str">
        <f t="shared" si="65"/>
        <v/>
      </c>
    </row>
    <row r="4216" spans="1:3" x14ac:dyDescent="0.25">
      <c r="A4216" t="str">
        <f>IF(Scan2VK!AD142&lt;&gt;"",Scan2VK!AD142,"")</f>
        <v>_none_</v>
      </c>
      <c r="B4216" t="str">
        <f>IF(ISERROR(MATCH(0,INDEX(COUNTIF($B$1:B4215,$A$2:$A$4629),0,0),0)),"",INDEX($A$2:$A$4629,MATCH(0,INDEX(COUNTIF($B$1:B4215,$A$2:$A$4629),0,0),0)))</f>
        <v/>
      </c>
      <c r="C4216" t="str">
        <f t="shared" si="65"/>
        <v/>
      </c>
    </row>
    <row r="4217" spans="1:3" x14ac:dyDescent="0.25">
      <c r="A4217" t="str">
        <f>IF(Scan2VK!AD143&lt;&gt;"",Scan2VK!AD143,"")</f>
        <v>DIVIDE</v>
      </c>
      <c r="B4217" t="str">
        <f>IF(ISERROR(MATCH(0,INDEX(COUNTIF($B$1:B4216,$A$2:$A$4629),0,0),0)),"",INDEX($A$2:$A$4629,MATCH(0,INDEX(COUNTIF($B$1:B4216,$A$2:$A$4629),0,0),0)))</f>
        <v/>
      </c>
      <c r="C4217" t="str">
        <f t="shared" si="65"/>
        <v/>
      </c>
    </row>
    <row r="4218" spans="1:3" x14ac:dyDescent="0.25">
      <c r="A4218" t="str">
        <f>IF(Scan2VK!AD144&lt;&gt;"",Scan2VK!AD144,"")</f>
        <v>SNAPSHOT</v>
      </c>
      <c r="B4218" t="str">
        <f>IF(ISERROR(MATCH(0,INDEX(COUNTIF($B$1:B4217,$A$2:$A$4629),0,0),0)),"",INDEX($A$2:$A$4629,MATCH(0,INDEX(COUNTIF($B$1:B4217,$A$2:$A$4629),0,0),0)))</f>
        <v/>
      </c>
      <c r="C4218" t="str">
        <f t="shared" si="65"/>
        <v/>
      </c>
    </row>
    <row r="4219" spans="1:3" x14ac:dyDescent="0.25">
      <c r="A4219" t="str">
        <f>IF(Scan2VK!AD145&lt;&gt;"",Scan2VK!AD145,"")</f>
        <v>RMENU</v>
      </c>
      <c r="B4219" t="str">
        <f>IF(ISERROR(MATCH(0,INDEX(COUNTIF($B$1:B4218,$A$2:$A$4629),0,0),0)),"",INDEX($A$2:$A$4629,MATCH(0,INDEX(COUNTIF($B$1:B4218,$A$2:$A$4629),0,0),0)))</f>
        <v/>
      </c>
      <c r="C4219" t="str">
        <f t="shared" si="65"/>
        <v/>
      </c>
    </row>
    <row r="4220" spans="1:3" x14ac:dyDescent="0.25">
      <c r="A4220" t="str">
        <f>IF(Scan2VK!AD146&lt;&gt;"",Scan2VK!AD146,"")</f>
        <v>F13</v>
      </c>
      <c r="B4220" t="str">
        <f>IF(ISERROR(MATCH(0,INDEX(COUNTIF($B$1:B4219,$A$2:$A$4629),0,0),0)),"",INDEX($A$2:$A$4629,MATCH(0,INDEX(COUNTIF($B$1:B4219,$A$2:$A$4629),0,0),0)))</f>
        <v/>
      </c>
      <c r="C4220" t="str">
        <f t="shared" si="65"/>
        <v/>
      </c>
    </row>
    <row r="4221" spans="1:3" x14ac:dyDescent="0.25">
      <c r="A4221" t="str">
        <f>IF(Scan2VK!AD147&lt;&gt;"",Scan2VK!AD147,"")</f>
        <v>F14</v>
      </c>
      <c r="B4221" t="str">
        <f>IF(ISERROR(MATCH(0,INDEX(COUNTIF($B$1:B4220,$A$2:$A$4629),0,0),0)),"",INDEX($A$2:$A$4629,MATCH(0,INDEX(COUNTIF($B$1:B4220,$A$2:$A$4629),0,0),0)))</f>
        <v/>
      </c>
      <c r="C4221" t="str">
        <f t="shared" si="65"/>
        <v/>
      </c>
    </row>
    <row r="4222" spans="1:3" x14ac:dyDescent="0.25">
      <c r="A4222" t="str">
        <f>IF(Scan2VK!AD148&lt;&gt;"",Scan2VK!AD148,"")</f>
        <v>F15</v>
      </c>
      <c r="B4222" t="str">
        <f>IF(ISERROR(MATCH(0,INDEX(COUNTIF($B$1:B4221,$A$2:$A$4629),0,0),0)),"",INDEX($A$2:$A$4629,MATCH(0,INDEX(COUNTIF($B$1:B4221,$A$2:$A$4629),0,0),0)))</f>
        <v/>
      </c>
      <c r="C4222" t="str">
        <f t="shared" si="65"/>
        <v/>
      </c>
    </row>
    <row r="4223" spans="1:3" x14ac:dyDescent="0.25">
      <c r="A4223" t="str">
        <f>IF(Scan2VK!AD149&lt;&gt;"",Scan2VK!AD149,"")</f>
        <v>F16</v>
      </c>
      <c r="B4223" t="str">
        <f>IF(ISERROR(MATCH(0,INDEX(COUNTIF($B$1:B4222,$A$2:$A$4629),0,0),0)),"",INDEX($A$2:$A$4629,MATCH(0,INDEX(COUNTIF($B$1:B4222,$A$2:$A$4629),0,0),0)))</f>
        <v/>
      </c>
      <c r="C4223" t="str">
        <f t="shared" si="65"/>
        <v/>
      </c>
    </row>
    <row r="4224" spans="1:3" x14ac:dyDescent="0.25">
      <c r="A4224" t="str">
        <f>IF(Scan2VK!AD150&lt;&gt;"",Scan2VK!AD150,"")</f>
        <v>F17</v>
      </c>
      <c r="B4224" t="str">
        <f>IF(ISERROR(MATCH(0,INDEX(COUNTIF($B$1:B4223,$A$2:$A$4629),0,0),0)),"",INDEX($A$2:$A$4629,MATCH(0,INDEX(COUNTIF($B$1:B4223,$A$2:$A$4629),0,0),0)))</f>
        <v/>
      </c>
      <c r="C4224" t="str">
        <f t="shared" si="65"/>
        <v/>
      </c>
    </row>
    <row r="4225" spans="1:3" x14ac:dyDescent="0.25">
      <c r="A4225" t="str">
        <f>IF(Scan2VK!AD151&lt;&gt;"",Scan2VK!AD151,"")</f>
        <v>_none_</v>
      </c>
      <c r="B4225" t="str">
        <f>IF(ISERROR(MATCH(0,INDEX(COUNTIF($B$1:B4224,$A$2:$A$4629),0,0),0)),"",INDEX($A$2:$A$4629,MATCH(0,INDEX(COUNTIF($B$1:B4224,$A$2:$A$4629),0,0),0)))</f>
        <v/>
      </c>
      <c r="C4225" t="str">
        <f t="shared" si="65"/>
        <v/>
      </c>
    </row>
    <row r="4226" spans="1:3" x14ac:dyDescent="0.25">
      <c r="A4226" t="str">
        <f>IF(Scan2VK!AD152&lt;&gt;"",Scan2VK!AD152,"")</f>
        <v>_none_</v>
      </c>
      <c r="B4226" t="str">
        <f>IF(ISERROR(MATCH(0,INDEX(COUNTIF($B$1:B4225,$A$2:$A$4629),0,0),0)),"",INDEX($A$2:$A$4629,MATCH(0,INDEX(COUNTIF($B$1:B4225,$A$2:$A$4629),0,0),0)))</f>
        <v/>
      </c>
      <c r="C4226" t="str">
        <f t="shared" si="65"/>
        <v/>
      </c>
    </row>
    <row r="4227" spans="1:3" x14ac:dyDescent="0.25">
      <c r="A4227" t="str">
        <f>IF(Scan2VK!AD153&lt;&gt;"",Scan2VK!AD153,"")</f>
        <v>_none_</v>
      </c>
      <c r="B4227" t="str">
        <f>IF(ISERROR(MATCH(0,INDEX(COUNTIF($B$1:B4226,$A$2:$A$4629),0,0),0)),"",INDEX($A$2:$A$4629,MATCH(0,INDEX(COUNTIF($B$1:B4226,$A$2:$A$4629),0,0),0)))</f>
        <v/>
      </c>
      <c r="C4227" t="str">
        <f t="shared" ref="C4227:C4269" si="66">IF(B4227&lt;&gt;"","&lt;xs:enumeration value="""&amp;B4227&amp;"""/&gt;","")</f>
        <v/>
      </c>
    </row>
    <row r="4228" spans="1:3" x14ac:dyDescent="0.25">
      <c r="A4228" t="str">
        <f>IF(Scan2VK!AD154&lt;&gt;"",Scan2VK!AD154,"")</f>
        <v>CANCEL</v>
      </c>
      <c r="B4228" t="str">
        <f>IF(ISERROR(MATCH(0,INDEX(COUNTIF($B$1:B4227,$A$2:$A$4629),0,0),0)),"",INDEX($A$2:$A$4629,MATCH(0,INDEX(COUNTIF($B$1:B4227,$A$2:$A$4629),0,0),0)))</f>
        <v/>
      </c>
      <c r="C4228" t="str">
        <f t="shared" si="66"/>
        <v/>
      </c>
    </row>
    <row r="4229" spans="1:3" x14ac:dyDescent="0.25">
      <c r="A4229" t="str">
        <f>IF(Scan2VK!AD155&lt;&gt;"",Scan2VK!AD155,"")</f>
        <v>HOME</v>
      </c>
      <c r="B4229" t="str">
        <f>IF(ISERROR(MATCH(0,INDEX(COUNTIF($B$1:B4228,$A$2:$A$4629),0,0),0)),"",INDEX($A$2:$A$4629,MATCH(0,INDEX(COUNTIF($B$1:B4228,$A$2:$A$4629),0,0),0)))</f>
        <v/>
      </c>
      <c r="C4229" t="str">
        <f t="shared" si="66"/>
        <v/>
      </c>
    </row>
    <row r="4230" spans="1:3" x14ac:dyDescent="0.25">
      <c r="A4230" t="str">
        <f>IF(Scan2VK!AD156&lt;&gt;"",Scan2VK!AD156,"")</f>
        <v>UP</v>
      </c>
      <c r="B4230" t="str">
        <f>IF(ISERROR(MATCH(0,INDEX(COUNTIF($B$1:B4229,$A$2:$A$4629),0,0),0)),"",INDEX($A$2:$A$4629,MATCH(0,INDEX(COUNTIF($B$1:B4229,$A$2:$A$4629),0,0),0)))</f>
        <v/>
      </c>
      <c r="C4230" t="str">
        <f t="shared" si="66"/>
        <v/>
      </c>
    </row>
    <row r="4231" spans="1:3" x14ac:dyDescent="0.25">
      <c r="A4231" t="str">
        <f>IF(Scan2VK!AD157&lt;&gt;"",Scan2VK!AD157,"")</f>
        <v>PRIOR</v>
      </c>
      <c r="B4231" t="str">
        <f>IF(ISERROR(MATCH(0,INDEX(COUNTIF($B$1:B4230,$A$2:$A$4629),0,0),0)),"",INDEX($A$2:$A$4629,MATCH(0,INDEX(COUNTIF($B$1:B4230,$A$2:$A$4629),0,0),0)))</f>
        <v/>
      </c>
      <c r="C4231" t="str">
        <f t="shared" si="66"/>
        <v/>
      </c>
    </row>
    <row r="4232" spans="1:3" x14ac:dyDescent="0.25">
      <c r="A4232" t="str">
        <f>IF(Scan2VK!AD158&lt;&gt;"",Scan2VK!AD158,"")</f>
        <v>LEFT</v>
      </c>
      <c r="B4232" t="str">
        <f>IF(ISERROR(MATCH(0,INDEX(COUNTIF($B$1:B4231,$A$2:$A$4629),0,0),0)),"",INDEX($A$2:$A$4629,MATCH(0,INDEX(COUNTIF($B$1:B4231,$A$2:$A$4629),0,0),0)))</f>
        <v/>
      </c>
      <c r="C4232" t="str">
        <f t="shared" si="66"/>
        <v/>
      </c>
    </row>
    <row r="4233" spans="1:3" x14ac:dyDescent="0.25">
      <c r="A4233" t="str">
        <f>IF(Scan2VK!AD159&lt;&gt;"",Scan2VK!AD159,"")</f>
        <v>RIGHT</v>
      </c>
      <c r="B4233" t="str">
        <f>IF(ISERROR(MATCH(0,INDEX(COUNTIF($B$1:B4232,$A$2:$A$4629),0,0),0)),"",INDEX($A$2:$A$4629,MATCH(0,INDEX(COUNTIF($B$1:B4232,$A$2:$A$4629),0,0),0)))</f>
        <v/>
      </c>
      <c r="C4233" t="str">
        <f t="shared" si="66"/>
        <v/>
      </c>
    </row>
    <row r="4234" spans="1:3" x14ac:dyDescent="0.25">
      <c r="A4234" t="str">
        <f>IF(Scan2VK!AD160&lt;&gt;"",Scan2VK!AD160,"")</f>
        <v>ADD</v>
      </c>
      <c r="B4234" t="str">
        <f>IF(ISERROR(MATCH(0,INDEX(COUNTIF($B$1:B4233,$A$2:$A$4629),0,0),0)),"",INDEX($A$2:$A$4629,MATCH(0,INDEX(COUNTIF($B$1:B4233,$A$2:$A$4629),0,0),0)))</f>
        <v/>
      </c>
      <c r="C4234" t="str">
        <f t="shared" si="66"/>
        <v/>
      </c>
    </row>
    <row r="4235" spans="1:3" x14ac:dyDescent="0.25">
      <c r="A4235" t="str">
        <f>IF(Scan2VK!AD161&lt;&gt;"",Scan2VK!AD161,"")</f>
        <v>END</v>
      </c>
      <c r="B4235" t="str">
        <f>IF(ISERROR(MATCH(0,INDEX(COUNTIF($B$1:B4234,$A$2:$A$4629),0,0),0)),"",INDEX($A$2:$A$4629,MATCH(0,INDEX(COUNTIF($B$1:B4234,$A$2:$A$4629),0,0),0)))</f>
        <v/>
      </c>
      <c r="C4235" t="str">
        <f t="shared" si="66"/>
        <v/>
      </c>
    </row>
    <row r="4236" spans="1:3" x14ac:dyDescent="0.25">
      <c r="A4236" t="str">
        <f>IF(Scan2VK!AD162&lt;&gt;"",Scan2VK!AD162,"")</f>
        <v>DOWN</v>
      </c>
      <c r="B4236" t="str">
        <f>IF(ISERROR(MATCH(0,INDEX(COUNTIF($B$1:B4235,$A$2:$A$4629),0,0),0)),"",INDEX($A$2:$A$4629,MATCH(0,INDEX(COUNTIF($B$1:B4235,$A$2:$A$4629),0,0),0)))</f>
        <v/>
      </c>
      <c r="C4236" t="str">
        <f t="shared" si="66"/>
        <v/>
      </c>
    </row>
    <row r="4237" spans="1:3" x14ac:dyDescent="0.25">
      <c r="A4237" t="str">
        <f>IF(Scan2VK!AD163&lt;&gt;"",Scan2VK!AD163,"")</f>
        <v>NEXT</v>
      </c>
      <c r="B4237" t="str">
        <f>IF(ISERROR(MATCH(0,INDEX(COUNTIF($B$1:B4236,$A$2:$A$4629),0,0),0)),"",INDEX($A$2:$A$4629,MATCH(0,INDEX(COUNTIF($B$1:B4236,$A$2:$A$4629),0,0),0)))</f>
        <v/>
      </c>
      <c r="C4237" t="str">
        <f t="shared" si="66"/>
        <v/>
      </c>
    </row>
    <row r="4238" spans="1:3" x14ac:dyDescent="0.25">
      <c r="A4238" t="str">
        <f>IF(Scan2VK!AD164&lt;&gt;"",Scan2VK!AD164,"")</f>
        <v>INSERT</v>
      </c>
      <c r="B4238" t="str">
        <f>IF(ISERROR(MATCH(0,INDEX(COUNTIF($B$1:B4237,$A$2:$A$4629),0,0),0)),"",INDEX($A$2:$A$4629,MATCH(0,INDEX(COUNTIF($B$1:B4237,$A$2:$A$4629),0,0),0)))</f>
        <v/>
      </c>
      <c r="C4238" t="str">
        <f t="shared" si="66"/>
        <v/>
      </c>
    </row>
    <row r="4239" spans="1:3" x14ac:dyDescent="0.25">
      <c r="A4239" t="str">
        <f>IF(Scan2VK!AD165&lt;&gt;"",Scan2VK!AD165,"")</f>
        <v>DELETE</v>
      </c>
      <c r="B4239" t="str">
        <f>IF(ISERROR(MATCH(0,INDEX(COUNTIF($B$1:B4238,$A$2:$A$4629),0,0),0)),"",INDEX($A$2:$A$4629,MATCH(0,INDEX(COUNTIF($B$1:B4238,$A$2:$A$4629),0,0),0)))</f>
        <v/>
      </c>
      <c r="C4239" t="str">
        <f t="shared" si="66"/>
        <v/>
      </c>
    </row>
    <row r="4240" spans="1:3" x14ac:dyDescent="0.25">
      <c r="A4240" t="str">
        <f>IF(Scan2VK!AD166&lt;&gt;"",Scan2VK!AD166,"")</f>
        <v>_none_</v>
      </c>
      <c r="B4240" t="str">
        <f>IF(ISERROR(MATCH(0,INDEX(COUNTIF($B$1:B4239,$A$2:$A$4629),0,0),0)),"",INDEX($A$2:$A$4629,MATCH(0,INDEX(COUNTIF($B$1:B4239,$A$2:$A$4629),0,0),0)))</f>
        <v/>
      </c>
      <c r="C4240" t="str">
        <f t="shared" si="66"/>
        <v/>
      </c>
    </row>
    <row r="4241" spans="1:3" x14ac:dyDescent="0.25">
      <c r="A4241" t="str">
        <f>IF(Scan2VK!AD167&lt;&gt;"",Scan2VK!AD167,"")</f>
        <v>_none_</v>
      </c>
      <c r="B4241" t="str">
        <f>IF(ISERROR(MATCH(0,INDEX(COUNTIF($B$1:B4240,$A$2:$A$4629),0,0),0)),"",INDEX($A$2:$A$4629,MATCH(0,INDEX(COUNTIF($B$1:B4240,$A$2:$A$4629),0,0),0)))</f>
        <v/>
      </c>
      <c r="C4241" t="str">
        <f t="shared" si="66"/>
        <v/>
      </c>
    </row>
    <row r="4242" spans="1:3" x14ac:dyDescent="0.25">
      <c r="A4242" t="str">
        <f>IF(Scan2VK!AD168&lt;&gt;"",Scan2VK!AD168,"")</f>
        <v>_none_</v>
      </c>
      <c r="B4242" t="str">
        <f>IF(ISERROR(MATCH(0,INDEX(COUNTIF($B$1:B4241,$A$2:$A$4629),0,0),0)),"",INDEX($A$2:$A$4629,MATCH(0,INDEX(COUNTIF($B$1:B4241,$A$2:$A$4629),0,0),0)))</f>
        <v/>
      </c>
      <c r="C4242" t="str">
        <f t="shared" si="66"/>
        <v/>
      </c>
    </row>
    <row r="4243" spans="1:3" x14ac:dyDescent="0.25">
      <c r="A4243" t="str">
        <f>IF(Scan2VK!AD169&lt;&gt;"",Scan2VK!AD169,"")</f>
        <v>POWER</v>
      </c>
      <c r="B4243" t="str">
        <f>IF(ISERROR(MATCH(0,INDEX(COUNTIF($B$1:B4242,$A$2:$A$4629),0,0),0)),"",INDEX($A$2:$A$4629,MATCH(0,INDEX(COUNTIF($B$1:B4242,$A$2:$A$4629),0,0),0)))</f>
        <v/>
      </c>
      <c r="C4243" t="str">
        <f t="shared" si="66"/>
        <v/>
      </c>
    </row>
    <row r="4244" spans="1:3" x14ac:dyDescent="0.25">
      <c r="A4244" t="str">
        <f>IF(Scan2VK!AD170&lt;&gt;"",Scan2VK!AD170,"")</f>
        <v>SLEEP</v>
      </c>
      <c r="B4244" t="str">
        <f>IF(ISERROR(MATCH(0,INDEX(COUNTIF($B$1:B4243,$A$2:$A$4629),0,0),0)),"",INDEX($A$2:$A$4629,MATCH(0,INDEX(COUNTIF($B$1:B4243,$A$2:$A$4629),0,0),0)))</f>
        <v/>
      </c>
      <c r="C4244" t="str">
        <f t="shared" si="66"/>
        <v/>
      </c>
    </row>
    <row r="4245" spans="1:3" x14ac:dyDescent="0.25">
      <c r="A4245" t="str">
        <f>IF(Scan2VK!AD171&lt;&gt;"",Scan2VK!AD171,"")</f>
        <v/>
      </c>
      <c r="B4245" t="str">
        <f>IF(ISERROR(MATCH(0,INDEX(COUNTIF($B$1:B4244,$A$2:$A$4629),0,0),0)),"",INDEX($A$2:$A$4629,MATCH(0,INDEX(COUNTIF($B$1:B4244,$A$2:$A$4629),0,0),0)))</f>
        <v/>
      </c>
      <c r="C4245" t="str">
        <f t="shared" si="66"/>
        <v/>
      </c>
    </row>
    <row r="4246" spans="1:3" x14ac:dyDescent="0.25">
      <c r="A4246" t="str">
        <f>IF(Scan2VK!AD172&lt;&gt;"",Scan2VK!AD172,"")</f>
        <v/>
      </c>
      <c r="B4246" t="str">
        <f>IF(ISERROR(MATCH(0,INDEX(COUNTIF($B$1:B4245,$A$2:$A$4629),0,0),0)),"",INDEX($A$2:$A$4629,MATCH(0,INDEX(COUNTIF($B$1:B4245,$A$2:$A$4629),0,0),0)))</f>
        <v/>
      </c>
      <c r="C4246" t="str">
        <f t="shared" si="66"/>
        <v/>
      </c>
    </row>
    <row r="4247" spans="1:3" x14ac:dyDescent="0.25">
      <c r="A4247" t="str">
        <f>IF(Scan2VK!AD173&lt;&gt;"",Scan2VK!AD173,"")</f>
        <v/>
      </c>
      <c r="B4247" t="str">
        <f>IF(ISERROR(MATCH(0,INDEX(COUNTIF($B$1:B4246,$A$2:$A$4629),0,0),0)),"",INDEX($A$2:$A$4629,MATCH(0,INDEX(COUNTIF($B$1:B4246,$A$2:$A$4629),0,0),0)))</f>
        <v/>
      </c>
      <c r="C4247" t="str">
        <f t="shared" si="66"/>
        <v/>
      </c>
    </row>
    <row r="4248" spans="1:3" x14ac:dyDescent="0.25">
      <c r="A4248" t="str">
        <f>IF(Scan2VK!AD174&lt;&gt;"",Scan2VK!AD174,"")</f>
        <v/>
      </c>
      <c r="B4248" t="str">
        <f>IF(ISERROR(MATCH(0,INDEX(COUNTIF($B$1:B4247,$A$2:$A$4629),0,0),0)),"",INDEX($A$2:$A$4629,MATCH(0,INDEX(COUNTIF($B$1:B4247,$A$2:$A$4629),0,0),0)))</f>
        <v/>
      </c>
      <c r="C4248" t="str">
        <f t="shared" si="66"/>
        <v/>
      </c>
    </row>
    <row r="4249" spans="1:3" x14ac:dyDescent="0.25">
      <c r="A4249" t="str">
        <f>IF(Scan2VK!AD175&lt;&gt;"",Scan2VK!AD175,"")</f>
        <v/>
      </c>
      <c r="B4249" t="str">
        <f>IF(ISERROR(MATCH(0,INDEX(COUNTIF($B$1:B4248,$A$2:$A$4629),0,0),0)),"",INDEX($A$2:$A$4629,MATCH(0,INDEX(COUNTIF($B$1:B4248,$A$2:$A$4629),0,0),0)))</f>
        <v/>
      </c>
      <c r="C4249" t="str">
        <f t="shared" si="66"/>
        <v/>
      </c>
    </row>
    <row r="4250" spans="1:3" x14ac:dyDescent="0.25">
      <c r="A4250" t="str">
        <f>IF(Scan2VK!AD176&lt;&gt;"",Scan2VK!AD176,"")</f>
        <v/>
      </c>
      <c r="B4250" t="str">
        <f>IF(ISERROR(MATCH(0,INDEX(COUNTIF($B$1:B4249,$A$2:$A$4629),0,0),0)),"",INDEX($A$2:$A$4629,MATCH(0,INDEX(COUNTIF($B$1:B4249,$A$2:$A$4629),0,0),0)))</f>
        <v/>
      </c>
      <c r="C4250" t="str">
        <f t="shared" si="66"/>
        <v/>
      </c>
    </row>
    <row r="4251" spans="1:3" x14ac:dyDescent="0.25">
      <c r="A4251" t="str">
        <f>IF(Scan2VK!AD177&lt;&gt;"",Scan2VK!AD177,"")</f>
        <v/>
      </c>
      <c r="B4251" t="str">
        <f>IF(ISERROR(MATCH(0,INDEX(COUNTIF($B$1:B4250,$A$2:$A$4629),0,0),0)),"",INDEX($A$2:$A$4629,MATCH(0,INDEX(COUNTIF($B$1:B4250,$A$2:$A$4629),0,0),0)))</f>
        <v/>
      </c>
      <c r="C4251" t="str">
        <f t="shared" si="66"/>
        <v/>
      </c>
    </row>
    <row r="4252" spans="1:3" x14ac:dyDescent="0.25">
      <c r="A4252" t="str">
        <f>IF(Scan2VK!AD178&lt;&gt;"",Scan2VK!AD178,"")</f>
        <v/>
      </c>
      <c r="B4252" t="str">
        <f>IF(ISERROR(MATCH(0,INDEX(COUNTIF($B$1:B4251,$A$2:$A$4629),0,0),0)),"",INDEX($A$2:$A$4629,MATCH(0,INDEX(COUNTIF($B$1:B4251,$A$2:$A$4629),0,0),0)))</f>
        <v/>
      </c>
      <c r="C4252" t="str">
        <f t="shared" si="66"/>
        <v/>
      </c>
    </row>
    <row r="4253" spans="1:3" x14ac:dyDescent="0.25">
      <c r="A4253" t="str">
        <f>IF(Scan2VK!AD179&lt;&gt;"",Scan2VK!AD179,"")</f>
        <v/>
      </c>
      <c r="B4253" t="str">
        <f>IF(ISERROR(MATCH(0,INDEX(COUNTIF($B$1:B4252,$A$2:$A$4629),0,0),0)),"",INDEX($A$2:$A$4629,MATCH(0,INDEX(COUNTIF($B$1:B4252,$A$2:$A$4629),0,0),0)))</f>
        <v/>
      </c>
      <c r="C4253" t="str">
        <f t="shared" si="66"/>
        <v/>
      </c>
    </row>
    <row r="4254" spans="1:3" x14ac:dyDescent="0.25">
      <c r="A4254" t="str">
        <f>IF(Scan2VK!AD180&lt;&gt;"",Scan2VK!AD180,"")</f>
        <v/>
      </c>
      <c r="B4254" t="str">
        <f>IF(ISERROR(MATCH(0,INDEX(COUNTIF($B$1:B4253,$A$2:$A$4629),0,0),0)),"",INDEX($A$2:$A$4629,MATCH(0,INDEX(COUNTIF($B$1:B4253,$A$2:$A$4629),0,0),0)))</f>
        <v/>
      </c>
      <c r="C4254" t="str">
        <f t="shared" si="66"/>
        <v/>
      </c>
    </row>
    <row r="4255" spans="1:3" x14ac:dyDescent="0.25">
      <c r="A4255" t="str">
        <f>IF(Scan2VK!AD181&lt;&gt;"",Scan2VK!AD181,"")</f>
        <v/>
      </c>
      <c r="B4255" t="str">
        <f>IF(ISERROR(MATCH(0,INDEX(COUNTIF($B$1:B4254,$A$2:$A$4629),0,0),0)),"",INDEX($A$2:$A$4629,MATCH(0,INDEX(COUNTIF($B$1:B4254,$A$2:$A$4629),0,0),0)))</f>
        <v/>
      </c>
      <c r="C4255" t="str">
        <f t="shared" si="66"/>
        <v/>
      </c>
    </row>
    <row r="4256" spans="1:3" x14ac:dyDescent="0.25">
      <c r="A4256" t="str">
        <f>IF(Scan2VK!AD182&lt;&gt;"",Scan2VK!AD182,"")</f>
        <v/>
      </c>
      <c r="B4256" t="str">
        <f>IF(ISERROR(MATCH(0,INDEX(COUNTIF($B$1:B4255,$A$2:$A$4629),0,0),0)),"",INDEX($A$2:$A$4629,MATCH(0,INDEX(COUNTIF($B$1:B4255,$A$2:$A$4629),0,0),0)))</f>
        <v/>
      </c>
      <c r="C4256" t="str">
        <f t="shared" si="66"/>
        <v/>
      </c>
    </row>
    <row r="4257" spans="1:3" x14ac:dyDescent="0.25">
      <c r="A4257" t="str">
        <f>IF(Scan2VK!AD183&lt;&gt;"",Scan2VK!AD183,"")</f>
        <v/>
      </c>
      <c r="B4257" t="str">
        <f>IF(ISERROR(MATCH(0,INDEX(COUNTIF($B$1:B4256,$A$2:$A$4629),0,0),0)),"",INDEX($A$2:$A$4629,MATCH(0,INDEX(COUNTIF($B$1:B4256,$A$2:$A$4629),0,0),0)))</f>
        <v/>
      </c>
      <c r="C4257" t="str">
        <f t="shared" si="66"/>
        <v/>
      </c>
    </row>
    <row r="4258" spans="1:3" x14ac:dyDescent="0.25">
      <c r="A4258" t="str">
        <f>IF(Scan2VK!AD184&lt;&gt;"",Scan2VK!AD184,"")</f>
        <v/>
      </c>
      <c r="B4258" t="str">
        <f>IF(ISERROR(MATCH(0,INDEX(COUNTIF($B$1:B4257,$A$2:$A$4629),0,0),0)),"",INDEX($A$2:$A$4629,MATCH(0,INDEX(COUNTIF($B$1:B4257,$A$2:$A$4629),0,0),0)))</f>
        <v/>
      </c>
      <c r="C4258" t="str">
        <f t="shared" si="66"/>
        <v/>
      </c>
    </row>
    <row r="4259" spans="1:3" x14ac:dyDescent="0.25">
      <c r="A4259" t="str">
        <f>IF(Scan2VK!AD185&lt;&gt;"",Scan2VK!AD185,"")</f>
        <v/>
      </c>
      <c r="B4259" t="str">
        <f>IF(ISERROR(MATCH(0,INDEX(COUNTIF($B$1:B4258,$A$2:$A$4629),0,0),0)),"",INDEX($A$2:$A$4629,MATCH(0,INDEX(COUNTIF($B$1:B4258,$A$2:$A$4629),0,0),0)))</f>
        <v/>
      </c>
      <c r="C4259" t="str">
        <f t="shared" si="66"/>
        <v/>
      </c>
    </row>
    <row r="4260" spans="1:3" x14ac:dyDescent="0.25">
      <c r="A4260" t="str">
        <f>IF(Scan2VK!AD186&lt;&gt;"",Scan2VK!AD186,"")</f>
        <v/>
      </c>
      <c r="B4260" t="str">
        <f>IF(ISERROR(MATCH(0,INDEX(COUNTIF($B$1:B4259,$A$2:$A$4629),0,0),0)),"",INDEX($A$2:$A$4629,MATCH(0,INDEX(COUNTIF($B$1:B4259,$A$2:$A$4629),0,0),0)))</f>
        <v/>
      </c>
      <c r="C4260" t="str">
        <f t="shared" si="66"/>
        <v/>
      </c>
    </row>
    <row r="4261" spans="1:3" x14ac:dyDescent="0.25">
      <c r="A4261" t="str">
        <f>IF(Scan2VK!AD187&lt;&gt;"",Scan2VK!AD187,"")</f>
        <v/>
      </c>
      <c r="B4261" t="str">
        <f>IF(ISERROR(MATCH(0,INDEX(COUNTIF($B$1:B4260,$A$2:$A$4629),0,0),0)),"",INDEX($A$2:$A$4629,MATCH(0,INDEX(COUNTIF($B$1:B4260,$A$2:$A$4629),0,0),0)))</f>
        <v/>
      </c>
      <c r="C4261" t="str">
        <f t="shared" si="66"/>
        <v/>
      </c>
    </row>
    <row r="4262" spans="1:3" x14ac:dyDescent="0.25">
      <c r="A4262" t="str">
        <f>IF(Scan2VK!AD188&lt;&gt;"",Scan2VK!AD188,"")</f>
        <v/>
      </c>
      <c r="B4262" t="str">
        <f>IF(ISERROR(MATCH(0,INDEX(COUNTIF($B$1:B4261,$A$2:$A$4629),0,0),0)),"",INDEX($A$2:$A$4629,MATCH(0,INDEX(COUNTIF($B$1:B4261,$A$2:$A$4629),0,0),0)))</f>
        <v/>
      </c>
      <c r="C4262" t="str">
        <f t="shared" si="66"/>
        <v/>
      </c>
    </row>
    <row r="4263" spans="1:3" x14ac:dyDescent="0.25">
      <c r="A4263" t="str">
        <f>IF(Scan2VK!AD189&lt;&gt;"",Scan2VK!AD189,"")</f>
        <v/>
      </c>
      <c r="B4263" t="str">
        <f>IF(ISERROR(MATCH(0,INDEX(COUNTIF($B$1:B4262,$A$2:$A$4629),0,0),0)),"",INDEX($A$2:$A$4629,MATCH(0,INDEX(COUNTIF($B$1:B4262,$A$2:$A$4629),0,0),0)))</f>
        <v/>
      </c>
      <c r="C4263" t="str">
        <f t="shared" si="66"/>
        <v/>
      </c>
    </row>
    <row r="4264" spans="1:3" x14ac:dyDescent="0.25">
      <c r="A4264" t="str">
        <f>IF(Scan2VK!AD190&lt;&gt;"",Scan2VK!AD190,"")</f>
        <v/>
      </c>
      <c r="B4264" t="str">
        <f>IF(ISERROR(MATCH(0,INDEX(COUNTIF($B$1:B4263,$A$2:$A$4629),0,0),0)),"",INDEX($A$2:$A$4629,MATCH(0,INDEX(COUNTIF($B$1:B4263,$A$2:$A$4629),0,0),0)))</f>
        <v/>
      </c>
      <c r="C4264" t="str">
        <f t="shared" si="66"/>
        <v/>
      </c>
    </row>
    <row r="4265" spans="1:3" x14ac:dyDescent="0.25">
      <c r="A4265" t="str">
        <f>IF(Scan2VK!AD191&lt;&gt;"",Scan2VK!AD191,"")</f>
        <v/>
      </c>
      <c r="B4265" t="str">
        <f>IF(ISERROR(MATCH(0,INDEX(COUNTIF($B$1:B4264,$A$2:$A$4629),0,0),0)),"",INDEX($A$2:$A$4629,MATCH(0,INDEX(COUNTIF($B$1:B4264,$A$2:$A$4629),0,0),0)))</f>
        <v/>
      </c>
      <c r="C4265" t="str">
        <f t="shared" si="66"/>
        <v/>
      </c>
    </row>
    <row r="4266" spans="1:3" x14ac:dyDescent="0.25">
      <c r="A4266" t="str">
        <f>IF(Scan2VK!AD192&lt;&gt;"",Scan2VK!AD192,"")</f>
        <v/>
      </c>
      <c r="B4266" t="str">
        <f>IF(ISERROR(MATCH(0,INDEX(COUNTIF($B$1:B4265,$A$2:$A$4629),0,0),0)),"",INDEX($A$2:$A$4629,MATCH(0,INDEX(COUNTIF($B$1:B4265,$A$2:$A$4629),0,0),0)))</f>
        <v/>
      </c>
      <c r="C4266" t="str">
        <f t="shared" si="66"/>
        <v/>
      </c>
    </row>
    <row r="4267" spans="1:3" x14ac:dyDescent="0.25">
      <c r="A4267" t="str">
        <f>IF(Scan2VK!AD193&lt;&gt;"",Scan2VK!AD193,"")</f>
        <v/>
      </c>
      <c r="B4267" t="str">
        <f>IF(ISERROR(MATCH(0,INDEX(COUNTIF($B$1:B4266,$A$2:$A$4629),0,0),0)),"",INDEX($A$2:$A$4629,MATCH(0,INDEX(COUNTIF($B$1:B4266,$A$2:$A$4629),0,0),0)))</f>
        <v/>
      </c>
      <c r="C4267" t="str">
        <f t="shared" si="66"/>
        <v/>
      </c>
    </row>
    <row r="4268" spans="1:3" x14ac:dyDescent="0.25">
      <c r="A4268" t="str">
        <f>IF(Scan2VK!AD194&lt;&gt;"",Scan2VK!AD194,"")</f>
        <v/>
      </c>
      <c r="B4268" t="str">
        <f>IF(ISERROR(MATCH(0,INDEX(COUNTIF($B$1:B4267,$A$2:$A$4629),0,0),0)),"",INDEX($A$2:$A$4629,MATCH(0,INDEX(COUNTIF($B$1:B4267,$A$2:$A$4629),0,0),0)))</f>
        <v/>
      </c>
      <c r="C4268" t="str">
        <f t="shared" si="66"/>
        <v/>
      </c>
    </row>
    <row r="4269" spans="1:3" x14ac:dyDescent="0.25">
      <c r="A4269" t="str">
        <f>IF(Scan2VK!AD195&lt;&gt;"",Scan2VK!AD195,"")</f>
        <v>PAUSE</v>
      </c>
      <c r="B4269" t="str">
        <f>IF(ISERROR(MATCH(0,INDEX(COUNTIF($B$1:B4268,$A$2:$A$4629),0,0),0)),"",INDEX($A$2:$A$4629,MATCH(0,INDEX(COUNTIF($B$1:B4268,$A$2:$A$4629),0,0),0)))</f>
        <v/>
      </c>
      <c r="C4269" t="str">
        <f t="shared" si="66"/>
        <v/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95"/>
  <sheetViews>
    <sheetView workbookViewId="0">
      <pane xSplit="1" ySplit="1" topLeftCell="B2" activePane="bottomRight" state="frozenSplit"/>
      <selection pane="bottomLeft" activeCell="B3" sqref="B3"/>
      <selection pane="topRight" activeCell="B1" sqref="B1"/>
      <selection pane="bottomRight" activeCell="F138" sqref="F138"/>
    </sheetView>
  </sheetViews>
  <sheetFormatPr defaultRowHeight="15" x14ac:dyDescent="0.25"/>
  <cols>
    <col min="1" max="1" width="4.42578125" style="56" bestFit="1" customWidth="1"/>
  </cols>
  <sheetData>
    <row r="1" spans="1:23" s="54" customFormat="1" ht="15.75" thickBot="1" x14ac:dyDescent="0.3">
      <c r="A1" s="55"/>
      <c r="B1" s="32">
        <f>Scan2VK!AF1</f>
        <v>1</v>
      </c>
      <c r="C1" s="32">
        <f>Scan2VK!AG1</f>
        <v>2</v>
      </c>
      <c r="D1" s="32">
        <f>Scan2VK!AH1</f>
        <v>3</v>
      </c>
      <c r="E1" s="32">
        <f>Scan2VK!AI1</f>
        <v>4</v>
      </c>
      <c r="F1" s="32">
        <f>Scan2VK!AJ1</f>
        <v>5</v>
      </c>
      <c r="G1" s="32">
        <f>Scan2VK!AK1</f>
        <v>6</v>
      </c>
      <c r="H1" s="32">
        <f>Scan2VK!AL1</f>
        <v>7</v>
      </c>
      <c r="I1" s="32">
        <f>Scan2VK!AM1</f>
        <v>8</v>
      </c>
      <c r="J1" s="32">
        <f>Scan2VK!AN1</f>
        <v>16</v>
      </c>
      <c r="K1" s="32">
        <f>Scan2VK!AO1</f>
        <v>10</v>
      </c>
      <c r="L1" s="32">
        <f>Scan2VK!AP1</f>
        <v>11</v>
      </c>
      <c r="M1" s="32">
        <f>Scan2VK!AQ1</f>
        <v>12</v>
      </c>
      <c r="N1" s="32">
        <f>Scan2VK!AR1</f>
        <v>13</v>
      </c>
      <c r="O1" s="32">
        <f>Scan2VK!AS1</f>
        <v>20</v>
      </c>
      <c r="P1" s="32">
        <f>Scan2VK!AT1</f>
        <v>21</v>
      </c>
      <c r="Q1" s="32">
        <f>Scan2VK!AU1</f>
        <v>22</v>
      </c>
      <c r="R1" s="32">
        <f>Scan2VK!AV1</f>
        <v>30</v>
      </c>
      <c r="S1" s="32">
        <f>Scan2VK!AW1</f>
        <v>33</v>
      </c>
      <c r="T1" s="32">
        <f>Scan2VK!AX1</f>
        <v>34</v>
      </c>
      <c r="U1" s="32">
        <f>Scan2VK!AY1</f>
        <v>37</v>
      </c>
      <c r="V1" s="32">
        <f>Scan2VK!AZ1</f>
        <v>40</v>
      </c>
      <c r="W1" s="32">
        <f>Scan2VK!BA1</f>
        <v>41</v>
      </c>
    </row>
    <row r="2" spans="1:23" x14ac:dyDescent="0.25">
      <c r="A2" s="56" t="str">
        <f>Scan2VK!B2</f>
        <v>T00</v>
      </c>
    </row>
    <row r="3" spans="1:23" x14ac:dyDescent="0.25">
      <c r="A3" s="56" t="str">
        <f>Scan2VK!B3</f>
        <v>T01</v>
      </c>
    </row>
    <row r="4" spans="1:23" x14ac:dyDescent="0.25">
      <c r="A4" s="56" t="str">
        <f>Scan2VK!B4</f>
        <v>T02</v>
      </c>
    </row>
    <row r="5" spans="1:23" x14ac:dyDescent="0.25">
      <c r="A5" s="56" t="str">
        <f>Scan2VK!B5</f>
        <v>T03</v>
      </c>
    </row>
    <row r="6" spans="1:23" x14ac:dyDescent="0.25">
      <c r="A6" s="56" t="str">
        <f>Scan2VK!B6</f>
        <v>T04</v>
      </c>
    </row>
    <row r="7" spans="1:23" x14ac:dyDescent="0.25">
      <c r="A7" s="56" t="str">
        <f>Scan2VK!B7</f>
        <v>T05</v>
      </c>
    </row>
    <row r="8" spans="1:23" x14ac:dyDescent="0.25">
      <c r="A8" s="56" t="str">
        <f>Scan2VK!B8</f>
        <v>T06</v>
      </c>
    </row>
    <row r="9" spans="1:23" x14ac:dyDescent="0.25">
      <c r="A9" s="56" t="str">
        <f>Scan2VK!B9</f>
        <v>T07</v>
      </c>
    </row>
    <row r="10" spans="1:23" x14ac:dyDescent="0.25">
      <c r="A10" s="56" t="str">
        <f>Scan2VK!B10</f>
        <v>T08</v>
      </c>
    </row>
    <row r="11" spans="1:23" x14ac:dyDescent="0.25">
      <c r="A11" s="56" t="str">
        <f>Scan2VK!B11</f>
        <v>T09</v>
      </c>
    </row>
    <row r="12" spans="1:23" x14ac:dyDescent="0.25">
      <c r="A12" s="56" t="str">
        <f>Scan2VK!B12</f>
        <v>T0A</v>
      </c>
    </row>
    <row r="13" spans="1:23" x14ac:dyDescent="0.25">
      <c r="A13" s="56" t="str">
        <f>Scan2VK!B13</f>
        <v>T0B</v>
      </c>
    </row>
    <row r="14" spans="1:23" x14ac:dyDescent="0.25">
      <c r="A14" s="56" t="str">
        <f>Scan2VK!B14</f>
        <v>T0C</v>
      </c>
    </row>
    <row r="15" spans="1:23" x14ac:dyDescent="0.25">
      <c r="A15" s="56" t="str">
        <f>Scan2VK!B15</f>
        <v>T0D</v>
      </c>
    </row>
    <row r="16" spans="1:23" x14ac:dyDescent="0.25">
      <c r="A16" s="56" t="str">
        <f>Scan2VK!B16</f>
        <v>T0E</v>
      </c>
    </row>
    <row r="17" spans="1:1" x14ac:dyDescent="0.25">
      <c r="A17" s="56" t="str">
        <f>Scan2VK!B17</f>
        <v>T0F</v>
      </c>
    </row>
    <row r="18" spans="1:1" x14ac:dyDescent="0.25">
      <c r="A18" s="56" t="str">
        <f>Scan2VK!B18</f>
        <v>T10</v>
      </c>
    </row>
    <row r="19" spans="1:1" x14ac:dyDescent="0.25">
      <c r="A19" s="56" t="str">
        <f>Scan2VK!B19</f>
        <v>T11</v>
      </c>
    </row>
    <row r="20" spans="1:1" x14ac:dyDescent="0.25">
      <c r="A20" s="56" t="str">
        <f>Scan2VK!B20</f>
        <v>T12</v>
      </c>
    </row>
    <row r="21" spans="1:1" x14ac:dyDescent="0.25">
      <c r="A21" s="56" t="str">
        <f>Scan2VK!B21</f>
        <v>T13</v>
      </c>
    </row>
    <row r="22" spans="1:1" x14ac:dyDescent="0.25">
      <c r="A22" s="56" t="str">
        <f>Scan2VK!B22</f>
        <v>T14</v>
      </c>
    </row>
    <row r="23" spans="1:1" x14ac:dyDescent="0.25">
      <c r="A23" s="56" t="str">
        <f>Scan2VK!B23</f>
        <v>T15</v>
      </c>
    </row>
    <row r="24" spans="1:1" x14ac:dyDescent="0.25">
      <c r="A24" s="56" t="str">
        <f>Scan2VK!B24</f>
        <v>T16</v>
      </c>
    </row>
    <row r="25" spans="1:1" x14ac:dyDescent="0.25">
      <c r="A25" s="56" t="str">
        <f>Scan2VK!B25</f>
        <v>T17</v>
      </c>
    </row>
    <row r="26" spans="1:1" x14ac:dyDescent="0.25">
      <c r="A26" s="56" t="str">
        <f>Scan2VK!B26</f>
        <v>T18</v>
      </c>
    </row>
    <row r="27" spans="1:1" x14ac:dyDescent="0.25">
      <c r="A27" s="56" t="str">
        <f>Scan2VK!B27</f>
        <v>T19</v>
      </c>
    </row>
    <row r="28" spans="1:1" x14ac:dyDescent="0.25">
      <c r="A28" s="56" t="str">
        <f>Scan2VK!B28</f>
        <v>T1A</v>
      </c>
    </row>
    <row r="29" spans="1:1" x14ac:dyDescent="0.25">
      <c r="A29" s="56" t="str">
        <f>Scan2VK!B29</f>
        <v>T1B</v>
      </c>
    </row>
    <row r="30" spans="1:1" x14ac:dyDescent="0.25">
      <c r="A30" s="56" t="str">
        <f>Scan2VK!B30</f>
        <v>T1C</v>
      </c>
    </row>
    <row r="31" spans="1:1" x14ac:dyDescent="0.25">
      <c r="A31" s="56" t="str">
        <f>Scan2VK!B31</f>
        <v>T1D</v>
      </c>
    </row>
    <row r="32" spans="1:1" x14ac:dyDescent="0.25">
      <c r="A32" s="56" t="str">
        <f>Scan2VK!B32</f>
        <v>T1E</v>
      </c>
    </row>
    <row r="33" spans="1:1" x14ac:dyDescent="0.25">
      <c r="A33" s="56" t="str">
        <f>Scan2VK!B33</f>
        <v>T1F</v>
      </c>
    </row>
    <row r="34" spans="1:1" x14ac:dyDescent="0.25">
      <c r="A34" s="56" t="str">
        <f>Scan2VK!B34</f>
        <v>T20</v>
      </c>
    </row>
    <row r="35" spans="1:1" x14ac:dyDescent="0.25">
      <c r="A35" s="56" t="str">
        <f>Scan2VK!B35</f>
        <v>T21</v>
      </c>
    </row>
    <row r="36" spans="1:1" x14ac:dyDescent="0.25">
      <c r="A36" s="56" t="str">
        <f>Scan2VK!B36</f>
        <v>T22</v>
      </c>
    </row>
    <row r="37" spans="1:1" x14ac:dyDescent="0.25">
      <c r="A37" s="56" t="str">
        <f>Scan2VK!B37</f>
        <v>T23</v>
      </c>
    </row>
    <row r="38" spans="1:1" x14ac:dyDescent="0.25">
      <c r="A38" s="56" t="str">
        <f>Scan2VK!B38</f>
        <v>T24</v>
      </c>
    </row>
    <row r="39" spans="1:1" x14ac:dyDescent="0.25">
      <c r="A39" s="56" t="str">
        <f>Scan2VK!B39</f>
        <v>T25</v>
      </c>
    </row>
    <row r="40" spans="1:1" x14ac:dyDescent="0.25">
      <c r="A40" s="56" t="str">
        <f>Scan2VK!B40</f>
        <v>T26</v>
      </c>
    </row>
    <row r="41" spans="1:1" x14ac:dyDescent="0.25">
      <c r="A41" s="56" t="str">
        <f>Scan2VK!B41</f>
        <v>T27</v>
      </c>
    </row>
    <row r="42" spans="1:1" x14ac:dyDescent="0.25">
      <c r="A42" s="56" t="str">
        <f>Scan2VK!B42</f>
        <v>T28</v>
      </c>
    </row>
    <row r="43" spans="1:1" x14ac:dyDescent="0.25">
      <c r="A43" s="56" t="str">
        <f>Scan2VK!B43</f>
        <v>T29</v>
      </c>
    </row>
    <row r="44" spans="1:1" x14ac:dyDescent="0.25">
      <c r="A44" s="56" t="str">
        <f>Scan2VK!B44</f>
        <v>T2A</v>
      </c>
    </row>
    <row r="45" spans="1:1" x14ac:dyDescent="0.25">
      <c r="A45" s="56" t="str">
        <f>Scan2VK!B45</f>
        <v>T2B</v>
      </c>
    </row>
    <row r="46" spans="1:1" x14ac:dyDescent="0.25">
      <c r="A46" s="56" t="str">
        <f>Scan2VK!B46</f>
        <v>T2C</v>
      </c>
    </row>
    <row r="47" spans="1:1" x14ac:dyDescent="0.25">
      <c r="A47" s="56" t="str">
        <f>Scan2VK!B47</f>
        <v>T2D</v>
      </c>
    </row>
    <row r="48" spans="1:1" x14ac:dyDescent="0.25">
      <c r="A48" s="56" t="str">
        <f>Scan2VK!B48</f>
        <v>T2E</v>
      </c>
    </row>
    <row r="49" spans="1:5" x14ac:dyDescent="0.25">
      <c r="A49" s="56" t="str">
        <f>Scan2VK!B49</f>
        <v>T2F</v>
      </c>
    </row>
    <row r="50" spans="1:5" x14ac:dyDescent="0.25">
      <c r="A50" s="56" t="str">
        <f>Scan2VK!B50</f>
        <v>T30</v>
      </c>
    </row>
    <row r="51" spans="1:5" x14ac:dyDescent="0.25">
      <c r="A51" s="56" t="str">
        <f>Scan2VK!B51</f>
        <v>T31</v>
      </c>
    </row>
    <row r="52" spans="1:5" x14ac:dyDescent="0.25">
      <c r="A52" s="56" t="str">
        <f>Scan2VK!B52</f>
        <v>T32</v>
      </c>
    </row>
    <row r="53" spans="1:5" x14ac:dyDescent="0.25">
      <c r="A53" s="56" t="str">
        <f>Scan2VK!B53</f>
        <v>T33</v>
      </c>
    </row>
    <row r="54" spans="1:5" x14ac:dyDescent="0.25">
      <c r="A54" s="56" t="str">
        <f>Scan2VK!B54</f>
        <v>T34</v>
      </c>
    </row>
    <row r="55" spans="1:5" x14ac:dyDescent="0.25">
      <c r="A55" s="56" t="str">
        <f>Scan2VK!B55</f>
        <v>T35</v>
      </c>
    </row>
    <row r="56" spans="1:5" x14ac:dyDescent="0.25">
      <c r="A56" s="56" t="str">
        <f>Scan2VK!B56</f>
        <v>T36</v>
      </c>
      <c r="E56" t="s">
        <v>855</v>
      </c>
    </row>
    <row r="57" spans="1:5" x14ac:dyDescent="0.25">
      <c r="A57" s="56" t="str">
        <f>Scan2VK!B57</f>
        <v>T37</v>
      </c>
      <c r="E57" t="s">
        <v>856</v>
      </c>
    </row>
    <row r="58" spans="1:5" x14ac:dyDescent="0.25">
      <c r="A58" s="56" t="str">
        <f>Scan2VK!B58</f>
        <v>T38</v>
      </c>
    </row>
    <row r="59" spans="1:5" x14ac:dyDescent="0.25">
      <c r="A59" s="56" t="str">
        <f>Scan2VK!B59</f>
        <v>T39</v>
      </c>
    </row>
    <row r="60" spans="1:5" x14ac:dyDescent="0.25">
      <c r="A60" s="56" t="str">
        <f>Scan2VK!B60</f>
        <v>T3A</v>
      </c>
    </row>
    <row r="61" spans="1:5" x14ac:dyDescent="0.25">
      <c r="A61" s="56" t="str">
        <f>Scan2VK!B61</f>
        <v>T3B</v>
      </c>
    </row>
    <row r="62" spans="1:5" x14ac:dyDescent="0.25">
      <c r="A62" s="56" t="str">
        <f>Scan2VK!B62</f>
        <v>T3C</v>
      </c>
    </row>
    <row r="63" spans="1:5" x14ac:dyDescent="0.25">
      <c r="A63" s="56" t="str">
        <f>Scan2VK!B63</f>
        <v>T3D</v>
      </c>
    </row>
    <row r="64" spans="1:5" x14ac:dyDescent="0.25">
      <c r="A64" s="56" t="str">
        <f>Scan2VK!B64</f>
        <v>T3E</v>
      </c>
    </row>
    <row r="65" spans="1:5" x14ac:dyDescent="0.25">
      <c r="A65" s="56" t="str">
        <f>Scan2VK!B65</f>
        <v>T3F</v>
      </c>
    </row>
    <row r="66" spans="1:5" x14ac:dyDescent="0.25">
      <c r="A66" s="56" t="str">
        <f>Scan2VK!B66</f>
        <v>T40</v>
      </c>
    </row>
    <row r="67" spans="1:5" x14ac:dyDescent="0.25">
      <c r="A67" s="56" t="str">
        <f>Scan2VK!B67</f>
        <v>T41</v>
      </c>
    </row>
    <row r="68" spans="1:5" x14ac:dyDescent="0.25">
      <c r="A68" s="56" t="str">
        <f>Scan2VK!B68</f>
        <v>T42</v>
      </c>
    </row>
    <row r="69" spans="1:5" x14ac:dyDescent="0.25">
      <c r="A69" s="56" t="str">
        <f>Scan2VK!B69</f>
        <v>T43</v>
      </c>
    </row>
    <row r="70" spans="1:5" x14ac:dyDescent="0.25">
      <c r="A70" s="56" t="str">
        <f>Scan2VK!B70</f>
        <v>T44</v>
      </c>
    </row>
    <row r="71" spans="1:5" x14ac:dyDescent="0.25">
      <c r="A71" s="56" t="str">
        <f>Scan2VK!B71</f>
        <v>T45</v>
      </c>
      <c r="E71" t="s">
        <v>857</v>
      </c>
    </row>
    <row r="72" spans="1:5" x14ac:dyDescent="0.25">
      <c r="A72" s="56" t="str">
        <f>Scan2VK!B72</f>
        <v>T46</v>
      </c>
      <c r="E72" t="s">
        <v>856</v>
      </c>
    </row>
    <row r="73" spans="1:5" x14ac:dyDescent="0.25">
      <c r="A73" s="56" t="str">
        <f>Scan2VK!B73</f>
        <v>T47</v>
      </c>
      <c r="E73" t="s">
        <v>858</v>
      </c>
    </row>
    <row r="74" spans="1:5" x14ac:dyDescent="0.25">
      <c r="A74" s="56" t="str">
        <f>Scan2VK!B74</f>
        <v>T48</v>
      </c>
      <c r="E74" t="s">
        <v>858</v>
      </c>
    </row>
    <row r="75" spans="1:5" x14ac:dyDescent="0.25">
      <c r="A75" s="56" t="str">
        <f>Scan2VK!B75</f>
        <v>T49</v>
      </c>
      <c r="E75" t="s">
        <v>858</v>
      </c>
    </row>
    <row r="76" spans="1:5" x14ac:dyDescent="0.25">
      <c r="A76" s="56" t="str">
        <f>Scan2VK!B76</f>
        <v>T4A</v>
      </c>
    </row>
    <row r="77" spans="1:5" x14ac:dyDescent="0.25">
      <c r="A77" s="56" t="str">
        <f>Scan2VK!B77</f>
        <v>T4B</v>
      </c>
      <c r="E77" t="s">
        <v>858</v>
      </c>
    </row>
    <row r="78" spans="1:5" x14ac:dyDescent="0.25">
      <c r="A78" s="56" t="str">
        <f>Scan2VK!B78</f>
        <v>T4C</v>
      </c>
      <c r="E78" t="s">
        <v>858</v>
      </c>
    </row>
    <row r="79" spans="1:5" x14ac:dyDescent="0.25">
      <c r="A79" s="56" t="str">
        <f>Scan2VK!B79</f>
        <v>T4D</v>
      </c>
      <c r="E79" t="s">
        <v>858</v>
      </c>
    </row>
    <row r="80" spans="1:5" x14ac:dyDescent="0.25">
      <c r="A80" s="56" t="str">
        <f>Scan2VK!B80</f>
        <v>T4E</v>
      </c>
    </row>
    <row r="81" spans="1:5" x14ac:dyDescent="0.25">
      <c r="A81" s="56" t="str">
        <f>Scan2VK!B81</f>
        <v>T4F</v>
      </c>
      <c r="E81" t="s">
        <v>858</v>
      </c>
    </row>
    <row r="82" spans="1:5" x14ac:dyDescent="0.25">
      <c r="A82" s="56" t="str">
        <f>Scan2VK!B82</f>
        <v>T50</v>
      </c>
      <c r="E82" t="s">
        <v>858</v>
      </c>
    </row>
    <row r="83" spans="1:5" x14ac:dyDescent="0.25">
      <c r="A83" s="56" t="str">
        <f>Scan2VK!B83</f>
        <v>T51</v>
      </c>
      <c r="E83" t="s">
        <v>858</v>
      </c>
    </row>
    <row r="84" spans="1:5" x14ac:dyDescent="0.25">
      <c r="A84" s="56" t="str">
        <f>Scan2VK!B84</f>
        <v>T52</v>
      </c>
      <c r="E84" t="s">
        <v>858</v>
      </c>
    </row>
    <row r="85" spans="1:5" x14ac:dyDescent="0.25">
      <c r="A85" s="56" t="str">
        <f>Scan2VK!B85</f>
        <v>T53</v>
      </c>
      <c r="E85" t="s">
        <v>858</v>
      </c>
    </row>
    <row r="86" spans="1:5" x14ac:dyDescent="0.25">
      <c r="A86" s="56" t="str">
        <f>Scan2VK!B86</f>
        <v>T54</v>
      </c>
    </row>
    <row r="87" spans="1:5" x14ac:dyDescent="0.25">
      <c r="A87" s="56" t="str">
        <f>Scan2VK!B87</f>
        <v>T55</v>
      </c>
    </row>
    <row r="88" spans="1:5" x14ac:dyDescent="0.25">
      <c r="A88" s="56" t="str">
        <f>Scan2VK!B88</f>
        <v>T56</v>
      </c>
    </row>
    <row r="89" spans="1:5" x14ac:dyDescent="0.25">
      <c r="A89" s="56" t="str">
        <f>Scan2VK!B89</f>
        <v>T57</v>
      </c>
    </row>
    <row r="90" spans="1:5" x14ac:dyDescent="0.25">
      <c r="A90" s="56" t="str">
        <f>Scan2VK!B90</f>
        <v>T58</v>
      </c>
    </row>
    <row r="91" spans="1:5" x14ac:dyDescent="0.25">
      <c r="A91" s="56" t="str">
        <f>Scan2VK!B91</f>
        <v>T59</v>
      </c>
    </row>
    <row r="92" spans="1:5" x14ac:dyDescent="0.25">
      <c r="A92" s="56" t="str">
        <f>Scan2VK!B92</f>
        <v>T5A</v>
      </c>
    </row>
    <row r="93" spans="1:5" x14ac:dyDescent="0.25">
      <c r="A93" s="56" t="str">
        <f>Scan2VK!B93</f>
        <v>T5B</v>
      </c>
    </row>
    <row r="94" spans="1:5" x14ac:dyDescent="0.25">
      <c r="A94" s="56" t="str">
        <f>Scan2VK!B94</f>
        <v>T5C</v>
      </c>
    </row>
    <row r="95" spans="1:5" x14ac:dyDescent="0.25">
      <c r="A95" s="56" t="str">
        <f>Scan2VK!B95</f>
        <v>T5D</v>
      </c>
    </row>
    <row r="96" spans="1:5" x14ac:dyDescent="0.25">
      <c r="A96" s="56" t="str">
        <f>Scan2VK!B96</f>
        <v>T5E</v>
      </c>
    </row>
    <row r="97" spans="1:1" x14ac:dyDescent="0.25">
      <c r="A97" s="56" t="str">
        <f>Scan2VK!B97</f>
        <v>T5F</v>
      </c>
    </row>
    <row r="98" spans="1:1" x14ac:dyDescent="0.25">
      <c r="A98" s="56" t="str">
        <f>Scan2VK!B98</f>
        <v>T60</v>
      </c>
    </row>
    <row r="99" spans="1:1" x14ac:dyDescent="0.25">
      <c r="A99" s="56" t="str">
        <f>Scan2VK!B99</f>
        <v>T61</v>
      </c>
    </row>
    <row r="100" spans="1:1" x14ac:dyDescent="0.25">
      <c r="A100" s="56" t="str">
        <f>Scan2VK!B100</f>
        <v>T62</v>
      </c>
    </row>
    <row r="101" spans="1:1" x14ac:dyDescent="0.25">
      <c r="A101" s="56" t="str">
        <f>Scan2VK!B101</f>
        <v>T63</v>
      </c>
    </row>
    <row r="102" spans="1:1" x14ac:dyDescent="0.25">
      <c r="A102" s="56" t="str">
        <f>Scan2VK!B102</f>
        <v>T64</v>
      </c>
    </row>
    <row r="103" spans="1:1" x14ac:dyDescent="0.25">
      <c r="A103" s="56" t="str">
        <f>Scan2VK!B103</f>
        <v>T65</v>
      </c>
    </row>
    <row r="104" spans="1:1" x14ac:dyDescent="0.25">
      <c r="A104" s="56" t="str">
        <f>Scan2VK!B104</f>
        <v>T66</v>
      </c>
    </row>
    <row r="105" spans="1:1" x14ac:dyDescent="0.25">
      <c r="A105" s="56" t="str">
        <f>Scan2VK!B105</f>
        <v>T67</v>
      </c>
    </row>
    <row r="106" spans="1:1" x14ac:dyDescent="0.25">
      <c r="A106" s="56" t="str">
        <f>Scan2VK!B106</f>
        <v>T68</v>
      </c>
    </row>
    <row r="107" spans="1:1" x14ac:dyDescent="0.25">
      <c r="A107" s="56" t="str">
        <f>Scan2VK!B107</f>
        <v>T69</v>
      </c>
    </row>
    <row r="108" spans="1:1" x14ac:dyDescent="0.25">
      <c r="A108" s="56" t="str">
        <f>Scan2VK!B108</f>
        <v>T6A</v>
      </c>
    </row>
    <row r="109" spans="1:1" x14ac:dyDescent="0.25">
      <c r="A109" s="56" t="str">
        <f>Scan2VK!B109</f>
        <v>T6B</v>
      </c>
    </row>
    <row r="110" spans="1:1" x14ac:dyDescent="0.25">
      <c r="A110" s="56" t="str">
        <f>Scan2VK!B110</f>
        <v>T6C</v>
      </c>
    </row>
    <row r="111" spans="1:1" x14ac:dyDescent="0.25">
      <c r="A111" s="56" t="str">
        <f>Scan2VK!B111</f>
        <v>T6D</v>
      </c>
    </row>
    <row r="112" spans="1:1" x14ac:dyDescent="0.25">
      <c r="A112" s="56" t="str">
        <f>Scan2VK!B112</f>
        <v>T6E</v>
      </c>
    </row>
    <row r="113" spans="1:1" x14ac:dyDescent="0.25">
      <c r="A113" s="56" t="str">
        <f>Scan2VK!B113</f>
        <v>T6F</v>
      </c>
    </row>
    <row r="114" spans="1:1" x14ac:dyDescent="0.25">
      <c r="A114" s="56" t="str">
        <f>Scan2VK!B114</f>
        <v>T70</v>
      </c>
    </row>
    <row r="115" spans="1:1" x14ac:dyDescent="0.25">
      <c r="A115" s="56" t="str">
        <f>Scan2VK!B115</f>
        <v>T71</v>
      </c>
    </row>
    <row r="116" spans="1:1" x14ac:dyDescent="0.25">
      <c r="A116" s="56" t="str">
        <f>Scan2VK!B116</f>
        <v>T72</v>
      </c>
    </row>
    <row r="117" spans="1:1" x14ac:dyDescent="0.25">
      <c r="A117" s="56" t="str">
        <f>Scan2VK!B117</f>
        <v>T73</v>
      </c>
    </row>
    <row r="118" spans="1:1" x14ac:dyDescent="0.25">
      <c r="A118" s="56" t="str">
        <f>Scan2VK!B118</f>
        <v>T74</v>
      </c>
    </row>
    <row r="119" spans="1:1" x14ac:dyDescent="0.25">
      <c r="A119" s="56" t="str">
        <f>Scan2VK!B119</f>
        <v>T75</v>
      </c>
    </row>
    <row r="120" spans="1:1" x14ac:dyDescent="0.25">
      <c r="A120" s="56" t="str">
        <f>Scan2VK!B120</f>
        <v>T76</v>
      </c>
    </row>
    <row r="121" spans="1:1" x14ac:dyDescent="0.25">
      <c r="A121" s="56" t="str">
        <f>Scan2VK!B121</f>
        <v>T77</v>
      </c>
    </row>
    <row r="122" spans="1:1" x14ac:dyDescent="0.25">
      <c r="A122" s="56" t="str">
        <f>Scan2VK!B122</f>
        <v>T78</v>
      </c>
    </row>
    <row r="123" spans="1:1" x14ac:dyDescent="0.25">
      <c r="A123" s="56" t="str">
        <f>Scan2VK!B123</f>
        <v>T79</v>
      </c>
    </row>
    <row r="124" spans="1:1" x14ac:dyDescent="0.25">
      <c r="A124" s="56" t="str">
        <f>Scan2VK!B124</f>
        <v>T7A</v>
      </c>
    </row>
    <row r="125" spans="1:1" x14ac:dyDescent="0.25">
      <c r="A125" s="56" t="str">
        <f>Scan2VK!B125</f>
        <v>T7B</v>
      </c>
    </row>
    <row r="126" spans="1:1" x14ac:dyDescent="0.25">
      <c r="A126" s="56" t="str">
        <f>Scan2VK!B126</f>
        <v>T7C</v>
      </c>
    </row>
    <row r="127" spans="1:1" x14ac:dyDescent="0.25">
      <c r="A127" s="56" t="str">
        <f>Scan2VK!B127</f>
        <v>T7D</v>
      </c>
    </row>
    <row r="128" spans="1:1" x14ac:dyDescent="0.25">
      <c r="A128" s="56" t="str">
        <f>Scan2VK!B128</f>
        <v>T7E</v>
      </c>
    </row>
    <row r="129" spans="1:5" ht="15.75" thickBot="1" x14ac:dyDescent="0.3">
      <c r="A129" s="56" t="str">
        <f>Scan2VK!B129</f>
        <v>T7F</v>
      </c>
    </row>
    <row r="130" spans="1:5" s="40" customFormat="1" ht="15.75" thickTop="1" x14ac:dyDescent="0.25">
      <c r="A130" s="57" t="str">
        <f>Scan2VK!B130</f>
        <v>X0F</v>
      </c>
      <c r="E130" s="40" t="s">
        <v>855</v>
      </c>
    </row>
    <row r="131" spans="1:5" s="15" customFormat="1" x14ac:dyDescent="0.25">
      <c r="A131" s="56" t="str">
        <f>Scan2VK!B131</f>
        <v>X10</v>
      </c>
      <c r="E131" s="15" t="s">
        <v>855</v>
      </c>
    </row>
    <row r="132" spans="1:5" s="15" customFormat="1" x14ac:dyDescent="0.25">
      <c r="A132" s="56" t="str">
        <f>Scan2VK!B132</f>
        <v>X19</v>
      </c>
      <c r="E132" s="15" t="s">
        <v>855</v>
      </c>
    </row>
    <row r="133" spans="1:5" s="15" customFormat="1" x14ac:dyDescent="0.25">
      <c r="A133" s="56" t="str">
        <f>Scan2VK!B133</f>
        <v>X1C</v>
      </c>
      <c r="E133" s="15" t="s">
        <v>855</v>
      </c>
    </row>
    <row r="134" spans="1:5" s="15" customFormat="1" x14ac:dyDescent="0.25">
      <c r="A134" s="56" t="str">
        <f>Scan2VK!B134</f>
        <v>X1D</v>
      </c>
      <c r="E134" s="15" t="s">
        <v>855</v>
      </c>
    </row>
    <row r="135" spans="1:5" s="15" customFormat="1" x14ac:dyDescent="0.25">
      <c r="A135" s="56" t="str">
        <f>Scan2VK!B135</f>
        <v>X20</v>
      </c>
      <c r="E135" s="15" t="s">
        <v>855</v>
      </c>
    </row>
    <row r="136" spans="1:5" s="15" customFormat="1" x14ac:dyDescent="0.25">
      <c r="A136" s="56" t="str">
        <f>Scan2VK!B136</f>
        <v>X21</v>
      </c>
      <c r="E136" s="15" t="s">
        <v>855</v>
      </c>
    </row>
    <row r="137" spans="1:5" s="15" customFormat="1" x14ac:dyDescent="0.25">
      <c r="A137" s="56" t="str">
        <f>Scan2VK!B137</f>
        <v>X22</v>
      </c>
      <c r="E137" s="15" t="s">
        <v>855</v>
      </c>
    </row>
    <row r="138" spans="1:5" s="15" customFormat="1" x14ac:dyDescent="0.25">
      <c r="A138" s="56" t="str">
        <f>Scan2VK!B138</f>
        <v>X24</v>
      </c>
      <c r="E138" s="15" t="s">
        <v>855</v>
      </c>
    </row>
    <row r="139" spans="1:5" s="15" customFormat="1" x14ac:dyDescent="0.25">
      <c r="A139" s="56" t="str">
        <f>Scan2VK!B139</f>
        <v>X2E</v>
      </c>
      <c r="E139" s="15" t="s">
        <v>855</v>
      </c>
    </row>
    <row r="140" spans="1:5" s="15" customFormat="1" x14ac:dyDescent="0.25">
      <c r="A140" s="56" t="str">
        <f>Scan2VK!B140</f>
        <v>X30</v>
      </c>
      <c r="E140" s="15" t="s">
        <v>855</v>
      </c>
    </row>
    <row r="141" spans="1:5" s="15" customFormat="1" x14ac:dyDescent="0.25">
      <c r="A141" s="56" t="str">
        <f>Scan2VK!B141</f>
        <v>X32</v>
      </c>
      <c r="E141" s="15" t="s">
        <v>855</v>
      </c>
    </row>
    <row r="142" spans="1:5" s="15" customFormat="1" x14ac:dyDescent="0.25">
      <c r="A142" s="56" t="str">
        <f>Scan2VK!B142</f>
        <v>X33</v>
      </c>
      <c r="E142" s="15" t="s">
        <v>855</v>
      </c>
    </row>
    <row r="143" spans="1:5" s="15" customFormat="1" x14ac:dyDescent="0.25">
      <c r="A143" s="56" t="str">
        <f>Scan2VK!B143</f>
        <v>X35</v>
      </c>
      <c r="E143" s="15" t="s">
        <v>855</v>
      </c>
    </row>
    <row r="144" spans="1:5" s="15" customFormat="1" x14ac:dyDescent="0.25">
      <c r="A144" s="56" t="str">
        <f>Scan2VK!B144</f>
        <v>X37</v>
      </c>
      <c r="E144" s="15" t="s">
        <v>855</v>
      </c>
    </row>
    <row r="145" spans="1:5" s="15" customFormat="1" x14ac:dyDescent="0.25">
      <c r="A145" s="56" t="str">
        <f>Scan2VK!B145</f>
        <v>X38</v>
      </c>
      <c r="E145" s="15" t="s">
        <v>855</v>
      </c>
    </row>
    <row r="146" spans="1:5" s="15" customFormat="1" x14ac:dyDescent="0.25">
      <c r="A146" s="56" t="str">
        <f>Scan2VK!B146</f>
        <v>X3D</v>
      </c>
      <c r="E146" s="15" t="s">
        <v>855</v>
      </c>
    </row>
    <row r="147" spans="1:5" s="15" customFormat="1" x14ac:dyDescent="0.25">
      <c r="A147" s="56" t="str">
        <f>Scan2VK!B147</f>
        <v>X3E</v>
      </c>
      <c r="E147" s="15" t="s">
        <v>855</v>
      </c>
    </row>
    <row r="148" spans="1:5" s="15" customFormat="1" x14ac:dyDescent="0.25">
      <c r="A148" s="56" t="str">
        <f>Scan2VK!B148</f>
        <v>X3F</v>
      </c>
      <c r="E148" s="15" t="s">
        <v>855</v>
      </c>
    </row>
    <row r="149" spans="1:5" s="15" customFormat="1" x14ac:dyDescent="0.25">
      <c r="A149" s="56" t="str">
        <f>Scan2VK!B149</f>
        <v>X40</v>
      </c>
      <c r="E149" s="15" t="s">
        <v>855</v>
      </c>
    </row>
    <row r="150" spans="1:5" s="15" customFormat="1" x14ac:dyDescent="0.25">
      <c r="A150" s="56" t="str">
        <f>Scan2VK!B150</f>
        <v>X41</v>
      </c>
      <c r="E150" s="15" t="s">
        <v>855</v>
      </c>
    </row>
    <row r="151" spans="1:5" s="15" customFormat="1" x14ac:dyDescent="0.25">
      <c r="A151" s="56" t="str">
        <f>Scan2VK!B151</f>
        <v>X42</v>
      </c>
      <c r="E151" s="15" t="s">
        <v>855</v>
      </c>
    </row>
    <row r="152" spans="1:5" s="15" customFormat="1" x14ac:dyDescent="0.25">
      <c r="A152" s="56" t="str">
        <f>Scan2VK!B152</f>
        <v>X43</v>
      </c>
      <c r="E152" s="15" t="s">
        <v>855</v>
      </c>
    </row>
    <row r="153" spans="1:5" s="15" customFormat="1" x14ac:dyDescent="0.25">
      <c r="A153" s="56" t="str">
        <f>Scan2VK!B153</f>
        <v>X44</v>
      </c>
      <c r="E153" s="15" t="s">
        <v>855</v>
      </c>
    </row>
    <row r="154" spans="1:5" s="15" customFormat="1" x14ac:dyDescent="0.25">
      <c r="A154" s="56" t="str">
        <f>Scan2VK!B154</f>
        <v>X46</v>
      </c>
      <c r="E154" s="15" t="s">
        <v>855</v>
      </c>
    </row>
    <row r="155" spans="1:5" s="15" customFormat="1" x14ac:dyDescent="0.25">
      <c r="A155" s="56" t="str">
        <f>Scan2VK!B155</f>
        <v>X47</v>
      </c>
      <c r="E155" s="15" t="s">
        <v>855</v>
      </c>
    </row>
    <row r="156" spans="1:5" s="15" customFormat="1" x14ac:dyDescent="0.25">
      <c r="A156" s="56" t="str">
        <f>Scan2VK!B156</f>
        <v>X48</v>
      </c>
      <c r="E156" s="15" t="s">
        <v>855</v>
      </c>
    </row>
    <row r="157" spans="1:5" s="15" customFormat="1" x14ac:dyDescent="0.25">
      <c r="A157" s="56" t="str">
        <f>Scan2VK!B157</f>
        <v>X49</v>
      </c>
      <c r="E157" s="15" t="s">
        <v>855</v>
      </c>
    </row>
    <row r="158" spans="1:5" s="15" customFormat="1" x14ac:dyDescent="0.25">
      <c r="A158" s="56" t="str">
        <f>Scan2VK!B158</f>
        <v>X4B</v>
      </c>
      <c r="E158" s="15" t="s">
        <v>855</v>
      </c>
    </row>
    <row r="159" spans="1:5" s="15" customFormat="1" x14ac:dyDescent="0.25">
      <c r="A159" s="56" t="str">
        <f>Scan2VK!B159</f>
        <v>X4D</v>
      </c>
      <c r="E159" s="15" t="s">
        <v>855</v>
      </c>
    </row>
    <row r="160" spans="1:5" s="15" customFormat="1" x14ac:dyDescent="0.25">
      <c r="A160" s="56" t="str">
        <f>Scan2VK!B160</f>
        <v>X4F</v>
      </c>
      <c r="E160" s="15" t="s">
        <v>855</v>
      </c>
    </row>
    <row r="161" spans="1:5" s="15" customFormat="1" x14ac:dyDescent="0.25">
      <c r="A161" s="56" t="str">
        <f>Scan2VK!B161</f>
        <v>X50</v>
      </c>
      <c r="E161" s="15" t="s">
        <v>855</v>
      </c>
    </row>
    <row r="162" spans="1:5" s="15" customFormat="1" x14ac:dyDescent="0.25">
      <c r="A162" s="56" t="str">
        <f>Scan2VK!B162</f>
        <v>X51</v>
      </c>
      <c r="E162" s="15" t="s">
        <v>855</v>
      </c>
    </row>
    <row r="163" spans="1:5" s="15" customFormat="1" x14ac:dyDescent="0.25">
      <c r="A163" s="56" t="str">
        <f>Scan2VK!B163</f>
        <v>X52</v>
      </c>
      <c r="E163" s="15" t="s">
        <v>855</v>
      </c>
    </row>
    <row r="164" spans="1:5" s="15" customFormat="1" x14ac:dyDescent="0.25">
      <c r="A164" s="56" t="str">
        <f>Scan2VK!B164</f>
        <v>X53</v>
      </c>
      <c r="E164" s="15" t="s">
        <v>855</v>
      </c>
    </row>
    <row r="165" spans="1:5" s="15" customFormat="1" x14ac:dyDescent="0.25">
      <c r="A165" s="56" t="str">
        <f>Scan2VK!B165</f>
        <v>X5B</v>
      </c>
      <c r="E165" s="15" t="s">
        <v>855</v>
      </c>
    </row>
    <row r="166" spans="1:5" s="15" customFormat="1" x14ac:dyDescent="0.25">
      <c r="A166" s="56" t="str">
        <f>Scan2VK!B166</f>
        <v>X5C</v>
      </c>
      <c r="E166" s="15" t="s">
        <v>855</v>
      </c>
    </row>
    <row r="167" spans="1:5" s="15" customFormat="1" x14ac:dyDescent="0.25">
      <c r="A167" s="56" t="str">
        <f>Scan2VK!B167</f>
        <v>X5D</v>
      </c>
      <c r="E167" s="15" t="s">
        <v>855</v>
      </c>
    </row>
    <row r="168" spans="1:5" s="15" customFormat="1" x14ac:dyDescent="0.25">
      <c r="A168" s="56" t="str">
        <f>Scan2VK!B168</f>
        <v>X5E</v>
      </c>
      <c r="E168" s="15" t="s">
        <v>855</v>
      </c>
    </row>
    <row r="169" spans="1:5" s="15" customFormat="1" x14ac:dyDescent="0.25">
      <c r="A169" s="56" t="str">
        <f>Scan2VK!B169</f>
        <v>X5F</v>
      </c>
      <c r="E169" s="15" t="s">
        <v>855</v>
      </c>
    </row>
    <row r="170" spans="1:5" s="15" customFormat="1" x14ac:dyDescent="0.25">
      <c r="A170" s="56" t="str">
        <f>Scan2VK!B170</f>
        <v>X60</v>
      </c>
      <c r="E170" s="15" t="s">
        <v>855</v>
      </c>
    </row>
    <row r="171" spans="1:5" s="15" customFormat="1" x14ac:dyDescent="0.25">
      <c r="A171" s="56" t="str">
        <f>Scan2VK!B171</f>
        <v>X61</v>
      </c>
      <c r="E171" s="15" t="s">
        <v>855</v>
      </c>
    </row>
    <row r="172" spans="1:5" s="15" customFormat="1" x14ac:dyDescent="0.25">
      <c r="A172" s="56" t="str">
        <f>Scan2VK!B172</f>
        <v>X62</v>
      </c>
      <c r="E172" s="15" t="s">
        <v>855</v>
      </c>
    </row>
    <row r="173" spans="1:5" s="15" customFormat="1" x14ac:dyDescent="0.25">
      <c r="A173" s="56" t="str">
        <f>Scan2VK!B173</f>
        <v>X63</v>
      </c>
      <c r="E173" s="15" t="s">
        <v>855</v>
      </c>
    </row>
    <row r="174" spans="1:5" s="15" customFormat="1" x14ac:dyDescent="0.25">
      <c r="A174" s="56" t="str">
        <f>Scan2VK!B174</f>
        <v>X64</v>
      </c>
      <c r="E174" s="15" t="s">
        <v>855</v>
      </c>
    </row>
    <row r="175" spans="1:5" s="15" customFormat="1" x14ac:dyDescent="0.25">
      <c r="A175" s="56" t="str">
        <f>Scan2VK!B175</f>
        <v>X65</v>
      </c>
      <c r="E175" s="15" t="s">
        <v>855</v>
      </c>
    </row>
    <row r="176" spans="1:5" s="15" customFormat="1" x14ac:dyDescent="0.25">
      <c r="A176" s="56" t="str">
        <f>Scan2VK!B176</f>
        <v>X66</v>
      </c>
      <c r="E176" s="15" t="s">
        <v>855</v>
      </c>
    </row>
    <row r="177" spans="1:5" s="15" customFormat="1" x14ac:dyDescent="0.25">
      <c r="A177" s="56" t="str">
        <f>Scan2VK!B177</f>
        <v>X67</v>
      </c>
      <c r="E177" s="15" t="s">
        <v>855</v>
      </c>
    </row>
    <row r="178" spans="1:5" s="15" customFormat="1" x14ac:dyDescent="0.25">
      <c r="A178" s="56" t="str">
        <f>Scan2VK!B178</f>
        <v>X68</v>
      </c>
      <c r="E178" s="15" t="s">
        <v>855</v>
      </c>
    </row>
    <row r="179" spans="1:5" s="15" customFormat="1" x14ac:dyDescent="0.25">
      <c r="A179" s="56" t="str">
        <f>Scan2VK!B179</f>
        <v>X69</v>
      </c>
      <c r="E179" s="15" t="s">
        <v>855</v>
      </c>
    </row>
    <row r="180" spans="1:5" s="15" customFormat="1" x14ac:dyDescent="0.25">
      <c r="A180" s="56" t="str">
        <f>Scan2VK!B180</f>
        <v>X6A</v>
      </c>
      <c r="E180" s="15" t="s">
        <v>855</v>
      </c>
    </row>
    <row r="181" spans="1:5" s="15" customFormat="1" x14ac:dyDescent="0.25">
      <c r="A181" s="56" t="str">
        <f>Scan2VK!B181</f>
        <v>X6B</v>
      </c>
      <c r="E181" s="15" t="s">
        <v>855</v>
      </c>
    </row>
    <row r="182" spans="1:5" s="15" customFormat="1" x14ac:dyDescent="0.25">
      <c r="A182" s="56" t="str">
        <f>Scan2VK!B182</f>
        <v>X6C</v>
      </c>
      <c r="E182" s="15" t="s">
        <v>855</v>
      </c>
    </row>
    <row r="183" spans="1:5" s="15" customFormat="1" x14ac:dyDescent="0.25">
      <c r="A183" s="56" t="str">
        <f>Scan2VK!B183</f>
        <v>X6D</v>
      </c>
      <c r="E183" s="15" t="s">
        <v>855</v>
      </c>
    </row>
    <row r="184" spans="1:5" s="15" customFormat="1" x14ac:dyDescent="0.25">
      <c r="A184" s="56" t="str">
        <f>Scan2VK!B184</f>
        <v>X71</v>
      </c>
      <c r="E184" s="15" t="s">
        <v>855</v>
      </c>
    </row>
    <row r="185" spans="1:5" s="15" customFormat="1" x14ac:dyDescent="0.25">
      <c r="A185" s="56" t="str">
        <f>Scan2VK!B185</f>
        <v>X74</v>
      </c>
      <c r="E185" s="15" t="s">
        <v>855</v>
      </c>
    </row>
    <row r="186" spans="1:5" s="15" customFormat="1" x14ac:dyDescent="0.25">
      <c r="A186" s="56" t="str">
        <f>Scan2VK!B186</f>
        <v>X75</v>
      </c>
      <c r="E186" s="15" t="s">
        <v>855</v>
      </c>
    </row>
    <row r="187" spans="1:5" s="15" customFormat="1" x14ac:dyDescent="0.25">
      <c r="A187" s="56" t="str">
        <f>Scan2VK!B187</f>
        <v>X76</v>
      </c>
      <c r="E187" s="15" t="s">
        <v>855</v>
      </c>
    </row>
    <row r="188" spans="1:5" s="15" customFormat="1" x14ac:dyDescent="0.25">
      <c r="A188" s="56" t="str">
        <f>Scan2VK!B188</f>
        <v>X77</v>
      </c>
      <c r="E188" s="15" t="s">
        <v>855</v>
      </c>
    </row>
    <row r="189" spans="1:5" s="15" customFormat="1" x14ac:dyDescent="0.25">
      <c r="A189" s="56" t="str">
        <f>Scan2VK!B189</f>
        <v>X78</v>
      </c>
      <c r="E189" s="15" t="s">
        <v>855</v>
      </c>
    </row>
    <row r="190" spans="1:5" s="15" customFormat="1" x14ac:dyDescent="0.25">
      <c r="A190" s="56" t="str">
        <f>Scan2VK!B190</f>
        <v>X79</v>
      </c>
      <c r="E190" s="15" t="s">
        <v>855</v>
      </c>
    </row>
    <row r="191" spans="1:5" s="15" customFormat="1" x14ac:dyDescent="0.25">
      <c r="A191" s="56" t="str">
        <f>Scan2VK!B191</f>
        <v>X7A</v>
      </c>
      <c r="E191" s="15" t="s">
        <v>855</v>
      </c>
    </row>
    <row r="192" spans="1:5" s="15" customFormat="1" x14ac:dyDescent="0.25">
      <c r="A192" s="56" t="str">
        <f>Scan2VK!B192</f>
        <v>X7B</v>
      </c>
      <c r="E192" s="15" t="s">
        <v>855</v>
      </c>
    </row>
    <row r="193" spans="1:5" s="15" customFormat="1" x14ac:dyDescent="0.25">
      <c r="A193" s="56" t="str">
        <f>Scan2VK!B193</f>
        <v>XF1</v>
      </c>
      <c r="E193" s="15" t="s">
        <v>855</v>
      </c>
    </row>
    <row r="194" spans="1:5" s="4" customFormat="1" ht="15.75" thickBot="1" x14ac:dyDescent="0.3">
      <c r="A194" s="58" t="str">
        <f>Scan2VK!B194</f>
        <v>XF2</v>
      </c>
      <c r="E194" s="4" t="s">
        <v>855</v>
      </c>
    </row>
    <row r="195" spans="1:5" ht="15.75" thickTop="1" x14ac:dyDescent="0.25">
      <c r="A195" s="56" t="str">
        <f>Scan2VK!B195</f>
        <v>Y1D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Scan2VK</vt:lpstr>
      <vt:lpstr>VKnames</vt:lpstr>
      <vt:lpstr>Scan2VKFlags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Záruba</dc:creator>
  <cp:lastModifiedBy>Jan Záruba</cp:lastModifiedBy>
  <dcterms:created xsi:type="dcterms:W3CDTF">2013-06-15T17:53:28Z</dcterms:created>
  <dcterms:modified xsi:type="dcterms:W3CDTF">2013-06-16T10:52:08Z</dcterms:modified>
</cp:coreProperties>
</file>