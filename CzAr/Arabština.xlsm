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15" yWindow="-15" windowWidth="14400" windowHeight="12750" activeTab="3"/>
  </bookViews>
  <sheets>
    <sheet name="AR" sheetId="1" r:id="rId1"/>
    <sheet name="1.návrh" sheetId="2" state="hidden" r:id="rId2"/>
    <sheet name="Arabic Win" sheetId="3" r:id="rId3"/>
    <sheet name="CzAr" sheetId="4" r:id="rId4"/>
    <sheet name="Forms" sheetId="5" r:id="rId5"/>
  </sheets>
  <functionGroups/>
  <definedNames>
    <definedName name="_xlnm.Print_Area" localSheetId="3">CzAr!$A$1:$AE$65</definedName>
  </definedNames>
  <calcPr calcId="125725"/>
</workbook>
</file>

<file path=xl/calcChain.xml><?xml version="1.0" encoding="utf-8"?>
<calcChain xmlns="http://schemas.openxmlformats.org/spreadsheetml/2006/main">
  <c r="L4" i="5"/>
  <c r="M4"/>
  <c r="N4"/>
  <c r="O4"/>
  <c r="P4"/>
  <c r="Q4"/>
  <c r="R4"/>
  <c r="S4"/>
  <c r="L5"/>
  <c r="M5"/>
  <c r="N5"/>
  <c r="O5"/>
  <c r="P5"/>
  <c r="Q5"/>
  <c r="R5"/>
  <c r="S5"/>
  <c r="L6"/>
  <c r="M6"/>
  <c r="N6"/>
  <c r="O6"/>
  <c r="P6"/>
  <c r="Q6"/>
  <c r="R6"/>
  <c r="S6"/>
  <c r="L7"/>
  <c r="M7"/>
  <c r="N7"/>
  <c r="O7"/>
  <c r="P7"/>
  <c r="Q7"/>
  <c r="R7"/>
  <c r="S7"/>
  <c r="L8"/>
  <c r="M8"/>
  <c r="N8"/>
  <c r="O8"/>
  <c r="P8"/>
  <c r="Q8"/>
  <c r="R8"/>
  <c r="S8"/>
  <c r="L9"/>
  <c r="M9"/>
  <c r="N9"/>
  <c r="O9"/>
  <c r="P9"/>
  <c r="Q9"/>
  <c r="R9"/>
  <c r="S9"/>
  <c r="L10"/>
  <c r="M10"/>
  <c r="N10"/>
  <c r="O10"/>
  <c r="P10"/>
  <c r="Q10"/>
  <c r="R10"/>
  <c r="S10"/>
  <c r="L11"/>
  <c r="M11"/>
  <c r="N11"/>
  <c r="O11"/>
  <c r="P11"/>
  <c r="Q11"/>
  <c r="R11"/>
  <c r="S11"/>
  <c r="L12"/>
  <c r="M12"/>
  <c r="N12"/>
  <c r="O12"/>
  <c r="P12"/>
  <c r="Q12"/>
  <c r="R12"/>
  <c r="S12"/>
  <c r="L13"/>
  <c r="M13"/>
  <c r="N13"/>
  <c r="O13"/>
  <c r="P13"/>
  <c r="Q13"/>
  <c r="R13"/>
  <c r="S13"/>
  <c r="L14"/>
  <c r="M14"/>
  <c r="N14"/>
  <c r="O14"/>
  <c r="P14"/>
  <c r="Q14"/>
  <c r="R14"/>
  <c r="S14"/>
  <c r="L15"/>
  <c r="M15"/>
  <c r="N15"/>
  <c r="O15"/>
  <c r="P15"/>
  <c r="Q15"/>
  <c r="R15"/>
  <c r="S15"/>
  <c r="L16"/>
  <c r="M16"/>
  <c r="N16"/>
  <c r="O16"/>
  <c r="P16"/>
  <c r="Q16"/>
  <c r="R16"/>
  <c r="S16"/>
  <c r="L17"/>
  <c r="M17"/>
  <c r="N17"/>
  <c r="O17"/>
  <c r="P17"/>
  <c r="Q17"/>
  <c r="R17"/>
  <c r="S17"/>
  <c r="L18"/>
  <c r="M18"/>
  <c r="N18"/>
  <c r="O18"/>
  <c r="P18"/>
  <c r="Q18"/>
  <c r="R18"/>
  <c r="S18"/>
  <c r="L19"/>
  <c r="M19"/>
  <c r="N19"/>
  <c r="O19"/>
  <c r="P19"/>
  <c r="Q19"/>
  <c r="R19"/>
  <c r="S19"/>
  <c r="L20"/>
  <c r="M20"/>
  <c r="N20"/>
  <c r="O20"/>
  <c r="P20"/>
  <c r="Q20"/>
  <c r="R20"/>
  <c r="S20"/>
  <c r="L21"/>
  <c r="M21"/>
  <c r="N21"/>
  <c r="O21"/>
  <c r="P21"/>
  <c r="Q21"/>
  <c r="R21"/>
  <c r="S21"/>
  <c r="L22"/>
  <c r="M22"/>
  <c r="N22"/>
  <c r="O22"/>
  <c r="P22"/>
  <c r="Q22"/>
  <c r="R22"/>
  <c r="S22"/>
  <c r="L23"/>
  <c r="M23"/>
  <c r="N23"/>
  <c r="O23"/>
  <c r="P23"/>
  <c r="Q23"/>
  <c r="R23"/>
  <c r="S23"/>
  <c r="L24"/>
  <c r="M24"/>
  <c r="N24"/>
  <c r="O24"/>
  <c r="P24"/>
  <c r="Q24"/>
  <c r="R24"/>
  <c r="S24"/>
  <c r="L25"/>
  <c r="M25"/>
  <c r="N25"/>
  <c r="O25"/>
  <c r="P25"/>
  <c r="Q25"/>
  <c r="R25"/>
  <c r="S25"/>
  <c r="L26"/>
  <c r="M26"/>
  <c r="N26"/>
  <c r="O26"/>
  <c r="P26"/>
  <c r="Q26"/>
  <c r="R26"/>
  <c r="S26"/>
  <c r="L27"/>
  <c r="M27"/>
  <c r="N27"/>
  <c r="O27"/>
  <c r="P27"/>
  <c r="Q27"/>
  <c r="R27"/>
  <c r="S27"/>
  <c r="L28"/>
  <c r="M28"/>
  <c r="N28"/>
  <c r="O28"/>
  <c r="P28"/>
  <c r="Q28"/>
  <c r="R28"/>
  <c r="S28"/>
  <c r="L29"/>
  <c r="M29"/>
  <c r="N29"/>
  <c r="O29"/>
  <c r="P29"/>
  <c r="Q29"/>
  <c r="R29"/>
  <c r="S29"/>
  <c r="L30"/>
  <c r="M30"/>
  <c r="N30"/>
  <c r="O30"/>
  <c r="P30"/>
  <c r="Q30"/>
  <c r="R30"/>
  <c r="S30"/>
  <c r="L31"/>
  <c r="M31"/>
  <c r="N31"/>
  <c r="O31"/>
  <c r="P31"/>
  <c r="Q31"/>
  <c r="R31"/>
  <c r="S31"/>
  <c r="L32"/>
  <c r="M32"/>
  <c r="N32"/>
  <c r="O32"/>
  <c r="P32"/>
  <c r="Q32"/>
  <c r="R32"/>
  <c r="S32"/>
  <c r="L33"/>
  <c r="M33"/>
  <c r="N33"/>
  <c r="O33"/>
  <c r="P33"/>
  <c r="Q33"/>
  <c r="R33"/>
  <c r="S33"/>
  <c r="L34"/>
  <c r="M34"/>
  <c r="N34"/>
  <c r="O34"/>
  <c r="P34"/>
  <c r="Q34"/>
  <c r="R34"/>
  <c r="S34"/>
  <c r="L35"/>
  <c r="M35"/>
  <c r="N35"/>
  <c r="O35"/>
  <c r="P35"/>
  <c r="Q35"/>
  <c r="R35"/>
  <c r="S35"/>
  <c r="L36"/>
  <c r="M36"/>
  <c r="N36"/>
  <c r="O36"/>
  <c r="P36"/>
  <c r="Q36"/>
  <c r="R36"/>
  <c r="S36"/>
  <c r="L37"/>
  <c r="M37"/>
  <c r="N37"/>
  <c r="O37"/>
  <c r="P37"/>
  <c r="Q37"/>
  <c r="R37"/>
  <c r="S37"/>
  <c r="L38"/>
  <c r="M38"/>
  <c r="N38"/>
  <c r="O38"/>
  <c r="P38"/>
  <c r="Q38"/>
  <c r="R38"/>
  <c r="S38"/>
  <c r="L39"/>
  <c r="M39"/>
  <c r="N39"/>
  <c r="O39"/>
  <c r="P39"/>
  <c r="Q39"/>
  <c r="R39"/>
  <c r="S39"/>
  <c r="L40"/>
  <c r="M40"/>
  <c r="N40"/>
  <c r="O40"/>
  <c r="P40"/>
  <c r="Q40"/>
  <c r="R40"/>
  <c r="S40"/>
  <c r="L41"/>
  <c r="M41"/>
  <c r="N41"/>
  <c r="O41"/>
  <c r="P41"/>
  <c r="Q41"/>
  <c r="R41"/>
  <c r="S41"/>
  <c r="L42"/>
  <c r="M42"/>
  <c r="N42"/>
  <c r="O42"/>
  <c r="P42"/>
  <c r="Q42"/>
  <c r="R42"/>
  <c r="S42"/>
  <c r="L43"/>
  <c r="M43"/>
  <c r="N43"/>
  <c r="O43"/>
  <c r="P43"/>
  <c r="Q43"/>
  <c r="R43"/>
  <c r="S43"/>
  <c r="L44"/>
  <c r="M44"/>
  <c r="N44"/>
  <c r="O44"/>
  <c r="P44"/>
  <c r="Q44"/>
  <c r="R44"/>
  <c r="S44"/>
  <c r="L45"/>
  <c r="M45"/>
  <c r="N45"/>
  <c r="O45"/>
  <c r="P45"/>
  <c r="Q45"/>
  <c r="R45"/>
  <c r="S45"/>
  <c r="L46"/>
  <c r="M46"/>
  <c r="N46"/>
  <c r="O46"/>
  <c r="P46"/>
  <c r="Q46"/>
  <c r="R46"/>
  <c r="S46"/>
  <c r="L47"/>
  <c r="M47"/>
  <c r="N47"/>
  <c r="O47"/>
  <c r="P47"/>
  <c r="Q47"/>
  <c r="R47"/>
  <c r="S47"/>
  <c r="L48"/>
  <c r="M48"/>
  <c r="N48"/>
  <c r="O48"/>
  <c r="P48"/>
  <c r="Q48"/>
  <c r="R48"/>
  <c r="S48"/>
  <c r="L49"/>
  <c r="M49"/>
  <c r="N49"/>
  <c r="O49"/>
  <c r="P49"/>
  <c r="Q49"/>
  <c r="R49"/>
  <c r="S49"/>
  <c r="L50"/>
  <c r="M50"/>
  <c r="N50"/>
  <c r="O50"/>
  <c r="P50"/>
  <c r="Q50"/>
  <c r="R50"/>
  <c r="S50"/>
  <c r="L51"/>
  <c r="M51"/>
  <c r="N51"/>
  <c r="O51"/>
  <c r="P51"/>
  <c r="Q51"/>
  <c r="R51"/>
  <c r="S51"/>
  <c r="L52"/>
  <c r="M52"/>
  <c r="N52"/>
  <c r="O52"/>
  <c r="P52"/>
  <c r="Q52"/>
  <c r="R52"/>
  <c r="S52"/>
  <c r="L53"/>
  <c r="M53"/>
  <c r="N53"/>
  <c r="O53"/>
  <c r="P53"/>
  <c r="Q53"/>
  <c r="R53"/>
  <c r="S53"/>
  <c r="L54"/>
  <c r="M54"/>
  <c r="N54"/>
  <c r="O54"/>
  <c r="P54"/>
  <c r="Q54"/>
  <c r="R54"/>
  <c r="S54"/>
  <c r="L55"/>
  <c r="M55"/>
  <c r="N55"/>
  <c r="O55"/>
  <c r="P55"/>
  <c r="Q55"/>
  <c r="R55"/>
  <c r="S55"/>
  <c r="L56"/>
  <c r="M56"/>
  <c r="N56"/>
  <c r="O56"/>
  <c r="P56"/>
  <c r="Q56"/>
  <c r="R56"/>
  <c r="S56"/>
  <c r="L57"/>
  <c r="M57"/>
  <c r="N57"/>
  <c r="O57"/>
  <c r="P57"/>
  <c r="Q57"/>
  <c r="R57"/>
  <c r="S57"/>
  <c r="L58"/>
  <c r="M58"/>
  <c r="N58"/>
  <c r="O58"/>
  <c r="P58"/>
  <c r="Q58"/>
  <c r="R58"/>
  <c r="S58"/>
  <c r="L59"/>
  <c r="M59"/>
  <c r="N59"/>
  <c r="O59"/>
  <c r="P59"/>
  <c r="Q59"/>
  <c r="R59"/>
  <c r="S59"/>
  <c r="L60"/>
  <c r="M60"/>
  <c r="N60"/>
  <c r="O60"/>
  <c r="P60"/>
  <c r="Q60"/>
  <c r="R60"/>
  <c r="S60"/>
  <c r="L61"/>
  <c r="M61"/>
  <c r="N61"/>
  <c r="O61"/>
  <c r="P61"/>
  <c r="Q61"/>
  <c r="R61"/>
  <c r="S61"/>
  <c r="L62"/>
  <c r="M62"/>
  <c r="N62"/>
  <c r="O62"/>
  <c r="P62"/>
  <c r="Q62"/>
  <c r="R62"/>
  <c r="S62"/>
  <c r="L63"/>
  <c r="M63"/>
  <c r="N63"/>
  <c r="O63"/>
  <c r="P63"/>
  <c r="Q63"/>
  <c r="R63"/>
  <c r="S63"/>
  <c r="L64"/>
  <c r="M64"/>
  <c r="N64"/>
  <c r="O64"/>
  <c r="P64"/>
  <c r="Q64"/>
  <c r="R64"/>
  <c r="S64"/>
  <c r="L65"/>
  <c r="M65"/>
  <c r="N65"/>
  <c r="O65"/>
  <c r="P65"/>
  <c r="Q65"/>
  <c r="R65"/>
  <c r="S65"/>
  <c r="L66"/>
  <c r="M66"/>
  <c r="N66"/>
  <c r="O66"/>
  <c r="P66"/>
  <c r="Q66"/>
  <c r="R66"/>
  <c r="S66"/>
  <c r="L67"/>
  <c r="M67"/>
  <c r="N67"/>
  <c r="O67"/>
  <c r="P67"/>
  <c r="Q67"/>
  <c r="R67"/>
  <c r="S67"/>
  <c r="L68"/>
  <c r="M68"/>
  <c r="N68"/>
  <c r="O68"/>
  <c r="P68"/>
  <c r="Q68"/>
  <c r="R68"/>
  <c r="S68"/>
  <c r="L69"/>
  <c r="M69"/>
  <c r="N69"/>
  <c r="O69"/>
  <c r="P69"/>
  <c r="Q69"/>
  <c r="R69"/>
  <c r="S69"/>
  <c r="L70"/>
  <c r="M70"/>
  <c r="N70"/>
  <c r="O70"/>
  <c r="P70"/>
  <c r="Q70"/>
  <c r="R70"/>
  <c r="S70"/>
  <c r="L71"/>
  <c r="M71"/>
  <c r="N71"/>
  <c r="O71"/>
  <c r="P71"/>
  <c r="Q71"/>
  <c r="R71"/>
  <c r="S71"/>
  <c r="L72"/>
  <c r="M72"/>
  <c r="N72"/>
  <c r="O72"/>
  <c r="P72"/>
  <c r="Q72"/>
  <c r="R72"/>
  <c r="S72"/>
  <c r="L73"/>
  <c r="M73"/>
  <c r="N73"/>
  <c r="O73"/>
  <c r="P73"/>
  <c r="Q73"/>
  <c r="R73"/>
  <c r="S73"/>
  <c r="L74"/>
  <c r="M74"/>
  <c r="N74"/>
  <c r="O74"/>
  <c r="P74"/>
  <c r="Q74"/>
  <c r="R74"/>
  <c r="S74"/>
  <c r="L75"/>
  <c r="M75"/>
  <c r="N75"/>
  <c r="O75"/>
  <c r="P75"/>
  <c r="Q75"/>
  <c r="R75"/>
  <c r="S75"/>
  <c r="L76"/>
  <c r="M76"/>
  <c r="N76"/>
  <c r="O76"/>
  <c r="P76"/>
  <c r="Q76"/>
  <c r="R76"/>
  <c r="S76"/>
  <c r="L77"/>
  <c r="M77"/>
  <c r="N77"/>
  <c r="O77"/>
  <c r="P77"/>
  <c r="Q77"/>
  <c r="R77"/>
  <c r="S77"/>
  <c r="L78"/>
  <c r="M78"/>
  <c r="N78"/>
  <c r="O78"/>
  <c r="P78"/>
  <c r="Q78"/>
  <c r="R78"/>
  <c r="S78"/>
  <c r="L79"/>
  <c r="M79"/>
  <c r="N79"/>
  <c r="O79"/>
  <c r="P79"/>
  <c r="Q79"/>
  <c r="R79"/>
  <c r="S79"/>
  <c r="L80"/>
  <c r="M80"/>
  <c r="N80"/>
  <c r="O80"/>
  <c r="P80"/>
  <c r="Q80"/>
  <c r="R80"/>
  <c r="S80"/>
  <c r="L81"/>
  <c r="M81"/>
  <c r="N81"/>
  <c r="O81"/>
  <c r="P81"/>
  <c r="Q81"/>
  <c r="R81"/>
  <c r="S81"/>
  <c r="L82"/>
  <c r="M82"/>
  <c r="N82"/>
  <c r="O82"/>
  <c r="P82"/>
  <c r="Q82"/>
  <c r="R82"/>
  <c r="S82"/>
  <c r="L83"/>
  <c r="M83"/>
  <c r="N83"/>
  <c r="O83"/>
  <c r="P83"/>
  <c r="Q83"/>
  <c r="R83"/>
  <c r="S83"/>
  <c r="L84"/>
  <c r="M84"/>
  <c r="N84"/>
  <c r="O84"/>
  <c r="P84"/>
  <c r="Q84"/>
  <c r="R84"/>
  <c r="S84"/>
  <c r="L85"/>
  <c r="M85"/>
  <c r="N85"/>
  <c r="O85"/>
  <c r="P85"/>
  <c r="Q85"/>
  <c r="R85"/>
  <c r="S85"/>
  <c r="L86"/>
  <c r="M86"/>
  <c r="N86"/>
  <c r="O86"/>
  <c r="P86"/>
  <c r="Q86"/>
  <c r="R86"/>
  <c r="S86"/>
  <c r="S3"/>
  <c r="R3"/>
  <c r="Q3"/>
  <c r="P3"/>
  <c r="O3"/>
  <c r="N3"/>
  <c r="M3"/>
  <c r="L3"/>
  <c r="I65"/>
  <c r="J65"/>
  <c r="I66"/>
  <c r="J66"/>
  <c r="I67"/>
  <c r="J67"/>
  <c r="D56"/>
  <c r="E56"/>
  <c r="D29"/>
  <c r="E29"/>
  <c r="I28"/>
  <c r="J28"/>
  <c r="D4"/>
  <c r="E4"/>
  <c r="F4"/>
  <c r="D5"/>
  <c r="E5"/>
  <c r="F5"/>
  <c r="D6"/>
  <c r="E6"/>
  <c r="F6"/>
  <c r="D7"/>
  <c r="E7"/>
  <c r="F7"/>
  <c r="D8"/>
  <c r="E8"/>
  <c r="F8"/>
  <c r="D9"/>
  <c r="E9"/>
  <c r="F9"/>
  <c r="D10"/>
  <c r="E10"/>
  <c r="F10"/>
  <c r="D11"/>
  <c r="E11"/>
  <c r="F11"/>
  <c r="D12"/>
  <c r="E12"/>
  <c r="F12"/>
  <c r="D13"/>
  <c r="E13"/>
  <c r="F13"/>
  <c r="D14"/>
  <c r="E14"/>
  <c r="F14"/>
  <c r="D15"/>
  <c r="E15"/>
  <c r="F15"/>
  <c r="F16"/>
  <c r="I16"/>
  <c r="J16"/>
  <c r="F17"/>
  <c r="I17"/>
  <c r="J17"/>
  <c r="F18"/>
  <c r="I18"/>
  <c r="J18"/>
  <c r="F19"/>
  <c r="I19"/>
  <c r="J19"/>
  <c r="F20"/>
  <c r="I20"/>
  <c r="J20"/>
  <c r="D21"/>
  <c r="E21"/>
  <c r="F21"/>
  <c r="D22"/>
  <c r="E22"/>
  <c r="F22"/>
  <c r="D23"/>
  <c r="E23"/>
  <c r="F23"/>
  <c r="D24"/>
  <c r="E24"/>
  <c r="F24"/>
  <c r="D25"/>
  <c r="E25"/>
  <c r="F25"/>
  <c r="D26"/>
  <c r="E26"/>
  <c r="F26"/>
  <c r="D27"/>
  <c r="E27"/>
  <c r="F27"/>
  <c r="F28"/>
  <c r="F29"/>
  <c r="D30"/>
  <c r="E30"/>
  <c r="F30"/>
  <c r="F31"/>
  <c r="I31"/>
  <c r="J31"/>
  <c r="D32"/>
  <c r="E32"/>
  <c r="F32"/>
  <c r="D33"/>
  <c r="E33"/>
  <c r="F33"/>
  <c r="F34"/>
  <c r="I34"/>
  <c r="J34"/>
  <c r="F35"/>
  <c r="I35"/>
  <c r="J35"/>
  <c r="F36"/>
  <c r="I36"/>
  <c r="J36"/>
  <c r="F37"/>
  <c r="I37"/>
  <c r="J37"/>
  <c r="F38"/>
  <c r="I38"/>
  <c r="J38"/>
  <c r="F39"/>
  <c r="I39"/>
  <c r="J39"/>
  <c r="D40"/>
  <c r="E40"/>
  <c r="F40"/>
  <c r="D41"/>
  <c r="E41"/>
  <c r="F41"/>
  <c r="D42"/>
  <c r="E42"/>
  <c r="F42"/>
  <c r="I43"/>
  <c r="J43"/>
  <c r="K43"/>
  <c r="I44"/>
  <c r="J44"/>
  <c r="K44"/>
  <c r="I45"/>
  <c r="J45"/>
  <c r="K45"/>
  <c r="I46"/>
  <c r="K46"/>
  <c r="I47"/>
  <c r="K47"/>
  <c r="I48"/>
  <c r="K48"/>
  <c r="I49"/>
  <c r="K49"/>
  <c r="I50"/>
  <c r="K50"/>
  <c r="I51"/>
  <c r="J51"/>
  <c r="K51"/>
  <c r="F52"/>
  <c r="I52"/>
  <c r="J52"/>
  <c r="F53"/>
  <c r="I53"/>
  <c r="J53"/>
  <c r="F54"/>
  <c r="I54"/>
  <c r="J54"/>
  <c r="F55"/>
  <c r="I55"/>
  <c r="J55"/>
  <c r="F56"/>
  <c r="F57"/>
  <c r="I57"/>
  <c r="J57"/>
  <c r="D58"/>
  <c r="E58"/>
  <c r="F58"/>
  <c r="F59"/>
  <c r="I59"/>
  <c r="J59"/>
  <c r="D60"/>
  <c r="E60"/>
  <c r="F60"/>
  <c r="D61"/>
  <c r="E61"/>
  <c r="F61"/>
  <c r="D62"/>
  <c r="E62"/>
  <c r="F62"/>
  <c r="D63"/>
  <c r="E63"/>
  <c r="F63"/>
  <c r="D64"/>
  <c r="E64"/>
  <c r="F64"/>
  <c r="F65"/>
  <c r="F66"/>
  <c r="F67"/>
  <c r="F68"/>
  <c r="I68"/>
  <c r="J68"/>
  <c r="D69"/>
  <c r="E69"/>
  <c r="F69"/>
  <c r="D70"/>
  <c r="E70"/>
  <c r="F70"/>
  <c r="D71"/>
  <c r="E71"/>
  <c r="F71"/>
  <c r="D72"/>
  <c r="E72"/>
  <c r="F72"/>
  <c r="D73"/>
  <c r="E73"/>
  <c r="F73"/>
  <c r="D74"/>
  <c r="E74"/>
  <c r="F74"/>
  <c r="D75"/>
  <c r="E75"/>
  <c r="F75"/>
  <c r="D76"/>
  <c r="E76"/>
  <c r="F76"/>
  <c r="D77"/>
  <c r="E77"/>
  <c r="F77"/>
  <c r="D78"/>
  <c r="E78"/>
  <c r="F78"/>
  <c r="D79"/>
  <c r="E79"/>
  <c r="F79"/>
  <c r="D80"/>
  <c r="E80"/>
  <c r="F80"/>
  <c r="D81"/>
  <c r="E81"/>
  <c r="F81"/>
  <c r="D82"/>
  <c r="E82"/>
  <c r="F82"/>
  <c r="D83"/>
  <c r="E83"/>
  <c r="F83"/>
  <c r="F84"/>
  <c r="I84"/>
  <c r="J84"/>
  <c r="F85"/>
  <c r="I85"/>
  <c r="J85"/>
  <c r="D86"/>
  <c r="E86"/>
  <c r="F86"/>
  <c r="F3"/>
  <c r="AS63" i="4"/>
  <c r="AR63"/>
  <c r="AQ63"/>
  <c r="AP63"/>
  <c r="AO63"/>
  <c r="AN63"/>
  <c r="AS60"/>
  <c r="AR60"/>
  <c r="AQ60"/>
  <c r="AP60"/>
  <c r="AO60"/>
  <c r="AN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AU57"/>
  <c r="AT57"/>
  <c r="AS57"/>
  <c r="AR57"/>
  <c r="AQ57"/>
  <c r="AP57"/>
  <c r="AO57"/>
  <c r="AN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AU56"/>
  <c r="AT56"/>
  <c r="AS54"/>
  <c r="AR54"/>
  <c r="AQ54"/>
  <c r="AP54"/>
  <c r="AO54"/>
  <c r="AN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AU51"/>
  <c r="AT51"/>
  <c r="AS51"/>
  <c r="AR51"/>
  <c r="AQ51"/>
  <c r="AP51"/>
  <c r="AC51"/>
  <c r="AB51"/>
  <c r="AA51"/>
  <c r="Z51"/>
  <c r="Y51"/>
  <c r="X51"/>
  <c r="C51"/>
  <c r="B51"/>
  <c r="I3" i="5"/>
  <c r="J3"/>
  <c r="AQ41" i="4"/>
  <c r="AP41"/>
  <c r="AO41"/>
  <c r="AN41"/>
  <c r="AS38"/>
  <c r="AR38"/>
  <c r="AQ38"/>
  <c r="AP38"/>
  <c r="AO38"/>
  <c r="AN38"/>
  <c r="S38"/>
  <c r="AU35"/>
  <c r="AT35"/>
  <c r="AS35"/>
  <c r="AR35"/>
  <c r="AQ35"/>
  <c r="AP35"/>
  <c r="AO35"/>
  <c r="AN35"/>
  <c r="U35"/>
  <c r="T35"/>
  <c r="S35"/>
  <c r="I35"/>
  <c r="AU34"/>
  <c r="AT34"/>
  <c r="AS32"/>
  <c r="AR32"/>
  <c r="AQ32"/>
  <c r="AP32"/>
  <c r="AO32"/>
  <c r="AN32"/>
  <c r="X32"/>
  <c r="W32"/>
  <c r="V32"/>
  <c r="U32"/>
  <c r="R32"/>
  <c r="Q32"/>
  <c r="P32"/>
  <c r="AU29"/>
  <c r="AT29"/>
  <c r="AS29"/>
  <c r="AR29"/>
  <c r="AQ29"/>
  <c r="AP29"/>
  <c r="AQ19"/>
  <c r="AP19"/>
  <c r="AO19"/>
  <c r="AN19"/>
  <c r="AS16"/>
  <c r="AR16"/>
  <c r="AQ16"/>
  <c r="AP16"/>
  <c r="AO16"/>
  <c r="AN16"/>
  <c r="AU13"/>
  <c r="AT13"/>
  <c r="AS13"/>
  <c r="AR13"/>
  <c r="AQ13"/>
  <c r="AP13"/>
  <c r="AO13"/>
  <c r="AN13"/>
  <c r="AU12"/>
  <c r="AT12"/>
  <c r="AS10"/>
  <c r="AR10"/>
  <c r="AQ10"/>
  <c r="AP10"/>
  <c r="AO10"/>
  <c r="AN10"/>
  <c r="AU7"/>
  <c r="AT7"/>
  <c r="AS7"/>
  <c r="AR7"/>
  <c r="AQ7"/>
  <c r="AP7"/>
  <c r="N44" i="1"/>
  <c r="O44"/>
  <c r="P44"/>
  <c r="R44"/>
  <c r="S44"/>
  <c r="T44"/>
  <c r="U44"/>
  <c r="J33" i="5"/>
  <c r="K73"/>
  <c r="J58"/>
  <c r="I69"/>
  <c r="J62"/>
  <c r="H50"/>
  <c r="I14"/>
  <c r="K52"/>
  <c r="Q29" i="4"/>
  <c r="AA29"/>
  <c r="S51"/>
  <c r="K25" i="5"/>
  <c r="K62"/>
  <c r="I10"/>
  <c r="G65"/>
  <c r="H31"/>
  <c r="M29" i="4"/>
  <c r="I29"/>
  <c r="X13"/>
  <c r="X29"/>
  <c r="K38"/>
  <c r="Y10"/>
  <c r="G80" i="5"/>
  <c r="H84"/>
  <c r="U38" i="4"/>
  <c r="I23" i="5"/>
  <c r="J14"/>
  <c r="J38" i="4"/>
  <c r="J72" i="5"/>
  <c r="H36"/>
  <c r="J16" i="4"/>
  <c r="I70" i="5"/>
  <c r="G54"/>
  <c r="K17"/>
  <c r="I56"/>
  <c r="K36"/>
  <c r="K54"/>
  <c r="J40"/>
  <c r="J15"/>
  <c r="I4"/>
  <c r="H13"/>
  <c r="H16" i="4"/>
  <c r="H22" i="5"/>
  <c r="G78"/>
  <c r="G6"/>
  <c r="H30"/>
  <c r="Z16" i="4"/>
  <c r="H55" i="5"/>
  <c r="H73"/>
  <c r="T38" i="4"/>
  <c r="K39" i="5"/>
  <c r="K76"/>
  <c r="J71"/>
  <c r="I72"/>
  <c r="H66"/>
  <c r="G57"/>
  <c r="G18"/>
  <c r="G59"/>
  <c r="R38" i="4"/>
  <c r="V16"/>
  <c r="Q38"/>
  <c r="AB7"/>
  <c r="H17" i="5"/>
  <c r="E29" i="4"/>
  <c r="G83" i="5"/>
  <c r="E51" i="4"/>
  <c r="F16"/>
  <c r="H42" i="5"/>
  <c r="H8"/>
  <c r="G75"/>
  <c r="Z32" i="4"/>
  <c r="H59" i="5"/>
  <c r="G16"/>
  <c r="K19"/>
  <c r="H7" i="4"/>
  <c r="O7"/>
  <c r="Q51"/>
  <c r="J13" i="5"/>
  <c r="N35" i="4"/>
  <c r="H56" i="5"/>
  <c r="J61"/>
  <c r="I13"/>
  <c r="G26"/>
  <c r="H37"/>
  <c r="L32" i="4"/>
  <c r="P13"/>
  <c r="K7" i="5"/>
  <c r="W29" i="4"/>
  <c r="H77" i="5"/>
  <c r="J5"/>
  <c r="H26"/>
  <c r="J25"/>
  <c r="H29"/>
  <c r="AA10" i="4"/>
  <c r="G37" i="5"/>
  <c r="I71"/>
  <c r="K55"/>
  <c r="K56"/>
  <c r="W7" i="4"/>
  <c r="K9" i="5"/>
  <c r="H29" i="4"/>
  <c r="H32"/>
  <c r="Y7"/>
  <c r="H58" i="5"/>
  <c r="N29" i="4"/>
  <c r="H19" i="5"/>
  <c r="G38"/>
  <c r="G41"/>
  <c r="I5"/>
  <c r="I82"/>
  <c r="Z38" i="4"/>
  <c r="O29"/>
  <c r="F35"/>
  <c r="R51"/>
  <c r="H64" i="5"/>
  <c r="G39"/>
  <c r="K3"/>
  <c r="J77"/>
  <c r="Q66" i="1"/>
  <c r="O10" i="4"/>
  <c r="Y38"/>
  <c r="Q61" i="1"/>
  <c r="K23" i="5"/>
  <c r="K60"/>
  <c r="I8"/>
  <c r="G43"/>
  <c r="V7" i="4"/>
  <c r="R13"/>
  <c r="I10"/>
  <c r="G81" i="5"/>
  <c r="J86"/>
  <c r="K14"/>
  <c r="G60"/>
  <c r="G9"/>
  <c r="I40"/>
  <c r="H6"/>
  <c r="I11"/>
  <c r="P10" i="4"/>
  <c r="H86" i="5"/>
  <c r="H78"/>
  <c r="J30"/>
  <c r="H57"/>
  <c r="K18"/>
  <c r="X35" i="4"/>
  <c r="K85" i="5"/>
  <c r="H46"/>
  <c r="K33"/>
  <c r="J51" i="4"/>
  <c r="K21" i="5"/>
  <c r="K58"/>
  <c r="G40"/>
  <c r="I58"/>
  <c r="G42"/>
  <c r="H27"/>
  <c r="I6"/>
  <c r="H15"/>
  <c r="Q16" i="4"/>
  <c r="H49" i="5"/>
  <c r="I60"/>
  <c r="V10" i="4"/>
  <c r="AA13"/>
  <c r="P29"/>
  <c r="M32"/>
  <c r="P38"/>
  <c r="O13"/>
  <c r="W51"/>
  <c r="L51"/>
  <c r="J83" i="5"/>
  <c r="K84"/>
  <c r="H79"/>
  <c r="G72"/>
  <c r="G50"/>
  <c r="G13" i="4"/>
  <c r="Z29"/>
  <c r="F7"/>
  <c r="Z13"/>
  <c r="I22" i="5"/>
  <c r="Y16" i="4"/>
  <c r="Q67" i="1"/>
  <c r="G10" i="4"/>
  <c r="C7"/>
  <c r="G8" i="5"/>
  <c r="H34"/>
  <c r="I24"/>
  <c r="H39"/>
  <c r="I27"/>
  <c r="J7"/>
  <c r="Q13" i="4"/>
  <c r="H5" i="5"/>
  <c r="Q35" i="4"/>
  <c r="J81" i="5"/>
  <c r="I42"/>
  <c r="S29" i="4"/>
  <c r="X38"/>
  <c r="K86" i="5"/>
  <c r="Q10" i="4"/>
  <c r="G22" i="5"/>
  <c r="H4"/>
  <c r="K24"/>
  <c r="K68"/>
  <c r="G46"/>
  <c r="K61"/>
  <c r="H53"/>
  <c r="H33"/>
  <c r="I9"/>
  <c r="I33"/>
  <c r="J32" i="4"/>
  <c r="L38"/>
  <c r="O32"/>
  <c r="N51"/>
  <c r="W35"/>
  <c r="H82" i="5"/>
  <c r="H60"/>
  <c r="M51" i="4"/>
  <c r="H25" i="5"/>
  <c r="E10" i="4"/>
  <c r="Q7"/>
  <c r="R16"/>
  <c r="K30" i="5"/>
  <c r="K66"/>
  <c r="H48"/>
  <c r="Q55" i="1"/>
  <c r="K37" i="5"/>
  <c r="F32" i="4"/>
  <c r="Y29"/>
  <c r="T51"/>
  <c r="E7"/>
  <c r="AC29"/>
  <c r="J35"/>
  <c r="G21" i="5"/>
  <c r="Q45" i="1"/>
  <c r="K13" i="4"/>
  <c r="K75" i="5"/>
  <c r="J64"/>
  <c r="AS41" i="4"/>
  <c r="G7"/>
  <c r="N10"/>
  <c r="G61" i="5"/>
  <c r="M38" i="4"/>
  <c r="G19" i="5"/>
  <c r="G56"/>
  <c r="H14"/>
  <c r="H63"/>
  <c r="K74"/>
  <c r="J7" i="4"/>
  <c r="I32"/>
  <c r="V29"/>
  <c r="H12" i="5"/>
  <c r="I86"/>
  <c r="H38" i="4"/>
  <c r="K12" i="5"/>
  <c r="B7" i="4"/>
  <c r="K42" i="5"/>
  <c r="H32"/>
  <c r="J10"/>
  <c r="F29" i="4"/>
  <c r="O38"/>
  <c r="H68" i="5"/>
  <c r="U51" i="4"/>
  <c r="I25" i="5"/>
  <c r="V13" i="4"/>
  <c r="H67" i="5"/>
  <c r="X7" i="4"/>
  <c r="I83" i="5"/>
  <c r="G51" i="4"/>
  <c r="K53" i="5"/>
  <c r="K35" i="4"/>
  <c r="T7"/>
  <c r="G12" i="5"/>
  <c r="J11"/>
  <c r="G10"/>
  <c r="H40"/>
  <c r="K26"/>
  <c r="H41"/>
  <c r="G30"/>
  <c r="J9"/>
  <c r="I13" i="4"/>
  <c r="H7" i="5"/>
  <c r="H51" i="4"/>
  <c r="AA32"/>
  <c r="J6" i="5"/>
  <c r="N38" i="4"/>
  <c r="J80" i="5"/>
  <c r="G69"/>
  <c r="K22"/>
  <c r="G44"/>
  <c r="S10" i="4"/>
  <c r="J49" i="5"/>
  <c r="K80"/>
  <c r="J75"/>
  <c r="I76"/>
  <c r="H71"/>
  <c r="I62"/>
  <c r="G31"/>
  <c r="G63"/>
  <c r="K70"/>
  <c r="H69"/>
  <c r="G45"/>
  <c r="K29" i="4"/>
  <c r="H76" i="5"/>
  <c r="T29" i="4"/>
  <c r="J69" i="5"/>
  <c r="I15"/>
  <c r="M16" i="4"/>
  <c r="H20" i="5"/>
  <c r="I7" i="4"/>
  <c r="H23" i="5"/>
  <c r="K15"/>
  <c r="L16" i="4"/>
  <c r="AA7"/>
  <c r="AB10"/>
  <c r="U16"/>
  <c r="G34" i="5"/>
  <c r="K7" i="4"/>
  <c r="J29"/>
  <c r="J47" i="5"/>
  <c r="G58"/>
  <c r="E38" i="4"/>
  <c r="I78" i="5"/>
  <c r="K65"/>
  <c r="G13"/>
  <c r="G51"/>
  <c r="I30"/>
  <c r="G49"/>
  <c r="G35"/>
  <c r="J12"/>
  <c r="Q51" i="1"/>
  <c r="H10" i="5"/>
  <c r="AA35" i="4"/>
  <c r="J56" i="5"/>
  <c r="K83"/>
  <c r="J78"/>
  <c r="I79"/>
  <c r="H74"/>
  <c r="G66"/>
  <c r="K34"/>
  <c r="K67"/>
  <c r="K27"/>
  <c r="N7" i="4"/>
  <c r="J22" i="5"/>
  <c r="V38" i="4"/>
  <c r="G3" i="5"/>
  <c r="K31"/>
  <c r="O16" i="4"/>
  <c r="K72" i="5"/>
  <c r="J48"/>
  <c r="H16"/>
  <c r="K69"/>
  <c r="F13" i="4"/>
  <c r="I38"/>
  <c r="Z7"/>
  <c r="L10"/>
  <c r="V51"/>
  <c r="S32"/>
  <c r="G5" i="5"/>
  <c r="G24"/>
  <c r="F10" i="4"/>
  <c r="J70" i="5"/>
  <c r="K16"/>
  <c r="G74"/>
  <c r="K10" i="4"/>
  <c r="G55" i="5"/>
  <c r="U7" i="4"/>
  <c r="K59" i="5"/>
  <c r="K57"/>
  <c r="H18"/>
  <c r="H85"/>
  <c r="Q65" i="1"/>
  <c r="K13" i="5"/>
  <c r="G53"/>
  <c r="P7" i="4"/>
  <c r="G79" i="5"/>
  <c r="K78"/>
  <c r="G86"/>
  <c r="G33"/>
  <c r="L29" i="4"/>
  <c r="U29"/>
  <c r="G67" i="5"/>
  <c r="H47"/>
  <c r="H28"/>
  <c r="E32" i="4"/>
  <c r="B29"/>
  <c r="X16"/>
  <c r="G35"/>
  <c r="H38" i="5"/>
  <c r="J8"/>
  <c r="G52"/>
  <c r="K38"/>
  <c r="K51" i="4"/>
  <c r="H45" i="5"/>
  <c r="T32" i="4"/>
  <c r="AB29"/>
  <c r="G32"/>
  <c r="D7"/>
  <c r="H44" i="5"/>
  <c r="H81"/>
  <c r="G16" i="4"/>
  <c r="N32"/>
  <c r="Y35"/>
  <c r="N13"/>
  <c r="I51"/>
  <c r="M13"/>
  <c r="H3" i="5"/>
  <c r="O51" i="4"/>
  <c r="H80" i="5"/>
  <c r="G73"/>
  <c r="H54"/>
  <c r="Z35" i="4"/>
  <c r="H43" i="5"/>
  <c r="I74"/>
  <c r="J42"/>
  <c r="J29"/>
  <c r="G25"/>
  <c r="Q68" i="1"/>
  <c r="K41" i="5"/>
  <c r="I7"/>
  <c r="U10" i="4"/>
  <c r="H21" i="5"/>
  <c r="H13" i="4"/>
  <c r="H24" i="5"/>
  <c r="G17"/>
  <c r="T13" i="4"/>
  <c r="H10"/>
  <c r="AC7"/>
  <c r="N16"/>
  <c r="Y32"/>
  <c r="G29"/>
  <c r="G14" i="5"/>
  <c r="J50"/>
  <c r="Q44" i="1"/>
  <c r="K35" i="5"/>
  <c r="J63"/>
  <c r="T10" i="4"/>
  <c r="G48" i="5"/>
  <c r="K79"/>
  <c r="J74"/>
  <c r="I75"/>
  <c r="H70"/>
  <c r="I61"/>
  <c r="K28"/>
  <c r="G62"/>
  <c r="AS19" i="4"/>
  <c r="V35"/>
  <c r="G27" i="5"/>
  <c r="E16" i="4"/>
  <c r="K5" i="5"/>
  <c r="J10" i="4"/>
  <c r="K82" i="5"/>
  <c r="I64"/>
  <c r="R35" i="4"/>
  <c r="L35"/>
  <c r="L7"/>
  <c r="M35"/>
  <c r="G38"/>
  <c r="H83" i="5"/>
  <c r="G76"/>
  <c r="H61"/>
  <c r="AR19" i="4"/>
  <c r="G4" i="5"/>
  <c r="J24"/>
  <c r="G20"/>
  <c r="J27"/>
  <c r="G23"/>
  <c r="Q70" i="1"/>
  <c r="Y13" i="4"/>
  <c r="S16"/>
  <c r="G11" i="5"/>
  <c r="K32"/>
  <c r="H51"/>
  <c r="K81"/>
  <c r="J76"/>
  <c r="I77"/>
  <c r="H72"/>
  <c r="I63"/>
  <c r="G32"/>
  <c r="G64"/>
  <c r="G7"/>
  <c r="H35"/>
  <c r="J4"/>
  <c r="AR41" i="4"/>
  <c r="R7"/>
  <c r="H62" i="5"/>
  <c r="D29" i="4"/>
  <c r="G82" i="5"/>
  <c r="K32" i="4"/>
  <c r="S7"/>
  <c r="K16"/>
  <c r="W38"/>
  <c r="K8" i="5"/>
  <c r="S13" i="4"/>
  <c r="D51"/>
  <c r="R29"/>
  <c r="R10"/>
  <c r="J73" i="5"/>
  <c r="G70"/>
  <c r="X10" i="4"/>
  <c r="W16"/>
  <c r="G77" i="5"/>
  <c r="W10" i="4"/>
  <c r="K10" i="5"/>
  <c r="I16" i="4"/>
  <c r="K29" i="5"/>
  <c r="K71"/>
  <c r="H52"/>
  <c r="K64"/>
  <c r="J60"/>
  <c r="G47"/>
  <c r="I12"/>
  <c r="J46"/>
  <c r="G28"/>
  <c r="K63"/>
  <c r="M7" i="4"/>
  <c r="K40" i="5"/>
  <c r="I73"/>
  <c r="K20"/>
  <c r="J23"/>
  <c r="M10" i="4"/>
  <c r="T16"/>
  <c r="H65" i="5"/>
  <c r="G85"/>
  <c r="J79"/>
  <c r="I80"/>
  <c r="H75"/>
  <c r="G68"/>
  <c r="G36"/>
  <c r="G84"/>
  <c r="P16" i="4"/>
  <c r="J13"/>
  <c r="AB32"/>
  <c r="L13"/>
  <c r="K11" i="5"/>
  <c r="Z10" i="4"/>
  <c r="C29"/>
  <c r="W13"/>
  <c r="U13"/>
  <c r="P51"/>
  <c r="H35"/>
  <c r="K77" i="5"/>
  <c r="G29"/>
  <c r="G15"/>
  <c r="I81"/>
  <c r="O35" i="4"/>
  <c r="J82" i="5"/>
  <c r="G71"/>
  <c r="K6"/>
  <c r="H11"/>
  <c r="P35" i="4"/>
  <c r="K4" i="5"/>
  <c r="F51" i="4"/>
  <c r="I29" i="5"/>
  <c r="Q69" i="1"/>
  <c r="H9" i="5"/>
  <c r="F38" i="4"/>
  <c r="J44" i="1" l="1"/>
  <c r="I44"/>
  <c r="H44"/>
  <c r="G44"/>
  <c r="Y44"/>
  <c r="Z44"/>
  <c r="AA44"/>
  <c r="N45"/>
  <c r="O45"/>
  <c r="P45"/>
  <c r="R45"/>
  <c r="S45"/>
  <c r="T45"/>
  <c r="U45"/>
  <c r="J45" l="1"/>
  <c r="I45"/>
  <c r="H45"/>
  <c r="G45"/>
  <c r="Y45"/>
  <c r="Z45"/>
  <c r="AA45"/>
  <c r="N46"/>
  <c r="O46"/>
  <c r="P46"/>
  <c r="R46"/>
  <c r="S46"/>
  <c r="T46"/>
  <c r="U46"/>
  <c r="Q46"/>
  <c r="J46" l="1"/>
  <c r="I46"/>
  <c r="H46"/>
  <c r="G46"/>
  <c r="Y46"/>
  <c r="Z46"/>
  <c r="AA46"/>
  <c r="N47"/>
  <c r="O47"/>
  <c r="P47"/>
  <c r="R47"/>
  <c r="S47"/>
  <c r="T47"/>
  <c r="U47"/>
  <c r="Q47"/>
  <c r="J47" l="1"/>
  <c r="I47"/>
  <c r="H47"/>
  <c r="G47"/>
  <c r="Y47"/>
  <c r="Z47"/>
  <c r="AA47"/>
  <c r="N48"/>
  <c r="O48"/>
  <c r="P48"/>
  <c r="R48"/>
  <c r="S48"/>
  <c r="T48"/>
  <c r="U48"/>
  <c r="Q48"/>
  <c r="J48" l="1"/>
  <c r="I48"/>
  <c r="H48"/>
  <c r="G48"/>
  <c r="Y48"/>
  <c r="Z48"/>
  <c r="AA48"/>
  <c r="N49"/>
  <c r="O49"/>
  <c r="P49"/>
  <c r="R49"/>
  <c r="S49"/>
  <c r="T49"/>
  <c r="U49"/>
  <c r="Q49"/>
  <c r="J49" l="1"/>
  <c r="I49"/>
  <c r="H49"/>
  <c r="G49"/>
  <c r="Y49"/>
  <c r="Z49"/>
  <c r="AA49"/>
  <c r="N50"/>
  <c r="O50"/>
  <c r="P50"/>
  <c r="R50"/>
  <c r="S50"/>
  <c r="T50"/>
  <c r="U50"/>
  <c r="Q50"/>
  <c r="J50" l="1"/>
  <c r="I50"/>
  <c r="H50"/>
  <c r="G50"/>
  <c r="Y50"/>
  <c r="Z50"/>
  <c r="AA50"/>
  <c r="N51"/>
  <c r="O51"/>
  <c r="P51"/>
  <c r="R51"/>
  <c r="S51"/>
  <c r="T51"/>
  <c r="U51"/>
  <c r="J51" l="1"/>
  <c r="I51"/>
  <c r="H51"/>
  <c r="G51"/>
  <c r="Y51"/>
  <c r="Z51"/>
  <c r="AA51"/>
  <c r="N52"/>
  <c r="O52"/>
  <c r="P52"/>
  <c r="R52"/>
  <c r="S52"/>
  <c r="T52"/>
  <c r="U52"/>
  <c r="Q52"/>
  <c r="J52" l="1"/>
  <c r="I52"/>
  <c r="H52"/>
  <c r="G52"/>
  <c r="Y52"/>
  <c r="Z52"/>
  <c r="AA52"/>
  <c r="N53"/>
  <c r="O53"/>
  <c r="P53"/>
  <c r="R53"/>
  <c r="S53"/>
  <c r="T53"/>
  <c r="U53"/>
  <c r="Q53"/>
  <c r="J53" l="1"/>
  <c r="I53"/>
  <c r="H53"/>
  <c r="G53"/>
  <c r="Y53"/>
  <c r="Z53"/>
  <c r="AA53"/>
  <c r="N54"/>
  <c r="O54"/>
  <c r="P54"/>
  <c r="R54"/>
  <c r="S54"/>
  <c r="T54"/>
  <c r="U54"/>
  <c r="Q54"/>
  <c r="J54" l="1"/>
  <c r="I54"/>
  <c r="H54"/>
  <c r="G54"/>
  <c r="Y54"/>
  <c r="Z54"/>
  <c r="AA54"/>
  <c r="N55"/>
  <c r="O55"/>
  <c r="P55"/>
  <c r="R55"/>
  <c r="S55"/>
  <c r="T55"/>
  <c r="U55"/>
  <c r="J55" l="1"/>
  <c r="I55"/>
  <c r="H55"/>
  <c r="G55"/>
  <c r="Y55"/>
  <c r="Z55"/>
  <c r="AA55"/>
  <c r="N56"/>
  <c r="O56"/>
  <c r="P56"/>
  <c r="R56"/>
  <c r="S56"/>
  <c r="T56"/>
  <c r="U56"/>
  <c r="Q56"/>
  <c r="J56" l="1"/>
  <c r="I56"/>
  <c r="H56"/>
  <c r="G56"/>
  <c r="Y56"/>
  <c r="Z56"/>
  <c r="AA56"/>
  <c r="N57" l="1"/>
  <c r="O57"/>
  <c r="P57"/>
  <c r="R57"/>
  <c r="S57"/>
  <c r="T57"/>
  <c r="U57"/>
  <c r="Q57"/>
  <c r="J57" l="1"/>
  <c r="I57"/>
  <c r="H57"/>
  <c r="G57"/>
  <c r="Y57"/>
  <c r="Z57"/>
  <c r="AA57"/>
  <c r="N58"/>
  <c r="O58"/>
  <c r="P58"/>
  <c r="R58"/>
  <c r="S58"/>
  <c r="T58"/>
  <c r="U58"/>
  <c r="Q58"/>
  <c r="J58" l="1"/>
  <c r="I58"/>
  <c r="H58"/>
  <c r="G58"/>
  <c r="Y58"/>
  <c r="Z58"/>
  <c r="AA58"/>
  <c r="N59"/>
  <c r="O59"/>
  <c r="P59"/>
  <c r="R59"/>
  <c r="S59"/>
  <c r="T59"/>
  <c r="U59"/>
  <c r="Q59"/>
  <c r="J59" l="1"/>
  <c r="I59"/>
  <c r="H59"/>
  <c r="G59"/>
  <c r="Y59"/>
  <c r="Z59"/>
  <c r="AA59"/>
  <c r="N60"/>
  <c r="O60"/>
  <c r="P60"/>
  <c r="R60"/>
  <c r="S60"/>
  <c r="T60"/>
  <c r="U60"/>
  <c r="Q60"/>
  <c r="J60" l="1"/>
  <c r="I60"/>
  <c r="H60"/>
  <c r="G60"/>
  <c r="Y60"/>
  <c r="Z60"/>
  <c r="AA60"/>
  <c r="N61"/>
  <c r="O61"/>
  <c r="P61"/>
  <c r="R61"/>
  <c r="S61"/>
  <c r="T61"/>
  <c r="U61"/>
  <c r="J61" l="1"/>
  <c r="I61"/>
  <c r="H61"/>
  <c r="G61"/>
  <c r="Y61"/>
  <c r="Z61"/>
  <c r="AA61"/>
  <c r="N62"/>
  <c r="O62"/>
  <c r="P62"/>
  <c r="R62"/>
  <c r="S62"/>
  <c r="T62"/>
  <c r="U62"/>
  <c r="Q62"/>
  <c r="J62" l="1"/>
  <c r="I62"/>
  <c r="H62"/>
  <c r="G62"/>
  <c r="Y62"/>
  <c r="Z62"/>
  <c r="AA62"/>
  <c r="N63"/>
  <c r="O63"/>
  <c r="P63"/>
  <c r="R63"/>
  <c r="S63"/>
  <c r="T63"/>
  <c r="U63"/>
  <c r="Q63"/>
  <c r="J63" l="1"/>
  <c r="I63"/>
  <c r="H63"/>
  <c r="G63"/>
  <c r="Y63"/>
  <c r="Z63"/>
  <c r="AA63"/>
  <c r="N64"/>
  <c r="O64"/>
  <c r="P64"/>
  <c r="R64"/>
  <c r="S64"/>
  <c r="T64"/>
  <c r="U64"/>
  <c r="Q64"/>
  <c r="J64" l="1"/>
  <c r="I64"/>
  <c r="H64"/>
  <c r="G64"/>
  <c r="Y64"/>
  <c r="Z64"/>
  <c r="AA64"/>
  <c r="N65"/>
  <c r="O65"/>
  <c r="P65"/>
  <c r="R65"/>
  <c r="S65"/>
  <c r="T65"/>
  <c r="U65"/>
  <c r="J65" l="1"/>
  <c r="I65"/>
  <c r="H65"/>
  <c r="G65"/>
  <c r="Y65"/>
  <c r="Z65"/>
  <c r="AA65"/>
  <c r="N66"/>
  <c r="O66"/>
  <c r="P66"/>
  <c r="R66"/>
  <c r="S66"/>
  <c r="T66"/>
  <c r="U66"/>
  <c r="J66" l="1"/>
  <c r="I66"/>
  <c r="H66"/>
  <c r="G66"/>
  <c r="Y66"/>
  <c r="Z66"/>
  <c r="AA66"/>
  <c r="N67"/>
  <c r="O67"/>
  <c r="P67"/>
  <c r="R67"/>
  <c r="S67"/>
  <c r="T67"/>
  <c r="U67"/>
  <c r="J67" l="1"/>
  <c r="I67"/>
  <c r="H67"/>
  <c r="G67"/>
  <c r="Y67"/>
  <c r="Z67"/>
  <c r="AA67"/>
  <c r="N68"/>
  <c r="O68"/>
  <c r="P68"/>
  <c r="R68"/>
  <c r="S68"/>
  <c r="T68"/>
  <c r="U68"/>
  <c r="J68" l="1"/>
  <c r="I68"/>
  <c r="H68"/>
  <c r="G68"/>
  <c r="Y68"/>
  <c r="Z68"/>
  <c r="AA68"/>
  <c r="N69"/>
  <c r="O69"/>
  <c r="P69"/>
  <c r="R69"/>
  <c r="S69"/>
  <c r="T69"/>
  <c r="U69"/>
  <c r="J69" l="1"/>
  <c r="I69"/>
  <c r="H69"/>
  <c r="G69"/>
  <c r="Y69"/>
  <c r="Z69"/>
  <c r="AA69"/>
  <c r="N70"/>
  <c r="O70"/>
  <c r="P70"/>
  <c r="R70"/>
  <c r="S70"/>
  <c r="T70"/>
  <c r="U70"/>
  <c r="J70" l="1"/>
  <c r="I70"/>
  <c r="H70"/>
  <c r="G70"/>
  <c r="Y70"/>
  <c r="Z70"/>
  <c r="AA70"/>
  <c r="N71"/>
  <c r="O71"/>
  <c r="P71"/>
  <c r="R71"/>
  <c r="S71"/>
  <c r="T71"/>
  <c r="U71"/>
  <c r="Q71"/>
  <c r="J71" l="1"/>
  <c r="I71"/>
  <c r="H71"/>
  <c r="G71"/>
  <c r="Y71"/>
  <c r="Z71"/>
  <c r="AA71"/>
  <c r="N72"/>
  <c r="O72"/>
  <c r="P72"/>
  <c r="R72"/>
  <c r="S72"/>
  <c r="T72"/>
  <c r="U72"/>
  <c r="Q72"/>
  <c r="J72" l="1"/>
  <c r="I72"/>
  <c r="H72"/>
  <c r="G72"/>
  <c r="Y72"/>
  <c r="Z72"/>
  <c r="AA72"/>
  <c r="N73"/>
  <c r="O73"/>
  <c r="P73"/>
  <c r="R73"/>
  <c r="S73"/>
  <c r="T73"/>
  <c r="U73"/>
  <c r="Q73"/>
  <c r="J73" l="1"/>
  <c r="I73"/>
  <c r="H73"/>
  <c r="G73"/>
  <c r="Y73"/>
  <c r="Z73"/>
  <c r="AA73"/>
  <c r="N74"/>
  <c r="O74"/>
  <c r="P74"/>
  <c r="R74"/>
  <c r="S74"/>
  <c r="T74"/>
  <c r="U74"/>
  <c r="Q74"/>
  <c r="J74" l="1"/>
  <c r="I74"/>
  <c r="H74"/>
  <c r="G74"/>
  <c r="Y74"/>
  <c r="Z74"/>
  <c r="AA74"/>
  <c r="N75"/>
  <c r="O75"/>
  <c r="P75"/>
  <c r="R75"/>
  <c r="S75"/>
  <c r="T75"/>
  <c r="U75"/>
  <c r="Q75"/>
  <c r="J75" l="1"/>
  <c r="I75"/>
  <c r="H75"/>
  <c r="G75"/>
  <c r="Y75"/>
  <c r="Z75"/>
  <c r="AA75"/>
  <c r="N76"/>
  <c r="O76"/>
  <c r="P76"/>
  <c r="Q76"/>
  <c r="R76"/>
  <c r="S76"/>
  <c r="T76"/>
  <c r="U76"/>
  <c r="J76" l="1"/>
  <c r="I76"/>
  <c r="H76"/>
  <c r="G76"/>
  <c r="Y76"/>
  <c r="Z76"/>
  <c r="AA76"/>
  <c r="N77"/>
  <c r="O77"/>
  <c r="P77"/>
  <c r="Q77"/>
  <c r="R77"/>
  <c r="S77"/>
  <c r="T77"/>
  <c r="U77"/>
  <c r="J77" l="1"/>
  <c r="I77"/>
  <c r="H77"/>
  <c r="G77"/>
  <c r="Y77"/>
  <c r="Z77"/>
  <c r="AA77"/>
  <c r="N78"/>
  <c r="O78"/>
  <c r="P78"/>
  <c r="Q78"/>
  <c r="R78"/>
  <c r="S78"/>
  <c r="T78"/>
  <c r="U78"/>
  <c r="J78" l="1"/>
  <c r="I78"/>
  <c r="H78"/>
  <c r="G78"/>
  <c r="Y78"/>
  <c r="Z78"/>
  <c r="AA78"/>
  <c r="N79"/>
  <c r="O79"/>
  <c r="P79"/>
  <c r="Q79"/>
  <c r="R79"/>
  <c r="S79"/>
  <c r="T79"/>
  <c r="U79"/>
  <c r="J79" l="1"/>
  <c r="I79"/>
  <c r="H79"/>
  <c r="G79"/>
  <c r="Y79"/>
  <c r="Z79"/>
  <c r="AA79"/>
  <c r="N80"/>
  <c r="O80"/>
  <c r="P80"/>
  <c r="Q80"/>
  <c r="R80"/>
  <c r="S80"/>
  <c r="T80"/>
  <c r="U80"/>
  <c r="J80" l="1"/>
  <c r="I80"/>
  <c r="H80"/>
  <c r="G80"/>
  <c r="Y80"/>
  <c r="Z80"/>
  <c r="AA80"/>
  <c r="N81"/>
  <c r="O81"/>
  <c r="P81"/>
  <c r="Q81"/>
  <c r="R81"/>
  <c r="S81"/>
  <c r="T81"/>
  <c r="U81"/>
  <c r="J81" l="1"/>
  <c r="I81"/>
  <c r="H81"/>
  <c r="G81"/>
  <c r="Y81"/>
  <c r="Z81"/>
  <c r="AA81"/>
  <c r="N82"/>
  <c r="O82"/>
  <c r="P82"/>
  <c r="Q82"/>
  <c r="R82"/>
  <c r="S82"/>
  <c r="T82"/>
  <c r="U82"/>
  <c r="J82" l="1"/>
  <c r="I82"/>
  <c r="H82"/>
  <c r="G82"/>
  <c r="Y82"/>
  <c r="Z82"/>
  <c r="AA82"/>
  <c r="N83"/>
  <c r="O83"/>
  <c r="P83"/>
  <c r="Q83"/>
  <c r="R83"/>
  <c r="S83"/>
  <c r="T83"/>
  <c r="U83"/>
  <c r="J83" l="1"/>
  <c r="I83"/>
  <c r="H83"/>
  <c r="G83"/>
  <c r="Y83"/>
  <c r="Z83"/>
  <c r="AA83"/>
  <c r="N84"/>
  <c r="O84"/>
  <c r="P84"/>
  <c r="Q84"/>
  <c r="R84"/>
  <c r="S84"/>
  <c r="T84"/>
  <c r="U84"/>
  <c r="J84" l="1"/>
  <c r="I84"/>
  <c r="H84"/>
  <c r="G84"/>
  <c r="Y84"/>
  <c r="Z84"/>
  <c r="AA84"/>
  <c r="N85"/>
  <c r="O85"/>
  <c r="P85"/>
  <c r="Q85"/>
  <c r="R85"/>
  <c r="S85"/>
  <c r="T85"/>
  <c r="U85"/>
  <c r="J85" l="1"/>
  <c r="I85"/>
  <c r="H85"/>
  <c r="G85"/>
  <c r="Y85"/>
  <c r="Z85"/>
  <c r="AA85"/>
  <c r="N86"/>
  <c r="O86"/>
  <c r="P86"/>
  <c r="Q86"/>
  <c r="R86"/>
  <c r="S86"/>
  <c r="T86"/>
  <c r="U86"/>
  <c r="J86" l="1"/>
  <c r="I86"/>
  <c r="H86"/>
  <c r="G86"/>
  <c r="Y86"/>
  <c r="Z86"/>
  <c r="AA86"/>
  <c r="N87"/>
  <c r="O87"/>
  <c r="P87"/>
  <c r="Q87"/>
  <c r="R87"/>
  <c r="S87"/>
  <c r="T87"/>
  <c r="U87"/>
  <c r="J87" l="1"/>
  <c r="I87"/>
  <c r="H87"/>
  <c r="G87"/>
  <c r="Y87"/>
  <c r="Z87"/>
  <c r="AA87"/>
  <c r="N88"/>
  <c r="O88"/>
  <c r="P88"/>
  <c r="Q88"/>
  <c r="R88"/>
  <c r="S88"/>
  <c r="T88"/>
  <c r="U88"/>
  <c r="J88" l="1"/>
  <c r="I88"/>
  <c r="H88"/>
  <c r="G88"/>
  <c r="Y88"/>
  <c r="Z88"/>
  <c r="AA88"/>
  <c r="N89"/>
  <c r="O89"/>
  <c r="P89"/>
  <c r="Q89"/>
  <c r="R89"/>
  <c r="S89"/>
  <c r="T89"/>
  <c r="U89"/>
  <c r="J89" l="1"/>
  <c r="I89"/>
  <c r="H89"/>
  <c r="G89"/>
  <c r="Y89"/>
  <c r="Z89"/>
  <c r="AA89"/>
  <c r="N90"/>
  <c r="O90"/>
  <c r="P90"/>
  <c r="Q90"/>
  <c r="R90"/>
  <c r="S90"/>
  <c r="T90"/>
  <c r="U90"/>
  <c r="J90" l="1"/>
  <c r="I90"/>
  <c r="H90"/>
  <c r="G90"/>
  <c r="Y90"/>
  <c r="Z90"/>
  <c r="AA90"/>
  <c r="N91"/>
  <c r="O91"/>
  <c r="P91"/>
  <c r="Q91"/>
  <c r="R91"/>
  <c r="S91"/>
  <c r="T91"/>
  <c r="U91"/>
  <c r="J91" l="1"/>
  <c r="I91"/>
  <c r="H91"/>
  <c r="G91"/>
  <c r="Y91"/>
  <c r="Z91"/>
  <c r="AA91"/>
  <c r="N92"/>
  <c r="O92"/>
  <c r="P92"/>
  <c r="Q92"/>
  <c r="R92"/>
  <c r="S92"/>
  <c r="T92"/>
  <c r="U92"/>
  <c r="J92" l="1"/>
  <c r="I92"/>
  <c r="H92"/>
  <c r="G92"/>
  <c r="Y92"/>
  <c r="Z92"/>
  <c r="AA92"/>
  <c r="N93"/>
  <c r="O93"/>
  <c r="P93"/>
  <c r="Q93"/>
  <c r="R93"/>
  <c r="S93"/>
  <c r="T93"/>
  <c r="U93"/>
  <c r="J93" l="1"/>
  <c r="I93"/>
  <c r="H93"/>
  <c r="G93"/>
  <c r="Y93"/>
  <c r="Z93"/>
  <c r="AA93"/>
  <c r="N94"/>
  <c r="O94"/>
  <c r="P94"/>
  <c r="Q94"/>
  <c r="R94"/>
  <c r="S94"/>
  <c r="T94"/>
  <c r="U94"/>
  <c r="J94" l="1"/>
  <c r="I94"/>
  <c r="H94"/>
  <c r="G94"/>
  <c r="Y94"/>
  <c r="Z94"/>
  <c r="AA94"/>
  <c r="N95"/>
  <c r="O95"/>
  <c r="P95"/>
  <c r="Q95"/>
  <c r="R95"/>
  <c r="S95"/>
  <c r="T95"/>
  <c r="U95"/>
  <c r="J95" l="1"/>
  <c r="I95"/>
  <c r="H95"/>
  <c r="G95"/>
  <c r="Y95"/>
  <c r="Z95"/>
  <c r="AA95"/>
  <c r="N96"/>
  <c r="O96"/>
  <c r="P96"/>
  <c r="Q96"/>
  <c r="R96"/>
  <c r="S96"/>
  <c r="T96"/>
  <c r="U96"/>
  <c r="J96" l="1"/>
  <c r="I96"/>
  <c r="H96"/>
  <c r="G96"/>
  <c r="Y96"/>
  <c r="Z96"/>
  <c r="AA96"/>
  <c r="N97"/>
  <c r="O97"/>
  <c r="P97"/>
  <c r="Q97"/>
  <c r="R97"/>
  <c r="S97"/>
  <c r="T97"/>
  <c r="U97"/>
  <c r="J97" l="1"/>
  <c r="I97"/>
  <c r="H97"/>
  <c r="G97"/>
  <c r="Y97"/>
  <c r="Z97"/>
  <c r="AA97"/>
  <c r="N98"/>
  <c r="O98"/>
  <c r="P98"/>
  <c r="Q98"/>
  <c r="R98"/>
  <c r="S98"/>
  <c r="T98"/>
  <c r="U98"/>
  <c r="J98" l="1"/>
  <c r="I98"/>
  <c r="H98"/>
  <c r="G98"/>
  <c r="Y98"/>
  <c r="Z98"/>
  <c r="AA98"/>
  <c r="N99"/>
  <c r="O99"/>
  <c r="P99"/>
  <c r="Q99"/>
  <c r="R99"/>
  <c r="S99"/>
  <c r="T99"/>
  <c r="U99"/>
  <c r="J99" l="1"/>
  <c r="I99"/>
  <c r="H99"/>
  <c r="G99"/>
  <c r="Y99"/>
  <c r="Z99"/>
  <c r="AA99"/>
  <c r="N100"/>
  <c r="O100"/>
  <c r="P100"/>
  <c r="Q100"/>
  <c r="R100"/>
  <c r="S100"/>
  <c r="T100"/>
  <c r="U100"/>
  <c r="J100" l="1"/>
  <c r="I100"/>
  <c r="H100"/>
  <c r="G100"/>
  <c r="Y100"/>
  <c r="Z100"/>
  <c r="AA100"/>
  <c r="N101"/>
  <c r="O101"/>
  <c r="P101"/>
  <c r="Q101"/>
  <c r="R101"/>
  <c r="S101"/>
  <c r="T101"/>
  <c r="U101"/>
  <c r="J101" l="1"/>
  <c r="I101"/>
  <c r="H101"/>
  <c r="G101"/>
  <c r="Y101"/>
  <c r="Z101"/>
  <c r="AA101"/>
  <c r="N102"/>
  <c r="O102"/>
  <c r="P102"/>
  <c r="Q102"/>
  <c r="R102"/>
  <c r="S102"/>
  <c r="T102"/>
  <c r="U102"/>
  <c r="J102" l="1"/>
  <c r="I102"/>
  <c r="H102"/>
  <c r="G102"/>
  <c r="Y102"/>
  <c r="Z102"/>
  <c r="AA102"/>
  <c r="N103"/>
  <c r="O103"/>
  <c r="P103"/>
  <c r="Q103"/>
  <c r="R103"/>
  <c r="S103"/>
  <c r="T103"/>
  <c r="U103"/>
  <c r="J103" l="1"/>
  <c r="I103"/>
  <c r="H103"/>
  <c r="G103"/>
  <c r="Y103"/>
  <c r="Z103"/>
  <c r="AA103"/>
  <c r="N104"/>
  <c r="O104"/>
  <c r="P104"/>
  <c r="Q104"/>
  <c r="R104"/>
  <c r="S104"/>
  <c r="T104"/>
  <c r="U104"/>
  <c r="J104" l="1"/>
  <c r="I104"/>
  <c r="H104"/>
  <c r="G104"/>
  <c r="Y104"/>
  <c r="Z104"/>
  <c r="AA104"/>
  <c r="N105"/>
  <c r="O105"/>
  <c r="P105"/>
  <c r="Q105"/>
  <c r="R105"/>
  <c r="S105"/>
  <c r="T105"/>
  <c r="U105"/>
  <c r="J105" l="1"/>
  <c r="I105"/>
  <c r="H105"/>
  <c r="G105"/>
  <c r="Y105"/>
  <c r="Z105"/>
  <c r="AA105"/>
  <c r="N106"/>
  <c r="O106"/>
  <c r="P106"/>
  <c r="Q106"/>
  <c r="R106"/>
  <c r="S106"/>
  <c r="T106"/>
  <c r="U106"/>
  <c r="J106" l="1"/>
  <c r="I106"/>
  <c r="H106"/>
  <c r="G106"/>
  <c r="Y106"/>
  <c r="Z106"/>
  <c r="AA106"/>
  <c r="N107"/>
  <c r="O107"/>
  <c r="P107"/>
  <c r="Q107"/>
  <c r="R107"/>
  <c r="S107"/>
  <c r="T107"/>
  <c r="U107"/>
  <c r="J107" l="1"/>
  <c r="I107"/>
  <c r="H107"/>
  <c r="G107"/>
  <c r="Y107"/>
  <c r="Z107"/>
  <c r="AA107"/>
  <c r="N108"/>
  <c r="O108"/>
  <c r="P108"/>
  <c r="Q108"/>
  <c r="R108"/>
  <c r="S108"/>
  <c r="T108"/>
  <c r="U108"/>
  <c r="J108" l="1"/>
  <c r="I108"/>
  <c r="H108"/>
  <c r="G108"/>
  <c r="Y108"/>
  <c r="Z108"/>
  <c r="AA108"/>
  <c r="N109"/>
  <c r="O109"/>
  <c r="P109"/>
  <c r="Q109"/>
  <c r="R109"/>
  <c r="S109"/>
  <c r="T109"/>
  <c r="U109"/>
  <c r="J109" l="1"/>
  <c r="I109"/>
  <c r="H109"/>
  <c r="G109"/>
  <c r="Y109"/>
  <c r="Z109"/>
  <c r="AA109"/>
  <c r="N110"/>
  <c r="O110"/>
  <c r="P110"/>
  <c r="Q110"/>
  <c r="R110"/>
  <c r="S110"/>
  <c r="T110"/>
  <c r="U110"/>
  <c r="J110" l="1"/>
  <c r="I110"/>
  <c r="H110"/>
  <c r="G110"/>
  <c r="Y110"/>
  <c r="Z110"/>
  <c r="AA110"/>
  <c r="N111"/>
  <c r="O111"/>
  <c r="P111"/>
  <c r="Q111"/>
  <c r="R111"/>
  <c r="S111"/>
  <c r="T111"/>
  <c r="U111"/>
  <c r="J111" l="1"/>
  <c r="I111"/>
  <c r="H111"/>
  <c r="G111"/>
  <c r="Y111"/>
  <c r="Z111"/>
  <c r="AA111"/>
  <c r="N112"/>
  <c r="O112"/>
  <c r="P112"/>
  <c r="Q112"/>
  <c r="R112"/>
  <c r="S112"/>
  <c r="T112"/>
  <c r="U112"/>
  <c r="J112" l="1"/>
  <c r="I112"/>
  <c r="H112"/>
  <c r="G112"/>
  <c r="Y112"/>
  <c r="Z112"/>
  <c r="AA112"/>
  <c r="N113"/>
  <c r="O113"/>
  <c r="P113"/>
  <c r="Q113"/>
  <c r="R113"/>
  <c r="S113"/>
  <c r="T113"/>
  <c r="U113"/>
  <c r="J113" l="1"/>
  <c r="I113"/>
  <c r="H113"/>
  <c r="G113"/>
  <c r="Y113"/>
  <c r="Z113"/>
  <c r="AA113"/>
  <c r="N114"/>
  <c r="O114"/>
  <c r="P114"/>
  <c r="Q114"/>
  <c r="R114"/>
  <c r="S114"/>
  <c r="T114"/>
  <c r="U114"/>
  <c r="J114" l="1"/>
  <c r="I114"/>
  <c r="H114"/>
  <c r="G114"/>
  <c r="Y114"/>
  <c r="Z114"/>
  <c r="AA114"/>
  <c r="N115"/>
  <c r="O115"/>
  <c r="P115"/>
  <c r="Q115"/>
  <c r="R115"/>
  <c r="S115"/>
  <c r="T115"/>
  <c r="U115"/>
  <c r="J115" l="1"/>
  <c r="I115"/>
  <c r="H115"/>
  <c r="G115"/>
  <c r="Y115"/>
  <c r="Z115"/>
  <c r="AA115"/>
  <c r="N116"/>
  <c r="O116"/>
  <c r="P116"/>
  <c r="Q116"/>
  <c r="R116"/>
  <c r="S116"/>
  <c r="T116"/>
  <c r="U116"/>
  <c r="J116" l="1"/>
  <c r="I116"/>
  <c r="H116"/>
  <c r="G116"/>
  <c r="Y116"/>
  <c r="Z116"/>
  <c r="AA116"/>
  <c r="N117"/>
  <c r="O117"/>
  <c r="P117"/>
  <c r="Q117"/>
  <c r="R117"/>
  <c r="S117"/>
  <c r="T117"/>
  <c r="U117"/>
  <c r="J117" l="1"/>
  <c r="I117"/>
  <c r="H117"/>
  <c r="G117"/>
  <c r="Y117"/>
  <c r="Z117"/>
  <c r="AA117"/>
  <c r="N118"/>
  <c r="O118"/>
  <c r="P118"/>
  <c r="Q118"/>
  <c r="R118"/>
  <c r="S118"/>
  <c r="T118"/>
  <c r="U118"/>
  <c r="J118" l="1"/>
  <c r="I118"/>
  <c r="H118"/>
  <c r="G118"/>
  <c r="Y118"/>
  <c r="Z118"/>
  <c r="AA118"/>
  <c r="N119"/>
  <c r="O119"/>
  <c r="P119"/>
  <c r="Q119"/>
  <c r="R119"/>
  <c r="S119"/>
  <c r="T119"/>
  <c r="U119"/>
  <c r="J119" l="1"/>
  <c r="I119"/>
  <c r="H119"/>
  <c r="G119"/>
  <c r="Y119"/>
  <c r="Z119"/>
  <c r="AA119"/>
  <c r="N120"/>
  <c r="O120"/>
  <c r="P120"/>
  <c r="Q120"/>
  <c r="R120"/>
  <c r="S120"/>
  <c r="T120"/>
  <c r="U120"/>
  <c r="J120" l="1"/>
  <c r="I120"/>
  <c r="H120"/>
  <c r="G120"/>
  <c r="Y120"/>
  <c r="Z120"/>
  <c r="AA120"/>
  <c r="N121"/>
  <c r="O121"/>
  <c r="P121"/>
  <c r="Q121"/>
  <c r="R121"/>
  <c r="S121"/>
  <c r="T121"/>
  <c r="U121"/>
  <c r="J121" l="1"/>
  <c r="I121"/>
  <c r="H121"/>
  <c r="G121"/>
  <c r="Y121"/>
  <c r="Z121"/>
  <c r="AA121"/>
  <c r="N122"/>
  <c r="O122"/>
  <c r="P122"/>
  <c r="Q122"/>
  <c r="R122"/>
  <c r="S122"/>
  <c r="T122"/>
  <c r="U122"/>
  <c r="J122" l="1"/>
  <c r="I122"/>
  <c r="H122"/>
  <c r="G122"/>
  <c r="Y122"/>
  <c r="Z122"/>
  <c r="AA122"/>
  <c r="N123"/>
  <c r="O123"/>
  <c r="P123"/>
  <c r="Q123"/>
  <c r="R123"/>
  <c r="S123"/>
  <c r="T123"/>
  <c r="U123"/>
  <c r="J123" l="1"/>
  <c r="I123"/>
  <c r="H123"/>
  <c r="G123"/>
  <c r="Y123"/>
  <c r="Z123"/>
  <c r="AA123"/>
  <c r="N124"/>
  <c r="O124"/>
  <c r="P124"/>
  <c r="Q124"/>
  <c r="R124"/>
  <c r="S124"/>
  <c r="T124"/>
  <c r="U124"/>
  <c r="J124" l="1"/>
  <c r="I124"/>
  <c r="H124"/>
  <c r="G124"/>
  <c r="Y124"/>
  <c r="Z124"/>
  <c r="AA124"/>
  <c r="N125"/>
  <c r="O125"/>
  <c r="P125"/>
  <c r="Q125"/>
  <c r="R125"/>
  <c r="S125"/>
  <c r="T125"/>
  <c r="U125"/>
  <c r="J125" l="1"/>
  <c r="I125"/>
  <c r="H125"/>
  <c r="G125"/>
  <c r="Y125"/>
  <c r="Z125"/>
  <c r="AA125"/>
  <c r="N126"/>
  <c r="O126"/>
  <c r="P126"/>
  <c r="Q126"/>
  <c r="R126"/>
  <c r="S126"/>
  <c r="T126"/>
  <c r="U126"/>
  <c r="J126" l="1"/>
  <c r="I126"/>
  <c r="H126"/>
  <c r="G126"/>
  <c r="Y126"/>
  <c r="Z126"/>
  <c r="AA126"/>
  <c r="N127"/>
  <c r="O127"/>
  <c r="P127"/>
  <c r="Q127"/>
  <c r="R127"/>
  <c r="S127"/>
  <c r="T127"/>
  <c r="U127"/>
  <c r="J127" l="1"/>
  <c r="I127"/>
  <c r="H127"/>
  <c r="G127"/>
  <c r="Y127"/>
  <c r="Z127"/>
  <c r="AA127"/>
  <c r="N128"/>
  <c r="O128"/>
  <c r="P128"/>
  <c r="Q128"/>
  <c r="R128"/>
  <c r="S128"/>
  <c r="T128"/>
  <c r="U128"/>
  <c r="J128" l="1"/>
  <c r="I128"/>
  <c r="H128"/>
  <c r="G128"/>
  <c r="Y128"/>
  <c r="Z128"/>
  <c r="AA128"/>
  <c r="N129"/>
  <c r="O129"/>
  <c r="P129"/>
  <c r="Q129"/>
  <c r="R129"/>
  <c r="S129"/>
  <c r="T129"/>
  <c r="U129"/>
  <c r="J129" l="1"/>
  <c r="I129"/>
  <c r="H129"/>
  <c r="G129"/>
  <c r="Y129"/>
  <c r="Z129"/>
  <c r="AA129"/>
  <c r="N130"/>
  <c r="O130"/>
  <c r="P130"/>
  <c r="Q130"/>
  <c r="R130"/>
  <c r="S130"/>
  <c r="T130"/>
  <c r="U130"/>
  <c r="J130" l="1"/>
  <c r="I130"/>
  <c r="H130"/>
  <c r="G130"/>
  <c r="Y130"/>
  <c r="Z130"/>
  <c r="AA130"/>
  <c r="N131"/>
  <c r="O131"/>
  <c r="P131"/>
  <c r="Q131"/>
  <c r="R131"/>
  <c r="S131"/>
  <c r="T131"/>
  <c r="U131"/>
  <c r="J131" l="1"/>
  <c r="I131"/>
  <c r="H131"/>
  <c r="G131"/>
  <c r="Y131"/>
  <c r="Z131"/>
  <c r="AA131"/>
  <c r="N132"/>
  <c r="O132"/>
  <c r="P132"/>
  <c r="Q132"/>
  <c r="R132"/>
  <c r="S132"/>
  <c r="T132"/>
  <c r="U132"/>
  <c r="J132" l="1"/>
  <c r="I132"/>
  <c r="H132"/>
  <c r="G132"/>
  <c r="Y132"/>
  <c r="Z132"/>
  <c r="AA132"/>
  <c r="N133"/>
  <c r="O133"/>
  <c r="P133"/>
  <c r="Q133"/>
  <c r="R133"/>
  <c r="S133"/>
  <c r="T133"/>
  <c r="U133"/>
  <c r="J133" l="1"/>
  <c r="I133"/>
  <c r="H133"/>
  <c r="G133"/>
  <c r="Y133"/>
  <c r="Z133"/>
  <c r="AA133"/>
  <c r="N134"/>
  <c r="O134"/>
  <c r="P134"/>
  <c r="Q134"/>
  <c r="R134"/>
  <c r="S134"/>
  <c r="T134"/>
  <c r="U134"/>
  <c r="J134" l="1"/>
  <c r="I134"/>
  <c r="H134"/>
  <c r="G134"/>
  <c r="Y134"/>
  <c r="Z134"/>
  <c r="AA134"/>
  <c r="N135"/>
  <c r="O135"/>
  <c r="P135"/>
  <c r="Q135"/>
  <c r="R135"/>
  <c r="S135"/>
  <c r="T135"/>
  <c r="U135"/>
  <c r="J135" l="1"/>
  <c r="I135"/>
  <c r="H135"/>
  <c r="G135"/>
  <c r="Y135"/>
  <c r="Z135"/>
  <c r="AA135"/>
  <c r="N136"/>
  <c r="O136"/>
  <c r="P136"/>
  <c r="Q136"/>
  <c r="R136"/>
  <c r="S136"/>
  <c r="T136"/>
  <c r="U136"/>
  <c r="J136" l="1"/>
  <c r="I136"/>
  <c r="H136"/>
  <c r="G136"/>
  <c r="Y136"/>
  <c r="Z136"/>
  <c r="AA136"/>
  <c r="N137"/>
  <c r="O137"/>
  <c r="P137"/>
  <c r="Q137"/>
  <c r="R137"/>
  <c r="S137"/>
  <c r="T137"/>
  <c r="U137"/>
  <c r="J137" l="1"/>
  <c r="I137"/>
  <c r="H137"/>
  <c r="G137"/>
  <c r="Y137"/>
  <c r="Z137"/>
  <c r="AA137"/>
  <c r="N138"/>
  <c r="O138"/>
  <c r="P138"/>
  <c r="Q138"/>
  <c r="R138"/>
  <c r="S138"/>
  <c r="T138"/>
  <c r="U138"/>
  <c r="J138" l="1"/>
  <c r="I138"/>
  <c r="H138"/>
  <c r="G138"/>
  <c r="Y138"/>
  <c r="Z138"/>
  <c r="AA138"/>
  <c r="N139"/>
  <c r="O139"/>
  <c r="P139"/>
  <c r="Q139"/>
  <c r="R139"/>
  <c r="S139"/>
  <c r="T139"/>
  <c r="U139"/>
  <c r="J139" l="1"/>
  <c r="I139"/>
  <c r="H139"/>
  <c r="G139"/>
  <c r="Y139"/>
  <c r="Z139"/>
  <c r="AA139"/>
  <c r="N140"/>
  <c r="O140"/>
  <c r="P140"/>
  <c r="Q140"/>
  <c r="R140"/>
  <c r="S140"/>
  <c r="T140"/>
  <c r="U140"/>
  <c r="J140" l="1"/>
  <c r="I140"/>
  <c r="H140"/>
  <c r="G140"/>
  <c r="Y140"/>
  <c r="Z140"/>
  <c r="AA140"/>
  <c r="N141"/>
  <c r="O141"/>
  <c r="P141"/>
  <c r="Q141"/>
  <c r="R141"/>
  <c r="S141"/>
  <c r="T141"/>
  <c r="U141"/>
  <c r="J141" l="1"/>
  <c r="I141"/>
  <c r="H141"/>
  <c r="G141"/>
  <c r="Y141"/>
  <c r="Z141"/>
  <c r="AA141"/>
  <c r="N142"/>
  <c r="O142"/>
  <c r="P142"/>
  <c r="Q142"/>
  <c r="R142"/>
  <c r="S142"/>
  <c r="T142"/>
  <c r="U142"/>
  <c r="J142" l="1"/>
  <c r="I142"/>
  <c r="H142"/>
  <c r="G142"/>
  <c r="Y142"/>
  <c r="Z142"/>
  <c r="AA142"/>
  <c r="N143"/>
  <c r="O143"/>
  <c r="P143"/>
  <c r="Q143"/>
  <c r="R143"/>
  <c r="S143"/>
  <c r="T143"/>
  <c r="U143"/>
  <c r="J143" l="1"/>
  <c r="I143"/>
  <c r="H143"/>
  <c r="G143"/>
  <c r="Y143"/>
  <c r="Z143"/>
  <c r="AA143"/>
  <c r="N144"/>
  <c r="O144"/>
  <c r="P144"/>
  <c r="Q144"/>
  <c r="R144"/>
  <c r="S144"/>
  <c r="T144"/>
  <c r="U144"/>
  <c r="J144" l="1"/>
  <c r="I144"/>
  <c r="H144"/>
  <c r="G144"/>
  <c r="Y144"/>
  <c r="Z144"/>
  <c r="AA144"/>
  <c r="N145"/>
  <c r="O145"/>
  <c r="P145"/>
  <c r="Q145"/>
  <c r="R145"/>
  <c r="S145"/>
  <c r="T145"/>
  <c r="U145"/>
  <c r="J145" l="1"/>
  <c r="I145"/>
  <c r="H145"/>
  <c r="G145"/>
  <c r="Y145"/>
  <c r="Z145"/>
  <c r="AA145"/>
  <c r="N146"/>
  <c r="O146"/>
  <c r="P146"/>
  <c r="Q146"/>
  <c r="R146"/>
  <c r="S146"/>
  <c r="T146"/>
  <c r="U146"/>
  <c r="J146" l="1"/>
  <c r="I146"/>
  <c r="H146"/>
  <c r="G146"/>
  <c r="Y146"/>
  <c r="Z146"/>
  <c r="AA146"/>
  <c r="N147"/>
  <c r="O147"/>
  <c r="P147"/>
  <c r="Q147"/>
  <c r="R147"/>
  <c r="S147"/>
  <c r="T147"/>
  <c r="U147"/>
  <c r="J147" l="1"/>
  <c r="I147"/>
  <c r="H147"/>
  <c r="G147"/>
  <c r="Y147"/>
  <c r="Z147"/>
  <c r="AA147"/>
  <c r="N148"/>
  <c r="O148"/>
  <c r="P148"/>
  <c r="Q148"/>
  <c r="R148"/>
  <c r="S148"/>
  <c r="T148"/>
  <c r="U148"/>
  <c r="J148" l="1"/>
  <c r="I148"/>
  <c r="H148"/>
  <c r="G148"/>
  <c r="Y148"/>
  <c r="Z148"/>
  <c r="AA148"/>
  <c r="N149"/>
  <c r="O149"/>
  <c r="P149"/>
  <c r="Q149"/>
  <c r="R149"/>
  <c r="S149"/>
  <c r="T149"/>
  <c r="U149"/>
  <c r="J149" l="1"/>
  <c r="I149"/>
  <c r="H149"/>
  <c r="G149"/>
  <c r="Y149"/>
  <c r="Z149"/>
  <c r="AA149"/>
  <c r="N150"/>
  <c r="O150"/>
  <c r="P150"/>
  <c r="Q150"/>
  <c r="R150"/>
  <c r="S150"/>
  <c r="T150"/>
  <c r="U150"/>
  <c r="J150" l="1"/>
  <c r="I150"/>
  <c r="H150"/>
  <c r="G150"/>
  <c r="Y150"/>
  <c r="Z150"/>
  <c r="AA150"/>
  <c r="N151"/>
  <c r="O151"/>
  <c r="P151"/>
  <c r="Q151"/>
  <c r="R151"/>
  <c r="S151"/>
  <c r="T151"/>
  <c r="U151"/>
  <c r="J151" l="1"/>
  <c r="I151"/>
  <c r="H151"/>
  <c r="G151"/>
  <c r="Y151"/>
  <c r="Z151"/>
  <c r="AA151"/>
  <c r="N152"/>
  <c r="O152"/>
  <c r="P152"/>
  <c r="Q152"/>
  <c r="R152"/>
  <c r="S152"/>
  <c r="T152"/>
  <c r="U152"/>
  <c r="J152" l="1"/>
  <c r="I152"/>
  <c r="H152"/>
  <c r="G152"/>
  <c r="Y152"/>
  <c r="Z152"/>
  <c r="AA152"/>
  <c r="N153"/>
  <c r="O153"/>
  <c r="P153"/>
  <c r="Q153"/>
  <c r="R153"/>
  <c r="S153"/>
  <c r="T153"/>
  <c r="U153"/>
  <c r="J153" l="1"/>
  <c r="I153"/>
  <c r="H153"/>
  <c r="G153"/>
  <c r="Y153"/>
  <c r="Z153"/>
  <c r="AA153"/>
  <c r="N154"/>
  <c r="O154"/>
  <c r="P154"/>
  <c r="Q154"/>
  <c r="R154"/>
  <c r="S154"/>
  <c r="T154"/>
  <c r="U154"/>
  <c r="J154" l="1"/>
  <c r="I154"/>
  <c r="H154"/>
  <c r="G154"/>
  <c r="Y154"/>
  <c r="Z154"/>
  <c r="AA154"/>
  <c r="N155"/>
  <c r="O155"/>
  <c r="P155"/>
  <c r="Q155"/>
  <c r="R155"/>
  <c r="S155"/>
  <c r="T155"/>
  <c r="U155"/>
  <c r="J155" l="1"/>
  <c r="I155"/>
  <c r="H155"/>
  <c r="G155"/>
  <c r="Y155"/>
  <c r="Z155"/>
  <c r="AA155"/>
  <c r="N156"/>
  <c r="O156"/>
  <c r="P156"/>
  <c r="Q156"/>
  <c r="R156"/>
  <c r="S156"/>
  <c r="T156"/>
  <c r="U156"/>
  <c r="J156" l="1"/>
  <c r="I156"/>
  <c r="H156"/>
  <c r="G156"/>
  <c r="Y156"/>
  <c r="Z156"/>
  <c r="AA156"/>
  <c r="N157"/>
  <c r="O157"/>
  <c r="P157"/>
  <c r="Q157"/>
  <c r="R157"/>
  <c r="S157"/>
  <c r="T157"/>
  <c r="U157"/>
  <c r="J157" l="1"/>
  <c r="I157"/>
  <c r="H157"/>
  <c r="G157"/>
  <c r="Y157"/>
  <c r="Z157"/>
  <c r="AA157"/>
  <c r="N158"/>
  <c r="O158"/>
  <c r="P158"/>
  <c r="Q158"/>
  <c r="R158"/>
  <c r="S158"/>
  <c r="T158"/>
  <c r="U158"/>
  <c r="J158" l="1"/>
  <c r="I158"/>
  <c r="H158"/>
  <c r="G158"/>
  <c r="Y158"/>
  <c r="Z158"/>
  <c r="AA158"/>
  <c r="N159"/>
  <c r="O159"/>
  <c r="P159"/>
  <c r="Q159"/>
  <c r="R159"/>
  <c r="S159"/>
  <c r="T159"/>
  <c r="U159"/>
  <c r="J159" l="1"/>
  <c r="I159"/>
  <c r="H159"/>
  <c r="G159"/>
  <c r="Y159"/>
  <c r="Z159"/>
  <c r="AA159"/>
  <c r="N160"/>
  <c r="O160"/>
  <c r="P160"/>
  <c r="Q160"/>
  <c r="R160"/>
  <c r="S160"/>
  <c r="T160"/>
  <c r="U160"/>
  <c r="J160" l="1"/>
  <c r="I160"/>
  <c r="H160"/>
  <c r="G160"/>
  <c r="Y160"/>
  <c r="Z160"/>
  <c r="AA160"/>
  <c r="N161"/>
  <c r="O161"/>
  <c r="P161"/>
  <c r="Q161"/>
  <c r="R161"/>
  <c r="S161"/>
  <c r="T161"/>
  <c r="U161"/>
  <c r="J161" l="1"/>
  <c r="I161"/>
  <c r="H161"/>
  <c r="G161"/>
  <c r="Y161"/>
  <c r="Z161"/>
  <c r="AA161"/>
  <c r="N162"/>
  <c r="O162"/>
  <c r="P162"/>
  <c r="Q162"/>
  <c r="R162"/>
  <c r="S162"/>
  <c r="T162"/>
  <c r="U162"/>
  <c r="J162" l="1"/>
  <c r="I162"/>
  <c r="H162"/>
  <c r="G162"/>
  <c r="Y162"/>
  <c r="Z162"/>
  <c r="AA162"/>
  <c r="N163"/>
  <c r="O163"/>
  <c r="P163"/>
  <c r="Q163"/>
  <c r="R163"/>
  <c r="S163"/>
  <c r="T163"/>
  <c r="U163"/>
  <c r="J163" l="1"/>
  <c r="I163"/>
  <c r="H163"/>
  <c r="G163"/>
  <c r="Y163"/>
  <c r="Z163"/>
  <c r="AA163"/>
  <c r="N164"/>
  <c r="O164"/>
  <c r="P164"/>
  <c r="Q164"/>
  <c r="R164"/>
  <c r="S164"/>
  <c r="T164"/>
  <c r="U164"/>
  <c r="J164" l="1"/>
  <c r="I164"/>
  <c r="H164"/>
  <c r="G164"/>
  <c r="Y164"/>
  <c r="Z164"/>
  <c r="AA164"/>
  <c r="N165"/>
  <c r="O165"/>
  <c r="P165"/>
  <c r="Q165"/>
  <c r="R165"/>
  <c r="S165"/>
  <c r="T165"/>
  <c r="U165"/>
  <c r="J165" l="1"/>
  <c r="I165"/>
  <c r="H165"/>
  <c r="G165"/>
  <c r="Y165"/>
  <c r="Z165"/>
  <c r="AA165"/>
  <c r="N166"/>
  <c r="O166"/>
  <c r="P166"/>
  <c r="Q166"/>
  <c r="R166"/>
  <c r="S166"/>
  <c r="T166"/>
  <c r="U166"/>
  <c r="J166" l="1"/>
  <c r="I166"/>
  <c r="H166"/>
  <c r="G166"/>
  <c r="Y166"/>
  <c r="Z166"/>
  <c r="AA166"/>
  <c r="N167"/>
  <c r="O167"/>
  <c r="P167"/>
  <c r="Q167"/>
  <c r="R167"/>
  <c r="S167"/>
  <c r="T167"/>
  <c r="U167"/>
  <c r="J167" l="1"/>
  <c r="I167"/>
  <c r="H167"/>
  <c r="G167"/>
  <c r="Y167"/>
  <c r="Z167"/>
  <c r="AA167"/>
  <c r="N168"/>
  <c r="O168"/>
  <c r="P168"/>
  <c r="Q168"/>
  <c r="R168"/>
  <c r="S168"/>
  <c r="T168"/>
  <c r="U168"/>
  <c r="J168" l="1"/>
  <c r="I168"/>
  <c r="H168"/>
  <c r="G168"/>
  <c r="Y168"/>
  <c r="Z168"/>
  <c r="AA168"/>
  <c r="N169"/>
  <c r="O169"/>
  <c r="P169"/>
  <c r="Q169"/>
  <c r="R169"/>
  <c r="S169"/>
  <c r="T169"/>
  <c r="U169"/>
  <c r="J169" l="1"/>
  <c r="I169"/>
  <c r="H169"/>
  <c r="G169"/>
  <c r="Y169"/>
  <c r="Z169"/>
  <c r="AA169"/>
  <c r="N170"/>
  <c r="O170"/>
  <c r="P170"/>
  <c r="Q170"/>
  <c r="R170"/>
  <c r="S170"/>
  <c r="T170"/>
  <c r="U170"/>
  <c r="J170" l="1"/>
  <c r="I170"/>
  <c r="H170"/>
  <c r="G170"/>
  <c r="Y170"/>
  <c r="Z170"/>
  <c r="AA170"/>
  <c r="N171"/>
  <c r="O171"/>
  <c r="P171"/>
  <c r="Q171"/>
  <c r="R171"/>
  <c r="S171"/>
  <c r="T171"/>
  <c r="U171"/>
  <c r="J171" l="1"/>
  <c r="I171"/>
  <c r="H171"/>
  <c r="G171"/>
  <c r="Y171"/>
  <c r="Z171"/>
  <c r="AA171"/>
  <c r="N172"/>
  <c r="O172"/>
  <c r="P172"/>
  <c r="Q172"/>
  <c r="R172"/>
  <c r="S172"/>
  <c r="T172"/>
  <c r="U172"/>
  <c r="J172" l="1"/>
  <c r="I172"/>
  <c r="H172"/>
  <c r="G172"/>
  <c r="Y172"/>
  <c r="Z172"/>
  <c r="AA172"/>
  <c r="N173"/>
  <c r="O173"/>
  <c r="P173"/>
  <c r="Q173"/>
  <c r="R173"/>
  <c r="S173"/>
  <c r="T173"/>
  <c r="U173"/>
  <c r="J173" l="1"/>
  <c r="I173"/>
  <c r="H173"/>
  <c r="G173"/>
  <c r="Y173"/>
  <c r="Z173"/>
  <c r="AA173"/>
  <c r="N174"/>
  <c r="O174"/>
  <c r="P174"/>
  <c r="Q174"/>
  <c r="R174"/>
  <c r="S174"/>
  <c r="T174"/>
  <c r="U174"/>
  <c r="J174" l="1"/>
  <c r="I174"/>
  <c r="H174"/>
  <c r="G174"/>
  <c r="Y174"/>
  <c r="Z174"/>
  <c r="AA174"/>
  <c r="N175"/>
  <c r="O175"/>
  <c r="P175"/>
  <c r="Q175"/>
  <c r="R175"/>
  <c r="S175"/>
  <c r="T175"/>
  <c r="U175"/>
  <c r="J175" l="1"/>
  <c r="I175"/>
  <c r="H175"/>
  <c r="G175"/>
  <c r="Y175"/>
  <c r="Z175"/>
  <c r="AA175"/>
  <c r="N176"/>
  <c r="O176"/>
  <c r="P176"/>
  <c r="Q176"/>
  <c r="R176"/>
  <c r="S176"/>
  <c r="T176"/>
  <c r="U176"/>
  <c r="J176" l="1"/>
  <c r="I176"/>
  <c r="H176"/>
  <c r="G176"/>
  <c r="Y176"/>
  <c r="Z176"/>
  <c r="AA176"/>
  <c r="N177"/>
  <c r="O177"/>
  <c r="P177"/>
  <c r="Q177"/>
  <c r="R177"/>
  <c r="S177"/>
  <c r="T177"/>
  <c r="U177"/>
  <c r="J177" l="1"/>
  <c r="I177"/>
  <c r="H177"/>
  <c r="G177"/>
  <c r="Y177"/>
  <c r="Z177"/>
  <c r="AA177"/>
  <c r="N178"/>
  <c r="O178"/>
  <c r="P178"/>
  <c r="Q178"/>
  <c r="R178"/>
  <c r="S178"/>
  <c r="T178"/>
  <c r="U178"/>
  <c r="J178" l="1"/>
  <c r="I178"/>
  <c r="H178"/>
  <c r="G178"/>
  <c r="Y178"/>
  <c r="Z178"/>
  <c r="AA178"/>
  <c r="N179"/>
  <c r="O179"/>
  <c r="P179"/>
  <c r="Q179"/>
  <c r="R179"/>
  <c r="S179"/>
  <c r="T179"/>
  <c r="U179"/>
  <c r="J179" l="1"/>
  <c r="I179"/>
  <c r="H179"/>
  <c r="G179"/>
  <c r="Y179"/>
  <c r="Z179"/>
  <c r="AA179"/>
  <c r="N180"/>
  <c r="O180"/>
  <c r="P180"/>
  <c r="Q180"/>
  <c r="R180"/>
  <c r="S180"/>
  <c r="T180"/>
  <c r="U180"/>
  <c r="J180" l="1"/>
  <c r="I180"/>
  <c r="H180"/>
  <c r="G180"/>
  <c r="Y180"/>
  <c r="Z180"/>
  <c r="AA180"/>
  <c r="N181"/>
  <c r="O181"/>
  <c r="P181"/>
  <c r="Q181"/>
  <c r="R181"/>
  <c r="S181"/>
  <c r="T181"/>
  <c r="U181"/>
  <c r="J181" l="1"/>
  <c r="I181"/>
  <c r="H181"/>
  <c r="G181"/>
  <c r="Y181"/>
  <c r="Z181"/>
  <c r="AA181"/>
  <c r="N182"/>
  <c r="O182"/>
  <c r="P182"/>
  <c r="Q182"/>
  <c r="R182"/>
  <c r="S182"/>
  <c r="T182"/>
  <c r="U182"/>
  <c r="J182" l="1"/>
  <c r="I182"/>
  <c r="H182"/>
  <c r="G182"/>
  <c r="Y182"/>
  <c r="Z182"/>
  <c r="AA182"/>
  <c r="N183"/>
  <c r="O183"/>
  <c r="P183"/>
  <c r="Q183"/>
  <c r="R183"/>
  <c r="S183"/>
  <c r="T183"/>
  <c r="U183"/>
  <c r="J183" l="1"/>
  <c r="I183"/>
  <c r="H183"/>
  <c r="G183"/>
  <c r="Y183"/>
  <c r="Z183"/>
  <c r="AA183"/>
  <c r="N184"/>
  <c r="O184"/>
  <c r="P184"/>
  <c r="Q184"/>
  <c r="R184"/>
  <c r="S184"/>
  <c r="T184"/>
  <c r="U184"/>
  <c r="J184" l="1"/>
  <c r="I184"/>
  <c r="H184"/>
  <c r="G184"/>
  <c r="Y184"/>
  <c r="Z184"/>
  <c r="AA184"/>
  <c r="N185"/>
  <c r="O185"/>
  <c r="P185"/>
  <c r="Q185"/>
  <c r="R185"/>
  <c r="S185"/>
  <c r="T185"/>
  <c r="U185"/>
  <c r="J185" l="1"/>
  <c r="I185"/>
  <c r="H185"/>
  <c r="G185"/>
  <c r="Y185"/>
  <c r="Z185"/>
  <c r="AA185"/>
  <c r="N186"/>
  <c r="O186"/>
  <c r="P186"/>
  <c r="Q186"/>
  <c r="R186"/>
  <c r="S186"/>
  <c r="T186"/>
  <c r="U186"/>
  <c r="J186" l="1"/>
  <c r="I186"/>
  <c r="H186"/>
  <c r="G186"/>
  <c r="Y186"/>
  <c r="Z186"/>
  <c r="AA186"/>
  <c r="N187"/>
  <c r="O187"/>
  <c r="P187"/>
  <c r="Q187"/>
  <c r="R187"/>
  <c r="S187"/>
  <c r="T187"/>
  <c r="U187"/>
  <c r="J187" l="1"/>
  <c r="I187"/>
  <c r="H187"/>
  <c r="G187"/>
  <c r="Y187"/>
  <c r="Z187"/>
  <c r="AA187"/>
  <c r="N188"/>
  <c r="O188"/>
  <c r="P188"/>
  <c r="Q188"/>
  <c r="R188"/>
  <c r="S188"/>
  <c r="T188"/>
  <c r="U188"/>
  <c r="J188" l="1"/>
  <c r="I188"/>
  <c r="H188"/>
  <c r="G188"/>
  <c r="Y188"/>
  <c r="Z188"/>
  <c r="AA188"/>
  <c r="N189"/>
  <c r="O189"/>
  <c r="P189"/>
  <c r="Q189"/>
  <c r="R189"/>
  <c r="S189"/>
  <c r="T189"/>
  <c r="U189"/>
  <c r="J189" l="1"/>
  <c r="I189"/>
  <c r="H189"/>
  <c r="G189"/>
  <c r="Y189"/>
  <c r="Z189"/>
  <c r="AA189"/>
  <c r="N190"/>
  <c r="O190"/>
  <c r="P190"/>
  <c r="Q190"/>
  <c r="R190"/>
  <c r="S190"/>
  <c r="T190"/>
  <c r="U190"/>
  <c r="J190" l="1"/>
  <c r="I190"/>
  <c r="H190"/>
  <c r="G190"/>
  <c r="Y190"/>
  <c r="Z190"/>
  <c r="AA190"/>
  <c r="N191"/>
  <c r="O191"/>
  <c r="P191"/>
  <c r="Q191"/>
  <c r="R191"/>
  <c r="S191"/>
  <c r="T191"/>
  <c r="U191"/>
  <c r="J191" l="1"/>
  <c r="I191"/>
  <c r="H191"/>
  <c r="G191"/>
  <c r="Y191"/>
  <c r="Z191"/>
  <c r="AA191"/>
  <c r="N192"/>
  <c r="O192"/>
  <c r="P192"/>
  <c r="Q192"/>
  <c r="R192"/>
  <c r="S192"/>
  <c r="T192"/>
  <c r="U192"/>
  <c r="J192" l="1"/>
  <c r="I192"/>
  <c r="H192"/>
  <c r="G192"/>
  <c r="Y192"/>
  <c r="Z192"/>
  <c r="AA192"/>
  <c r="N193"/>
  <c r="O193"/>
  <c r="P193"/>
  <c r="Q193"/>
  <c r="R193"/>
  <c r="S193"/>
  <c r="T193"/>
  <c r="U193"/>
  <c r="J193" l="1"/>
  <c r="I193"/>
  <c r="H193"/>
  <c r="G193"/>
  <c r="Y193"/>
  <c r="Z193"/>
  <c r="AA193"/>
  <c r="N194"/>
  <c r="O194"/>
  <c r="P194"/>
  <c r="Q194"/>
  <c r="R194"/>
  <c r="S194"/>
  <c r="T194"/>
  <c r="U194"/>
  <c r="J194" l="1"/>
  <c r="I194"/>
  <c r="H194"/>
  <c r="G194"/>
  <c r="Y194"/>
  <c r="Z194"/>
  <c r="AA194"/>
  <c r="N195"/>
  <c r="O195"/>
  <c r="P195"/>
  <c r="Q195"/>
  <c r="R195"/>
  <c r="S195"/>
  <c r="T195"/>
  <c r="U195"/>
  <c r="J195" l="1"/>
  <c r="I195"/>
  <c r="H195"/>
  <c r="G195"/>
  <c r="Y195"/>
  <c r="Z195"/>
  <c r="AA195"/>
  <c r="N196"/>
  <c r="O196"/>
  <c r="P196"/>
  <c r="Q196"/>
  <c r="R196"/>
  <c r="S196"/>
  <c r="T196"/>
  <c r="U196"/>
  <c r="J196" l="1"/>
  <c r="I196"/>
  <c r="H196"/>
  <c r="G196"/>
  <c r="Y196"/>
  <c r="Z196"/>
  <c r="AA196"/>
  <c r="N197"/>
  <c r="O197"/>
  <c r="P197"/>
  <c r="Q197"/>
  <c r="R197"/>
  <c r="S197"/>
  <c r="T197"/>
  <c r="U197"/>
  <c r="J197" l="1"/>
  <c r="I197"/>
  <c r="H197"/>
  <c r="G197"/>
  <c r="Y197"/>
  <c r="Z197"/>
  <c r="AA197"/>
  <c r="N198"/>
  <c r="O198"/>
  <c r="P198"/>
  <c r="Q198"/>
  <c r="R198"/>
  <c r="S198"/>
  <c r="T198"/>
  <c r="U198"/>
  <c r="J198" l="1"/>
  <c r="I198"/>
  <c r="H198"/>
  <c r="G198"/>
  <c r="Y198"/>
  <c r="Z198"/>
  <c r="AA198"/>
  <c r="N199"/>
  <c r="O199"/>
  <c r="P199"/>
  <c r="Q199"/>
  <c r="R199"/>
  <c r="S199"/>
  <c r="T199"/>
  <c r="U199"/>
  <c r="J199" l="1"/>
  <c r="I199"/>
  <c r="H199"/>
  <c r="G199"/>
  <c r="Y199"/>
  <c r="Z199"/>
  <c r="AA199"/>
  <c r="N200"/>
  <c r="O200"/>
  <c r="P200"/>
  <c r="Q200"/>
  <c r="R200"/>
  <c r="S200"/>
  <c r="T200"/>
  <c r="U200"/>
  <c r="J200" l="1"/>
  <c r="I200"/>
  <c r="H200"/>
  <c r="G200"/>
  <c r="Y200"/>
  <c r="Z200"/>
  <c r="AA200"/>
  <c r="N201"/>
  <c r="O201"/>
  <c r="P201"/>
  <c r="Q201"/>
  <c r="R201"/>
  <c r="S201"/>
  <c r="T201"/>
  <c r="U201"/>
  <c r="J201" l="1"/>
  <c r="I201"/>
  <c r="H201"/>
  <c r="G201"/>
  <c r="Y201"/>
  <c r="Z201"/>
  <c r="AA201"/>
  <c r="N202"/>
  <c r="O202"/>
  <c r="P202"/>
  <c r="Q202"/>
  <c r="R202"/>
  <c r="S202"/>
  <c r="T202"/>
  <c r="U202"/>
  <c r="J202" l="1"/>
  <c r="I202"/>
  <c r="H202"/>
  <c r="G202"/>
  <c r="Y202"/>
  <c r="Z202"/>
  <c r="AA202"/>
  <c r="N203"/>
  <c r="O203"/>
  <c r="P203"/>
  <c r="Q203"/>
  <c r="R203"/>
  <c r="S203"/>
  <c r="T203"/>
  <c r="U203"/>
  <c r="J203" l="1"/>
  <c r="I203"/>
  <c r="H203"/>
  <c r="G203"/>
  <c r="Y203"/>
  <c r="Z203"/>
  <c r="AA203"/>
  <c r="N204"/>
  <c r="O204"/>
  <c r="P204"/>
  <c r="Q204"/>
  <c r="R204"/>
  <c r="S204"/>
  <c r="T204"/>
  <c r="U204"/>
  <c r="J204" l="1"/>
  <c r="I204"/>
  <c r="H204"/>
  <c r="G204"/>
  <c r="Y204"/>
  <c r="Z204"/>
  <c r="AA204"/>
  <c r="N205"/>
  <c r="O205"/>
  <c r="P205"/>
  <c r="Q205"/>
  <c r="R205"/>
  <c r="S205"/>
  <c r="T205"/>
  <c r="U205"/>
  <c r="J205" l="1"/>
  <c r="I205"/>
  <c r="H205"/>
  <c r="G205"/>
  <c r="Y205"/>
  <c r="Z205"/>
  <c r="AA205"/>
  <c r="N206"/>
  <c r="O206"/>
  <c r="P206"/>
  <c r="Q206"/>
  <c r="R206"/>
  <c r="S206"/>
  <c r="T206"/>
  <c r="U206"/>
  <c r="J206" l="1"/>
  <c r="I206"/>
  <c r="H206"/>
  <c r="G206"/>
  <c r="Y206"/>
  <c r="Z206"/>
  <c r="AA206"/>
  <c r="N207"/>
  <c r="O207"/>
  <c r="P207"/>
  <c r="Q207"/>
  <c r="R207"/>
  <c r="S207"/>
  <c r="T207"/>
  <c r="U207"/>
  <c r="J207" l="1"/>
  <c r="I207"/>
  <c r="H207"/>
  <c r="G207"/>
  <c r="Y207"/>
  <c r="Z207"/>
  <c r="AA207"/>
  <c r="N208"/>
  <c r="O208"/>
  <c r="P208"/>
  <c r="Q208"/>
  <c r="R208"/>
  <c r="S208"/>
  <c r="T208"/>
  <c r="U208"/>
  <c r="J208" l="1"/>
  <c r="I208"/>
  <c r="H208"/>
  <c r="G208"/>
  <c r="Y208"/>
  <c r="Z208"/>
  <c r="AA208"/>
  <c r="N209"/>
  <c r="O209"/>
  <c r="P209"/>
  <c r="Q209"/>
  <c r="R209"/>
  <c r="S209"/>
  <c r="T209"/>
  <c r="U209"/>
  <c r="J209" l="1"/>
  <c r="I209"/>
  <c r="H209"/>
  <c r="G209"/>
  <c r="Y209"/>
  <c r="Z209"/>
  <c r="AA209"/>
  <c r="N210"/>
  <c r="O210"/>
  <c r="P210"/>
  <c r="Q210"/>
  <c r="R210"/>
  <c r="S210"/>
  <c r="T210"/>
  <c r="U210"/>
  <c r="J210" l="1"/>
  <c r="I210"/>
  <c r="H210"/>
  <c r="G210"/>
  <c r="Y210"/>
  <c r="Z210"/>
  <c r="AA210"/>
  <c r="N211"/>
  <c r="O211"/>
  <c r="P211"/>
  <c r="Q211"/>
  <c r="R211"/>
  <c r="S211"/>
  <c r="T211"/>
  <c r="U211"/>
  <c r="J211" l="1"/>
  <c r="I211"/>
  <c r="H211"/>
  <c r="G211"/>
  <c r="Y211"/>
  <c r="Z211"/>
  <c r="AA211"/>
  <c r="N212"/>
  <c r="O212"/>
  <c r="P212"/>
  <c r="Q212"/>
  <c r="R212"/>
  <c r="S212"/>
  <c r="T212"/>
  <c r="U212"/>
  <c r="J212" l="1"/>
  <c r="I212"/>
  <c r="H212"/>
  <c r="G212"/>
  <c r="Y212"/>
  <c r="Z212"/>
  <c r="AA212"/>
  <c r="N213"/>
  <c r="O213"/>
  <c r="P213"/>
  <c r="Q213"/>
  <c r="R213"/>
  <c r="S213"/>
  <c r="T213"/>
  <c r="U213"/>
  <c r="J213" l="1"/>
  <c r="I213"/>
  <c r="H213"/>
  <c r="G213"/>
  <c r="Y213"/>
  <c r="Z213"/>
  <c r="AA213"/>
  <c r="N214"/>
  <c r="O214"/>
  <c r="P214"/>
  <c r="Q214"/>
  <c r="R214"/>
  <c r="S214"/>
  <c r="T214"/>
  <c r="U214"/>
  <c r="J214" l="1"/>
  <c r="I214"/>
  <c r="H214"/>
  <c r="G214"/>
  <c r="Y214"/>
  <c r="Z214"/>
  <c r="AA214"/>
  <c r="N215"/>
  <c r="O215"/>
  <c r="P215"/>
  <c r="Q215"/>
  <c r="R215"/>
  <c r="S215"/>
  <c r="T215"/>
  <c r="U215"/>
  <c r="J215" l="1"/>
  <c r="I215"/>
  <c r="H215"/>
  <c r="G215"/>
  <c r="Y215"/>
  <c r="Z215"/>
  <c r="AA215"/>
  <c r="N216"/>
  <c r="O216"/>
  <c r="P216"/>
  <c r="Q216"/>
  <c r="R216"/>
  <c r="S216"/>
  <c r="T216"/>
  <c r="U216"/>
  <c r="J216" l="1"/>
  <c r="I216"/>
  <c r="H216"/>
  <c r="G216"/>
  <c r="Y216"/>
  <c r="Z216"/>
  <c r="AA216"/>
  <c r="N217"/>
  <c r="O217"/>
  <c r="P217"/>
  <c r="Q217"/>
  <c r="R217"/>
  <c r="S217"/>
  <c r="T217"/>
  <c r="U217"/>
  <c r="J217" l="1"/>
  <c r="I217"/>
  <c r="H217"/>
  <c r="G217"/>
  <c r="Y217"/>
  <c r="Z217"/>
  <c r="AA217"/>
  <c r="N218"/>
  <c r="O218"/>
  <c r="P218"/>
  <c r="Q218"/>
  <c r="R218"/>
  <c r="S218"/>
  <c r="T218"/>
  <c r="U218"/>
  <c r="J218" l="1"/>
  <c r="I218"/>
  <c r="H218"/>
  <c r="G218"/>
  <c r="Y218"/>
  <c r="Z218"/>
  <c r="AA218"/>
  <c r="N219"/>
  <c r="O219"/>
  <c r="P219"/>
  <c r="Q219"/>
  <c r="R219"/>
  <c r="S219"/>
  <c r="T219"/>
  <c r="U219"/>
  <c r="J219" l="1"/>
  <c r="I219"/>
  <c r="H219"/>
  <c r="G219"/>
  <c r="Y219"/>
  <c r="Z219"/>
  <c r="AA219"/>
  <c r="N220"/>
  <c r="O220"/>
  <c r="P220"/>
  <c r="Q220"/>
  <c r="R220"/>
  <c r="S220"/>
  <c r="T220"/>
  <c r="U220"/>
  <c r="J220" l="1"/>
  <c r="I220"/>
  <c r="H220"/>
  <c r="G220"/>
  <c r="Y220"/>
  <c r="Z220"/>
  <c r="AA220"/>
  <c r="N221"/>
  <c r="O221"/>
  <c r="P221"/>
  <c r="Q221"/>
  <c r="R221"/>
  <c r="S221"/>
  <c r="T221"/>
  <c r="U221"/>
  <c r="J221" l="1"/>
  <c r="I221"/>
  <c r="H221"/>
  <c r="G221"/>
  <c r="Y221"/>
  <c r="Z221"/>
  <c r="AA221"/>
  <c r="N222"/>
  <c r="O222"/>
  <c r="P222"/>
  <c r="Q222"/>
  <c r="R222"/>
  <c r="S222"/>
  <c r="T222"/>
  <c r="U222"/>
  <c r="J222" l="1"/>
  <c r="I222"/>
  <c r="H222"/>
  <c r="G222"/>
  <c r="Y222"/>
  <c r="Z222"/>
  <c r="AA222"/>
  <c r="N223"/>
  <c r="O223"/>
  <c r="P223"/>
  <c r="Q223"/>
  <c r="R223"/>
  <c r="S223"/>
  <c r="T223"/>
  <c r="U223"/>
  <c r="J223" l="1"/>
  <c r="I223"/>
  <c r="H223"/>
  <c r="G223"/>
  <c r="Y223"/>
  <c r="Z223"/>
  <c r="AA223"/>
  <c r="N224"/>
  <c r="O224"/>
  <c r="P224"/>
  <c r="Q224"/>
  <c r="R224"/>
  <c r="S224"/>
  <c r="T224"/>
  <c r="U224"/>
  <c r="J224" l="1"/>
  <c r="I224"/>
  <c r="H224"/>
  <c r="G224"/>
  <c r="Y224"/>
  <c r="Z224"/>
  <c r="AA224"/>
  <c r="N225"/>
  <c r="O225"/>
  <c r="P225"/>
  <c r="Q225"/>
  <c r="R225"/>
  <c r="S225"/>
  <c r="T225"/>
  <c r="U225"/>
  <c r="J225" l="1"/>
  <c r="I225"/>
  <c r="H225"/>
  <c r="G225"/>
  <c r="Y225"/>
  <c r="Z225"/>
  <c r="AA225"/>
  <c r="N226"/>
  <c r="O226"/>
  <c r="P226"/>
  <c r="Q226"/>
  <c r="R226"/>
  <c r="S226"/>
  <c r="T226"/>
  <c r="U226"/>
  <c r="J226" l="1"/>
  <c r="I226"/>
  <c r="H226"/>
  <c r="G226"/>
  <c r="Y226"/>
  <c r="Z226"/>
  <c r="AA226"/>
  <c r="N227"/>
  <c r="O227"/>
  <c r="P227"/>
  <c r="Q227"/>
  <c r="R227"/>
  <c r="S227"/>
  <c r="T227"/>
  <c r="U227"/>
  <c r="J227" l="1"/>
  <c r="I227"/>
  <c r="H227"/>
  <c r="G227"/>
  <c r="Y227"/>
  <c r="Z227"/>
  <c r="AA227"/>
  <c r="N228"/>
  <c r="O228"/>
  <c r="P228"/>
  <c r="Q228"/>
  <c r="R228"/>
  <c r="S228"/>
  <c r="T228"/>
  <c r="U228"/>
  <c r="J228" l="1"/>
  <c r="I228"/>
  <c r="H228"/>
  <c r="G228"/>
  <c r="Y228"/>
  <c r="Z228"/>
  <c r="AA228"/>
  <c r="N229"/>
  <c r="O229"/>
  <c r="P229"/>
  <c r="Q229"/>
  <c r="R229"/>
  <c r="S229"/>
  <c r="T229"/>
  <c r="U229"/>
  <c r="J229" l="1"/>
  <c r="I229"/>
  <c r="H229"/>
  <c r="G229"/>
  <c r="Y229"/>
  <c r="Z229"/>
  <c r="AA229"/>
  <c r="N230"/>
  <c r="O230"/>
  <c r="P230"/>
  <c r="Q230"/>
  <c r="R230"/>
  <c r="S230"/>
  <c r="T230"/>
  <c r="U230"/>
  <c r="J230" l="1"/>
  <c r="I230"/>
  <c r="H230"/>
  <c r="G230"/>
  <c r="Y230"/>
  <c r="Z230"/>
  <c r="AA230"/>
  <c r="N231"/>
  <c r="O231"/>
  <c r="P231"/>
  <c r="Q231"/>
  <c r="R231"/>
  <c r="S231"/>
  <c r="T231"/>
  <c r="U231"/>
  <c r="J231" l="1"/>
  <c r="I231"/>
  <c r="H231"/>
  <c r="G231"/>
  <c r="Y231"/>
  <c r="Z231"/>
  <c r="AA231"/>
  <c r="N232"/>
  <c r="O232"/>
  <c r="P232"/>
  <c r="Q232"/>
  <c r="R232"/>
  <c r="S232"/>
  <c r="T232"/>
  <c r="U232"/>
  <c r="J232" l="1"/>
  <c r="I232"/>
  <c r="H232"/>
  <c r="G232"/>
  <c r="Y232"/>
  <c r="Z232"/>
  <c r="AA232"/>
  <c r="N233"/>
  <c r="O233"/>
  <c r="P233"/>
  <c r="Q233"/>
  <c r="R233"/>
  <c r="S233"/>
  <c r="T233"/>
  <c r="U233"/>
  <c r="J233" l="1"/>
  <c r="I233"/>
  <c r="H233"/>
  <c r="G233"/>
  <c r="Y233"/>
  <c r="Z233"/>
  <c r="AA233"/>
  <c r="N234"/>
  <c r="O234"/>
  <c r="P234"/>
  <c r="Q234"/>
  <c r="R234"/>
  <c r="S234"/>
  <c r="T234"/>
  <c r="U234"/>
  <c r="J234" l="1"/>
  <c r="I234"/>
  <c r="H234"/>
  <c r="G234"/>
  <c r="Y234"/>
  <c r="Z234"/>
  <c r="AA234"/>
  <c r="N235"/>
  <c r="O235"/>
  <c r="P235"/>
  <c r="Q235"/>
  <c r="R235"/>
  <c r="S235"/>
  <c r="T235"/>
  <c r="U235"/>
  <c r="J235" l="1"/>
  <c r="I235"/>
  <c r="H235"/>
  <c r="G235"/>
  <c r="Y235"/>
  <c r="Z235"/>
  <c r="AA235"/>
  <c r="N236"/>
  <c r="O236"/>
  <c r="P236"/>
  <c r="Q236"/>
  <c r="R236"/>
  <c r="S236"/>
  <c r="T236"/>
  <c r="U236"/>
  <c r="J236" l="1"/>
  <c r="I236"/>
  <c r="H236"/>
  <c r="G236"/>
  <c r="Y236"/>
  <c r="Z236"/>
  <c r="AA236"/>
  <c r="N237"/>
  <c r="O237"/>
  <c r="P237"/>
  <c r="Q237"/>
  <c r="R237"/>
  <c r="S237"/>
  <c r="T237"/>
  <c r="U237"/>
  <c r="J237" l="1"/>
  <c r="I237"/>
  <c r="H237"/>
  <c r="G237"/>
  <c r="Y237"/>
  <c r="Z237"/>
  <c r="AA237"/>
  <c r="N238"/>
  <c r="O238"/>
  <c r="P238"/>
  <c r="Q238"/>
  <c r="R238"/>
  <c r="S238"/>
  <c r="T238"/>
  <c r="U238"/>
  <c r="J238" l="1"/>
  <c r="I238"/>
  <c r="H238"/>
  <c r="G238"/>
  <c r="Y238"/>
  <c r="Z238"/>
  <c r="AA238"/>
  <c r="N239"/>
  <c r="O239"/>
  <c r="P239"/>
  <c r="Q239"/>
  <c r="R239"/>
  <c r="S239"/>
  <c r="T239"/>
  <c r="U239"/>
  <c r="J239" l="1"/>
  <c r="I239"/>
  <c r="H239"/>
  <c r="G239"/>
  <c r="Y239"/>
  <c r="Z239"/>
  <c r="AA239"/>
  <c r="N240"/>
  <c r="O240"/>
  <c r="P240"/>
  <c r="Q240"/>
  <c r="R240"/>
  <c r="S240"/>
  <c r="T240"/>
  <c r="U240"/>
  <c r="J240" l="1"/>
  <c r="I240"/>
  <c r="H240"/>
  <c r="G240"/>
  <c r="Y240"/>
  <c r="Z240"/>
  <c r="AA240"/>
  <c r="N241"/>
  <c r="O241"/>
  <c r="P241"/>
  <c r="Q241"/>
  <c r="R241"/>
  <c r="S241"/>
  <c r="T241"/>
  <c r="U241"/>
  <c r="J241" l="1"/>
  <c r="I241"/>
  <c r="H241"/>
  <c r="G241"/>
  <c r="Y241"/>
  <c r="Z241"/>
  <c r="AA241"/>
  <c r="N242"/>
  <c r="O242"/>
  <c r="P242"/>
  <c r="Q242"/>
  <c r="R242"/>
  <c r="S242"/>
  <c r="T242"/>
  <c r="U242"/>
  <c r="J242" l="1"/>
  <c r="I242"/>
  <c r="H242"/>
  <c r="G242"/>
  <c r="Y242"/>
  <c r="Z242"/>
  <c r="AA242"/>
  <c r="N243"/>
  <c r="O243"/>
  <c r="P243"/>
  <c r="Q243"/>
  <c r="R243"/>
  <c r="S243"/>
  <c r="T243"/>
  <c r="U243"/>
  <c r="J243" l="1"/>
  <c r="I243"/>
  <c r="H243"/>
  <c r="G243"/>
  <c r="Y243"/>
  <c r="Z243"/>
  <c r="AA243"/>
  <c r="N244"/>
  <c r="O244"/>
  <c r="P244"/>
  <c r="Q244"/>
  <c r="R244"/>
  <c r="S244"/>
  <c r="T244"/>
  <c r="U244"/>
  <c r="J244" l="1"/>
  <c r="I244"/>
  <c r="H244"/>
  <c r="G244"/>
  <c r="Y244"/>
  <c r="Z244"/>
  <c r="AA244"/>
  <c r="N245"/>
  <c r="O245"/>
  <c r="P245"/>
  <c r="Q245"/>
  <c r="R245"/>
  <c r="S245"/>
  <c r="T245"/>
  <c r="U245"/>
  <c r="J245" l="1"/>
  <c r="I245"/>
  <c r="H245"/>
  <c r="G245"/>
  <c r="Y245"/>
  <c r="Z245"/>
  <c r="AA245"/>
  <c r="N246"/>
  <c r="O246"/>
  <c r="P246"/>
  <c r="Q246"/>
  <c r="R246"/>
  <c r="S246"/>
  <c r="T246"/>
  <c r="U246"/>
  <c r="J246" l="1"/>
  <c r="I246"/>
  <c r="H246"/>
  <c r="G246"/>
  <c r="Y246"/>
  <c r="Z246"/>
  <c r="AA246"/>
  <c r="N247"/>
  <c r="O247"/>
  <c r="P247"/>
  <c r="Q247"/>
  <c r="R247"/>
  <c r="S247"/>
  <c r="T247"/>
  <c r="U247"/>
  <c r="J247" l="1"/>
  <c r="I247"/>
  <c r="H247"/>
  <c r="G247"/>
  <c r="Y247"/>
  <c r="Z247"/>
  <c r="AA247"/>
  <c r="N248"/>
  <c r="O248"/>
  <c r="P248"/>
  <c r="Q248"/>
  <c r="R248"/>
  <c r="S248"/>
  <c r="T248"/>
  <c r="U248"/>
  <c r="J248" l="1"/>
  <c r="I248"/>
  <c r="H248"/>
  <c r="G248"/>
  <c r="Y248"/>
  <c r="Z248"/>
  <c r="AA248"/>
  <c r="N249"/>
  <c r="O249"/>
  <c r="P249"/>
  <c r="Q249"/>
  <c r="R249"/>
  <c r="S249"/>
  <c r="T249"/>
  <c r="U249"/>
  <c r="J249" l="1"/>
  <c r="I249"/>
  <c r="H249"/>
  <c r="G249"/>
  <c r="Y249"/>
  <c r="Z249"/>
  <c r="AA249"/>
  <c r="N250"/>
  <c r="O250"/>
  <c r="P250"/>
  <c r="Q250"/>
  <c r="R250"/>
  <c r="S250"/>
  <c r="T250"/>
  <c r="U250"/>
  <c r="J250" l="1"/>
  <c r="I250"/>
  <c r="H250"/>
  <c r="G250"/>
  <c r="Y250"/>
  <c r="Z250"/>
  <c r="AA250"/>
  <c r="N251"/>
  <c r="O251"/>
  <c r="P251"/>
  <c r="Q251"/>
  <c r="R251"/>
  <c r="S251"/>
  <c r="T251"/>
  <c r="U251"/>
  <c r="J251" l="1"/>
  <c r="I251"/>
  <c r="H251"/>
  <c r="G251"/>
  <c r="Y251"/>
  <c r="Z251"/>
  <c r="AA251"/>
  <c r="N252"/>
  <c r="O252"/>
  <c r="P252"/>
  <c r="Q252"/>
  <c r="R252"/>
  <c r="S252"/>
  <c r="T252"/>
  <c r="U252"/>
  <c r="J252" l="1"/>
  <c r="I252"/>
  <c r="H252"/>
  <c r="G252"/>
  <c r="Y252"/>
  <c r="Z252"/>
  <c r="AA252"/>
  <c r="N253"/>
  <c r="O253"/>
  <c r="P253"/>
  <c r="Q253"/>
  <c r="R253"/>
  <c r="S253"/>
  <c r="T253"/>
  <c r="U253"/>
  <c r="J253" l="1"/>
  <c r="I253"/>
  <c r="H253"/>
  <c r="G253"/>
  <c r="Y253"/>
  <c r="Z253"/>
  <c r="AA253"/>
  <c r="N254"/>
  <c r="O254"/>
  <c r="P254"/>
  <c r="Q254"/>
  <c r="R254"/>
  <c r="S254"/>
  <c r="T254"/>
  <c r="U254"/>
  <c r="J254" l="1"/>
  <c r="I254"/>
  <c r="H254"/>
  <c r="G254"/>
  <c r="Y254"/>
  <c r="Z254"/>
  <c r="AA254"/>
  <c r="N255"/>
  <c r="O255"/>
  <c r="P255"/>
  <c r="Q255"/>
  <c r="R255"/>
  <c r="S255"/>
  <c r="T255"/>
  <c r="U255"/>
  <c r="J255" l="1"/>
  <c r="I255"/>
  <c r="H255"/>
  <c r="G255"/>
  <c r="Y255"/>
  <c r="Z255"/>
  <c r="AA255"/>
  <c r="N256"/>
  <c r="O256"/>
  <c r="P256"/>
  <c r="Q256"/>
  <c r="R256"/>
  <c r="S256"/>
  <c r="T256"/>
  <c r="U256"/>
  <c r="J256" l="1"/>
  <c r="I256"/>
  <c r="H256"/>
  <c r="G256"/>
  <c r="Y256"/>
  <c r="Z256"/>
  <c r="AA256"/>
  <c r="N257"/>
  <c r="O257"/>
  <c r="P257"/>
  <c r="Q257"/>
  <c r="R257"/>
  <c r="S257"/>
  <c r="T257"/>
  <c r="U257"/>
  <c r="J257" l="1"/>
  <c r="I257"/>
  <c r="H257"/>
  <c r="G257"/>
  <c r="Y257"/>
  <c r="Z257"/>
  <c r="AA257"/>
  <c r="N258"/>
  <c r="O258"/>
  <c r="P258"/>
  <c r="Q258"/>
  <c r="R258"/>
  <c r="S258"/>
  <c r="T258"/>
  <c r="U258"/>
  <c r="J258" l="1"/>
  <c r="I258"/>
  <c r="H258"/>
  <c r="G258"/>
  <c r="Y258"/>
  <c r="Z258"/>
  <c r="AA258"/>
  <c r="N259"/>
  <c r="O259"/>
  <c r="P259"/>
  <c r="Q259"/>
  <c r="R259"/>
  <c r="S259"/>
  <c r="T259"/>
  <c r="U259"/>
  <c r="J259" l="1"/>
  <c r="I259"/>
  <c r="H259"/>
  <c r="G259"/>
  <c r="Y259"/>
  <c r="Z259"/>
  <c r="AA259"/>
  <c r="N260"/>
  <c r="O260"/>
  <c r="P260"/>
  <c r="Q260"/>
  <c r="R260"/>
  <c r="S260"/>
  <c r="T260"/>
  <c r="U260"/>
  <c r="J260" l="1"/>
  <c r="I260"/>
  <c r="H260"/>
  <c r="G260"/>
  <c r="Y260"/>
  <c r="Z260"/>
  <c r="AA260"/>
  <c r="N261"/>
  <c r="O261"/>
  <c r="P261"/>
  <c r="Q261"/>
  <c r="R261"/>
  <c r="S261"/>
  <c r="T261"/>
  <c r="U261"/>
  <c r="J261" l="1"/>
  <c r="I261"/>
  <c r="H261"/>
  <c r="G261"/>
  <c r="Y261"/>
  <c r="Z261"/>
  <c r="AA261"/>
  <c r="N262"/>
  <c r="O262"/>
  <c r="P262"/>
  <c r="Q262"/>
  <c r="R262"/>
  <c r="S262"/>
  <c r="T262"/>
  <c r="U262"/>
  <c r="J262" l="1"/>
  <c r="I262"/>
  <c r="H262"/>
  <c r="G262"/>
  <c r="Y262"/>
  <c r="Z262"/>
  <c r="AA262"/>
  <c r="N263"/>
  <c r="O263"/>
  <c r="P263"/>
  <c r="Q263"/>
  <c r="R263"/>
  <c r="S263"/>
  <c r="T263"/>
  <c r="U263"/>
  <c r="J263" l="1"/>
  <c r="I263"/>
  <c r="H263"/>
  <c r="G263"/>
  <c r="Y263"/>
  <c r="Z263"/>
  <c r="AA263"/>
  <c r="N264"/>
  <c r="O264"/>
  <c r="P264"/>
  <c r="Q264"/>
  <c r="R264"/>
  <c r="S264"/>
  <c r="T264"/>
  <c r="U264"/>
  <c r="J264" l="1"/>
  <c r="I264"/>
  <c r="H264"/>
  <c r="G264"/>
  <c r="Y264"/>
  <c r="Z264"/>
  <c r="AA264"/>
  <c r="N265"/>
  <c r="O265"/>
  <c r="P265"/>
  <c r="Q265"/>
  <c r="R265"/>
  <c r="S265"/>
  <c r="T265"/>
  <c r="U265"/>
  <c r="J265" l="1"/>
  <c r="I265"/>
  <c r="H265"/>
  <c r="G265"/>
  <c r="Y265"/>
  <c r="Z265"/>
  <c r="AA265"/>
  <c r="N266"/>
  <c r="O266"/>
  <c r="P266"/>
  <c r="Q266"/>
  <c r="R266"/>
  <c r="S266"/>
  <c r="T266"/>
  <c r="U266"/>
  <c r="J266" l="1"/>
  <c r="I266"/>
  <c r="H266"/>
  <c r="G266"/>
  <c r="Y266"/>
  <c r="Z266"/>
  <c r="AA266"/>
  <c r="N267"/>
  <c r="O267"/>
  <c r="P267"/>
  <c r="Q267"/>
  <c r="R267"/>
  <c r="S267"/>
  <c r="T267"/>
  <c r="U267"/>
  <c r="J267" l="1"/>
  <c r="I267"/>
  <c r="H267"/>
  <c r="G267"/>
  <c r="Y267"/>
  <c r="Z267"/>
  <c r="AA267"/>
  <c r="N268"/>
  <c r="O268"/>
  <c r="P268"/>
  <c r="Q268"/>
  <c r="R268"/>
  <c r="S268"/>
  <c r="T268"/>
  <c r="U268"/>
  <c r="J268" l="1"/>
  <c r="I268"/>
  <c r="H268"/>
  <c r="G268"/>
  <c r="Y268"/>
  <c r="Z268"/>
  <c r="AA268"/>
  <c r="N269"/>
  <c r="O269"/>
  <c r="P269"/>
  <c r="Q269"/>
  <c r="R269"/>
  <c r="S269"/>
  <c r="T269"/>
  <c r="U269"/>
  <c r="J269" l="1"/>
  <c r="I269"/>
  <c r="H269"/>
  <c r="G269"/>
  <c r="Y269"/>
  <c r="Z269"/>
  <c r="AA269"/>
  <c r="N270"/>
  <c r="O270"/>
  <c r="P270"/>
  <c r="Q270"/>
  <c r="R270"/>
  <c r="S270"/>
  <c r="T270"/>
  <c r="U270"/>
  <c r="J270" l="1"/>
  <c r="I270"/>
  <c r="H270"/>
  <c r="G270"/>
  <c r="Y270"/>
  <c r="Z270"/>
  <c r="AA270"/>
  <c r="N271"/>
  <c r="O271"/>
  <c r="P271"/>
  <c r="Q271"/>
  <c r="R271"/>
  <c r="S271"/>
  <c r="T271"/>
  <c r="U271"/>
  <c r="J271" l="1"/>
  <c r="I271"/>
  <c r="H271"/>
  <c r="G271"/>
  <c r="Y271"/>
  <c r="Z271"/>
  <c r="AA271"/>
  <c r="N272"/>
  <c r="O272"/>
  <c r="P272"/>
  <c r="Q272"/>
  <c r="R272"/>
  <c r="S272"/>
  <c r="T272"/>
  <c r="U272"/>
  <c r="J272" l="1"/>
  <c r="I272"/>
  <c r="H272"/>
  <c r="G272"/>
  <c r="Y272"/>
  <c r="Z272"/>
  <c r="AA272"/>
  <c r="N273"/>
  <c r="O273"/>
  <c r="P273"/>
  <c r="Q273"/>
  <c r="R273"/>
  <c r="S273"/>
  <c r="T273"/>
  <c r="U273"/>
  <c r="J273" l="1"/>
  <c r="I273"/>
  <c r="H273"/>
  <c r="G273"/>
  <c r="Y273"/>
  <c r="Z273"/>
  <c r="AA273"/>
  <c r="N274"/>
  <c r="O274"/>
  <c r="P274"/>
  <c r="Q274"/>
  <c r="R274"/>
  <c r="S274"/>
  <c r="T274"/>
  <c r="U274"/>
  <c r="J274" l="1"/>
  <c r="I274"/>
  <c r="H274"/>
  <c r="G274"/>
  <c r="Y274"/>
  <c r="Z274"/>
  <c r="AA274"/>
  <c r="N275"/>
  <c r="O275"/>
  <c r="P275"/>
  <c r="Q275"/>
  <c r="R275"/>
  <c r="S275"/>
  <c r="T275"/>
  <c r="U275"/>
  <c r="J275" l="1"/>
  <c r="I275"/>
  <c r="H275"/>
  <c r="G275"/>
  <c r="Y275"/>
  <c r="Z275"/>
  <c r="AA275"/>
  <c r="N276"/>
  <c r="O276"/>
  <c r="P276"/>
  <c r="Q276"/>
  <c r="R276"/>
  <c r="S276"/>
  <c r="T276"/>
  <c r="U276"/>
  <c r="J276" l="1"/>
  <c r="I276"/>
  <c r="H276"/>
  <c r="G276"/>
  <c r="Y276"/>
  <c r="Z276"/>
  <c r="AA276"/>
  <c r="N277"/>
  <c r="O277"/>
  <c r="P277"/>
  <c r="Q277"/>
  <c r="R277"/>
  <c r="S277"/>
  <c r="T277"/>
  <c r="U277"/>
  <c r="J277" l="1"/>
  <c r="I277"/>
  <c r="H277"/>
  <c r="G277"/>
  <c r="Y277"/>
  <c r="Z277"/>
  <c r="AA277"/>
  <c r="N278"/>
  <c r="O278"/>
  <c r="P278"/>
  <c r="Q278"/>
  <c r="R278"/>
  <c r="S278"/>
  <c r="T278"/>
  <c r="U278"/>
  <c r="J278" l="1"/>
  <c r="I278"/>
  <c r="H278"/>
  <c r="G278"/>
  <c r="Y278"/>
  <c r="Z278"/>
  <c r="AA278"/>
  <c r="N279"/>
  <c r="O279"/>
  <c r="P279"/>
  <c r="Q279"/>
  <c r="R279"/>
  <c r="S279"/>
  <c r="T279"/>
  <c r="U279"/>
  <c r="J279" l="1"/>
  <c r="I279"/>
  <c r="H279"/>
  <c r="G279"/>
  <c r="Y279"/>
  <c r="Z279"/>
  <c r="AA279"/>
  <c r="N280"/>
  <c r="O280"/>
  <c r="P280"/>
  <c r="Q280"/>
  <c r="R280"/>
  <c r="S280"/>
  <c r="T280"/>
  <c r="U280"/>
  <c r="J280" l="1"/>
  <c r="I280"/>
  <c r="H280"/>
  <c r="G280"/>
  <c r="Y280"/>
  <c r="Z280"/>
  <c r="AA280"/>
  <c r="N281"/>
  <c r="O281"/>
  <c r="P281"/>
  <c r="Q281"/>
  <c r="R281"/>
  <c r="S281"/>
  <c r="T281"/>
  <c r="U281"/>
  <c r="J281" l="1"/>
  <c r="I281"/>
  <c r="H281"/>
  <c r="G281"/>
  <c r="Y281"/>
  <c r="Z281"/>
  <c r="AA281"/>
  <c r="N282"/>
  <c r="O282"/>
  <c r="P282"/>
  <c r="Q282"/>
  <c r="R282"/>
  <c r="S282"/>
  <c r="T282"/>
  <c r="U282"/>
  <c r="J282" l="1"/>
  <c r="I282"/>
  <c r="H282"/>
  <c r="G282"/>
  <c r="Y282"/>
  <c r="Z282"/>
  <c r="AA282"/>
  <c r="N283"/>
  <c r="O283"/>
  <c r="P283"/>
  <c r="Q283"/>
  <c r="R283"/>
  <c r="S283"/>
  <c r="T283"/>
  <c r="U283"/>
  <c r="J283" l="1"/>
  <c r="I283"/>
  <c r="H283"/>
  <c r="G283"/>
  <c r="Y283"/>
  <c r="Z283"/>
  <c r="AA283"/>
  <c r="N284"/>
  <c r="O284"/>
  <c r="P284"/>
  <c r="Q284"/>
  <c r="R284"/>
  <c r="S284"/>
  <c r="T284"/>
  <c r="U284"/>
  <c r="J284" l="1"/>
  <c r="I284"/>
  <c r="H284"/>
  <c r="G284"/>
  <c r="Y284"/>
  <c r="Z284"/>
  <c r="AA284"/>
  <c r="N285"/>
  <c r="O285"/>
  <c r="P285"/>
  <c r="Q285"/>
  <c r="R285"/>
  <c r="S285"/>
  <c r="T285"/>
  <c r="U285"/>
  <c r="J285" l="1"/>
  <c r="I285"/>
  <c r="H285"/>
  <c r="G285"/>
  <c r="Y285"/>
  <c r="Z285"/>
  <c r="AA285"/>
  <c r="N286"/>
  <c r="O286"/>
  <c r="P286"/>
  <c r="Q286"/>
  <c r="R286"/>
  <c r="S286"/>
  <c r="T286"/>
  <c r="U286"/>
  <c r="J286" l="1"/>
  <c r="I286"/>
  <c r="H286"/>
  <c r="G286"/>
  <c r="Y286"/>
  <c r="Z286"/>
  <c r="AA286"/>
  <c r="N287"/>
  <c r="O287"/>
  <c r="P287"/>
  <c r="Q287"/>
  <c r="R287"/>
  <c r="S287"/>
  <c r="T287"/>
  <c r="U287"/>
  <c r="J287" l="1"/>
  <c r="I287"/>
  <c r="H287"/>
  <c r="G287"/>
  <c r="Y287"/>
  <c r="Z287"/>
  <c r="AA287"/>
  <c r="N288"/>
  <c r="O288"/>
  <c r="P288"/>
  <c r="Q288"/>
  <c r="R288"/>
  <c r="S288"/>
  <c r="T288"/>
  <c r="U288"/>
  <c r="J288" l="1"/>
  <c r="I288"/>
  <c r="H288"/>
  <c r="G288"/>
  <c r="Y288"/>
  <c r="Z288"/>
  <c r="AA288"/>
  <c r="N289"/>
  <c r="O289"/>
  <c r="P289"/>
  <c r="Q289"/>
  <c r="R289"/>
  <c r="S289"/>
  <c r="T289"/>
  <c r="U289"/>
  <c r="J289" l="1"/>
  <c r="I289"/>
  <c r="H289"/>
  <c r="G289"/>
  <c r="Y289"/>
  <c r="Z289"/>
  <c r="AA289"/>
  <c r="N290"/>
  <c r="O290"/>
  <c r="P290"/>
  <c r="Q290"/>
  <c r="R290"/>
  <c r="S290"/>
  <c r="T290"/>
  <c r="U290"/>
  <c r="J290" l="1"/>
  <c r="I290"/>
  <c r="H290"/>
  <c r="G290"/>
  <c r="Y290"/>
  <c r="Z290"/>
  <c r="AA290"/>
  <c r="N291"/>
  <c r="O291"/>
  <c r="P291"/>
  <c r="Q291"/>
  <c r="R291"/>
  <c r="S291"/>
  <c r="T291"/>
  <c r="U291"/>
  <c r="J291" l="1"/>
  <c r="I291"/>
  <c r="H291"/>
  <c r="G291"/>
  <c r="Y291"/>
  <c r="Z291"/>
  <c r="AA291"/>
  <c r="N292"/>
  <c r="O292"/>
  <c r="P292"/>
  <c r="Q292"/>
  <c r="R292"/>
  <c r="S292"/>
  <c r="T292"/>
  <c r="U292"/>
  <c r="J292" l="1"/>
  <c r="I292"/>
  <c r="H292"/>
  <c r="G292"/>
  <c r="Y292"/>
  <c r="Z292"/>
  <c r="AA292"/>
  <c r="N293"/>
  <c r="O293"/>
  <c r="P293"/>
  <c r="Q293"/>
  <c r="R293"/>
  <c r="S293"/>
  <c r="T293"/>
  <c r="U293"/>
  <c r="J293" l="1"/>
  <c r="I293"/>
  <c r="H293"/>
  <c r="G293"/>
  <c r="Y293"/>
  <c r="Z293"/>
  <c r="AA293"/>
  <c r="N294"/>
  <c r="O294"/>
  <c r="P294"/>
  <c r="Q294"/>
  <c r="R294"/>
  <c r="S294"/>
  <c r="T294"/>
  <c r="U294"/>
  <c r="J294" l="1"/>
  <c r="I294"/>
  <c r="H294"/>
  <c r="G294"/>
  <c r="Y294"/>
  <c r="Z294"/>
  <c r="AA294"/>
  <c r="N295"/>
  <c r="O295"/>
  <c r="P295"/>
  <c r="Q295"/>
  <c r="R295"/>
  <c r="S295"/>
  <c r="T295"/>
  <c r="U295"/>
  <c r="J295" l="1"/>
  <c r="I295"/>
  <c r="H295"/>
  <c r="G295"/>
  <c r="Y295"/>
  <c r="Z295"/>
  <c r="AA295"/>
  <c r="N296"/>
  <c r="O296"/>
  <c r="P296"/>
  <c r="Q296"/>
  <c r="R296"/>
  <c r="S296"/>
  <c r="T296"/>
  <c r="U296"/>
  <c r="J296" l="1"/>
  <c r="I296"/>
  <c r="H296"/>
  <c r="G296"/>
  <c r="Y296"/>
  <c r="Z296"/>
  <c r="AA296"/>
  <c r="N297"/>
  <c r="O297"/>
  <c r="P297"/>
  <c r="Q297"/>
  <c r="R297"/>
  <c r="S297"/>
  <c r="T297"/>
  <c r="U297"/>
  <c r="J297" l="1"/>
  <c r="I297"/>
  <c r="H297"/>
  <c r="G297"/>
  <c r="Y297"/>
  <c r="Z297"/>
  <c r="AA297"/>
  <c r="N298"/>
  <c r="O298"/>
  <c r="P298"/>
  <c r="Q298"/>
  <c r="R298"/>
  <c r="S298"/>
  <c r="T298"/>
  <c r="U298"/>
  <c r="J298" l="1"/>
  <c r="I298"/>
  <c r="H298"/>
  <c r="G298"/>
  <c r="Y298"/>
  <c r="Z298"/>
  <c r="AA298"/>
  <c r="N299"/>
  <c r="O299"/>
  <c r="P299"/>
  <c r="Q299"/>
  <c r="R299"/>
  <c r="S299"/>
  <c r="T299"/>
  <c r="U299"/>
  <c r="J299" l="1"/>
  <c r="I299"/>
  <c r="H299"/>
  <c r="G299"/>
  <c r="Y299"/>
  <c r="Z299"/>
  <c r="AA299"/>
  <c r="N300"/>
  <c r="O300"/>
  <c r="P300"/>
  <c r="Q300"/>
  <c r="R300"/>
  <c r="S300"/>
  <c r="T300"/>
  <c r="U300"/>
  <c r="J300" l="1"/>
  <c r="I300"/>
  <c r="H300"/>
  <c r="G300"/>
  <c r="Y300"/>
  <c r="Z300"/>
  <c r="AA300"/>
  <c r="N301"/>
  <c r="O301"/>
  <c r="P301"/>
  <c r="Q301"/>
  <c r="R301"/>
  <c r="S301"/>
  <c r="T301"/>
  <c r="U301"/>
  <c r="J301" l="1"/>
  <c r="I301"/>
  <c r="H301"/>
  <c r="G301"/>
  <c r="Y301"/>
  <c r="Z301"/>
  <c r="AA301"/>
  <c r="N302"/>
  <c r="O302"/>
  <c r="P302"/>
  <c r="Q302"/>
  <c r="R302"/>
  <c r="S302"/>
  <c r="T302"/>
  <c r="U302"/>
  <c r="J302" l="1"/>
  <c r="I302"/>
  <c r="H302"/>
  <c r="G302"/>
  <c r="Y302"/>
  <c r="Z302"/>
  <c r="AA302"/>
  <c r="N303"/>
  <c r="O303"/>
  <c r="P303"/>
  <c r="Q303"/>
  <c r="R303"/>
  <c r="S303"/>
  <c r="T303"/>
  <c r="U303"/>
  <c r="J303" l="1"/>
  <c r="I303"/>
  <c r="H303"/>
  <c r="G303"/>
  <c r="Y303"/>
  <c r="Z303"/>
  <c r="AA303"/>
  <c r="N304"/>
  <c r="O304"/>
  <c r="P304"/>
  <c r="Q304"/>
  <c r="R304"/>
  <c r="S304"/>
  <c r="T304"/>
  <c r="U304"/>
  <c r="J304" l="1"/>
  <c r="I304"/>
  <c r="H304"/>
  <c r="G304"/>
  <c r="Y304"/>
  <c r="Z304"/>
  <c r="AA304"/>
  <c r="N305"/>
  <c r="O305"/>
  <c r="P305"/>
  <c r="Q305"/>
  <c r="R305"/>
  <c r="S305"/>
  <c r="T305"/>
  <c r="U305"/>
  <c r="J305" l="1"/>
  <c r="I305"/>
  <c r="H305"/>
  <c r="G305"/>
  <c r="Y305"/>
  <c r="Z305"/>
  <c r="AA305"/>
  <c r="N306"/>
  <c r="O306"/>
  <c r="P306"/>
  <c r="Q306"/>
  <c r="R306"/>
  <c r="S306"/>
  <c r="T306"/>
  <c r="U306"/>
  <c r="J306" l="1"/>
  <c r="I306"/>
  <c r="H306"/>
  <c r="G306"/>
  <c r="Y306"/>
  <c r="Z306"/>
  <c r="AA306"/>
  <c r="N307"/>
  <c r="O307"/>
  <c r="P307"/>
  <c r="Q307"/>
  <c r="R307"/>
  <c r="S307"/>
  <c r="T307"/>
  <c r="U307"/>
  <c r="J307" l="1"/>
  <c r="I307"/>
  <c r="H307"/>
  <c r="G307"/>
  <c r="Y307"/>
  <c r="Z307"/>
  <c r="AA307"/>
  <c r="N308"/>
  <c r="O308"/>
  <c r="P308"/>
  <c r="Q308"/>
  <c r="R308"/>
  <c r="S308"/>
  <c r="T308"/>
  <c r="U308"/>
  <c r="J308" l="1"/>
  <c r="I308"/>
  <c r="H308"/>
  <c r="G308"/>
  <c r="Y308"/>
  <c r="Z308"/>
  <c r="AA308"/>
  <c r="N309"/>
  <c r="O309"/>
  <c r="P309"/>
  <c r="Q309"/>
  <c r="R309"/>
  <c r="S309"/>
  <c r="T309"/>
  <c r="U309"/>
  <c r="J309" l="1"/>
  <c r="I309"/>
  <c r="H309"/>
  <c r="G309"/>
  <c r="Y309"/>
  <c r="Z309"/>
  <c r="AA309"/>
  <c r="N310"/>
  <c r="O310"/>
  <c r="P310"/>
  <c r="Q310"/>
  <c r="R310"/>
  <c r="S310"/>
  <c r="T310"/>
  <c r="U310"/>
  <c r="J310" l="1"/>
  <c r="I310"/>
  <c r="H310"/>
  <c r="G310"/>
  <c r="Y310"/>
  <c r="Z310"/>
  <c r="AA310"/>
  <c r="N311"/>
  <c r="O311"/>
  <c r="P311"/>
  <c r="Q311"/>
  <c r="R311"/>
  <c r="S311"/>
  <c r="T311"/>
  <c r="U311"/>
  <c r="J311" l="1"/>
  <c r="I311"/>
  <c r="H311"/>
  <c r="G311"/>
  <c r="Y311"/>
  <c r="Z311"/>
  <c r="AA311"/>
  <c r="N312"/>
  <c r="O312"/>
  <c r="P312"/>
  <c r="Q312"/>
  <c r="R312"/>
  <c r="S312"/>
  <c r="T312"/>
  <c r="U312"/>
  <c r="J312" l="1"/>
  <c r="I312"/>
  <c r="H312"/>
  <c r="G312"/>
  <c r="Y312"/>
  <c r="Z312"/>
  <c r="AA312"/>
  <c r="N313"/>
  <c r="O313"/>
  <c r="P313"/>
  <c r="Q313"/>
  <c r="R313"/>
  <c r="S313"/>
  <c r="T313"/>
  <c r="U313"/>
  <c r="J313" l="1"/>
  <c r="I313"/>
  <c r="H313"/>
  <c r="G313"/>
  <c r="Y313"/>
  <c r="Z313"/>
  <c r="AA313"/>
  <c r="N314"/>
  <c r="O314"/>
  <c r="P314"/>
  <c r="Q314"/>
  <c r="R314"/>
  <c r="S314"/>
  <c r="T314"/>
  <c r="U314"/>
  <c r="J314" l="1"/>
  <c r="I314"/>
  <c r="H314"/>
  <c r="G314"/>
  <c r="Y314"/>
  <c r="Z314"/>
  <c r="AA314"/>
  <c r="N315"/>
  <c r="O315"/>
  <c r="P315"/>
  <c r="Q315"/>
  <c r="R315"/>
  <c r="S315"/>
  <c r="T315"/>
  <c r="U315"/>
  <c r="J315" l="1"/>
  <c r="I315"/>
  <c r="H315"/>
  <c r="G315"/>
  <c r="Y315"/>
  <c r="Z315"/>
  <c r="AA315"/>
  <c r="N316"/>
  <c r="O316"/>
  <c r="P316"/>
  <c r="Q316"/>
  <c r="R316"/>
  <c r="S316"/>
  <c r="T316"/>
  <c r="U316"/>
  <c r="J316" l="1"/>
  <c r="I316"/>
  <c r="H316"/>
  <c r="G316"/>
  <c r="Y316"/>
  <c r="Z316"/>
  <c r="AA316"/>
  <c r="N317"/>
  <c r="O317"/>
  <c r="P317"/>
  <c r="Q317"/>
  <c r="R317"/>
  <c r="S317"/>
  <c r="T317"/>
  <c r="U317"/>
  <c r="J317" l="1"/>
  <c r="I317"/>
  <c r="H317"/>
  <c r="G317"/>
  <c r="Y317"/>
  <c r="Z317"/>
  <c r="AA317"/>
  <c r="AA43"/>
  <c r="Z43"/>
  <c r="Y43"/>
  <c r="R43"/>
  <c r="G43" s="1"/>
  <c r="P43"/>
  <c r="O43"/>
  <c r="N43"/>
  <c r="AA42"/>
  <c r="Z42"/>
  <c r="Y42"/>
  <c r="S43"/>
  <c r="U43"/>
  <c r="T43"/>
  <c r="S42"/>
  <c r="T42"/>
  <c r="R42"/>
  <c r="Q43"/>
  <c r="Q42"/>
  <c r="I43" l="1"/>
  <c r="J43"/>
  <c r="H43"/>
  <c r="G42"/>
  <c r="I42"/>
  <c r="H42"/>
  <c r="U42"/>
  <c r="M38" i="3"/>
  <c r="G32"/>
  <c r="K38"/>
  <c r="E32"/>
  <c r="K32"/>
  <c r="I32"/>
  <c r="J42" i="1" l="1"/>
  <c r="AS41" i="3"/>
  <c r="AR41"/>
  <c r="AQ41"/>
  <c r="AP41"/>
  <c r="AO41"/>
  <c r="AN41"/>
  <c r="AS38"/>
  <c r="AR38"/>
  <c r="AQ38"/>
  <c r="AP38"/>
  <c r="AO38"/>
  <c r="AN38"/>
  <c r="Z38"/>
  <c r="Y38"/>
  <c r="X38"/>
  <c r="W38"/>
  <c r="V38"/>
  <c r="U38"/>
  <c r="T38"/>
  <c r="S38"/>
  <c r="R38"/>
  <c r="Q38"/>
  <c r="P38"/>
  <c r="O38"/>
  <c r="N38"/>
  <c r="L38"/>
  <c r="J38"/>
  <c r="I38"/>
  <c r="H38"/>
  <c r="G38"/>
  <c r="F38"/>
  <c r="E38"/>
  <c r="AU35"/>
  <c r="AT35"/>
  <c r="AS35"/>
  <c r="AR35"/>
  <c r="AQ35"/>
  <c r="AP35"/>
  <c r="AO35"/>
  <c r="AN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AU34"/>
  <c r="AT34"/>
  <c r="AS32"/>
  <c r="AR32"/>
  <c r="AQ32"/>
  <c r="AP32"/>
  <c r="AO32"/>
  <c r="AN32"/>
  <c r="AB32"/>
  <c r="AA32"/>
  <c r="Z32"/>
  <c r="Y32"/>
  <c r="X32"/>
  <c r="W32"/>
  <c r="V32"/>
  <c r="U32"/>
  <c r="T32"/>
  <c r="S32"/>
  <c r="R32"/>
  <c r="Q32"/>
  <c r="P32"/>
  <c r="O32"/>
  <c r="N32"/>
  <c r="M32"/>
  <c r="L32"/>
  <c r="J32"/>
  <c r="H32"/>
  <c r="F32"/>
  <c r="AU29"/>
  <c r="AT29"/>
  <c r="AS29"/>
  <c r="AR29"/>
  <c r="AQ29"/>
  <c r="AP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I29"/>
  <c r="H29"/>
  <c r="G29"/>
  <c r="F29"/>
  <c r="E29"/>
  <c r="D29"/>
  <c r="C29"/>
  <c r="B29"/>
  <c r="AU12"/>
  <c r="AU13"/>
  <c r="AS19"/>
  <c r="AP19"/>
  <c r="AQ19"/>
  <c r="AO16"/>
  <c r="AP16"/>
  <c r="AQ16"/>
  <c r="AR16"/>
  <c r="AS16"/>
  <c r="AO13"/>
  <c r="AP13"/>
  <c r="AQ13"/>
  <c r="AR13"/>
  <c r="AS13"/>
  <c r="AO10"/>
  <c r="AP10"/>
  <c r="AQ10"/>
  <c r="AR10"/>
  <c r="AS10"/>
  <c r="AQ7"/>
  <c r="AR7"/>
  <c r="AS7"/>
  <c r="AT7"/>
  <c r="AU7"/>
  <c r="I13"/>
  <c r="AR19"/>
  <c r="AO19"/>
  <c r="AN19"/>
  <c r="AN16"/>
  <c r="AT13"/>
  <c r="AN13"/>
  <c r="AT12"/>
  <c r="AN10"/>
  <c r="AP7"/>
  <c r="AA4" i="1"/>
  <c r="Y5"/>
  <c r="Z5"/>
  <c r="AA5"/>
  <c r="Y6"/>
  <c r="Z6"/>
  <c r="AA6"/>
  <c r="Y7"/>
  <c r="Z7"/>
  <c r="AA7"/>
  <c r="Y8"/>
  <c r="Z8"/>
  <c r="AA8"/>
  <c r="Y9"/>
  <c r="Z9"/>
  <c r="AA9"/>
  <c r="Y10"/>
  <c r="Z10"/>
  <c r="AA10"/>
  <c r="Y11"/>
  <c r="Z11"/>
  <c r="AA11"/>
  <c r="Y12"/>
  <c r="Z12"/>
  <c r="AA12"/>
  <c r="Y13"/>
  <c r="Z13"/>
  <c r="AA13"/>
  <c r="Y14"/>
  <c r="Z14"/>
  <c r="AA14"/>
  <c r="Y15"/>
  <c r="Z15"/>
  <c r="AA15"/>
  <c r="Y16"/>
  <c r="Z16"/>
  <c r="AA16"/>
  <c r="Y17"/>
  <c r="Z17"/>
  <c r="AA17"/>
  <c r="Y18"/>
  <c r="Z18"/>
  <c r="AA18"/>
  <c r="Y19"/>
  <c r="Z19"/>
  <c r="AA19"/>
  <c r="Y20"/>
  <c r="Z20"/>
  <c r="AA20"/>
  <c r="Y21"/>
  <c r="Z21"/>
  <c r="AA21"/>
  <c r="Y22"/>
  <c r="Z22"/>
  <c r="AA22"/>
  <c r="Y23"/>
  <c r="Z23"/>
  <c r="AA23"/>
  <c r="Y24"/>
  <c r="Z24"/>
  <c r="AA24"/>
  <c r="Y25"/>
  <c r="Z25"/>
  <c r="AA25"/>
  <c r="Y26"/>
  <c r="Z26"/>
  <c r="AA26"/>
  <c r="Y27"/>
  <c r="Z27"/>
  <c r="AA27"/>
  <c r="Y28"/>
  <c r="Z28"/>
  <c r="AA28"/>
  <c r="Y29"/>
  <c r="Z29"/>
  <c r="AA29"/>
  <c r="Y30"/>
  <c r="Z30"/>
  <c r="AA30"/>
  <c r="Y31"/>
  <c r="Z31"/>
  <c r="AA31"/>
  <c r="AA3"/>
  <c r="Z3"/>
  <c r="Y3"/>
  <c r="P4"/>
  <c r="P11"/>
  <c r="N6"/>
  <c r="O6"/>
  <c r="P6"/>
  <c r="N7"/>
  <c r="O7"/>
  <c r="P7"/>
  <c r="N8"/>
  <c r="O8"/>
  <c r="P8"/>
  <c r="N9"/>
  <c r="O9"/>
  <c r="P9"/>
  <c r="N10"/>
  <c r="O10"/>
  <c r="P10"/>
  <c r="P12"/>
  <c r="P13"/>
  <c r="P14"/>
  <c r="N15"/>
  <c r="O15"/>
  <c r="P15"/>
  <c r="N16"/>
  <c r="O16"/>
  <c r="P16"/>
  <c r="N17"/>
  <c r="O17"/>
  <c r="P17"/>
  <c r="N18"/>
  <c r="O18"/>
  <c r="P18"/>
  <c r="N19"/>
  <c r="O19"/>
  <c r="P19"/>
  <c r="N20"/>
  <c r="O20"/>
  <c r="P20"/>
  <c r="N21"/>
  <c r="O21"/>
  <c r="P21"/>
  <c r="N22"/>
  <c r="O22"/>
  <c r="P22"/>
  <c r="N23"/>
  <c r="O23"/>
  <c r="P23"/>
  <c r="N24"/>
  <c r="O24"/>
  <c r="P24"/>
  <c r="N25"/>
  <c r="O25"/>
  <c r="P25"/>
  <c r="N26"/>
  <c r="O26"/>
  <c r="P26"/>
  <c r="N27"/>
  <c r="O27"/>
  <c r="P27"/>
  <c r="N28"/>
  <c r="O28"/>
  <c r="P28"/>
  <c r="N29"/>
  <c r="O29"/>
  <c r="P29"/>
  <c r="P30"/>
  <c r="N31"/>
  <c r="O31"/>
  <c r="P31"/>
  <c r="O5"/>
  <c r="P5"/>
  <c r="N5"/>
  <c r="S4"/>
  <c r="T4"/>
  <c r="S11"/>
  <c r="T11"/>
  <c r="S12"/>
  <c r="T12"/>
  <c r="S13"/>
  <c r="T13"/>
  <c r="S14"/>
  <c r="T14"/>
  <c r="S30"/>
  <c r="T30"/>
  <c r="S3"/>
  <c r="T3"/>
  <c r="U3"/>
  <c r="R19"/>
  <c r="S21"/>
  <c r="H16" i="3"/>
  <c r="R16"/>
  <c r="W13" i="2"/>
  <c r="R31" i="1"/>
  <c r="H7" i="3"/>
  <c r="Q21" i="1"/>
  <c r="U25"/>
  <c r="T9"/>
  <c r="R13" i="2"/>
  <c r="V13"/>
  <c r="T26" i="1"/>
  <c r="Q31"/>
  <c r="W10" i="3"/>
  <c r="Q13" i="2"/>
  <c r="U10" i="1"/>
  <c r="B13" i="2"/>
  <c r="U13"/>
  <c r="A13"/>
  <c r="N13"/>
  <c r="Z16" i="3"/>
  <c r="S13" i="2"/>
  <c r="J29" i="3"/>
  <c r="S23" i="1"/>
  <c r="Q28"/>
  <c r="U7"/>
  <c r="S27"/>
  <c r="X10" i="3"/>
  <c r="AA17" i="2"/>
  <c r="Q27" i="1"/>
  <c r="O16" i="3"/>
  <c r="R3" i="1"/>
  <c r="U13" i="3"/>
  <c r="L10"/>
  <c r="R27" i="1"/>
  <c r="O10" i="3"/>
  <c r="Q6" i="1"/>
  <c r="Y10" i="3"/>
  <c r="K13"/>
  <c r="U29" i="1"/>
  <c r="T10" i="3"/>
  <c r="Y17" i="2"/>
  <c r="N13" i="3"/>
  <c r="M7"/>
  <c r="U6" i="1"/>
  <c r="T22"/>
  <c r="Q25"/>
  <c r="J13" i="2"/>
  <c r="R25" i="1"/>
  <c r="S9"/>
  <c r="R17"/>
  <c r="K7" i="3"/>
  <c r="Q17" i="1"/>
  <c r="C7" i="3"/>
  <c r="R10"/>
  <c r="Z10"/>
  <c r="K10"/>
  <c r="K13" i="2"/>
  <c r="Q37" i="1"/>
  <c r="U16" i="3"/>
  <c r="S15" i="1"/>
  <c r="Q11"/>
  <c r="T25"/>
  <c r="V7" i="3"/>
  <c r="U9" i="1"/>
  <c r="Q13" i="3"/>
  <c r="S29" i="1"/>
  <c r="Q38"/>
  <c r="Q20"/>
  <c r="Q23"/>
  <c r="Q36"/>
  <c r="R6"/>
  <c r="U23"/>
  <c r="R13"/>
  <c r="T21"/>
  <c r="U30"/>
  <c r="S10" i="3"/>
  <c r="Q12" i="1"/>
  <c r="U8"/>
  <c r="R23"/>
  <c r="Y16" i="3"/>
  <c r="Q40" i="1"/>
  <c r="Q16"/>
  <c r="R21"/>
  <c r="S18"/>
  <c r="Z7" i="3"/>
  <c r="U31" i="1"/>
  <c r="D13" i="2"/>
  <c r="U15" i="1"/>
  <c r="R5"/>
  <c r="J16" i="3"/>
  <c r="U10"/>
  <c r="Q39" i="1"/>
  <c r="T18"/>
  <c r="Q34"/>
  <c r="Q7"/>
  <c r="T28"/>
  <c r="Q30"/>
  <c r="U19" i="2"/>
  <c r="L7" i="3"/>
  <c r="T6" i="1"/>
  <c r="T17"/>
  <c r="R24"/>
  <c r="B7" i="3"/>
  <c r="C13" i="2"/>
  <c r="U28" i="1"/>
  <c r="Q41"/>
  <c r="AC7" i="3"/>
  <c r="F13"/>
  <c r="R16" i="1"/>
  <c r="G13" i="3"/>
  <c r="Q35" i="1"/>
  <c r="R7"/>
  <c r="R28"/>
  <c r="Q8"/>
  <c r="U22"/>
  <c r="AA13" i="3"/>
  <c r="Q18" i="1"/>
  <c r="U11"/>
  <c r="E13" i="2"/>
  <c r="Z17"/>
  <c r="U24" i="1"/>
  <c r="S19"/>
  <c r="S7"/>
  <c r="R14"/>
  <c r="S28"/>
  <c r="S7" i="3"/>
  <c r="E10"/>
  <c r="J7"/>
  <c r="U27" i="1"/>
  <c r="T24"/>
  <c r="S22"/>
  <c r="Z13" i="3"/>
  <c r="Q22" i="1"/>
  <c r="U21"/>
  <c r="R4"/>
  <c r="W7" i="3"/>
  <c r="E16"/>
  <c r="S6" i="1"/>
  <c r="V16" i="3"/>
  <c r="G7"/>
  <c r="Y7"/>
  <c r="H10"/>
  <c r="S10" i="1"/>
  <c r="X16" i="3"/>
  <c r="P7"/>
  <c r="S17" i="1"/>
  <c r="S24"/>
  <c r="S25"/>
  <c r="R9"/>
  <c r="Q29"/>
  <c r="T31"/>
  <c r="U16"/>
  <c r="S31"/>
  <c r="W13" i="3"/>
  <c r="R7"/>
  <c r="I13" i="2"/>
  <c r="W16" i="3"/>
  <c r="T19" i="1"/>
  <c r="Q7" i="3"/>
  <c r="R18" i="1"/>
  <c r="P13" i="3"/>
  <c r="Q32" i="1"/>
  <c r="R10"/>
  <c r="D7" i="3"/>
  <c r="T20" i="1"/>
  <c r="I16" i="3"/>
  <c r="R12" i="1"/>
  <c r="W17" i="2"/>
  <c r="U26" i="1"/>
  <c r="R8"/>
  <c r="U14"/>
  <c r="V10" i="3"/>
  <c r="O13" i="2"/>
  <c r="L13" i="3"/>
  <c r="Y19" i="2"/>
  <c r="T13" i="3"/>
  <c r="S26" i="1"/>
  <c r="E7" i="3"/>
  <c r="L13" i="2"/>
  <c r="T15" i="1"/>
  <c r="M16" i="3"/>
  <c r="Y13"/>
  <c r="T7"/>
  <c r="H13" i="2"/>
  <c r="F13"/>
  <c r="I7" i="3"/>
  <c r="Q13" i="1"/>
  <c r="T7"/>
  <c r="V19" i="2"/>
  <c r="T8" i="1"/>
  <c r="Q5"/>
  <c r="P10" i="3"/>
  <c r="R22" i="1"/>
  <c r="U20"/>
  <c r="U13"/>
  <c r="V13" i="3"/>
  <c r="S16" i="1"/>
  <c r="U7" i="3"/>
  <c r="D19" i="2"/>
  <c r="R29" i="1"/>
  <c r="N10" i="3"/>
  <c r="T5" i="1"/>
  <c r="M13" i="3"/>
  <c r="S5" i="1"/>
  <c r="O13" i="3"/>
  <c r="R13"/>
  <c r="U12" i="1"/>
  <c r="Q33"/>
  <c r="N16" i="3"/>
  <c r="U19" i="1"/>
  <c r="S16" i="3"/>
  <c r="Q14" i="1"/>
  <c r="R30"/>
  <c r="Q10"/>
  <c r="G10" i="3"/>
  <c r="Q24" i="1"/>
  <c r="AB7" i="3"/>
  <c r="E19" i="2"/>
  <c r="J13" i="3"/>
  <c r="O7"/>
  <c r="U18" i="1"/>
  <c r="X7" i="3"/>
  <c r="T29" i="1"/>
  <c r="U5"/>
  <c r="S8"/>
  <c r="R15"/>
  <c r="Q9"/>
  <c r="T19" i="2"/>
  <c r="Q19" i="1"/>
  <c r="X19" i="2"/>
  <c r="I10" i="3"/>
  <c r="T13" i="2"/>
  <c r="T23" i="1"/>
  <c r="S20"/>
  <c r="X13" i="2"/>
  <c r="T27" i="1"/>
  <c r="J10" i="3"/>
  <c r="X17" i="2"/>
  <c r="R11" i="1"/>
  <c r="S13" i="3"/>
  <c r="G16"/>
  <c r="W19" i="2"/>
  <c r="M10" i="3"/>
  <c r="Q4" i="1"/>
  <c r="U4"/>
  <c r="AA7" i="3"/>
  <c r="Z15" i="2"/>
  <c r="Q26" i="1"/>
  <c r="T16" i="3"/>
  <c r="L16"/>
  <c r="K16"/>
  <c r="T16" i="1"/>
  <c r="T10"/>
  <c r="F16" i="3"/>
  <c r="P13" i="2"/>
  <c r="P16" i="3"/>
  <c r="H13"/>
  <c r="R20" i="1"/>
  <c r="AB10" i="3"/>
  <c r="AA15" i="2"/>
  <c r="F7" i="3"/>
  <c r="F10"/>
  <c r="N7"/>
  <c r="Q16"/>
  <c r="AA10"/>
  <c r="X13"/>
  <c r="U17" i="1"/>
  <c r="R26"/>
  <c r="Q15"/>
  <c r="Q10" i="3"/>
  <c r="G41" i="1" l="1"/>
  <c r="G40"/>
  <c r="G39"/>
  <c r="G38"/>
  <c r="G37"/>
  <c r="G36"/>
  <c r="G35"/>
  <c r="G34"/>
  <c r="G33"/>
  <c r="G32"/>
  <c r="G6"/>
  <c r="H6"/>
  <c r="I6"/>
  <c r="J6"/>
  <c r="G7"/>
  <c r="H7"/>
  <c r="I7"/>
  <c r="J7"/>
  <c r="G8"/>
  <c r="H8"/>
  <c r="I8"/>
  <c r="J8"/>
  <c r="G9"/>
  <c r="H9"/>
  <c r="I9"/>
  <c r="J9"/>
  <c r="G10"/>
  <c r="H10"/>
  <c r="I10"/>
  <c r="J10"/>
  <c r="G11"/>
  <c r="H11"/>
  <c r="I11"/>
  <c r="J11"/>
  <c r="G12"/>
  <c r="H12"/>
  <c r="I12"/>
  <c r="J12"/>
  <c r="G13"/>
  <c r="H13"/>
  <c r="I13"/>
  <c r="J13"/>
  <c r="G14"/>
  <c r="H14"/>
  <c r="I14"/>
  <c r="J14"/>
  <c r="G15"/>
  <c r="H15"/>
  <c r="I15"/>
  <c r="J15"/>
  <c r="G16"/>
  <c r="H16"/>
  <c r="I16"/>
  <c r="J16"/>
  <c r="G17"/>
  <c r="H17"/>
  <c r="I17"/>
  <c r="J17"/>
  <c r="G18"/>
  <c r="H18"/>
  <c r="I18"/>
  <c r="J18"/>
  <c r="G19"/>
  <c r="H19"/>
  <c r="I19"/>
  <c r="J19"/>
  <c r="G20"/>
  <c r="H20"/>
  <c r="I20"/>
  <c r="J20"/>
  <c r="G21"/>
  <c r="H21"/>
  <c r="I21"/>
  <c r="J21"/>
  <c r="G22"/>
  <c r="H22"/>
  <c r="I22"/>
  <c r="J22"/>
  <c r="G23"/>
  <c r="H23"/>
  <c r="I23"/>
  <c r="J23"/>
  <c r="G24"/>
  <c r="H24"/>
  <c r="I24"/>
  <c r="J24"/>
  <c r="G25"/>
  <c r="H25"/>
  <c r="I25"/>
  <c r="J25"/>
  <c r="G26"/>
  <c r="H26"/>
  <c r="I26"/>
  <c r="J26"/>
  <c r="G27"/>
  <c r="H27"/>
  <c r="I27"/>
  <c r="J27"/>
  <c r="G28"/>
  <c r="H28"/>
  <c r="I28"/>
  <c r="J28"/>
  <c r="G29"/>
  <c r="H29"/>
  <c r="I29"/>
  <c r="J29"/>
  <c r="G30"/>
  <c r="H30"/>
  <c r="I30"/>
  <c r="J30"/>
  <c r="G31"/>
  <c r="H31"/>
  <c r="I31"/>
  <c r="J31"/>
  <c r="K32"/>
  <c r="K33"/>
  <c r="K34"/>
  <c r="K35"/>
  <c r="K36"/>
  <c r="K37"/>
  <c r="K38"/>
  <c r="K39"/>
  <c r="K40"/>
  <c r="K41"/>
  <c r="Q3"/>
  <c r="G5" l="1"/>
  <c r="J4" l="1"/>
  <c r="G4"/>
  <c r="J3"/>
  <c r="G3"/>
  <c r="H5"/>
  <c r="H4" l="1"/>
  <c r="I4"/>
  <c r="I3"/>
  <c r="H3"/>
  <c r="I5"/>
  <c r="J5" l="1"/>
</calcChain>
</file>

<file path=xl/sharedStrings.xml><?xml version="1.0" encoding="utf-8"?>
<sst xmlns="http://schemas.openxmlformats.org/spreadsheetml/2006/main" count="2113" uniqueCount="839">
  <si>
    <t>Název</t>
  </si>
  <si>
    <t>CZ</t>
  </si>
  <si>
    <t>Intl.</t>
  </si>
  <si>
    <t>Transkrpice</t>
  </si>
  <si>
    <t>Konec</t>
  </si>
  <si>
    <t>Střed</t>
  </si>
  <si>
    <t>Počátek</t>
  </si>
  <si>
    <t>Samo</t>
  </si>
  <si>
    <t>Výslovnost</t>
  </si>
  <si>
    <t>Unicode</t>
  </si>
  <si>
    <t>Normál</t>
  </si>
  <si>
    <t>Unicode (hex)</t>
  </si>
  <si>
    <t>hamza</t>
  </si>
  <si>
    <t>alif</t>
  </si>
  <si>
    <t>bá</t>
  </si>
  <si>
    <t>tá</t>
  </si>
  <si>
    <t>thá</t>
  </si>
  <si>
    <t>džím</t>
  </si>
  <si>
    <t>há</t>
  </si>
  <si>
    <t>chá</t>
  </si>
  <si>
    <t>dál</t>
  </si>
  <si>
    <t>dhál</t>
  </si>
  <si>
    <t>rá</t>
  </si>
  <si>
    <t>zajn</t>
  </si>
  <si>
    <t>sín</t>
  </si>
  <si>
    <t>šín</t>
  </si>
  <si>
    <t>sád</t>
  </si>
  <si>
    <t>dád</t>
  </si>
  <si>
    <t>zá</t>
  </si>
  <si>
    <t>ajn</t>
  </si>
  <si>
    <t>ghajn</t>
  </si>
  <si>
    <t>fá</t>
  </si>
  <si>
    <t>qáf</t>
  </si>
  <si>
    <t>káf</t>
  </si>
  <si>
    <t>lám</t>
  </si>
  <si>
    <t>nún</t>
  </si>
  <si>
    <t>waw</t>
  </si>
  <si>
    <t>já</t>
  </si>
  <si>
    <t>á</t>
  </si>
  <si>
    <t>ṯāʾ</t>
  </si>
  <si>
    <t>tāʾ</t>
  </si>
  <si>
    <t>bāʾ</t>
  </si>
  <si>
    <t>ʾalif</t>
  </si>
  <si>
    <t>ǧīm</t>
  </si>
  <si>
    <t>IPA</t>
  </si>
  <si>
    <t>ḥāʾ</t>
  </si>
  <si>
    <t>ḫāʾ</t>
  </si>
  <si>
    <t>dāl</t>
  </si>
  <si>
    <t>ḏāl</t>
  </si>
  <si>
    <t>rāʾ</t>
  </si>
  <si>
    <t>zāy</t>
  </si>
  <si>
    <t>sīn</t>
  </si>
  <si>
    <t>šīn</t>
  </si>
  <si>
    <t>ṣād</t>
  </si>
  <si>
    <t>ḍād</t>
  </si>
  <si>
    <t>ṭāʾ</t>
  </si>
  <si>
    <t>ẓāʾ</t>
  </si>
  <si>
    <t>ʿayn</t>
  </si>
  <si>
    <t>ġayn</t>
  </si>
  <si>
    <t>fāʾ</t>
  </si>
  <si>
    <t>qāf</t>
  </si>
  <si>
    <t>kāf</t>
  </si>
  <si>
    <t>lām</t>
  </si>
  <si>
    <t>mīm</t>
  </si>
  <si>
    <t>mím</t>
  </si>
  <si>
    <t>nūn</t>
  </si>
  <si>
    <t>hāʾ</t>
  </si>
  <si>
    <t>wāw</t>
  </si>
  <si>
    <t>yāʾ</t>
  </si>
  <si>
    <t>HAMZA</t>
  </si>
  <si>
    <t>ALEF</t>
  </si>
  <si>
    <t>BEH</t>
  </si>
  <si>
    <t>TEH</t>
  </si>
  <si>
    <t>THEH</t>
  </si>
  <si>
    <t>JEEM</t>
  </si>
  <si>
    <t>HAH</t>
  </si>
  <si>
    <t>DAL</t>
  </si>
  <si>
    <t>THAL</t>
  </si>
  <si>
    <t>REH</t>
  </si>
  <si>
    <t>ZAIN</t>
  </si>
  <si>
    <t>SEEN</t>
  </si>
  <si>
    <t>SAD</t>
  </si>
  <si>
    <t>DAD</t>
  </si>
  <si>
    <t>SHEEN</t>
  </si>
  <si>
    <t>TAH</t>
  </si>
  <si>
    <t>ZAH</t>
  </si>
  <si>
    <t>AIN</t>
  </si>
  <si>
    <t>GHAIN</t>
  </si>
  <si>
    <t>FEH</t>
  </si>
  <si>
    <t>QAF</t>
  </si>
  <si>
    <t>KAF</t>
  </si>
  <si>
    <t>LAM</t>
  </si>
  <si>
    <t>MEEM</t>
  </si>
  <si>
    <t>NOON</t>
  </si>
  <si>
    <t>HEH</t>
  </si>
  <si>
    <t>WAW</t>
  </si>
  <si>
    <t>YEH</t>
  </si>
  <si>
    <t>'</t>
  </si>
  <si>
    <t>b</t>
  </si>
  <si>
    <t>th</t>
  </si>
  <si>
    <t>dž/ž</t>
  </si>
  <si>
    <t>h</t>
  </si>
  <si>
    <t>ch</t>
  </si>
  <si>
    <t>d</t>
  </si>
  <si>
    <t>dh</t>
  </si>
  <si>
    <t>r</t>
  </si>
  <si>
    <t>z</t>
  </si>
  <si>
    <t>s</t>
  </si>
  <si>
    <t>š</t>
  </si>
  <si>
    <t>ṣ</t>
  </si>
  <si>
    <t>ḍ</t>
  </si>
  <si>
    <t>ṭ</t>
  </si>
  <si>
    <t>ẓ</t>
  </si>
  <si>
    <t>gh</t>
  </si>
  <si>
    <t>ʿ</t>
  </si>
  <si>
    <t>f</t>
  </si>
  <si>
    <t>q</t>
  </si>
  <si>
    <t>k</t>
  </si>
  <si>
    <t>l</t>
  </si>
  <si>
    <t>m</t>
  </si>
  <si>
    <t>n</t>
  </si>
  <si>
    <t>ḥ</t>
  </si>
  <si>
    <t>w/ú/au</t>
  </si>
  <si>
    <t>j/í/aj</t>
  </si>
  <si>
    <t>t</t>
  </si>
  <si>
    <t>ʾ/ā</t>
  </si>
  <si>
    <t>ṯ</t>
  </si>
  <si>
    <t>ǧ/j</t>
  </si>
  <si>
    <t>ḫ/kh/x</t>
  </si>
  <si>
    <t>ḏ/dh/ð</t>
  </si>
  <si>
    <t>š/sh</t>
  </si>
  <si>
    <t>ġ/gh</t>
  </si>
  <si>
    <t>w/ū/aw</t>
  </si>
  <si>
    <t>y/ī/ay</t>
  </si>
  <si>
    <t>a:</t>
  </si>
  <si>
    <t>θ</t>
  </si>
  <si>
    <t>dʒ/ʒ/g</t>
  </si>
  <si>
    <t>ħ</t>
  </si>
  <si>
    <t xml:space="preserve"> x/χ</t>
  </si>
  <si>
    <t>ð</t>
  </si>
  <si>
    <t>ʃ</t>
  </si>
  <si>
    <t>sˁ</t>
  </si>
  <si>
    <t>dˁ</t>
  </si>
  <si>
    <t>tˁ</t>
  </si>
  <si>
    <t>ðˁ/zˁ</t>
  </si>
  <si>
    <t>ʕ</t>
  </si>
  <si>
    <t>ɣ</t>
  </si>
  <si>
    <t>w/u:/au</t>
  </si>
  <si>
    <t>j/i:/ai</t>
  </si>
  <si>
    <t>0621</t>
  </si>
  <si>
    <t>0627</t>
  </si>
  <si>
    <t>0628</t>
  </si>
  <si>
    <t>062A</t>
  </si>
  <si>
    <t>062B</t>
  </si>
  <si>
    <t>062C</t>
  </si>
  <si>
    <t>062D</t>
  </si>
  <si>
    <t>KHAH</t>
  </si>
  <si>
    <t>062E</t>
  </si>
  <si>
    <t>062F</t>
  </si>
  <si>
    <t>0630</t>
  </si>
  <si>
    <t>0631</t>
  </si>
  <si>
    <t>0632</t>
  </si>
  <si>
    <t>0634</t>
  </si>
  <si>
    <t>0633</t>
  </si>
  <si>
    <t>0636</t>
  </si>
  <si>
    <t>0637</t>
  </si>
  <si>
    <t>0638</t>
  </si>
  <si>
    <t>0639</t>
  </si>
  <si>
    <t>063A</t>
  </si>
  <si>
    <t>0641</t>
  </si>
  <si>
    <t>0642</t>
  </si>
  <si>
    <t>0643</t>
  </si>
  <si>
    <t>0644</t>
  </si>
  <si>
    <t>0645</t>
  </si>
  <si>
    <t>0646</t>
  </si>
  <si>
    <t>0647</t>
  </si>
  <si>
    <t>0648</t>
  </si>
  <si>
    <t>0660</t>
  </si>
  <si>
    <t>0661</t>
  </si>
  <si>
    <t>0662</t>
  </si>
  <si>
    <t>0663</t>
  </si>
  <si>
    <t>0664</t>
  </si>
  <si>
    <t>0665</t>
  </si>
  <si>
    <t>0666</t>
  </si>
  <si>
    <t>0667</t>
  </si>
  <si>
    <t>0668</t>
  </si>
  <si>
    <t>0669</t>
  </si>
  <si>
    <t>Znaky</t>
  </si>
  <si>
    <t>Podoba</t>
  </si>
  <si>
    <t>FE80</t>
  </si>
  <si>
    <t>FE8D</t>
  </si>
  <si>
    <t>FE8F</t>
  </si>
  <si>
    <t>FE99</t>
  </si>
  <si>
    <t>FE95</t>
  </si>
  <si>
    <t>FE9D</t>
  </si>
  <si>
    <t>FEA1</t>
  </si>
  <si>
    <t>FEA5</t>
  </si>
  <si>
    <t>FEA9</t>
  </si>
  <si>
    <t>FEAB</t>
  </si>
  <si>
    <t>FEAE</t>
  </si>
  <si>
    <t>FEAF</t>
  </si>
  <si>
    <t>FEB1</t>
  </si>
  <si>
    <t>FEB5</t>
  </si>
  <si>
    <t>FEB9</t>
  </si>
  <si>
    <t>FEBD</t>
  </si>
  <si>
    <t>FEC1</t>
  </si>
  <si>
    <t>FEC5</t>
  </si>
  <si>
    <t>FEC9</t>
  </si>
  <si>
    <t>FECD</t>
  </si>
  <si>
    <t>FED1</t>
  </si>
  <si>
    <t>FED5</t>
  </si>
  <si>
    <t>FED9</t>
  </si>
  <si>
    <t>FEDD</t>
  </si>
  <si>
    <t>FEE1</t>
  </si>
  <si>
    <t>FEE5</t>
  </si>
  <si>
    <t>FEE9</t>
  </si>
  <si>
    <t>FEED</t>
  </si>
  <si>
    <t>FEF1</t>
  </si>
  <si>
    <t>… ZERO</t>
  </si>
  <si>
    <t>… ONE</t>
  </si>
  <si>
    <t>… TWO</t>
  </si>
  <si>
    <t>… THREE</t>
  </si>
  <si>
    <t>… FOUR</t>
  </si>
  <si>
    <t>… FIVE</t>
  </si>
  <si>
    <t>… SIX</t>
  </si>
  <si>
    <t>… SEVEN</t>
  </si>
  <si>
    <t>… EIGHT</t>
  </si>
  <si>
    <t>… NINE</t>
  </si>
  <si>
    <t>nula</t>
  </si>
  <si>
    <t>jedna</t>
  </si>
  <si>
    <t>dva</t>
  </si>
  <si>
    <t>tři</t>
  </si>
  <si>
    <t>čtyři</t>
  </si>
  <si>
    <t>pět</t>
  </si>
  <si>
    <t>šest</t>
  </si>
  <si>
    <t>sedm</t>
  </si>
  <si>
    <t>osm</t>
  </si>
  <si>
    <t>devět</t>
  </si>
  <si>
    <t>zero</t>
  </si>
  <si>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</si>
  <si>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</si>
  <si>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</si>
  <si>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</si>
  <si>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</si>
  <si>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</si>
  <si>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</si>
  <si>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</si>
  <si>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</si>
  <si>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r>
      <t>b</t>
    </r>
    <r>
      <rPr>
        <sz val="11"/>
        <color theme="1"/>
        <rFont val="Calibri"/>
        <family val="2"/>
        <charset val="238"/>
        <scheme val="minor"/>
      </rPr>
      <t>ába</t>
    </r>
  </si>
  <si>
    <r>
      <t>t</t>
    </r>
    <r>
      <rPr>
        <sz val="11"/>
        <color theme="1"/>
        <rFont val="Calibri"/>
        <family val="2"/>
        <charset val="238"/>
        <scheme val="minor"/>
      </rPr>
      <t>áta</t>
    </r>
  </si>
  <si>
    <r>
      <t>th</t>
    </r>
    <r>
      <rPr>
        <sz val="11"/>
        <color theme="1"/>
        <rFont val="Calibri"/>
        <family val="2"/>
        <charset val="238"/>
        <scheme val="minor"/>
      </rPr>
      <t>ing</t>
    </r>
  </si>
  <si>
    <r>
      <t>dž</t>
    </r>
    <r>
      <rPr>
        <sz val="11"/>
        <color theme="1"/>
        <rFont val="Calibri"/>
        <family val="2"/>
        <charset val="238"/>
        <scheme val="minor"/>
      </rPr>
      <t>in/</t>
    </r>
    <r>
      <rPr>
        <b/>
        <sz val="11"/>
        <color theme="1"/>
        <rFont val="Calibri"/>
        <family val="2"/>
        <charset val="238"/>
        <scheme val="minor"/>
      </rPr>
      <t>ž</t>
    </r>
    <r>
      <rPr>
        <sz val="11"/>
        <color theme="1"/>
        <rFont val="Calibri"/>
        <family val="2"/>
        <charset val="238"/>
        <scheme val="minor"/>
      </rPr>
      <t>ok</t>
    </r>
  </si>
  <si>
    <r>
      <t xml:space="preserve">dyšné </t>
    </r>
    <r>
      <rPr>
        <b/>
        <sz val="11"/>
        <color theme="1"/>
        <rFont val="Calibri"/>
        <family val="2"/>
        <charset val="238"/>
        <scheme val="minor"/>
      </rPr>
      <t>h</t>
    </r>
  </si>
  <si>
    <r>
      <t>ch</t>
    </r>
    <r>
      <rPr>
        <sz val="11"/>
        <color theme="1"/>
        <rFont val="Calibri"/>
        <family val="2"/>
        <charset val="238"/>
        <scheme val="minor"/>
      </rPr>
      <t>léb (chrč.)</t>
    </r>
  </si>
  <si>
    <r>
      <t>d</t>
    </r>
    <r>
      <rPr>
        <sz val="11"/>
        <color theme="1"/>
        <rFont val="Calibri"/>
        <family val="2"/>
        <charset val="238"/>
        <scheme val="minor"/>
      </rPr>
      <t>áma</t>
    </r>
  </si>
  <si>
    <r>
      <t>r</t>
    </r>
    <r>
      <rPr>
        <sz val="11"/>
        <color theme="1"/>
        <rFont val="Calibri"/>
        <family val="2"/>
        <charset val="238"/>
        <scheme val="minor"/>
      </rPr>
      <t>yba</t>
    </r>
  </si>
  <si>
    <r>
      <t>z</t>
    </r>
    <r>
      <rPr>
        <sz val="11"/>
        <color theme="1"/>
        <rFont val="Calibri"/>
        <family val="2"/>
        <charset val="238"/>
        <scheme val="minor"/>
      </rPr>
      <t>ima</t>
    </r>
  </si>
  <si>
    <r>
      <rPr>
        <sz val="11"/>
        <color theme="1"/>
        <rFont val="Calibri"/>
        <family val="2"/>
        <charset val="238"/>
        <scheme val="minor"/>
      </rPr>
      <t>hon</t>
    </r>
    <r>
      <rPr>
        <b/>
        <sz val="11"/>
        <color theme="1"/>
        <rFont val="Calibri"/>
        <family val="2"/>
        <charset val="238"/>
        <scheme val="minor"/>
      </rPr>
      <t>dz</t>
    </r>
    <r>
      <rPr>
        <sz val="11"/>
        <color theme="1"/>
        <rFont val="Calibri"/>
        <family val="2"/>
        <charset val="238"/>
        <scheme val="minor"/>
      </rPr>
      <t>a</t>
    </r>
  </si>
  <si>
    <r>
      <t>s</t>
    </r>
    <r>
      <rPr>
        <sz val="11"/>
        <color theme="1"/>
        <rFont val="Calibri"/>
        <family val="2"/>
        <charset val="238"/>
        <scheme val="minor"/>
      </rPr>
      <t>eno</t>
    </r>
  </si>
  <si>
    <r>
      <t>pa</t>
    </r>
    <r>
      <rPr>
        <b/>
        <sz val="11"/>
        <color theme="1"/>
        <rFont val="Calibri"/>
        <family val="2"/>
        <charset val="238"/>
        <scheme val="minor"/>
      </rPr>
      <t>š</t>
    </r>
    <r>
      <rPr>
        <sz val="11"/>
        <color theme="1"/>
        <rFont val="Calibri"/>
        <family val="2"/>
        <charset val="238"/>
        <scheme val="minor"/>
      </rPr>
      <t>a</t>
    </r>
  </si>
  <si>
    <r>
      <t xml:space="preserve">důrazné </t>
    </r>
    <r>
      <rPr>
        <b/>
        <sz val="11"/>
        <color theme="1"/>
        <rFont val="Calibri"/>
        <family val="2"/>
        <charset val="238"/>
        <scheme val="minor"/>
      </rPr>
      <t>s</t>
    </r>
  </si>
  <si>
    <r>
      <t xml:space="preserve">důrazné </t>
    </r>
    <r>
      <rPr>
        <b/>
        <sz val="11"/>
        <color theme="1"/>
        <rFont val="Calibri"/>
        <family val="2"/>
        <charset val="238"/>
        <scheme val="minor"/>
      </rPr>
      <t>t</t>
    </r>
  </si>
  <si>
    <r>
      <t xml:space="preserve">důrazné </t>
    </r>
    <r>
      <rPr>
        <b/>
        <sz val="11"/>
        <color theme="1"/>
        <rFont val="Calibri"/>
        <family val="2"/>
        <charset val="238"/>
        <scheme val="minor"/>
      </rPr>
      <t>z</t>
    </r>
  </si>
  <si>
    <r>
      <t xml:space="preserve">důrazné </t>
    </r>
    <r>
      <rPr>
        <b/>
        <sz val="11"/>
        <color theme="1"/>
        <rFont val="Calibri"/>
        <family val="2"/>
        <charset val="238"/>
        <scheme val="minor"/>
      </rPr>
      <t>d</t>
    </r>
  </si>
  <si>
    <r>
      <t xml:space="preserve">ráčkované </t>
    </r>
    <r>
      <rPr>
        <b/>
        <sz val="11"/>
        <color theme="1"/>
        <rFont val="Calibri"/>
        <family val="2"/>
        <charset val="238"/>
        <scheme val="minor"/>
      </rPr>
      <t>r</t>
    </r>
  </si>
  <si>
    <r>
      <t>f</t>
    </r>
    <r>
      <rPr>
        <sz val="11"/>
        <color theme="1"/>
        <rFont val="Calibri"/>
        <family val="2"/>
        <charset val="238"/>
        <scheme val="minor"/>
      </rPr>
      <t>áma</t>
    </r>
  </si>
  <si>
    <r>
      <t xml:space="preserve">zadní </t>
    </r>
    <r>
      <rPr>
        <b/>
        <sz val="11"/>
        <color theme="1"/>
        <rFont val="Calibri"/>
        <family val="2"/>
        <charset val="238"/>
        <scheme val="minor"/>
      </rPr>
      <t>k</t>
    </r>
  </si>
  <si>
    <r>
      <t>k</t>
    </r>
    <r>
      <rPr>
        <sz val="11"/>
        <color theme="1"/>
        <rFont val="Calibri"/>
        <family val="2"/>
        <charset val="238"/>
        <scheme val="minor"/>
      </rPr>
      <t>ára (měkč.)</t>
    </r>
  </si>
  <si>
    <r>
      <t>l</t>
    </r>
    <r>
      <rPr>
        <sz val="11"/>
        <color theme="1"/>
        <rFont val="Calibri"/>
        <family val="2"/>
        <charset val="238"/>
        <scheme val="minor"/>
      </rPr>
      <t>áva</t>
    </r>
  </si>
  <si>
    <r>
      <t>m</t>
    </r>
    <r>
      <rPr>
        <sz val="11"/>
        <color theme="1"/>
        <rFont val="Calibri"/>
        <family val="2"/>
        <charset val="238"/>
        <scheme val="minor"/>
      </rPr>
      <t>ák</t>
    </r>
  </si>
  <si>
    <r>
      <t>n</t>
    </r>
    <r>
      <rPr>
        <sz val="11"/>
        <color theme="1"/>
        <rFont val="Calibri"/>
        <family val="2"/>
        <charset val="238"/>
        <scheme val="minor"/>
      </rPr>
      <t>aše</t>
    </r>
  </si>
  <si>
    <r>
      <t>H</t>
    </r>
    <r>
      <rPr>
        <sz val="11"/>
        <color theme="1"/>
        <rFont val="Calibri"/>
        <family val="2"/>
        <charset val="238"/>
        <scheme val="minor"/>
      </rPr>
      <t>ana</t>
    </r>
  </si>
  <si>
    <r>
      <t>w</t>
    </r>
    <r>
      <rPr>
        <sz val="11"/>
        <color theme="1"/>
        <rFont val="Calibri"/>
        <family val="2"/>
        <charset val="238"/>
        <scheme val="minor"/>
      </rPr>
      <t>hat/k</t>
    </r>
    <r>
      <rPr>
        <b/>
        <sz val="11"/>
        <color theme="1"/>
        <rFont val="Calibri"/>
        <family val="2"/>
        <charset val="238"/>
        <scheme val="minor"/>
      </rPr>
      <t>ů</t>
    </r>
    <r>
      <rPr>
        <sz val="11"/>
        <color theme="1"/>
        <rFont val="Calibri"/>
        <family val="2"/>
        <charset val="238"/>
        <scheme val="minor"/>
      </rPr>
      <t>l/</t>
    </r>
    <r>
      <rPr>
        <b/>
        <sz val="11"/>
        <color theme="1"/>
        <rFont val="Calibri"/>
        <family val="2"/>
        <charset val="238"/>
        <scheme val="minor"/>
      </rPr>
      <t>au</t>
    </r>
    <r>
      <rPr>
        <sz val="11"/>
        <color theme="1"/>
        <rFont val="Calibri"/>
        <family val="2"/>
        <charset val="238"/>
        <scheme val="minor"/>
      </rPr>
      <t>to</t>
    </r>
  </si>
  <si>
    <r>
      <t>j</t>
    </r>
    <r>
      <rPr>
        <sz val="11"/>
        <color theme="1"/>
        <rFont val="Calibri"/>
        <family val="2"/>
        <charset val="238"/>
        <scheme val="minor"/>
      </rPr>
      <t>aro/v</t>
    </r>
    <r>
      <rPr>
        <b/>
        <sz val="11"/>
        <color theme="1"/>
        <rFont val="Calibri"/>
        <family val="2"/>
        <charset val="238"/>
        <scheme val="minor"/>
      </rPr>
      <t>í</t>
    </r>
    <r>
      <rPr>
        <sz val="11"/>
        <color theme="1"/>
        <rFont val="Calibri"/>
        <family val="2"/>
        <charset val="238"/>
        <scheme val="minor"/>
      </rPr>
      <t>no/r</t>
    </r>
    <r>
      <rPr>
        <b/>
        <sz val="11"/>
        <color theme="1"/>
        <rFont val="Calibri"/>
        <family val="2"/>
        <charset val="238"/>
        <scheme val="minor"/>
      </rPr>
      <t>aj</t>
    </r>
    <r>
      <rPr>
        <sz val="11"/>
        <color theme="1"/>
        <rFont val="Calibri"/>
        <family val="2"/>
        <charset val="238"/>
        <scheme val="minor"/>
      </rPr>
      <t>če</t>
    </r>
  </si>
  <si>
    <t>KBD</t>
  </si>
  <si>
    <t>M</t>
  </si>
  <si>
    <t>B</t>
  </si>
  <si>
    <t>T</t>
  </si>
  <si>
    <t>X</t>
  </si>
  <si>
    <t>D</t>
  </si>
  <si>
    <t>R</t>
  </si>
  <si>
    <t>Z</t>
  </si>
  <si>
    <t>S</t>
  </si>
  <si>
    <t>F</t>
  </si>
  <si>
    <t>K</t>
  </si>
  <si>
    <t>L</t>
  </si>
  <si>
    <t>N</t>
  </si>
  <si>
    <t>H</t>
  </si>
  <si>
    <t>W</t>
  </si>
  <si>
    <t>J</t>
  </si>
  <si>
    <t>Q</t>
  </si>
  <si>
    <r>
      <t>m</t>
    </r>
    <r>
      <rPr>
        <b/>
        <sz val="11"/>
        <color theme="1"/>
        <rFont val="Calibri"/>
        <family val="2"/>
        <charset val="238"/>
        <scheme val="minor"/>
      </rPr>
      <t>á</t>
    </r>
    <r>
      <rPr>
        <sz val="11"/>
        <color theme="1"/>
        <rFont val="Calibri"/>
        <family val="2"/>
        <charset val="238"/>
        <scheme val="minor"/>
      </rPr>
      <t>ma</t>
    </r>
  </si>
  <si>
    <t>A</t>
  </si>
  <si>
    <t>G</t>
  </si>
  <si>
    <t>C</t>
  </si>
  <si>
    <t>P</t>
  </si>
  <si>
    <t>I</t>
  </si>
  <si>
    <t>O</t>
  </si>
  <si>
    <t>O!</t>
  </si>
  <si>
    <t>;</t>
  </si>
  <si>
    <t>+</t>
  </si>
  <si>
    <t>=</t>
  </si>
  <si>
    <t>´</t>
  </si>
  <si>
    <t>BackSpace</t>
  </si>
  <si>
    <t>↹</t>
  </si>
  <si>
    <t>E</t>
  </si>
  <si>
    <t>U</t>
  </si>
  <si>
    <t>Ú</t>
  </si>
  <si>
    <t>)</t>
  </si>
  <si>
    <t>↲</t>
  </si>
  <si>
    <t>ﻕ</t>
  </si>
  <si>
    <t>ﻭ</t>
  </si>
  <si>
    <t>ﺽ</t>
  </si>
  <si>
    <t>ﺮ</t>
  </si>
  <si>
    <t>ﺕ</t>
  </si>
  <si>
    <t>ﺯ</t>
  </si>
  <si>
    <t>ﻅ</t>
  </si>
  <si>
    <t>ﺡ</t>
  </si>
  <si>
    <t>ﺫ</t>
  </si>
  <si>
    <t>ﺙ</t>
  </si>
  <si>
    <t>Caps Lock</t>
  </si>
  <si>
    <t>Ů</t>
  </si>
  <si>
    <t>§</t>
  </si>
  <si>
    <t>¨</t>
  </si>
  <si>
    <t>ﺍ</t>
  </si>
  <si>
    <t>ﺱ</t>
  </si>
  <si>
    <t>ﺩ</t>
  </si>
  <si>
    <t>ﻑ</t>
  </si>
  <si>
    <t>ﻍ</t>
  </si>
  <si>
    <t>ﻩ</t>
  </si>
  <si>
    <t>ﻱ</t>
  </si>
  <si>
    <t>ﻙ</t>
  </si>
  <si>
    <t>ﻝ</t>
  </si>
  <si>
    <t>Shift</t>
  </si>
  <si>
    <t>\</t>
  </si>
  <si>
    <t>Y</t>
  </si>
  <si>
    <t>V</t>
  </si>
  <si>
    <t>,</t>
  </si>
  <si>
    <t>.</t>
  </si>
  <si>
    <t>-</t>
  </si>
  <si>
    <t>ﺹ</t>
  </si>
  <si>
    <t>ﺥ</t>
  </si>
  <si>
    <t>ﻉ</t>
  </si>
  <si>
    <t>ﻁ</t>
  </si>
  <si>
    <t>ﺏ</t>
  </si>
  <si>
    <t>ﻥ</t>
  </si>
  <si>
    <t>ﻡ</t>
  </si>
  <si>
    <t>Ctrl</t>
  </si>
  <si>
    <t>Fn</t>
  </si>
  <si>
    <t>Win</t>
  </si>
  <si>
    <t>Alt</t>
  </si>
  <si>
    <t>AlrGr</t>
  </si>
  <si>
    <t>Menu</t>
  </si>
  <si>
    <t>↑</t>
  </si>
  <si>
    <t>←</t>
  </si>
  <si>
    <t>↓</t>
  </si>
  <si>
    <t>→</t>
  </si>
  <si>
    <t>@</t>
  </si>
  <si>
    <t>ﺵ</t>
  </si>
  <si>
    <t>$</t>
  </si>
  <si>
    <t>%</t>
  </si>
  <si>
    <t>ﺝ</t>
  </si>
  <si>
    <t>&amp;</t>
  </si>
  <si>
    <t>*</t>
  </si>
  <si>
    <t>(</t>
  </si>
  <si>
    <t>"</t>
  </si>
  <si>
    <t>!</t>
  </si>
  <si>
    <t>ﺀ</t>
  </si>
  <si>
    <t>?</t>
  </si>
  <si>
    <t>:</t>
  </si>
  <si>
    <t>_</t>
  </si>
  <si>
    <t>|</t>
  </si>
  <si>
    <t>°</t>
  </si>
  <si>
    <t>١</t>
  </si>
  <si>
    <t>٢</t>
  </si>
  <si>
    <t>٣</t>
  </si>
  <si>
    <t>٤</t>
  </si>
  <si>
    <t>٥</t>
  </si>
  <si>
    <t>٦</t>
  </si>
  <si>
    <t>٧</t>
  </si>
  <si>
    <t>٨</t>
  </si>
  <si>
    <t>٩</t>
  </si>
  <si>
    <t>٠</t>
  </si>
  <si>
    <t>0635</t>
  </si>
  <si>
    <t>1</t>
  </si>
  <si>
    <t>2</t>
  </si>
  <si>
    <t>3</t>
  </si>
  <si>
    <t>4</t>
  </si>
  <si>
    <t>5</t>
  </si>
  <si>
    <t>6</t>
  </si>
  <si>
    <t>7</t>
  </si>
  <si>
    <t>8</t>
  </si>
  <si>
    <t>9</t>
  </si>
  <si>
    <t>0</t>
  </si>
  <si>
    <t>´ (3)</t>
  </si>
  <si>
    <t>Ú (6)</t>
  </si>
  <si>
    <t>OEM5</t>
  </si>
  <si>
    <t>I! (Shift+H)</t>
  </si>
  <si>
    <t>Y! (Shift+S)</t>
  </si>
  <si>
    <t>E! (Shift+D)</t>
  </si>
  <si>
    <t>V! (Shift+T)</t>
  </si>
  <si>
    <t>U! (Shift+Z)</t>
  </si>
  <si>
    <t>P! (Shift+C)</t>
  </si>
  <si>
    <t>Hamza above</t>
  </si>
  <si>
    <t>0623</t>
  </si>
  <si>
    <t>0624</t>
  </si>
  <si>
    <t>064A</t>
  </si>
  <si>
    <t>0626</t>
  </si>
  <si>
    <t>076C</t>
  </si>
  <si>
    <t>FE89</t>
  </si>
  <si>
    <t>FE83</t>
  </si>
  <si>
    <t>FE85</t>
  </si>
  <si>
    <t>Esc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</si>
  <si>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</si>
  <si>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</si>
  <si>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</si>
  <si>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</si>
  <si>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</si>
  <si>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</si>
  <si>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</si>
  <si>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</si>
  <si>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</si>
  <si>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</si>
  <si>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</si>
  <si>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</si>
  <si>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PrnSc</t>
  </si>
  <si>
    <t>ScLock</t>
  </si>
  <si>
    <t>Pause</t>
  </si>
  <si>
    <t>●</t>
  </si>
  <si>
    <t>Num Lock</t>
  </si>
  <si>
    <t>Scroll Lock</t>
  </si>
  <si>
    <t>OEM_3</t>
  </si>
  <si>
    <t>OEM_PLUS</t>
  </si>
  <si>
    <t>OEM_2</t>
  </si>
  <si>
    <t>OEM_5</t>
  </si>
  <si>
    <t>Back</t>
  </si>
  <si>
    <t>Insert</t>
  </si>
  <si>
    <t>Home</t>
  </si>
  <si>
    <t>Pg Up</t>
  </si>
  <si>
    <t>/</t>
  </si>
  <si>
    <t>Tab</t>
  </si>
  <si>
    <t>OEM_4</t>
  </si>
  <si>
    <t>OEM_6</t>
  </si>
  <si>
    <t>Return</t>
  </si>
  <si>
    <t>Delete</t>
  </si>
  <si>
    <t>End</t>
  </si>
  <si>
    <t>Pg Dn</t>
  </si>
  <si>
    <t>OEM_1</t>
  </si>
  <si>
    <t>OEM_7</t>
  </si>
  <si>
    <t>Shift L</t>
  </si>
  <si>
    <t>OEM_COMMA</t>
  </si>
  <si>
    <t>OEM_PERIOD</t>
  </si>
  <si>
    <t>OEM_MINUS</t>
  </si>
  <si>
    <t>Shift R</t>
  </si>
  <si>
    <t>Return Num</t>
  </si>
  <si>
    <t>Ctrl L</t>
  </si>
  <si>
    <t>Win L</t>
  </si>
  <si>
    <t>Space</t>
  </si>
  <si>
    <t>Alt Gr</t>
  </si>
  <si>
    <t>Win R</t>
  </si>
  <si>
    <t>App</t>
  </si>
  <si>
    <t>Ctrl R</t>
  </si>
  <si>
    <t>Arabic Windows 102 (normal/Shift)</t>
  </si>
  <si>
    <t>003E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</si>
  <si>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</si>
  <si>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</si>
  <si>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</si>
  <si>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</si>
  <si>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</si>
  <si>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</si>
  <si>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</si>
  <si>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</si>
  <si>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</si>
  <si>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0030</t>
  </si>
  <si>
    <t>002D</t>
  </si>
  <si>
    <t>003D</t>
  </si>
  <si>
    <t>OEM_102</t>
  </si>
  <si>
    <t>0640</t>
  </si>
  <si>
    <t>0644 0627</t>
  </si>
  <si>
    <t>0649</t>
  </si>
  <si>
    <t>0629</t>
  </si>
  <si>
    <t>003C</t>
  </si>
  <si>
    <t>0021</t>
  </si>
  <si>
    <t>0040</t>
  </si>
  <si>
    <t>0023</t>
  </si>
  <si>
    <t>0024</t>
  </si>
  <si>
    <t>0025</t>
  </si>
  <si>
    <t>005E</t>
  </si>
  <si>
    <t>0026</t>
  </si>
  <si>
    <t>002A</t>
  </si>
  <si>
    <t>0029</t>
  </si>
  <si>
    <t>0028</t>
  </si>
  <si>
    <t>005F</t>
  </si>
  <si>
    <t>002B</t>
  </si>
  <si>
    <t>0651</t>
  </si>
  <si>
    <t>064E</t>
  </si>
  <si>
    <t>064B</t>
  </si>
  <si>
    <t>064F</t>
  </si>
  <si>
    <t>064C</t>
  </si>
  <si>
    <t>0644 0625</t>
  </si>
  <si>
    <t>0625</t>
  </si>
  <si>
    <t>2018</t>
  </si>
  <si>
    <t>00F7</t>
  </si>
  <si>
    <t>00D7</t>
  </si>
  <si>
    <t>061B</t>
  </si>
  <si>
    <t>007D</t>
  </si>
  <si>
    <t>007B</t>
  </si>
  <si>
    <t>005C</t>
  </si>
  <si>
    <t>005D</t>
  </si>
  <si>
    <t>005B</t>
  </si>
  <si>
    <t>0644 0623</t>
  </si>
  <si>
    <t>060C</t>
  </si>
  <si>
    <t>002F</t>
  </si>
  <si>
    <t>003A</t>
  </si>
  <si>
    <t>0022</t>
  </si>
  <si>
    <t>007C</t>
  </si>
  <si>
    <t>007E</t>
  </si>
  <si>
    <t>0652</t>
  </si>
  <si>
    <t>0650</t>
  </si>
  <si>
    <t>064D</t>
  </si>
  <si>
    <t>0644 0622</t>
  </si>
  <si>
    <t>0622</t>
  </si>
  <si>
    <t>2019</t>
  </si>
  <si>
    <t>002C</t>
  </si>
  <si>
    <t>002E</t>
  </si>
  <si>
    <t>061F</t>
  </si>
  <si>
    <t>00A4</t>
  </si>
  <si>
    <t>0651 064E</t>
  </si>
  <si>
    <t>0651 064B</t>
  </si>
  <si>
    <t>0651 064F</t>
  </si>
  <si>
    <t>0651 064C</t>
  </si>
  <si>
    <t>0651 0650</t>
  </si>
  <si>
    <t>0651 064D</t>
  </si>
  <si>
    <t>Arabic Windows 102 (Ctrl+Alt)</t>
  </si>
  <si>
    <t>Ctrl+Alt+Shift is same as Ctrl+Alt</t>
  </si>
  <si>
    <t>Standar keyboard</t>
  </si>
  <si>
    <t>Shift+Q</t>
  </si>
  <si>
    <t>Shift+W</t>
  </si>
  <si>
    <t>Shift+R</t>
  </si>
  <si>
    <t>Shift+T</t>
  </si>
  <si>
    <t>Shift+Y</t>
  </si>
  <si>
    <t>Shift+U</t>
  </si>
  <si>
    <t>Shift+P</t>
  </si>
  <si>
    <t>Shift+G</t>
  </si>
  <si>
    <t>Shift+H</t>
  </si>
  <si>
    <t>Shift+J</t>
  </si>
  <si>
    <t>Shift+K</t>
  </si>
  <si>
    <t>Shift+X</t>
  </si>
  <si>
    <t>Shift+C</t>
  </si>
  <si>
    <t>Shift+V</t>
  </si>
  <si>
    <t>Shift+B</t>
  </si>
  <si>
    <t>Shift+N</t>
  </si>
  <si>
    <t>Shift+M</t>
  </si>
  <si>
    <t>Ctrl+Alt+Q</t>
  </si>
  <si>
    <t>Ctrl+Alt+W</t>
  </si>
  <si>
    <t>Ctrl+Alt+E</t>
  </si>
  <si>
    <t>Ctrl+Alt+R</t>
  </si>
  <si>
    <t>Ctrl+Alt+C</t>
  </si>
  <si>
    <t>Ctrl+Alt+V</t>
  </si>
  <si>
    <t>normal / Shift</t>
  </si>
  <si>
    <t>Ctrl+Alt / Ctrl+Alt+Shift</t>
  </si>
  <si>
    <t>NEW</t>
  </si>
  <si>
    <t>Shift+S</t>
  </si>
  <si>
    <t>Shift+D</t>
  </si>
  <si>
    <t>Shift+Z</t>
  </si>
  <si>
    <t>TATWEEL</t>
  </si>
  <si>
    <t>YEH WITH HAMZA ABOVE</t>
  </si>
  <si>
    <t>WAW WITH HAMZA ABOVE</t>
  </si>
  <si>
    <t>ALEF MAKSURA</t>
  </si>
  <si>
    <t>TEH MARBUTA</t>
  </si>
  <si>
    <t>FATHA</t>
  </si>
  <si>
    <t>DAMMATAN</t>
  </si>
  <si>
    <t>FATHATAN</t>
  </si>
  <si>
    <t>LAM + ALEF</t>
  </si>
  <si>
    <t>ALEF WITH HAMZA BELOW</t>
  </si>
  <si>
    <t>LEFT SINGLE QUOTATION MARK</t>
  </si>
  <si>
    <t>ALEF WITH HAMZA ABOVE</t>
  </si>
  <si>
    <t>OEM_102/Shift+J</t>
  </si>
  <si>
    <t>… SEMICOLON</t>
  </si>
  <si>
    <t>… COMMA</t>
  </si>
  <si>
    <t>KASRA</t>
  </si>
  <si>
    <t>SUKUN</t>
  </si>
  <si>
    <t>ALEF WITH MADDA ABOVE</t>
  </si>
  <si>
    <t>KASRATAN</t>
  </si>
  <si>
    <t>RIGHT SINGLE QUOTATION MARK</t>
  </si>
  <si>
    <t>… QUESTION MARK</t>
  </si>
  <si>
    <t>LAM + ALEF WITH HAMZA ABOVE</t>
  </si>
  <si>
    <t>LAM + ALEF WITH HAMZA BELOW</t>
  </si>
  <si>
    <t>LAM + ALEF WITH MADDA ABOVE</t>
  </si>
  <si>
    <t>SHADDA</t>
  </si>
  <si>
    <t>SHADDA + FATHA</t>
  </si>
  <si>
    <t>SHADDA + FATHATAN</t>
  </si>
  <si>
    <t>SHADDA + DAMMA</t>
  </si>
  <si>
    <t>SHADDA + DAMMATAN</t>
  </si>
  <si>
    <t>SHADDA + KASRA</t>
  </si>
  <si>
    <t>SHADDA + KASRATAN</t>
  </si>
  <si>
    <t>Ctrl+Alt+D</t>
  </si>
  <si>
    <t>Shift+0</t>
  </si>
  <si>
    <t>Shift+1</t>
  </si>
  <si>
    <t>Shift+2</t>
  </si>
  <si>
    <t>Shift+3</t>
  </si>
  <si>
    <t>Shift+4</t>
  </si>
  <si>
    <t>Shift+5</t>
  </si>
  <si>
    <t>Shift+6</t>
  </si>
  <si>
    <t>Shift+7</t>
  </si>
  <si>
    <t>Shift+8</t>
  </si>
  <si>
    <t>Shift+9</t>
  </si>
  <si>
    <t>Shift+OEM_2</t>
  </si>
  <si>
    <t>Shift+OEM_MINUS</t>
  </si>
  <si>
    <t>Shift+OEM_5</t>
  </si>
  <si>
    <t>20AC</t>
  </si>
  <si>
    <t>Shift+OEM_COMMA</t>
  </si>
  <si>
    <t>Shift+L</t>
  </si>
  <si>
    <t>Shift+A</t>
  </si>
  <si>
    <t>Ctrl+Alt+T</t>
  </si>
  <si>
    <t>Ctrl+Alt+A</t>
  </si>
  <si>
    <t>Ctrl+Alt+Shift+A</t>
  </si>
  <si>
    <t>Ctrl+Alt+L</t>
  </si>
  <si>
    <t>Ctrl+Alt+Shift+L</t>
  </si>
  <si>
    <t>Shift+OEM_3</t>
  </si>
  <si>
    <t>Ctrl+Alt+0</t>
  </si>
  <si>
    <t>Ctrl+Alt+OEM_2</t>
  </si>
  <si>
    <t>DAMMA</t>
  </si>
  <si>
    <t>Ctrl+Alt+2</t>
  </si>
  <si>
    <t>Ctrl+Alt+4</t>
  </si>
  <si>
    <t>0653</t>
  </si>
  <si>
    <t>MADDAH</t>
  </si>
  <si>
    <t>0655</t>
  </si>
  <si>
    <t>0654</t>
  </si>
  <si>
    <t>HAMZA ABOVE</t>
  </si>
  <si>
    <t>HAMZA BELOW</t>
  </si>
  <si>
    <t>Ctrl+Alt+Shift+OEM_5</t>
  </si>
  <si>
    <t>Ctrl+Alt+OEM_5</t>
  </si>
  <si>
    <t>---</t>
  </si>
  <si>
    <t>Ctrl+Alt+Shift+2</t>
  </si>
  <si>
    <t>003B</t>
  </si>
  <si>
    <t>00A7</t>
  </si>
  <si>
    <t>0606</t>
  </si>
  <si>
    <t>0607</t>
  </si>
  <si>
    <t>0609</t>
  </si>
  <si>
    <t>060A</t>
  </si>
  <si>
    <t>060B</t>
  </si>
  <si>
    <t>060D</t>
  </si>
  <si>
    <t>0610</t>
  </si>
  <si>
    <t>0611</t>
  </si>
  <si>
    <t>0612</t>
  </si>
  <si>
    <t>0613</t>
  </si>
  <si>
    <t>0614</t>
  </si>
  <si>
    <t>0615</t>
  </si>
  <si>
    <t>066B</t>
  </si>
  <si>
    <t>0617</t>
  </si>
  <si>
    <t>0618</t>
  </si>
  <si>
    <t>0619</t>
  </si>
  <si>
    <t>061A</t>
  </si>
  <si>
    <t>061E</t>
  </si>
  <si>
    <t>066A</t>
  </si>
  <si>
    <t>066C</t>
  </si>
  <si>
    <t>066D</t>
  </si>
  <si>
    <t>066E</t>
  </si>
  <si>
    <t>066F</t>
  </si>
  <si>
    <t>0671</t>
  </si>
  <si>
    <t>069C</t>
  </si>
  <si>
    <t>06A2</t>
  </si>
  <si>
    <t>06A1</t>
  </si>
  <si>
    <t>06A3</t>
  </si>
  <si>
    <t>06D2</t>
  </si>
  <si>
    <t>06D0</t>
  </si>
  <si>
    <t>06CF</t>
  </si>
  <si>
    <t>06D5</t>
  </si>
  <si>
    <t>06E9</t>
  </si>
  <si>
    <t>Caps / Caps+Shift</t>
  </si>
  <si>
    <t>If not specified Caps=Normal; Caps+Shift = Shift</t>
  </si>
  <si>
    <t>06F1</t>
  </si>
  <si>
    <t>06F2</t>
  </si>
  <si>
    <t>06F3</t>
  </si>
  <si>
    <t>06F4</t>
  </si>
  <si>
    <t>06F5</t>
  </si>
  <si>
    <t>06F6</t>
  </si>
  <si>
    <t>06F7</t>
  </si>
  <si>
    <t>06F8</t>
  </si>
  <si>
    <t>06F9</t>
  </si>
  <si>
    <t>06F0</t>
  </si>
  <si>
    <t>06FD</t>
  </si>
  <si>
    <t>Basic</t>
  </si>
  <si>
    <t>Isolated</t>
  </si>
  <si>
    <t>Initial</t>
  </si>
  <si>
    <t>Middle</t>
  </si>
  <si>
    <t>Kód</t>
  </si>
  <si>
    <t>Znak</t>
  </si>
  <si>
    <t>FB50</t>
  </si>
  <si>
    <t>067B</t>
  </si>
  <si>
    <t>FB52</t>
  </si>
  <si>
    <t>Name</t>
  </si>
  <si>
    <t>ALEF WASLA</t>
  </si>
  <si>
    <t>BEEH</t>
  </si>
  <si>
    <t>PEH</t>
  </si>
  <si>
    <t>067E</t>
  </si>
  <si>
    <t>FB56</t>
  </si>
  <si>
    <t>BEHEH</t>
  </si>
  <si>
    <t>0680</t>
  </si>
  <si>
    <t>FB5A</t>
  </si>
  <si>
    <t>TTEHEH</t>
  </si>
  <si>
    <t>067A</t>
  </si>
  <si>
    <t>TEHEH</t>
  </si>
  <si>
    <t>067F</t>
  </si>
  <si>
    <t>FB5E</t>
  </si>
  <si>
    <t>FB62</t>
  </si>
  <si>
    <t>TTEH</t>
  </si>
  <si>
    <t>0679</t>
  </si>
  <si>
    <t>FB66</t>
  </si>
  <si>
    <t>VEH</t>
  </si>
  <si>
    <t>06A4</t>
  </si>
  <si>
    <t>FB6A</t>
  </si>
  <si>
    <t>PEHEH</t>
  </si>
  <si>
    <t>06A6</t>
  </si>
  <si>
    <t>FB6E</t>
  </si>
  <si>
    <t>DYEH</t>
  </si>
  <si>
    <t>0684</t>
  </si>
  <si>
    <t>FB72</t>
  </si>
  <si>
    <t>NYEH</t>
  </si>
  <si>
    <t>0683</t>
  </si>
  <si>
    <t>FB76</t>
  </si>
  <si>
    <t>TCHEH</t>
  </si>
  <si>
    <t>0686</t>
  </si>
  <si>
    <t>FB7A</t>
  </si>
  <si>
    <t>TCHEHEH</t>
  </si>
  <si>
    <t>0687</t>
  </si>
  <si>
    <t>FB7E</t>
  </si>
  <si>
    <t>DDAHAL</t>
  </si>
  <si>
    <t>068D</t>
  </si>
  <si>
    <t>DAHAL</t>
  </si>
  <si>
    <t>068C</t>
  </si>
  <si>
    <t>FB84</t>
  </si>
  <si>
    <t>FB82</t>
  </si>
  <si>
    <t>DUL</t>
  </si>
  <si>
    <t>0688</t>
  </si>
  <si>
    <t>FB86</t>
  </si>
  <si>
    <t>DDAL</t>
  </si>
  <si>
    <t>068E</t>
  </si>
  <si>
    <t>FB88</t>
  </si>
  <si>
    <t>JEH</t>
  </si>
  <si>
    <t>0698</t>
  </si>
  <si>
    <t>FB8A</t>
  </si>
  <si>
    <t>RREH</t>
  </si>
  <si>
    <t>0691</t>
  </si>
  <si>
    <t>FB8C</t>
  </si>
  <si>
    <t>KEHEH</t>
  </si>
  <si>
    <t>06A9</t>
  </si>
  <si>
    <t>FB8E</t>
  </si>
  <si>
    <t>GAF</t>
  </si>
  <si>
    <t>06AF</t>
  </si>
  <si>
    <t>FB92</t>
  </si>
  <si>
    <t>GUEH</t>
  </si>
  <si>
    <t>06B3</t>
  </si>
  <si>
    <t>FB96</t>
  </si>
  <si>
    <t>NGOEH</t>
  </si>
  <si>
    <t>06B1</t>
  </si>
  <si>
    <t>FB9A</t>
  </si>
  <si>
    <t>NOON GHUNNA</t>
  </si>
  <si>
    <t>06BA</t>
  </si>
  <si>
    <t>FB9E</t>
  </si>
  <si>
    <t>RNOON</t>
  </si>
  <si>
    <t>06BB</t>
  </si>
  <si>
    <t>FBA0</t>
  </si>
  <si>
    <t>HEH WITH YEH ABOVE</t>
  </si>
  <si>
    <t>06C0</t>
  </si>
  <si>
    <t>FBA4</t>
  </si>
  <si>
    <t>GOAL</t>
  </si>
  <si>
    <t>06C1</t>
  </si>
  <si>
    <t>FBA6</t>
  </si>
  <si>
    <t>HEH DOACHASHMEE</t>
  </si>
  <si>
    <t>06BE</t>
  </si>
  <si>
    <t>FBAA</t>
  </si>
  <si>
    <t>YEH BARREE</t>
  </si>
  <si>
    <t>FBAE</t>
  </si>
  <si>
    <t>YEH BARREE WITH HAMZA ABOVE</t>
  </si>
  <si>
    <t>06D3</t>
  </si>
  <si>
    <t>FBB0</t>
  </si>
  <si>
    <t>NG</t>
  </si>
  <si>
    <t>06AD</t>
  </si>
  <si>
    <t>FBD3</t>
  </si>
  <si>
    <t>06C7</t>
  </si>
  <si>
    <t>FBD7</t>
  </si>
  <si>
    <t>OE</t>
  </si>
  <si>
    <t>06C6</t>
  </si>
  <si>
    <t>FBD9</t>
  </si>
  <si>
    <t>YU</t>
  </si>
  <si>
    <t>06C8</t>
  </si>
  <si>
    <t>FBDB</t>
  </si>
  <si>
    <t>VE</t>
  </si>
  <si>
    <t>0677</t>
  </si>
  <si>
    <t>FBDE</t>
  </si>
  <si>
    <t>KIRGHIZ OE</t>
  </si>
  <si>
    <t>06C5</t>
  </si>
  <si>
    <t>FBE0</t>
  </si>
  <si>
    <t>KIRGHIZ YU</t>
  </si>
  <si>
    <t>06C9</t>
  </si>
  <si>
    <t>FBE2</t>
  </si>
  <si>
    <t>FBE4</t>
  </si>
  <si>
    <t>UIGHUR KAZAKH KIRGHIZ ALEF MAKSURA</t>
  </si>
  <si>
    <t>FBE8</t>
  </si>
  <si>
    <t>FARSI YEH</t>
  </si>
  <si>
    <t>06CC</t>
  </si>
  <si>
    <t>FBFC</t>
  </si>
  <si>
    <t>FE70</t>
  </si>
  <si>
    <t>FE72</t>
  </si>
  <si>
    <t>KASTARAN</t>
  </si>
  <si>
    <t>FE74</t>
  </si>
  <si>
    <t>FE76</t>
  </si>
  <si>
    <t>FE77</t>
  </si>
  <si>
    <t>FE78</t>
  </si>
  <si>
    <t>FE79</t>
  </si>
  <si>
    <t>FE7A</t>
  </si>
  <si>
    <t>FE7B</t>
  </si>
  <si>
    <t>FE7C</t>
  </si>
  <si>
    <t>FE7D</t>
  </si>
  <si>
    <t>FE7E</t>
  </si>
  <si>
    <t>FE7F</t>
  </si>
  <si>
    <t>FE81</t>
  </si>
  <si>
    <t>FE87</t>
  </si>
  <si>
    <t>YEH WITH HAMZA ABOVE</t>
  </si>
  <si>
    <t>ALEFT</t>
  </si>
  <si>
    <t>FE93</t>
  </si>
  <si>
    <t>FEAD</t>
  </si>
  <si>
    <t>FEEF</t>
  </si>
  <si>
    <t>DEADKEY 0031</t>
  </si>
  <si>
    <t>DEADKEY 0032</t>
  </si>
  <si>
    <t>DEADKEY 0033</t>
  </si>
  <si>
    <t>DEADKEY 0034</t>
  </si>
  <si>
    <t>068e</t>
  </si>
  <si>
    <t>0608</t>
  </si>
  <si>
    <t>060E</t>
  </si>
  <si>
    <t>060F</t>
  </si>
  <si>
    <t>FDF2</t>
  </si>
  <si>
    <t>FDF3</t>
  </si>
  <si>
    <t>FDF4</t>
  </si>
  <si>
    <t>FDFC</t>
  </si>
  <si>
    <t>FDFD</t>
  </si>
  <si>
    <t>06AA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</si>
</sst>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sz val="20"/>
      <color rgb="FFFFC000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2"/>
      <color theme="0" tint="-0.34998626667073579"/>
      <name val="Calibri"/>
      <family val="2"/>
      <charset val="238"/>
      <scheme val="minor"/>
    </font>
    <font>
      <sz val="20"/>
      <color theme="0" tint="-0.34998626667073579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20"/>
      <color theme="1"/>
      <name val="Microsoft Uighur"/>
    </font>
    <font>
      <sz val="20"/>
      <color theme="1"/>
      <name val="Microsft u"/>
      <charset val="23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ck">
        <color indexed="64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thick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auto="1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double">
        <color auto="1"/>
      </right>
      <top/>
      <bottom/>
      <diagonal/>
    </border>
  </borders>
  <cellStyleXfs count="1">
    <xf numFmtId="0" fontId="0" fillId="0" borderId="0"/>
  </cellStyleXfs>
  <cellXfs count="258">
    <xf numFmtId="0" fontId="0" fillId="0" borderId="0" xfId="0"/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1" fillId="0" borderId="3" xfId="0" applyNumberFormat="1" applyFont="1" applyBorder="1" applyAlignment="1">
      <alignment horizontal="center"/>
    </xf>
    <xf numFmtId="0" fontId="0" fillId="0" borderId="0" xfId="0" applyAlignment="1"/>
    <xf numFmtId="0" fontId="0" fillId="0" borderId="0" xfId="0" quotePrefix="1" applyAlignment="1"/>
    <xf numFmtId="0" fontId="2" fillId="0" borderId="0" xfId="0" applyFont="1" applyAlignment="1">
      <alignment horizontal="center"/>
    </xf>
    <xf numFmtId="49" fontId="0" fillId="0" borderId="0" xfId="0" applyNumberFormat="1" applyAlignment="1"/>
    <xf numFmtId="0" fontId="0" fillId="0" borderId="0" xfId="0" applyNumberFormat="1" applyAlignment="1"/>
    <xf numFmtId="0" fontId="0" fillId="0" borderId="3" xfId="0" applyNumberFormat="1" applyBorder="1" applyAlignment="1"/>
    <xf numFmtId="0" fontId="0" fillId="0" borderId="1" xfId="0" applyBorder="1" applyAlignment="1"/>
    <xf numFmtId="0" fontId="2" fillId="0" borderId="1" xfId="0" applyFont="1" applyBorder="1" applyAlignment="1">
      <alignment horizontal="center"/>
    </xf>
    <xf numFmtId="49" fontId="0" fillId="0" borderId="1" xfId="0" applyNumberFormat="1" applyBorder="1" applyAlignment="1"/>
    <xf numFmtId="0" fontId="0" fillId="0" borderId="1" xfId="0" applyNumberFormat="1" applyBorder="1" applyAlignment="1"/>
    <xf numFmtId="0" fontId="0" fillId="0" borderId="4" xfId="0" applyNumberFormat="1" applyBorder="1" applyAlignment="1"/>
    <xf numFmtId="0" fontId="0" fillId="0" borderId="0" xfId="0" applyFill="1" applyBorder="1" applyAlignment="1"/>
    <xf numFmtId="49" fontId="0" fillId="0" borderId="0" xfId="0" applyNumberFormat="1" applyAlignment="1"/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/>
    <xf numFmtId="0" fontId="1" fillId="0" borderId="1" xfId="0" applyFont="1" applyBorder="1" applyAlignment="1"/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/>
    <xf numFmtId="49" fontId="3" fillId="3" borderId="35" xfId="0" applyNumberFormat="1" applyFont="1" applyFill="1" applyBorder="1" applyAlignment="1">
      <alignment horizontal="center" vertical="center"/>
    </xf>
    <xf numFmtId="49" fontId="3" fillId="3" borderId="36" xfId="0" applyNumberFormat="1" applyFont="1" applyFill="1" applyBorder="1" applyAlignment="1">
      <alignment horizontal="center" vertical="center"/>
    </xf>
    <xf numFmtId="49" fontId="3" fillId="0" borderId="37" xfId="0" applyNumberFormat="1" applyFont="1" applyFill="1" applyBorder="1" applyAlignment="1">
      <alignment horizontal="center" vertical="center"/>
    </xf>
    <xf numFmtId="49" fontId="3" fillId="4" borderId="36" xfId="0" applyNumberFormat="1" applyFont="1" applyFill="1" applyBorder="1" applyAlignment="1">
      <alignment horizontal="center" vertical="center"/>
    </xf>
    <xf numFmtId="49" fontId="3" fillId="0" borderId="37" xfId="0" applyNumberFormat="1" applyFont="1" applyBorder="1" applyAlignment="1">
      <alignment horizontal="center" vertical="center"/>
    </xf>
    <xf numFmtId="49" fontId="3" fillId="4" borderId="37" xfId="0" applyNumberFormat="1" applyFont="1" applyFill="1" applyBorder="1" applyAlignment="1">
      <alignment horizontal="center" vertical="center"/>
    </xf>
    <xf numFmtId="49" fontId="3" fillId="3" borderId="37" xfId="0" applyNumberFormat="1" applyFont="1" applyFill="1" applyBorder="1" applyAlignment="1">
      <alignment horizontal="center" vertical="center"/>
    </xf>
    <xf numFmtId="49" fontId="3" fillId="0" borderId="36" xfId="0" applyNumberFormat="1" applyFont="1" applyFill="1" applyBorder="1" applyAlignment="1">
      <alignment horizontal="center" vertical="center"/>
    </xf>
    <xf numFmtId="49" fontId="3" fillId="0" borderId="37" xfId="0" quotePrefix="1" applyNumberFormat="1" applyFont="1" applyFill="1" applyBorder="1" applyAlignment="1">
      <alignment horizontal="center" vertical="center"/>
    </xf>
    <xf numFmtId="49" fontId="4" fillId="3" borderId="35" xfId="0" applyNumberFormat="1" applyFont="1" applyFill="1" applyBorder="1" applyAlignment="1">
      <alignment horizontal="center" vertical="center"/>
    </xf>
    <xf numFmtId="49" fontId="4" fillId="3" borderId="36" xfId="0" applyNumberFormat="1" applyFont="1" applyFill="1" applyBorder="1" applyAlignment="1">
      <alignment horizontal="center" vertical="center"/>
    </xf>
    <xf numFmtId="49" fontId="4" fillId="0" borderId="37" xfId="0" applyNumberFormat="1" applyFont="1" applyFill="1" applyBorder="1" applyAlignment="1">
      <alignment horizontal="center" vertical="center"/>
    </xf>
    <xf numFmtId="49" fontId="4" fillId="4" borderId="36" xfId="0" applyNumberFormat="1" applyFont="1" applyFill="1" applyBorder="1" applyAlignment="1">
      <alignment horizontal="center" vertical="center"/>
    </xf>
    <xf numFmtId="49" fontId="4" fillId="0" borderId="37" xfId="0" applyNumberFormat="1" applyFont="1" applyBorder="1" applyAlignment="1">
      <alignment horizontal="center" vertical="center"/>
    </xf>
    <xf numFmtId="49" fontId="4" fillId="4" borderId="37" xfId="0" applyNumberFormat="1" applyFont="1" applyFill="1" applyBorder="1" applyAlignment="1">
      <alignment horizontal="center" vertical="center"/>
    </xf>
    <xf numFmtId="49" fontId="4" fillId="3" borderId="37" xfId="0" applyNumberFormat="1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4" fillId="0" borderId="36" xfId="0" applyNumberFormat="1" applyFont="1" applyFill="1" applyBorder="1" applyAlignment="1">
      <alignment horizontal="center" vertical="center"/>
    </xf>
    <xf numFmtId="49" fontId="4" fillId="0" borderId="37" xfId="0" quotePrefix="1" applyNumberFormat="1" applyFont="1" applyFill="1" applyBorder="1" applyAlignment="1">
      <alignment horizontal="center" vertical="center"/>
    </xf>
    <xf numFmtId="0" fontId="0" fillId="0" borderId="4" xfId="0" applyBorder="1" applyAlignment="1"/>
    <xf numFmtId="49" fontId="1" fillId="0" borderId="0" xfId="0" applyNumberFormat="1" applyFont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27" xfId="0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7" fillId="0" borderId="45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20" xfId="0" applyFont="1" applyBorder="1" applyAlignment="1">
      <alignment vertical="center"/>
    </xf>
    <xf numFmtId="49" fontId="0" fillId="0" borderId="45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49" fontId="0" fillId="0" borderId="27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27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" fillId="0" borderId="5" xfId="0" applyFont="1" applyFill="1" applyBorder="1" applyAlignment="1">
      <alignment horizontal="center"/>
    </xf>
    <xf numFmtId="49" fontId="1" fillId="0" borderId="0" xfId="0" applyNumberFormat="1" applyFont="1" applyFill="1" applyAlignment="1">
      <alignment horizontal="center"/>
    </xf>
    <xf numFmtId="0" fontId="1" fillId="0" borderId="0" xfId="0" applyNumberFormat="1" applyFont="1" applyFill="1" applyAlignment="1">
      <alignment horizontal="center"/>
    </xf>
    <xf numFmtId="0" fontId="1" fillId="0" borderId="3" xfId="0" applyNumberFormat="1" applyFont="1" applyFill="1" applyBorder="1" applyAlignment="1">
      <alignment horizontal="center"/>
    </xf>
    <xf numFmtId="49" fontId="0" fillId="0" borderId="5" xfId="0" applyNumberFormat="1" applyFill="1" applyBorder="1" applyAlignment="1"/>
    <xf numFmtId="49" fontId="0" fillId="0" borderId="0" xfId="0" applyNumberFormat="1" applyFill="1" applyAlignment="1"/>
    <xf numFmtId="0" fontId="0" fillId="0" borderId="0" xfId="0" applyNumberFormat="1" applyFill="1" applyAlignment="1"/>
    <xf numFmtId="0" fontId="0" fillId="0" borderId="3" xfId="0" applyNumberFormat="1" applyFill="1" applyBorder="1" applyAlignment="1"/>
    <xf numFmtId="49" fontId="0" fillId="0" borderId="6" xfId="0" applyNumberFormat="1" applyFill="1" applyBorder="1" applyAlignment="1"/>
    <xf numFmtId="49" fontId="0" fillId="0" borderId="1" xfId="0" applyNumberFormat="1" applyFill="1" applyBorder="1" applyAlignment="1"/>
    <xf numFmtId="0" fontId="0" fillId="0" borderId="1" xfId="0" applyNumberFormat="1" applyFill="1" applyBorder="1" applyAlignment="1"/>
    <xf numFmtId="0" fontId="0" fillId="0" borderId="4" xfId="0" applyNumberFormat="1" applyFill="1" applyBorder="1" applyAlignment="1"/>
    <xf numFmtId="0" fontId="0" fillId="0" borderId="1" xfId="0" applyFill="1" applyBorder="1" applyAlignment="1"/>
    <xf numFmtId="0" fontId="7" fillId="4" borderId="45" xfId="0" applyFont="1" applyFill="1" applyBorder="1" applyAlignment="1">
      <alignment horizontal="center" vertical="center"/>
    </xf>
    <xf numFmtId="49" fontId="0" fillId="4" borderId="14" xfId="0" applyNumberForma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49" fontId="0" fillId="4" borderId="15" xfId="0" applyNumberFormat="1" applyFill="1" applyBorder="1" applyAlignment="1">
      <alignment horizontal="center" vertical="center"/>
    </xf>
    <xf numFmtId="0" fontId="7" fillId="0" borderId="45" xfId="0" applyFont="1" applyFill="1" applyBorder="1" applyAlignment="1">
      <alignment horizontal="center" vertical="center"/>
    </xf>
    <xf numFmtId="49" fontId="0" fillId="0" borderId="14" xfId="0" applyNumberFormat="1" applyFill="1" applyBorder="1" applyAlignment="1">
      <alignment horizontal="center" vertical="center"/>
    </xf>
    <xf numFmtId="0" fontId="10" fillId="0" borderId="45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49" fontId="11" fillId="0" borderId="45" xfId="0" applyNumberFormat="1" applyFont="1" applyBorder="1" applyAlignment="1">
      <alignment horizontal="center" vertical="center"/>
    </xf>
    <xf numFmtId="49" fontId="11" fillId="0" borderId="20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49" fontId="11" fillId="0" borderId="14" xfId="0" applyNumberFormat="1" applyFont="1" applyBorder="1" applyAlignment="1">
      <alignment horizontal="center" vertical="center"/>
    </xf>
    <xf numFmtId="49" fontId="11" fillId="0" borderId="15" xfId="0" applyNumberFormat="1" applyFont="1" applyBorder="1" applyAlignment="1">
      <alignment horizontal="center" vertical="center"/>
    </xf>
    <xf numFmtId="49" fontId="11" fillId="0" borderId="27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0" borderId="3" xfId="0" applyNumberForma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3" xfId="0" applyNumberFormat="1" applyBorder="1" applyAlignment="1">
      <alignment horizontal="center"/>
    </xf>
    <xf numFmtId="0" fontId="1" fillId="0" borderId="50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3" xfId="0" applyBorder="1" applyAlignment="1">
      <alignment vertical="center"/>
    </xf>
    <xf numFmtId="0" fontId="0" fillId="0" borderId="33" xfId="0" applyBorder="1" applyAlignment="1">
      <alignment vertical="center"/>
    </xf>
    <xf numFmtId="0" fontId="2" fillId="0" borderId="0" xfId="0" applyFont="1" applyAlignment="1">
      <alignment horizontal="center"/>
    </xf>
    <xf numFmtId="0" fontId="1" fillId="0" borderId="5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49" fontId="1" fillId="0" borderId="0" xfId="0" applyNumberFormat="1" applyFont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9" fontId="0" fillId="0" borderId="0" xfId="0" applyNumberFormat="1" applyAlignment="1"/>
    <xf numFmtId="49" fontId="0" fillId="0" borderId="1" xfId="0" applyNumberFormat="1" applyBorder="1" applyAlignment="1"/>
    <xf numFmtId="49" fontId="0" fillId="0" borderId="2" xfId="0" applyNumberFormat="1" applyBorder="1" applyAlignment="1"/>
    <xf numFmtId="0" fontId="2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0" fillId="0" borderId="7" xfId="0" applyNumberFormat="1" applyFill="1" applyBorder="1" applyAlignment="1"/>
    <xf numFmtId="49" fontId="0" fillId="0" borderId="2" xfId="0" applyNumberFormat="1" applyFill="1" applyBorder="1" applyAlignment="1"/>
    <xf numFmtId="49" fontId="0" fillId="0" borderId="8" xfId="0" applyNumberFormat="1" applyFill="1" applyBorder="1" applyAlignment="1"/>
    <xf numFmtId="49" fontId="0" fillId="0" borderId="5" xfId="0" applyNumberFormat="1" applyFill="1" applyBorder="1" applyAlignment="1"/>
    <xf numFmtId="49" fontId="0" fillId="0" borderId="0" xfId="0" applyNumberFormat="1" applyFill="1" applyBorder="1" applyAlignment="1"/>
    <xf numFmtId="49" fontId="0" fillId="0" borderId="3" xfId="0" applyNumberFormat="1" applyFill="1" applyBorder="1" applyAlignment="1"/>
    <xf numFmtId="49" fontId="0" fillId="0" borderId="6" xfId="0" applyNumberFormat="1" applyFill="1" applyBorder="1" applyAlignment="1"/>
    <xf numFmtId="49" fontId="0" fillId="0" borderId="1" xfId="0" applyNumberFormat="1" applyFill="1" applyBorder="1" applyAlignment="1"/>
    <xf numFmtId="49" fontId="0" fillId="0" borderId="4" xfId="0" applyNumberFormat="1" applyFill="1" applyBorder="1" applyAlignment="1"/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49" fontId="3" fillId="2" borderId="18" xfId="0" applyNumberFormat="1" applyFont="1" applyFill="1" applyBorder="1" applyAlignment="1">
      <alignment horizontal="center" vertical="center"/>
    </xf>
    <xf numFmtId="49" fontId="3" fillId="2" borderId="19" xfId="0" applyNumberFormat="1" applyFont="1" applyFill="1" applyBorder="1" applyAlignment="1">
      <alignment horizontal="center" vertical="center"/>
    </xf>
    <xf numFmtId="49" fontId="3" fillId="2" borderId="13" xfId="0" applyNumberFormat="1" applyFont="1" applyFill="1" applyBorder="1" applyAlignment="1">
      <alignment horizontal="center" vertical="center"/>
    </xf>
    <xf numFmtId="49" fontId="3" fillId="2" borderId="16" xfId="0" applyNumberFormat="1" applyFont="1" applyFill="1" applyBorder="1" applyAlignment="1">
      <alignment horizontal="center" vertical="center"/>
    </xf>
    <xf numFmtId="49" fontId="3" fillId="6" borderId="38" xfId="0" applyNumberFormat="1" applyFont="1" applyFill="1" applyBorder="1" applyAlignment="1">
      <alignment horizontal="center" vertical="center"/>
    </xf>
    <xf numFmtId="49" fontId="3" fillId="4" borderId="38" xfId="0" applyNumberFormat="1" applyFont="1" applyFill="1" applyBorder="1" applyAlignment="1">
      <alignment horizontal="center" vertical="center"/>
    </xf>
    <xf numFmtId="49" fontId="3" fillId="4" borderId="18" xfId="0" applyNumberFormat="1" applyFont="1" applyFill="1" applyBorder="1" applyAlignment="1">
      <alignment horizontal="center" vertical="center"/>
    </xf>
    <xf numFmtId="49" fontId="3" fillId="6" borderId="18" xfId="0" applyNumberFormat="1" applyFont="1" applyFill="1" applyBorder="1" applyAlignment="1">
      <alignment horizontal="center" vertical="center"/>
    </xf>
    <xf numFmtId="49" fontId="3" fillId="6" borderId="37" xfId="0" applyNumberFormat="1" applyFont="1" applyFill="1" applyBorder="1" applyAlignment="1">
      <alignment horizontal="center" vertical="center"/>
    </xf>
    <xf numFmtId="49" fontId="3" fillId="6" borderId="36" xfId="0" applyNumberFormat="1" applyFont="1" applyFill="1" applyBorder="1" applyAlignment="1">
      <alignment horizontal="center" vertical="center"/>
    </xf>
    <xf numFmtId="49" fontId="3" fillId="4" borderId="24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49" fontId="3" fillId="0" borderId="18" xfId="0" applyNumberFormat="1" applyFont="1" applyFill="1" applyBorder="1" applyAlignment="1">
      <alignment horizontal="center" vertical="center"/>
    </xf>
    <xf numFmtId="49" fontId="3" fillId="2" borderId="9" xfId="0" applyNumberFormat="1" applyFont="1" applyFill="1" applyBorder="1" applyAlignment="1">
      <alignment horizontal="center" vertical="center"/>
    </xf>
    <xf numFmtId="49" fontId="3" fillId="2" borderId="11" xfId="0" applyNumberFormat="1" applyFont="1" applyFill="1" applyBorder="1" applyAlignment="1">
      <alignment horizontal="center" vertical="center"/>
    </xf>
    <xf numFmtId="49" fontId="3" fillId="3" borderId="21" xfId="0" applyNumberFormat="1" applyFont="1" applyFill="1" applyBorder="1" applyAlignment="1">
      <alignment horizontal="center" vertical="center"/>
    </xf>
    <xf numFmtId="49" fontId="3" fillId="3" borderId="24" xfId="0" applyNumberFormat="1" applyFont="1" applyFill="1" applyBorder="1" applyAlignment="1">
      <alignment horizontal="center" vertical="center"/>
    </xf>
    <xf numFmtId="49" fontId="3" fillId="0" borderId="24" xfId="0" applyNumberFormat="1" applyFont="1" applyFill="1" applyBorder="1" applyAlignment="1">
      <alignment horizontal="center" vertical="center"/>
    </xf>
    <xf numFmtId="49" fontId="3" fillId="0" borderId="24" xfId="0" applyNumberFormat="1" applyFont="1" applyBorder="1" applyAlignment="1">
      <alignment horizontal="center" vertical="center"/>
    </xf>
    <xf numFmtId="49" fontId="3" fillId="4" borderId="38" xfId="0" applyNumberFormat="1" applyFont="1" applyFill="1" applyBorder="1" applyAlignment="1">
      <alignment horizontal="center" vertical="center" wrapText="1"/>
    </xf>
    <xf numFmtId="49" fontId="3" fillId="3" borderId="30" xfId="0" applyNumberFormat="1" applyFont="1" applyFill="1" applyBorder="1" applyAlignment="1">
      <alignment horizontal="center" vertical="center"/>
    </xf>
    <xf numFmtId="49" fontId="3" fillId="3" borderId="31" xfId="0" applyNumberFormat="1" applyFont="1" applyFill="1" applyBorder="1" applyAlignment="1">
      <alignment horizontal="center" vertical="center"/>
    </xf>
    <xf numFmtId="49" fontId="3" fillId="2" borderId="32" xfId="0" applyNumberFormat="1" applyFont="1" applyFill="1" applyBorder="1" applyAlignment="1">
      <alignment horizontal="center" vertical="center"/>
    </xf>
    <xf numFmtId="49" fontId="3" fillId="2" borderId="0" xfId="0" applyNumberFormat="1" applyFont="1" applyFill="1" applyBorder="1" applyAlignment="1">
      <alignment horizontal="center" vertical="center"/>
    </xf>
    <xf numFmtId="49" fontId="3" fillId="2" borderId="20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49" fontId="3" fillId="2" borderId="27" xfId="0" applyNumberFormat="1" applyFont="1" applyFill="1" applyBorder="1" applyAlignment="1">
      <alignment horizontal="center" vertical="center"/>
    </xf>
    <xf numFmtId="49" fontId="3" fillId="2" borderId="15" xfId="0" applyNumberFormat="1" applyFont="1" applyFill="1" applyBorder="1" applyAlignment="1">
      <alignment horizontal="center" vertical="center"/>
    </xf>
    <xf numFmtId="49" fontId="3" fillId="2" borderId="28" xfId="0" applyNumberFormat="1" applyFont="1" applyFill="1" applyBorder="1" applyAlignment="1">
      <alignment horizontal="center" vertical="center"/>
    </xf>
    <xf numFmtId="49" fontId="3" fillId="2" borderId="33" xfId="0" applyNumberFormat="1" applyFont="1" applyFill="1" applyBorder="1" applyAlignment="1">
      <alignment horizontal="center" vertical="center"/>
    </xf>
    <xf numFmtId="49" fontId="3" fillId="2" borderId="29" xfId="0" applyNumberFormat="1" applyFont="1" applyFill="1" applyBorder="1" applyAlignment="1">
      <alignment horizontal="center" vertical="center"/>
    </xf>
    <xf numFmtId="49" fontId="3" fillId="0" borderId="40" xfId="0" applyNumberFormat="1" applyFont="1" applyFill="1" applyBorder="1" applyAlignment="1">
      <alignment horizontal="center" vertical="center"/>
    </xf>
    <xf numFmtId="49" fontId="3" fillId="0" borderId="41" xfId="0" applyNumberFormat="1" applyFont="1" applyFill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49" fontId="3" fillId="0" borderId="41" xfId="0" applyNumberFormat="1" applyFont="1" applyBorder="1" applyAlignment="1">
      <alignment horizontal="center" vertical="center"/>
    </xf>
    <xf numFmtId="49" fontId="4" fillId="4" borderId="39" xfId="0" applyNumberFormat="1" applyFont="1" applyFill="1" applyBorder="1" applyAlignment="1">
      <alignment horizontal="center" vertical="center"/>
    </xf>
    <xf numFmtId="49" fontId="4" fillId="4" borderId="34" xfId="0" applyNumberFormat="1" applyFont="1" applyFill="1" applyBorder="1" applyAlignment="1">
      <alignment horizontal="center" vertical="center"/>
    </xf>
    <xf numFmtId="49" fontId="4" fillId="6" borderId="39" xfId="0" applyNumberFormat="1" applyFont="1" applyFill="1" applyBorder="1" applyAlignment="1">
      <alignment horizontal="center" vertical="center"/>
    </xf>
    <xf numFmtId="49" fontId="4" fillId="6" borderId="34" xfId="0" applyNumberFormat="1" applyFont="1" applyFill="1" applyBorder="1" applyAlignment="1">
      <alignment horizontal="center" vertical="center"/>
    </xf>
    <xf numFmtId="49" fontId="4" fillId="4" borderId="39" xfId="0" applyNumberFormat="1" applyFont="1" applyFill="1" applyBorder="1" applyAlignment="1">
      <alignment horizontal="center" vertical="center" wrapText="1"/>
    </xf>
    <xf numFmtId="49" fontId="4" fillId="4" borderId="34" xfId="0" applyNumberFormat="1" applyFont="1" applyFill="1" applyBorder="1" applyAlignment="1">
      <alignment horizontal="center" vertical="center" wrapText="1"/>
    </xf>
    <xf numFmtId="49" fontId="3" fillId="5" borderId="9" xfId="0" applyNumberFormat="1" applyFont="1" applyFill="1" applyBorder="1" applyAlignment="1">
      <alignment horizontal="center" vertical="center"/>
    </xf>
    <xf numFmtId="49" fontId="3" fillId="5" borderId="10" xfId="0" applyNumberFormat="1" applyFont="1" applyFill="1" applyBorder="1" applyAlignment="1">
      <alignment horizontal="center" vertical="center"/>
    </xf>
    <xf numFmtId="49" fontId="3" fillId="2" borderId="12" xfId="0" applyNumberFormat="1" applyFont="1" applyFill="1" applyBorder="1" applyAlignment="1">
      <alignment horizontal="center" vertical="center"/>
    </xf>
    <xf numFmtId="49" fontId="3" fillId="4" borderId="39" xfId="0" applyNumberFormat="1" applyFont="1" applyFill="1" applyBorder="1" applyAlignment="1">
      <alignment horizontal="center" vertical="center"/>
    </xf>
    <xf numFmtId="49" fontId="3" fillId="4" borderId="34" xfId="0" applyNumberFormat="1" applyFont="1" applyFill="1" applyBorder="1" applyAlignment="1">
      <alignment horizontal="center" vertical="center"/>
    </xf>
    <xf numFmtId="49" fontId="3" fillId="2" borderId="24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3" xfId="0" applyNumberFormat="1" applyFont="1" applyFill="1" applyBorder="1" applyAlignment="1">
      <alignment horizontal="center" vertical="center"/>
    </xf>
    <xf numFmtId="49" fontId="3" fillId="2" borderId="14" xfId="0" applyNumberFormat="1" applyFont="1" applyFill="1" applyBorder="1" applyAlignment="1">
      <alignment horizontal="center" vertical="center"/>
    </xf>
    <xf numFmtId="49" fontId="3" fillId="2" borderId="17" xfId="0" applyNumberFormat="1" applyFont="1" applyFill="1" applyBorder="1" applyAlignment="1">
      <alignment horizontal="center" vertical="center"/>
    </xf>
    <xf numFmtId="49" fontId="3" fillId="2" borderId="22" xfId="0" applyNumberFormat="1" applyFont="1" applyFill="1" applyBorder="1" applyAlignment="1">
      <alignment horizontal="center" vertical="center"/>
    </xf>
    <xf numFmtId="49" fontId="3" fillId="2" borderId="21" xfId="0" applyNumberFormat="1" applyFont="1" applyFill="1" applyBorder="1" applyAlignment="1">
      <alignment horizontal="center" vertical="center"/>
    </xf>
    <xf numFmtId="0" fontId="0" fillId="0" borderId="33" xfId="0" applyBorder="1" applyAlignment="1">
      <alignment horizontal="left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0" fontId="5" fillId="2" borderId="45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4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7" fillId="0" borderId="4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27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 wrapText="1"/>
    </xf>
    <xf numFmtId="0" fontId="5" fillId="2" borderId="17" xfId="0" applyFont="1" applyFill="1" applyBorder="1" applyAlignment="1">
      <alignment horizontal="center" vertical="center" wrapText="1"/>
    </xf>
    <xf numFmtId="0" fontId="5" fillId="2" borderId="45" xfId="0" applyFont="1" applyFill="1" applyBorder="1" applyAlignment="1">
      <alignment horizontal="center" vertical="center" wrapText="1"/>
    </xf>
    <xf numFmtId="0" fontId="5" fillId="2" borderId="20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5" fillId="2" borderId="46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45" xfId="0" applyFont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43" xfId="0" applyBorder="1" applyAlignment="1">
      <alignment horizontal="left" vertical="center"/>
    </xf>
    <xf numFmtId="0" fontId="0" fillId="0" borderId="3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46" xfId="0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0" xfId="0" applyFont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</cellXfs>
  <cellStyles count="1">
    <cellStyle name="normální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ist1"/>
  <dimension ref="A1:AC317"/>
  <sheetViews>
    <sheetView workbookViewId="0">
      <selection sqref="A1:C1"/>
    </sheetView>
  </sheetViews>
  <sheetFormatPr defaultRowHeight="15"/>
  <cols>
    <col min="1" max="10" width="9.140625" style="5"/>
    <col min="11" max="11" width="14.42578125" style="5" bestFit="1" customWidth="1"/>
    <col min="12" max="12" width="9.140625" style="75"/>
    <col min="13" max="13" width="9.140625" style="76"/>
    <col min="14" max="15" width="9.140625" style="77"/>
    <col min="16" max="16" width="9.140625" style="78"/>
    <col min="17" max="17" width="11.85546875" style="5" bestFit="1" customWidth="1"/>
    <col min="18" max="20" width="9.140625" style="5"/>
    <col min="21" max="21" width="9.140625" style="26"/>
    <col min="22" max="22" width="12.28515625" style="26" hidden="1" customWidth="1"/>
    <col min="23" max="24" width="9.140625" style="8"/>
    <col min="25" max="26" width="9.140625" style="9"/>
    <col min="27" max="27" width="9.140625" style="10"/>
    <col min="28" max="28" width="16.5703125" style="5" hidden="1" customWidth="1"/>
    <col min="29" max="29" width="12.28515625" style="5" bestFit="1" customWidth="1"/>
    <col min="30" max="16384" width="9.140625" style="5"/>
  </cols>
  <sheetData>
    <row r="1" spans="1:29" s="1" customFormat="1">
      <c r="A1" s="118" t="s">
        <v>0</v>
      </c>
      <c r="B1" s="118"/>
      <c r="C1" s="118"/>
      <c r="D1" s="118" t="s">
        <v>3</v>
      </c>
      <c r="E1" s="118"/>
      <c r="F1" s="118"/>
      <c r="G1" s="118" t="s">
        <v>188</v>
      </c>
      <c r="H1" s="118"/>
      <c r="I1" s="118"/>
      <c r="J1" s="118"/>
      <c r="K1" s="23" t="s">
        <v>8</v>
      </c>
      <c r="L1" s="143" t="s">
        <v>11</v>
      </c>
      <c r="M1" s="143"/>
      <c r="N1" s="143"/>
      <c r="O1" s="143"/>
      <c r="P1" s="144"/>
      <c r="Q1" s="117" t="s">
        <v>187</v>
      </c>
      <c r="R1" s="118"/>
      <c r="S1" s="118"/>
      <c r="T1" s="118"/>
      <c r="U1" s="119"/>
      <c r="V1" s="115" t="s">
        <v>274</v>
      </c>
      <c r="W1" s="116" t="s">
        <v>403</v>
      </c>
      <c r="X1" s="116"/>
      <c r="Y1" s="116"/>
      <c r="Z1" s="116"/>
      <c r="AA1" s="4"/>
      <c r="AB1" s="113" t="s">
        <v>535</v>
      </c>
      <c r="AC1" s="114" t="s">
        <v>561</v>
      </c>
    </row>
    <row r="2" spans="1:29" s="1" customFormat="1">
      <c r="A2" s="1" t="s">
        <v>1</v>
      </c>
      <c r="B2" s="1" t="s">
        <v>2</v>
      </c>
      <c r="C2" s="1" t="s">
        <v>9</v>
      </c>
      <c r="D2" s="1" t="s">
        <v>1</v>
      </c>
      <c r="E2" s="1" t="s">
        <v>2</v>
      </c>
      <c r="F2" s="1" t="s">
        <v>44</v>
      </c>
      <c r="G2" s="1" t="s">
        <v>7</v>
      </c>
      <c r="H2" s="1" t="s">
        <v>6</v>
      </c>
      <c r="I2" s="1" t="s">
        <v>5</v>
      </c>
      <c r="J2" s="1" t="s">
        <v>4</v>
      </c>
      <c r="L2" s="71" t="s">
        <v>10</v>
      </c>
      <c r="M2" s="72" t="s">
        <v>7</v>
      </c>
      <c r="N2" s="73" t="s">
        <v>6</v>
      </c>
      <c r="O2" s="73" t="s">
        <v>5</v>
      </c>
      <c r="P2" s="74" t="s">
        <v>4</v>
      </c>
      <c r="Q2" s="1" t="s">
        <v>10</v>
      </c>
      <c r="R2" s="2" t="s">
        <v>7</v>
      </c>
      <c r="S2" s="3" t="s">
        <v>6</v>
      </c>
      <c r="T2" s="3" t="s">
        <v>5</v>
      </c>
      <c r="U2" s="4" t="s">
        <v>4</v>
      </c>
      <c r="V2" s="115"/>
      <c r="W2" s="2" t="s">
        <v>10</v>
      </c>
      <c r="X2" s="2" t="s">
        <v>7</v>
      </c>
      <c r="Y2" s="3" t="s">
        <v>6</v>
      </c>
      <c r="Z2" s="3" t="s">
        <v>5</v>
      </c>
      <c r="AA2" s="4" t="s">
        <v>4</v>
      </c>
      <c r="AB2" s="113"/>
      <c r="AC2" s="114"/>
    </row>
    <row r="3" spans="1:29" ht="23.25">
      <c r="A3" s="5" t="s">
        <v>12</v>
      </c>
      <c r="B3" s="5" t="s">
        <v>12</v>
      </c>
      <c r="C3" s="5" t="s">
        <v>69</v>
      </c>
      <c r="D3" s="6" t="s">
        <v>97</v>
      </c>
      <c r="E3" s="6" t="s">
        <v>97</v>
      </c>
      <c r="G3" s="7" t="str">
        <f t="shared" ref="G3:G31" si="0">IF(R3&lt;&gt;"",R3,"")</f>
        <v>ﺀ</v>
      </c>
      <c r="H3" s="7" t="str">
        <f t="shared" ref="H3:J3" si="1">IF(S3&lt;&gt;"",S3,"")</f>
        <v/>
      </c>
      <c r="I3" s="7" t="str">
        <f t="shared" si="1"/>
        <v/>
      </c>
      <c r="J3" s="7" t="str">
        <f t="shared" si="1"/>
        <v/>
      </c>
      <c r="K3" s="6" t="s">
        <v>97</v>
      </c>
      <c r="L3" s="75" t="s">
        <v>149</v>
      </c>
      <c r="M3" s="76" t="s">
        <v>189</v>
      </c>
      <c r="Q3" s="19" t="str">
        <f>IF(L3&lt;&gt;"",toUTF16(HEX2DEC(L3)),"")</f>
        <v>ء</v>
      </c>
      <c r="R3" s="19" t="str">
        <f t="shared" ref="R3:U3" si="2">IF(M3&lt;&gt;"",toUTF16(HEX2DEC(M3)),"")</f>
        <v>ﺀ</v>
      </c>
      <c r="S3" s="19" t="str">
        <f t="shared" si="2"/>
        <v/>
      </c>
      <c r="T3" s="19" t="str">
        <f t="shared" si="2"/>
        <v/>
      </c>
      <c r="U3" s="24" t="str">
        <f t="shared" si="2"/>
        <v/>
      </c>
      <c r="V3" s="26" t="s">
        <v>396</v>
      </c>
      <c r="Y3" s="9" t="str">
        <f>IF($X3&lt;&gt;"",DEC2HEX(HEX2DEC($X3)+2,4),"")</f>
        <v/>
      </c>
      <c r="Z3" s="9" t="str">
        <f>IF($X3&lt;&gt;"",DEC2HEX(HEX2DEC($X3)+3,4),"")</f>
        <v/>
      </c>
      <c r="AA3" s="10" t="str">
        <f>IF($X3&lt;&gt;"",DEC2HEX(HEX2DEC($X3)+1,4),"")</f>
        <v/>
      </c>
      <c r="AB3" s="5" t="s">
        <v>278</v>
      </c>
      <c r="AC3" s="5" t="s">
        <v>609</v>
      </c>
    </row>
    <row r="4" spans="1:29" ht="23.25">
      <c r="A4" s="5" t="s">
        <v>13</v>
      </c>
      <c r="B4" s="5" t="s">
        <v>42</v>
      </c>
      <c r="C4" s="5" t="s">
        <v>70</v>
      </c>
      <c r="D4" s="5" t="s">
        <v>38</v>
      </c>
      <c r="E4" s="5" t="s">
        <v>125</v>
      </c>
      <c r="F4" s="5" t="s">
        <v>134</v>
      </c>
      <c r="G4" s="7" t="str">
        <f t="shared" si="0"/>
        <v>ﺍ</v>
      </c>
      <c r="H4" s="7" t="str">
        <f t="shared" ref="H4:H31" si="3">IF(S4&lt;&gt;"",S4,"")</f>
        <v/>
      </c>
      <c r="I4" s="7" t="str">
        <f t="shared" ref="I4:I31" si="4">IF(T4&lt;&gt;"",T4,"")</f>
        <v/>
      </c>
      <c r="J4" s="7" t="str">
        <f t="shared" ref="J4:J31" si="5">IF(U4&lt;&gt;"",U4,"")</f>
        <v>ﺎ</v>
      </c>
      <c r="K4" s="5" t="s">
        <v>291</v>
      </c>
      <c r="L4" s="75" t="s">
        <v>150</v>
      </c>
      <c r="M4" s="76" t="s">
        <v>190</v>
      </c>
      <c r="P4" s="78" t="str">
        <f>IF($M4&lt;&gt;"",DEC2HEX(HEX2DEC($M4)+1,4),"")</f>
        <v>FE8E</v>
      </c>
      <c r="Q4" s="19" t="str">
        <f t="shared" ref="Q4:Q41" si="6">IF(L4&lt;&gt;"",toUTF16(HEX2DEC(L4)),"")</f>
        <v>ا</v>
      </c>
      <c r="R4" s="19" t="str">
        <f>IF(M4&lt;&gt;"",toUTF16(HEX2DEC(M4)),"")</f>
        <v>ﺍ</v>
      </c>
      <c r="S4" s="19" t="str">
        <f>IF(N4&lt;&gt;"",toUTF16(HEX2DEC(N4)),"")</f>
        <v/>
      </c>
      <c r="T4" s="19" t="str">
        <f>IF(O4&lt;&gt;"",toUTF16(HEX2DEC(O4)),"")</f>
        <v/>
      </c>
      <c r="U4" s="24" t="str">
        <f>IF(P4&lt;&gt;"",toUTF16(HEX2DEC(P4)),"")</f>
        <v>ﺎ</v>
      </c>
      <c r="V4" s="26" t="s">
        <v>292</v>
      </c>
      <c r="W4" s="8" t="s">
        <v>404</v>
      </c>
      <c r="X4" s="8" t="s">
        <v>410</v>
      </c>
      <c r="AA4" s="10" t="str">
        <f t="shared" ref="AA4:AA31" si="7">IF($X4&lt;&gt;"",DEC2HEX(HEX2DEC($X4)+1,4),"")</f>
        <v>FE84</v>
      </c>
      <c r="AB4" s="5" t="s">
        <v>287</v>
      </c>
      <c r="AC4" s="5" t="s">
        <v>292</v>
      </c>
    </row>
    <row r="5" spans="1:29" ht="23.25">
      <c r="A5" s="5" t="s">
        <v>14</v>
      </c>
      <c r="B5" s="5" t="s">
        <v>41</v>
      </c>
      <c r="C5" s="5" t="s">
        <v>71</v>
      </c>
      <c r="D5" s="5" t="s">
        <v>98</v>
      </c>
      <c r="E5" s="5" t="s">
        <v>98</v>
      </c>
      <c r="F5" s="5" t="s">
        <v>98</v>
      </c>
      <c r="G5" s="7" t="str">
        <f t="shared" si="0"/>
        <v>ﺏ</v>
      </c>
      <c r="H5" s="7" t="str">
        <f t="shared" si="3"/>
        <v>ﺑ</v>
      </c>
      <c r="I5" s="7" t="str">
        <f t="shared" si="4"/>
        <v>ﺒ</v>
      </c>
      <c r="J5" s="7" t="str">
        <f t="shared" si="5"/>
        <v>ﺐ</v>
      </c>
      <c r="K5" s="21" t="s">
        <v>248</v>
      </c>
      <c r="L5" s="75" t="s">
        <v>151</v>
      </c>
      <c r="M5" s="76" t="s">
        <v>191</v>
      </c>
      <c r="N5" s="77" t="str">
        <f t="shared" ref="N5:N31" si="8">IF($M5&lt;&gt;"",DEC2HEX(HEX2DEC($M5)+2,4),"")</f>
        <v>FE91</v>
      </c>
      <c r="O5" s="77" t="str">
        <f>IF($M5&lt;&gt;"",DEC2HEX(HEX2DEC($M5)+3,4),"")</f>
        <v>FE92</v>
      </c>
      <c r="P5" s="78" t="str">
        <f>IF($M5&lt;&gt;"",DEC2HEX(HEX2DEC($M5)+1,4),"")</f>
        <v>FE90</v>
      </c>
      <c r="Q5" s="19" t="str">
        <f t="shared" si="6"/>
        <v>ب</v>
      </c>
      <c r="R5" s="19" t="str">
        <f>IF(M5&lt;&gt;"",toUTF16(HEX2DEC(M5)),"")</f>
        <v>ﺏ</v>
      </c>
      <c r="S5" s="19" t="str">
        <f>IF(N5&lt;&gt;"",toUTF16(HEX2DEC(N5)),"")</f>
        <v>ﺑ</v>
      </c>
      <c r="T5" s="19" t="str">
        <f>IF(O5&lt;&gt;"",toUTF16(HEX2DEC(O5)),"")</f>
        <v>ﺒ</v>
      </c>
      <c r="U5" s="24" t="str">
        <f>IF(P5&lt;&gt;"",toUTF16(HEX2DEC(P5)),"")</f>
        <v>ﺐ</v>
      </c>
      <c r="V5" s="26" t="s">
        <v>276</v>
      </c>
      <c r="Y5" s="9" t="str">
        <f t="shared" ref="Y5:Y31" si="9">IF($X5&lt;&gt;"",DEC2HEX(HEX2DEC($X5)+2,4),"")</f>
        <v/>
      </c>
      <c r="Z5" s="9" t="str">
        <f t="shared" ref="Z5:Z31" si="10">IF($X5&lt;&gt;"",DEC2HEX(HEX2DEC($X5)+3,4),"")</f>
        <v/>
      </c>
      <c r="AA5" s="10" t="str">
        <f t="shared" si="7"/>
        <v/>
      </c>
      <c r="AB5" s="5" t="s">
        <v>283</v>
      </c>
      <c r="AC5" s="5" t="s">
        <v>276</v>
      </c>
    </row>
    <row r="6" spans="1:29" ht="23.25">
      <c r="A6" s="5" t="s">
        <v>15</v>
      </c>
      <c r="B6" s="5" t="s">
        <v>40</v>
      </c>
      <c r="C6" s="5" t="s">
        <v>72</v>
      </c>
      <c r="D6" s="5" t="s">
        <v>124</v>
      </c>
      <c r="E6" s="5" t="s">
        <v>124</v>
      </c>
      <c r="F6" s="5" t="s">
        <v>124</v>
      </c>
      <c r="G6" s="7" t="str">
        <f t="shared" si="0"/>
        <v>ﺕ</v>
      </c>
      <c r="H6" s="7" t="str">
        <f t="shared" si="3"/>
        <v>ﺗ</v>
      </c>
      <c r="I6" s="7" t="str">
        <f t="shared" si="4"/>
        <v>ﺘ</v>
      </c>
      <c r="J6" s="7" t="str">
        <f t="shared" si="5"/>
        <v>ﺖ</v>
      </c>
      <c r="K6" s="21" t="s">
        <v>249</v>
      </c>
      <c r="L6" s="75" t="s">
        <v>152</v>
      </c>
      <c r="M6" s="76" t="s">
        <v>193</v>
      </c>
      <c r="N6" s="77" t="str">
        <f t="shared" si="8"/>
        <v>FE97</v>
      </c>
      <c r="O6" s="77" t="str">
        <f t="shared" ref="O6:O31" si="11">IF($M6&lt;&gt;"",DEC2HEX(HEX2DEC($M6)+3,4),"")</f>
        <v>FE98</v>
      </c>
      <c r="P6" s="78" t="str">
        <f t="shared" ref="P6:P31" si="12">IF($M6&lt;&gt;"",DEC2HEX(HEX2DEC($M6)+1,4),"")</f>
        <v>FE96</v>
      </c>
      <c r="Q6" s="19" t="str">
        <f t="shared" si="6"/>
        <v>ت</v>
      </c>
      <c r="R6" s="19" t="str">
        <f>IF(M6&lt;&gt;"",toUTF16(HEX2DEC(M6)),"")</f>
        <v>ﺕ</v>
      </c>
      <c r="S6" s="19" t="str">
        <f>IF(N6&lt;&gt;"",toUTF16(HEX2DEC(N6)),"")</f>
        <v>ﺗ</v>
      </c>
      <c r="T6" s="19" t="str">
        <f>IF(O6&lt;&gt;"",toUTF16(HEX2DEC(O6)),"")</f>
        <v>ﺘ</v>
      </c>
      <c r="U6" s="24" t="str">
        <f>IF(P6&lt;&gt;"",toUTF16(HEX2DEC(P6)),"")</f>
        <v>ﺖ</v>
      </c>
      <c r="V6" s="26" t="s">
        <v>277</v>
      </c>
      <c r="Y6" s="9" t="str">
        <f t="shared" si="9"/>
        <v/>
      </c>
      <c r="Z6" s="9" t="str">
        <f t="shared" si="10"/>
        <v/>
      </c>
      <c r="AA6" s="10" t="str">
        <f t="shared" si="7"/>
        <v/>
      </c>
      <c r="AB6" s="5" t="s">
        <v>289</v>
      </c>
      <c r="AC6" s="5" t="s">
        <v>277</v>
      </c>
    </row>
    <row r="7" spans="1:29" ht="23.25">
      <c r="A7" s="5" t="s">
        <v>16</v>
      </c>
      <c r="B7" s="5" t="s">
        <v>39</v>
      </c>
      <c r="C7" s="5" t="s">
        <v>73</v>
      </c>
      <c r="D7" s="5" t="s">
        <v>99</v>
      </c>
      <c r="E7" s="5" t="s">
        <v>126</v>
      </c>
      <c r="F7" s="5" t="s">
        <v>135</v>
      </c>
      <c r="G7" s="7" t="str">
        <f t="shared" si="0"/>
        <v>ﺙ</v>
      </c>
      <c r="H7" s="7" t="str">
        <f t="shared" si="3"/>
        <v>ﺛ</v>
      </c>
      <c r="I7" s="7" t="str">
        <f t="shared" si="4"/>
        <v>ﺜ</v>
      </c>
      <c r="J7" s="7" t="str">
        <f t="shared" si="5"/>
        <v>ﺚ</v>
      </c>
      <c r="K7" s="21" t="s">
        <v>250</v>
      </c>
      <c r="L7" s="75" t="s">
        <v>153</v>
      </c>
      <c r="M7" s="76" t="s">
        <v>192</v>
      </c>
      <c r="N7" s="77" t="str">
        <f t="shared" si="8"/>
        <v>FE9B</v>
      </c>
      <c r="O7" s="77" t="str">
        <f t="shared" si="11"/>
        <v>FE9C</v>
      </c>
      <c r="P7" s="78" t="str">
        <f t="shared" si="12"/>
        <v>FE9A</v>
      </c>
      <c r="Q7" s="19" t="str">
        <f t="shared" si="6"/>
        <v>ث</v>
      </c>
      <c r="R7" s="19" t="str">
        <f>IF(M7&lt;&gt;"",toUTF16(HEX2DEC(M7)),"")</f>
        <v>ﺙ</v>
      </c>
      <c r="S7" s="19" t="str">
        <f>IF(N7&lt;&gt;"",toUTF16(HEX2DEC(N7)),"")</f>
        <v>ﺛ</v>
      </c>
      <c r="T7" s="19" t="str">
        <f>IF(O7&lt;&gt;"",toUTF16(HEX2DEC(O7)),"")</f>
        <v>ﺜ</v>
      </c>
      <c r="U7" s="24" t="str">
        <f>IF(P7&lt;&gt;"",toUTF16(HEX2DEC(P7)),"")</f>
        <v>ﺚ</v>
      </c>
      <c r="V7" s="26" t="s">
        <v>402</v>
      </c>
      <c r="Y7" s="9" t="str">
        <f t="shared" si="9"/>
        <v/>
      </c>
      <c r="Z7" s="9" t="str">
        <f t="shared" si="10"/>
        <v/>
      </c>
      <c r="AA7" s="10" t="str">
        <f t="shared" si="7"/>
        <v/>
      </c>
      <c r="AB7" s="5" t="s">
        <v>305</v>
      </c>
      <c r="AC7" s="5" t="s">
        <v>548</v>
      </c>
    </row>
    <row r="8" spans="1:29" ht="23.25">
      <c r="A8" s="5" t="s">
        <v>17</v>
      </c>
      <c r="B8" s="5" t="s">
        <v>43</v>
      </c>
      <c r="C8" s="5" t="s">
        <v>74</v>
      </c>
      <c r="D8" s="5" t="s">
        <v>100</v>
      </c>
      <c r="E8" s="5" t="s">
        <v>127</v>
      </c>
      <c r="F8" s="5" t="s">
        <v>136</v>
      </c>
      <c r="G8" s="7" t="str">
        <f t="shared" si="0"/>
        <v>ﺝ</v>
      </c>
      <c r="H8" s="7" t="str">
        <f t="shared" si="3"/>
        <v>ﺟ</v>
      </c>
      <c r="I8" s="7" t="str">
        <f t="shared" si="4"/>
        <v>ﺠ</v>
      </c>
      <c r="J8" s="7" t="str">
        <f t="shared" si="5"/>
        <v>ﺞ</v>
      </c>
      <c r="K8" s="21" t="s">
        <v>251</v>
      </c>
      <c r="L8" s="75" t="s">
        <v>154</v>
      </c>
      <c r="M8" s="76" t="s">
        <v>194</v>
      </c>
      <c r="N8" s="77" t="str">
        <f t="shared" si="8"/>
        <v>FE9F</v>
      </c>
      <c r="O8" s="77" t="str">
        <f t="shared" si="11"/>
        <v>FEA0</v>
      </c>
      <c r="P8" s="78" t="str">
        <f t="shared" si="12"/>
        <v>FE9E</v>
      </c>
      <c r="Q8" s="19" t="str">
        <f t="shared" si="6"/>
        <v>ج</v>
      </c>
      <c r="R8" s="19" t="str">
        <f>IF(M8&lt;&gt;"",toUTF16(HEX2DEC(M8)),"")</f>
        <v>ﺝ</v>
      </c>
      <c r="S8" s="19" t="str">
        <f>IF(N8&lt;&gt;"",toUTF16(HEX2DEC(N8)),"")</f>
        <v>ﺟ</v>
      </c>
      <c r="T8" s="19" t="str">
        <f>IF(O8&lt;&gt;"",toUTF16(HEX2DEC(O8)),"")</f>
        <v>ﺠ</v>
      </c>
      <c r="U8" s="24" t="str">
        <f>IF(P8&lt;&gt;"",toUTF16(HEX2DEC(P8)),"")</f>
        <v>ﺞ</v>
      </c>
      <c r="V8" s="26" t="s">
        <v>395</v>
      </c>
      <c r="Y8" s="9" t="str">
        <f t="shared" si="9"/>
        <v/>
      </c>
      <c r="Z8" s="9" t="str">
        <f t="shared" si="10"/>
        <v/>
      </c>
      <c r="AA8" s="10" t="str">
        <f t="shared" si="7"/>
        <v/>
      </c>
      <c r="AB8" s="5" t="s">
        <v>441</v>
      </c>
      <c r="AC8" s="5">
        <v>6</v>
      </c>
    </row>
    <row r="9" spans="1:29" ht="23.25">
      <c r="A9" s="5" t="s">
        <v>18</v>
      </c>
      <c r="B9" s="5" t="s">
        <v>45</v>
      </c>
      <c r="C9" s="5" t="s">
        <v>75</v>
      </c>
      <c r="D9" s="5" t="s">
        <v>121</v>
      </c>
      <c r="E9" s="5" t="s">
        <v>121</v>
      </c>
      <c r="F9" s="5" t="s">
        <v>137</v>
      </c>
      <c r="G9" s="7" t="str">
        <f t="shared" si="0"/>
        <v>ﺡ</v>
      </c>
      <c r="H9" s="7" t="str">
        <f t="shared" si="3"/>
        <v>ﺣ</v>
      </c>
      <c r="I9" s="7" t="str">
        <f t="shared" si="4"/>
        <v>ﺤ</v>
      </c>
      <c r="J9" s="7" t="str">
        <f t="shared" si="5"/>
        <v>ﺢ</v>
      </c>
      <c r="K9" s="5" t="s">
        <v>252</v>
      </c>
      <c r="L9" s="75" t="s">
        <v>155</v>
      </c>
      <c r="M9" s="76" t="s">
        <v>195</v>
      </c>
      <c r="N9" s="77" t="str">
        <f t="shared" si="8"/>
        <v>FEA3</v>
      </c>
      <c r="O9" s="77" t="str">
        <f t="shared" si="11"/>
        <v>FEA4</v>
      </c>
      <c r="P9" s="78" t="str">
        <f t="shared" si="12"/>
        <v>FEA2</v>
      </c>
      <c r="Q9" s="19" t="str">
        <f t="shared" si="6"/>
        <v>ح</v>
      </c>
      <c r="R9" s="19" t="str">
        <f>IF(M9&lt;&gt;"",toUTF16(HEX2DEC(M9)),"")</f>
        <v>ﺡ</v>
      </c>
      <c r="S9" s="19" t="str">
        <f>IF(N9&lt;&gt;"",toUTF16(HEX2DEC(N9)),"")</f>
        <v>ﺣ</v>
      </c>
      <c r="T9" s="19" t="str">
        <f>IF(O9&lt;&gt;"",toUTF16(HEX2DEC(O9)),"")</f>
        <v>ﺤ</v>
      </c>
      <c r="U9" s="24" t="str">
        <f>IF(P9&lt;&gt;"",toUTF16(HEX2DEC(P9)),"")</f>
        <v>ﺢ</v>
      </c>
      <c r="V9" s="26" t="s">
        <v>397</v>
      </c>
      <c r="Y9" s="9" t="str">
        <f t="shared" si="9"/>
        <v/>
      </c>
      <c r="Z9" s="9" t="str">
        <f t="shared" si="10"/>
        <v/>
      </c>
      <c r="AA9" s="10" t="str">
        <f t="shared" si="7"/>
        <v/>
      </c>
      <c r="AB9" s="5" t="s">
        <v>295</v>
      </c>
      <c r="AC9" s="5" t="s">
        <v>544</v>
      </c>
    </row>
    <row r="10" spans="1:29" ht="23.25">
      <c r="A10" s="5" t="s">
        <v>19</v>
      </c>
      <c r="B10" s="5" t="s">
        <v>46</v>
      </c>
      <c r="C10" s="5" t="s">
        <v>156</v>
      </c>
      <c r="D10" s="5" t="s">
        <v>102</v>
      </c>
      <c r="E10" s="5" t="s">
        <v>128</v>
      </c>
      <c r="F10" s="5" t="s">
        <v>138</v>
      </c>
      <c r="G10" s="7" t="str">
        <f t="shared" si="0"/>
        <v>ﺥ</v>
      </c>
      <c r="H10" s="7" t="str">
        <f t="shared" si="3"/>
        <v>ﺧ</v>
      </c>
      <c r="I10" s="7" t="str">
        <f t="shared" si="4"/>
        <v>ﺨ</v>
      </c>
      <c r="J10" s="7" t="str">
        <f t="shared" si="5"/>
        <v>ﺦ</v>
      </c>
      <c r="K10" s="21" t="s">
        <v>253</v>
      </c>
      <c r="L10" s="75" t="s">
        <v>157</v>
      </c>
      <c r="M10" s="76" t="s">
        <v>196</v>
      </c>
      <c r="N10" s="77" t="str">
        <f t="shared" si="8"/>
        <v>FEA7</v>
      </c>
      <c r="O10" s="77" t="str">
        <f t="shared" si="11"/>
        <v>FEA8</v>
      </c>
      <c r="P10" s="78" t="str">
        <f t="shared" si="12"/>
        <v>FEA6</v>
      </c>
      <c r="Q10" s="19" t="str">
        <f t="shared" si="6"/>
        <v>خ</v>
      </c>
      <c r="R10" s="19" t="str">
        <f>IF(M10&lt;&gt;"",toUTF16(HEX2DEC(M10)),"")</f>
        <v>ﺥ</v>
      </c>
      <c r="S10" s="19" t="str">
        <f>IF(N10&lt;&gt;"",toUTF16(HEX2DEC(N10)),"")</f>
        <v>ﺧ</v>
      </c>
      <c r="T10" s="19" t="str">
        <f>IF(O10&lt;&gt;"",toUTF16(HEX2DEC(O10)),"")</f>
        <v>ﺨ</v>
      </c>
      <c r="U10" s="24" t="str">
        <f>IF(P10&lt;&gt;"",toUTF16(HEX2DEC(P10)),"")</f>
        <v>ﺦ</v>
      </c>
      <c r="V10" s="26" t="s">
        <v>278</v>
      </c>
      <c r="Y10" s="9" t="str">
        <f t="shared" si="9"/>
        <v/>
      </c>
      <c r="Z10" s="9" t="str">
        <f t="shared" si="10"/>
        <v/>
      </c>
      <c r="AA10" s="10" t="str">
        <f t="shared" si="7"/>
        <v/>
      </c>
      <c r="AB10" s="5" t="s">
        <v>297</v>
      </c>
      <c r="AC10" s="5" t="s">
        <v>278</v>
      </c>
    </row>
    <row r="11" spans="1:29" ht="23.25">
      <c r="A11" s="5" t="s">
        <v>20</v>
      </c>
      <c r="B11" s="5" t="s">
        <v>47</v>
      </c>
      <c r="C11" s="5" t="s">
        <v>76</v>
      </c>
      <c r="D11" s="5" t="s">
        <v>103</v>
      </c>
      <c r="E11" s="5" t="s">
        <v>103</v>
      </c>
      <c r="F11" s="5" t="s">
        <v>103</v>
      </c>
      <c r="G11" s="7" t="str">
        <f t="shared" si="0"/>
        <v>ﺩ</v>
      </c>
      <c r="H11" s="7" t="str">
        <f t="shared" si="3"/>
        <v/>
      </c>
      <c r="I11" s="7" t="str">
        <f t="shared" si="4"/>
        <v/>
      </c>
      <c r="J11" s="7" t="str">
        <f t="shared" si="5"/>
        <v>ﺪ</v>
      </c>
      <c r="K11" s="21" t="s">
        <v>254</v>
      </c>
      <c r="L11" s="75" t="s">
        <v>158</v>
      </c>
      <c r="M11" s="76" t="s">
        <v>197</v>
      </c>
      <c r="P11" s="78" t="str">
        <f>IF($M11&lt;&gt;"",DEC2HEX(HEX2DEC($M11)+1,4),"")</f>
        <v>FEAA</v>
      </c>
      <c r="Q11" s="19" t="str">
        <f t="shared" si="6"/>
        <v>د</v>
      </c>
      <c r="R11" s="19" t="str">
        <f>IF(M11&lt;&gt;"",toUTF16(HEX2DEC(M11)),"")</f>
        <v>ﺩ</v>
      </c>
      <c r="S11" s="19" t="str">
        <f>IF(N11&lt;&gt;"",toUTF16(HEX2DEC(N11)),"")</f>
        <v/>
      </c>
      <c r="T11" s="19" t="str">
        <f>IF(O11&lt;&gt;"",toUTF16(HEX2DEC(O11)),"")</f>
        <v/>
      </c>
      <c r="U11" s="24" t="str">
        <f>IF(P11&lt;&gt;"",toUTF16(HEX2DEC(P11)),"")</f>
        <v>ﺪ</v>
      </c>
      <c r="V11" s="26" t="s">
        <v>279</v>
      </c>
      <c r="Y11" s="9" t="str">
        <f t="shared" si="9"/>
        <v/>
      </c>
      <c r="Z11" s="9" t="str">
        <f t="shared" si="10"/>
        <v/>
      </c>
      <c r="AA11" s="10" t="str">
        <f t="shared" si="7"/>
        <v/>
      </c>
      <c r="AB11" s="5" t="s">
        <v>442</v>
      </c>
      <c r="AC11" s="5" t="s">
        <v>279</v>
      </c>
    </row>
    <row r="12" spans="1:29" ht="23.25">
      <c r="A12" s="5" t="s">
        <v>21</v>
      </c>
      <c r="B12" s="5" t="s">
        <v>48</v>
      </c>
      <c r="C12" s="5" t="s">
        <v>77</v>
      </c>
      <c r="D12" s="5" t="s">
        <v>104</v>
      </c>
      <c r="E12" s="5" t="s">
        <v>129</v>
      </c>
      <c r="F12" s="5" t="s">
        <v>139</v>
      </c>
      <c r="G12" s="7" t="str">
        <f t="shared" si="0"/>
        <v>ﺫ</v>
      </c>
      <c r="H12" s="7" t="str">
        <f t="shared" si="3"/>
        <v/>
      </c>
      <c r="I12" s="7" t="str">
        <f t="shared" si="4"/>
        <v/>
      </c>
      <c r="J12" s="7" t="str">
        <f t="shared" si="5"/>
        <v>ﺬ</v>
      </c>
      <c r="K12" s="21" t="s">
        <v>257</v>
      </c>
      <c r="L12" s="75" t="s">
        <v>159</v>
      </c>
      <c r="M12" s="76" t="s">
        <v>198</v>
      </c>
      <c r="P12" s="78" t="str">
        <f t="shared" si="12"/>
        <v>FEAC</v>
      </c>
      <c r="Q12" s="19" t="str">
        <f t="shared" si="6"/>
        <v>ذ</v>
      </c>
      <c r="R12" s="19" t="str">
        <f>IF(M12&lt;&gt;"",toUTF16(HEX2DEC(M12)),"")</f>
        <v>ﺫ</v>
      </c>
      <c r="S12" s="19" t="str">
        <f>IF(N12&lt;&gt;"",toUTF16(HEX2DEC(N12)),"")</f>
        <v/>
      </c>
      <c r="T12" s="19" t="str">
        <f>IF(O12&lt;&gt;"",toUTF16(HEX2DEC(O12)),"")</f>
        <v/>
      </c>
      <c r="U12" s="24" t="str">
        <f>IF(P12&lt;&gt;"",toUTF16(HEX2DEC(P12)),"")</f>
        <v>ﺬ</v>
      </c>
      <c r="V12" s="26" t="s">
        <v>298</v>
      </c>
      <c r="Y12" s="9" t="str">
        <f t="shared" si="9"/>
        <v/>
      </c>
      <c r="Z12" s="9" t="str">
        <f t="shared" si="10"/>
        <v/>
      </c>
      <c r="AA12" s="10" t="str">
        <f t="shared" si="7"/>
        <v/>
      </c>
      <c r="AB12" s="5" t="s">
        <v>434</v>
      </c>
      <c r="AC12" s="5" t="s">
        <v>596</v>
      </c>
    </row>
    <row r="13" spans="1:29" ht="23.25">
      <c r="A13" s="5" t="s">
        <v>22</v>
      </c>
      <c r="B13" s="5" t="s">
        <v>49</v>
      </c>
      <c r="C13" s="5" t="s">
        <v>78</v>
      </c>
      <c r="D13" s="5" t="s">
        <v>105</v>
      </c>
      <c r="E13" s="5" t="s">
        <v>105</v>
      </c>
      <c r="F13" s="5" t="s">
        <v>105</v>
      </c>
      <c r="G13" s="7" t="str">
        <f t="shared" si="0"/>
        <v>ﺮ</v>
      </c>
      <c r="H13" s="7" t="str">
        <f t="shared" si="3"/>
        <v/>
      </c>
      <c r="I13" s="7" t="str">
        <f t="shared" si="4"/>
        <v/>
      </c>
      <c r="J13" s="7" t="str">
        <f t="shared" si="5"/>
        <v>ﺯ</v>
      </c>
      <c r="K13" s="21" t="s">
        <v>255</v>
      </c>
      <c r="L13" s="75" t="s">
        <v>160</v>
      </c>
      <c r="M13" s="76" t="s">
        <v>199</v>
      </c>
      <c r="P13" s="78" t="str">
        <f t="shared" si="12"/>
        <v>FEAF</v>
      </c>
      <c r="Q13" s="19" t="str">
        <f t="shared" si="6"/>
        <v>ر</v>
      </c>
      <c r="R13" s="19" t="str">
        <f>IF(M13&lt;&gt;"",toUTF16(HEX2DEC(M13)),"")</f>
        <v>ﺮ</v>
      </c>
      <c r="S13" s="19" t="str">
        <f>IF(N13&lt;&gt;"",toUTF16(HEX2DEC(N13)),"")</f>
        <v/>
      </c>
      <c r="T13" s="19" t="str">
        <f>IF(O13&lt;&gt;"",toUTF16(HEX2DEC(O13)),"")</f>
        <v/>
      </c>
      <c r="U13" s="24" t="str">
        <f>IF(P13&lt;&gt;"",toUTF16(HEX2DEC(P13)),"")</f>
        <v>ﺯ</v>
      </c>
      <c r="V13" s="26" t="s">
        <v>280</v>
      </c>
      <c r="W13" s="8" t="s">
        <v>408</v>
      </c>
      <c r="Y13" s="9" t="str">
        <f t="shared" si="9"/>
        <v/>
      </c>
      <c r="Z13" s="9" t="str">
        <f t="shared" si="10"/>
        <v/>
      </c>
      <c r="AA13" s="10" t="str">
        <f t="shared" si="7"/>
        <v/>
      </c>
      <c r="AB13" s="5" t="s">
        <v>336</v>
      </c>
      <c r="AC13" s="5" t="s">
        <v>280</v>
      </c>
    </row>
    <row r="14" spans="1:29" ht="23.25">
      <c r="A14" s="5" t="s">
        <v>23</v>
      </c>
      <c r="B14" s="5" t="s">
        <v>50</v>
      </c>
      <c r="C14" s="5" t="s">
        <v>79</v>
      </c>
      <c r="D14" s="5" t="s">
        <v>106</v>
      </c>
      <c r="E14" s="5" t="s">
        <v>106</v>
      </c>
      <c r="F14" s="5" t="s">
        <v>106</v>
      </c>
      <c r="G14" s="7" t="str">
        <f t="shared" si="0"/>
        <v>ﺯ</v>
      </c>
      <c r="H14" s="7" t="str">
        <f t="shared" si="3"/>
        <v/>
      </c>
      <c r="I14" s="7" t="str">
        <f t="shared" si="4"/>
        <v/>
      </c>
      <c r="J14" s="7" t="str">
        <f t="shared" si="5"/>
        <v>ﺰ</v>
      </c>
      <c r="K14" s="21" t="s">
        <v>256</v>
      </c>
      <c r="L14" s="75" t="s">
        <v>161</v>
      </c>
      <c r="M14" s="76" t="s">
        <v>200</v>
      </c>
      <c r="P14" s="78" t="str">
        <f t="shared" si="12"/>
        <v>FEB0</v>
      </c>
      <c r="Q14" s="19" t="str">
        <f t="shared" si="6"/>
        <v>ز</v>
      </c>
      <c r="R14" s="19" t="str">
        <f>IF(M14&lt;&gt;"",toUTF16(HEX2DEC(M14)),"")</f>
        <v>ﺯ</v>
      </c>
      <c r="S14" s="19" t="str">
        <f>IF(N14&lt;&gt;"",toUTF16(HEX2DEC(N14)),"")</f>
        <v/>
      </c>
      <c r="T14" s="19" t="str">
        <f>IF(O14&lt;&gt;"",toUTF16(HEX2DEC(O14)),"")</f>
        <v/>
      </c>
      <c r="U14" s="24" t="str">
        <f>IF(P14&lt;&gt;"",toUTF16(HEX2DEC(P14)),"")</f>
        <v>ﺰ</v>
      </c>
      <c r="V14" s="26" t="s">
        <v>281</v>
      </c>
      <c r="Y14" s="9" t="str">
        <f t="shared" si="9"/>
        <v/>
      </c>
      <c r="Z14" s="9" t="str">
        <f t="shared" si="10"/>
        <v/>
      </c>
      <c r="AA14" s="10" t="str">
        <f t="shared" si="7"/>
        <v/>
      </c>
      <c r="AB14" s="5" t="s">
        <v>451</v>
      </c>
      <c r="AC14" s="5" t="s">
        <v>281</v>
      </c>
    </row>
    <row r="15" spans="1:29" ht="23.25">
      <c r="A15" s="5" t="s">
        <v>24</v>
      </c>
      <c r="B15" s="5" t="s">
        <v>51</v>
      </c>
      <c r="C15" s="5" t="s">
        <v>80</v>
      </c>
      <c r="D15" s="5" t="s">
        <v>107</v>
      </c>
      <c r="E15" s="5" t="s">
        <v>107</v>
      </c>
      <c r="F15" s="5" t="s">
        <v>107</v>
      </c>
      <c r="G15" s="7" t="str">
        <f t="shared" si="0"/>
        <v>ﺱ</v>
      </c>
      <c r="H15" s="7" t="str">
        <f t="shared" si="3"/>
        <v>ﺳ</v>
      </c>
      <c r="I15" s="7" t="str">
        <f t="shared" si="4"/>
        <v>ﺴ</v>
      </c>
      <c r="J15" s="7" t="str">
        <f t="shared" si="5"/>
        <v>ﺲ</v>
      </c>
      <c r="K15" s="21" t="s">
        <v>258</v>
      </c>
      <c r="L15" s="75" t="s">
        <v>163</v>
      </c>
      <c r="M15" s="76" t="s">
        <v>201</v>
      </c>
      <c r="N15" s="77" t="str">
        <f t="shared" si="8"/>
        <v>FEB3</v>
      </c>
      <c r="O15" s="77" t="str">
        <f t="shared" si="11"/>
        <v>FEB4</v>
      </c>
      <c r="P15" s="78" t="str">
        <f t="shared" si="12"/>
        <v>FEB2</v>
      </c>
      <c r="Q15" s="19" t="str">
        <f t="shared" si="6"/>
        <v>س</v>
      </c>
      <c r="R15" s="19" t="str">
        <f>IF(M15&lt;&gt;"",toUTF16(HEX2DEC(M15)),"")</f>
        <v>ﺱ</v>
      </c>
      <c r="S15" s="19" t="str">
        <f>IF(N15&lt;&gt;"",toUTF16(HEX2DEC(N15)),"")</f>
        <v>ﺳ</v>
      </c>
      <c r="T15" s="19" t="str">
        <f>IF(O15&lt;&gt;"",toUTF16(HEX2DEC(O15)),"")</f>
        <v>ﺴ</v>
      </c>
      <c r="U15" s="24" t="str">
        <f>IF(P15&lt;&gt;"",toUTF16(HEX2DEC(P15)),"")</f>
        <v>ﺲ</v>
      </c>
      <c r="V15" s="26" t="s">
        <v>282</v>
      </c>
      <c r="Y15" s="9" t="str">
        <f t="shared" si="9"/>
        <v/>
      </c>
      <c r="Z15" s="9" t="str">
        <f t="shared" si="10"/>
        <v/>
      </c>
      <c r="AA15" s="10" t="str">
        <f t="shared" si="7"/>
        <v/>
      </c>
      <c r="AB15" s="5" t="s">
        <v>282</v>
      </c>
      <c r="AC15" s="5" t="s">
        <v>282</v>
      </c>
    </row>
    <row r="16" spans="1:29" ht="23.25">
      <c r="A16" s="5" t="s">
        <v>25</v>
      </c>
      <c r="B16" s="5" t="s">
        <v>52</v>
      </c>
      <c r="C16" s="5" t="s">
        <v>83</v>
      </c>
      <c r="D16" s="5" t="s">
        <v>108</v>
      </c>
      <c r="E16" s="5" t="s">
        <v>130</v>
      </c>
      <c r="F16" s="5" t="s">
        <v>140</v>
      </c>
      <c r="G16" s="7" t="str">
        <f t="shared" si="0"/>
        <v>ﺵ</v>
      </c>
      <c r="H16" s="7" t="str">
        <f t="shared" si="3"/>
        <v>ﺷ</v>
      </c>
      <c r="I16" s="7" t="str">
        <f t="shared" si="4"/>
        <v>ﺸ</v>
      </c>
      <c r="J16" s="7" t="str">
        <f t="shared" si="5"/>
        <v>ﺶ</v>
      </c>
      <c r="K16" s="5" t="s">
        <v>259</v>
      </c>
      <c r="L16" s="75" t="s">
        <v>162</v>
      </c>
      <c r="M16" s="76" t="s">
        <v>202</v>
      </c>
      <c r="N16" s="77" t="str">
        <f t="shared" si="8"/>
        <v>FEB7</v>
      </c>
      <c r="O16" s="77" t="str">
        <f t="shared" si="11"/>
        <v>FEB8</v>
      </c>
      <c r="P16" s="78" t="str">
        <f t="shared" si="12"/>
        <v>FEB6</v>
      </c>
      <c r="Q16" s="19" t="str">
        <f t="shared" si="6"/>
        <v>ش</v>
      </c>
      <c r="R16" s="19" t="str">
        <f>IF(M16&lt;&gt;"",toUTF16(HEX2DEC(M16)),"")</f>
        <v>ﺵ</v>
      </c>
      <c r="S16" s="19" t="str">
        <f>IF(N16&lt;&gt;"",toUTF16(HEX2DEC(N16)),"")</f>
        <v>ﺷ</v>
      </c>
      <c r="T16" s="19" t="str">
        <f>IF(O16&lt;&gt;"",toUTF16(HEX2DEC(O16)),"")</f>
        <v>ﺸ</v>
      </c>
      <c r="U16" s="24" t="str">
        <f>IF(P16&lt;&gt;"",toUTF16(HEX2DEC(P16)),"")</f>
        <v>ﺶ</v>
      </c>
      <c r="V16" s="26" t="s">
        <v>394</v>
      </c>
      <c r="Y16" s="9" t="str">
        <f t="shared" si="9"/>
        <v/>
      </c>
      <c r="Z16" s="9" t="str">
        <f t="shared" si="10"/>
        <v/>
      </c>
      <c r="AA16" s="10" t="str">
        <f t="shared" si="7"/>
        <v/>
      </c>
      <c r="AB16" s="5" t="s">
        <v>292</v>
      </c>
      <c r="AC16" s="5">
        <v>3</v>
      </c>
    </row>
    <row r="17" spans="1:29" ht="23.25">
      <c r="A17" s="5" t="s">
        <v>26</v>
      </c>
      <c r="B17" s="5" t="s">
        <v>53</v>
      </c>
      <c r="C17" s="5" t="s">
        <v>81</v>
      </c>
      <c r="D17" s="5" t="s">
        <v>109</v>
      </c>
      <c r="E17" s="5" t="s">
        <v>109</v>
      </c>
      <c r="F17" s="5" t="s">
        <v>141</v>
      </c>
      <c r="G17" s="7" t="str">
        <f t="shared" si="0"/>
        <v>ﺹ</v>
      </c>
      <c r="H17" s="7" t="str">
        <f t="shared" si="3"/>
        <v>ﺻ</v>
      </c>
      <c r="I17" s="7" t="str">
        <f t="shared" si="4"/>
        <v>ﺼ</v>
      </c>
      <c r="J17" s="7" t="str">
        <f t="shared" si="5"/>
        <v>ﺺ</v>
      </c>
      <c r="K17" s="5" t="s">
        <v>260</v>
      </c>
      <c r="L17" s="75" t="s">
        <v>383</v>
      </c>
      <c r="M17" s="76" t="s">
        <v>203</v>
      </c>
      <c r="N17" s="77" t="str">
        <f t="shared" si="8"/>
        <v>FEBB</v>
      </c>
      <c r="O17" s="77" t="str">
        <f t="shared" si="11"/>
        <v>FEBC</v>
      </c>
      <c r="P17" s="78" t="str">
        <f t="shared" si="12"/>
        <v>FEBA</v>
      </c>
      <c r="Q17" s="19" t="str">
        <f t="shared" si="6"/>
        <v>ص</v>
      </c>
      <c r="R17" s="19" t="str">
        <f>IF(M17&lt;&gt;"",toUTF16(HEX2DEC(M17)),"")</f>
        <v>ﺹ</v>
      </c>
      <c r="S17" s="19" t="str">
        <f>IF(N17&lt;&gt;"",toUTF16(HEX2DEC(N17)),"")</f>
        <v>ﺻ</v>
      </c>
      <c r="T17" s="19" t="str">
        <f>IF(O17&lt;&gt;"",toUTF16(HEX2DEC(O17)),"")</f>
        <v>ﺼ</v>
      </c>
      <c r="U17" s="24" t="str">
        <f>IF(P17&lt;&gt;"",toUTF16(HEX2DEC(P17)),"")</f>
        <v>ﺺ</v>
      </c>
      <c r="V17" s="26" t="s">
        <v>398</v>
      </c>
      <c r="Y17" s="9" t="str">
        <f t="shared" si="9"/>
        <v/>
      </c>
      <c r="Z17" s="9" t="str">
        <f t="shared" si="10"/>
        <v/>
      </c>
      <c r="AA17" s="10" t="str">
        <f t="shared" si="7"/>
        <v/>
      </c>
      <c r="AB17" s="5" t="s">
        <v>288</v>
      </c>
      <c r="AC17" s="5" t="s">
        <v>562</v>
      </c>
    </row>
    <row r="18" spans="1:29" ht="23.25">
      <c r="A18" s="5" t="s">
        <v>27</v>
      </c>
      <c r="B18" s="5" t="s">
        <v>54</v>
      </c>
      <c r="C18" s="5" t="s">
        <v>82</v>
      </c>
      <c r="D18" s="5" t="s">
        <v>110</v>
      </c>
      <c r="E18" s="5" t="s">
        <v>110</v>
      </c>
      <c r="F18" s="5" t="s">
        <v>142</v>
      </c>
      <c r="G18" s="7" t="str">
        <f t="shared" si="0"/>
        <v>ﺽ</v>
      </c>
      <c r="H18" s="7" t="str">
        <f t="shared" si="3"/>
        <v>ﺿ</v>
      </c>
      <c r="I18" s="7" t="str">
        <f t="shared" si="4"/>
        <v>ﻀ</v>
      </c>
      <c r="J18" s="7" t="str">
        <f t="shared" si="5"/>
        <v>ﺾ</v>
      </c>
      <c r="K18" s="5" t="s">
        <v>263</v>
      </c>
      <c r="L18" s="75" t="s">
        <v>164</v>
      </c>
      <c r="M18" s="76" t="s">
        <v>204</v>
      </c>
      <c r="N18" s="77" t="str">
        <f t="shared" si="8"/>
        <v>FEBF</v>
      </c>
      <c r="O18" s="77" t="str">
        <f t="shared" si="11"/>
        <v>FEC0</v>
      </c>
      <c r="P18" s="78" t="str">
        <f t="shared" si="12"/>
        <v>FEBE</v>
      </c>
      <c r="Q18" s="19" t="str">
        <f t="shared" si="6"/>
        <v>ض</v>
      </c>
      <c r="R18" s="19" t="str">
        <f>IF(M18&lt;&gt;"",toUTF16(HEX2DEC(M18)),"")</f>
        <v>ﺽ</v>
      </c>
      <c r="S18" s="19" t="str">
        <f>IF(N18&lt;&gt;"",toUTF16(HEX2DEC(N18)),"")</f>
        <v>ﺿ</v>
      </c>
      <c r="T18" s="19" t="str">
        <f>IF(O18&lt;&gt;"",toUTF16(HEX2DEC(O18)),"")</f>
        <v>ﻀ</v>
      </c>
      <c r="U18" s="24" t="str">
        <f>IF(P18&lt;&gt;"",toUTF16(HEX2DEC(P18)),"")</f>
        <v>ﺾ</v>
      </c>
      <c r="V18" s="26" t="s">
        <v>399</v>
      </c>
      <c r="Y18" s="9" t="str">
        <f t="shared" si="9"/>
        <v/>
      </c>
      <c r="Z18" s="9" t="str">
        <f t="shared" si="10"/>
        <v/>
      </c>
      <c r="AA18" s="10" t="str">
        <f t="shared" si="7"/>
        <v/>
      </c>
      <c r="AB18" s="5" t="s">
        <v>290</v>
      </c>
      <c r="AC18" s="5" t="s">
        <v>563</v>
      </c>
    </row>
    <row r="19" spans="1:29" ht="23.25">
      <c r="A19" s="5" t="s">
        <v>15</v>
      </c>
      <c r="B19" s="5" t="s">
        <v>55</v>
      </c>
      <c r="C19" s="5" t="s">
        <v>84</v>
      </c>
      <c r="D19" s="5" t="s">
        <v>111</v>
      </c>
      <c r="E19" s="5" t="s">
        <v>111</v>
      </c>
      <c r="F19" s="5" t="s">
        <v>143</v>
      </c>
      <c r="G19" s="7" t="str">
        <f t="shared" si="0"/>
        <v>ﻁ</v>
      </c>
      <c r="H19" s="7" t="str">
        <f t="shared" si="3"/>
        <v>ﻃ</v>
      </c>
      <c r="I19" s="7" t="str">
        <f t="shared" si="4"/>
        <v>ﻄ</v>
      </c>
      <c r="J19" s="7" t="str">
        <f t="shared" si="5"/>
        <v>ﻂ</v>
      </c>
      <c r="K19" s="5" t="s">
        <v>261</v>
      </c>
      <c r="L19" s="75" t="s">
        <v>165</v>
      </c>
      <c r="M19" s="76" t="s">
        <v>205</v>
      </c>
      <c r="N19" s="77" t="str">
        <f t="shared" si="8"/>
        <v>FEC3</v>
      </c>
      <c r="O19" s="77" t="str">
        <f t="shared" si="11"/>
        <v>FEC4</v>
      </c>
      <c r="P19" s="78" t="str">
        <f t="shared" si="12"/>
        <v>FEC2</v>
      </c>
      <c r="Q19" s="19" t="str">
        <f t="shared" si="6"/>
        <v>ط</v>
      </c>
      <c r="R19" s="19" t="str">
        <f>IF(M19&lt;&gt;"",toUTF16(HEX2DEC(M19)),"")</f>
        <v>ﻁ</v>
      </c>
      <c r="S19" s="19" t="str">
        <f>IF(N19&lt;&gt;"",toUTF16(HEX2DEC(N19)),"")</f>
        <v>ﻃ</v>
      </c>
      <c r="T19" s="19" t="str">
        <f>IF(O19&lt;&gt;"",toUTF16(HEX2DEC(O19)),"")</f>
        <v>ﻄ</v>
      </c>
      <c r="U19" s="24" t="str">
        <f>IF(P19&lt;&gt;"",toUTF16(HEX2DEC(P19)),"")</f>
        <v>ﻂ</v>
      </c>
      <c r="V19" s="26" t="s">
        <v>400</v>
      </c>
      <c r="Y19" s="9" t="str">
        <f t="shared" si="9"/>
        <v/>
      </c>
      <c r="Z19" s="9" t="str">
        <f t="shared" si="10"/>
        <v/>
      </c>
      <c r="AA19" s="10" t="str">
        <f t="shared" si="7"/>
        <v/>
      </c>
      <c r="AB19" s="5" t="s">
        <v>448</v>
      </c>
      <c r="AC19" s="5" t="s">
        <v>539</v>
      </c>
    </row>
    <row r="20" spans="1:29" ht="23.25">
      <c r="A20" s="5" t="s">
        <v>28</v>
      </c>
      <c r="B20" s="5" t="s">
        <v>56</v>
      </c>
      <c r="C20" s="5" t="s">
        <v>85</v>
      </c>
      <c r="D20" s="5" t="s">
        <v>112</v>
      </c>
      <c r="E20" s="5" t="s">
        <v>112</v>
      </c>
      <c r="F20" s="5" t="s">
        <v>144</v>
      </c>
      <c r="G20" s="7" t="str">
        <f t="shared" si="0"/>
        <v>ﻅ</v>
      </c>
      <c r="H20" s="7" t="str">
        <f t="shared" si="3"/>
        <v>ﻇ</v>
      </c>
      <c r="I20" s="7" t="str">
        <f t="shared" si="4"/>
        <v>ﻈ</v>
      </c>
      <c r="J20" s="7" t="str">
        <f t="shared" si="5"/>
        <v>ﻆ</v>
      </c>
      <c r="K20" s="5" t="s">
        <v>262</v>
      </c>
      <c r="L20" s="75" t="s">
        <v>166</v>
      </c>
      <c r="M20" s="76" t="s">
        <v>206</v>
      </c>
      <c r="N20" s="77" t="str">
        <f t="shared" si="8"/>
        <v>FEC7</v>
      </c>
      <c r="O20" s="77" t="str">
        <f t="shared" si="11"/>
        <v>FEC8</v>
      </c>
      <c r="P20" s="78" t="str">
        <f t="shared" si="12"/>
        <v>FEC6</v>
      </c>
      <c r="Q20" s="19" t="str">
        <f t="shared" si="6"/>
        <v>ظ</v>
      </c>
      <c r="R20" s="19" t="str">
        <f>IF(M20&lt;&gt;"",toUTF16(HEX2DEC(M20)),"")</f>
        <v>ﻅ</v>
      </c>
      <c r="S20" s="19" t="str">
        <f>IF(N20&lt;&gt;"",toUTF16(HEX2DEC(N20)),"")</f>
        <v>ﻇ</v>
      </c>
      <c r="T20" s="19" t="str">
        <f>IF(O20&lt;&gt;"",toUTF16(HEX2DEC(O20)),"")</f>
        <v>ﻈ</v>
      </c>
      <c r="U20" s="24" t="str">
        <f>IF(P20&lt;&gt;"",toUTF16(HEX2DEC(P20)),"")</f>
        <v>ﻆ</v>
      </c>
      <c r="V20" s="26" t="s">
        <v>401</v>
      </c>
      <c r="Y20" s="9" t="str">
        <f t="shared" si="9"/>
        <v/>
      </c>
      <c r="Z20" s="9" t="str">
        <f t="shared" si="10"/>
        <v/>
      </c>
      <c r="AA20" s="10" t="str">
        <f t="shared" si="7"/>
        <v/>
      </c>
      <c r="AB20" s="5" t="s">
        <v>452</v>
      </c>
      <c r="AC20" s="5" t="s">
        <v>564</v>
      </c>
    </row>
    <row r="21" spans="1:29" ht="23.25">
      <c r="A21" s="5" t="s">
        <v>29</v>
      </c>
      <c r="B21" s="5" t="s">
        <v>57</v>
      </c>
      <c r="C21" s="5" t="s">
        <v>86</v>
      </c>
      <c r="D21" s="5" t="s">
        <v>114</v>
      </c>
      <c r="E21" s="5" t="s">
        <v>114</v>
      </c>
      <c r="F21" s="5" t="s">
        <v>145</v>
      </c>
      <c r="G21" s="7" t="str">
        <f t="shared" si="0"/>
        <v>ﻉ</v>
      </c>
      <c r="H21" s="7" t="str">
        <f t="shared" si="3"/>
        <v>ﻋ</v>
      </c>
      <c r="I21" s="7" t="str">
        <f t="shared" si="4"/>
        <v>ﻌ</v>
      </c>
      <c r="J21" s="7" t="str">
        <f t="shared" si="5"/>
        <v>ﻊ</v>
      </c>
      <c r="K21" s="6" t="s">
        <v>97</v>
      </c>
      <c r="L21" s="75" t="s">
        <v>167</v>
      </c>
      <c r="M21" s="76" t="s">
        <v>207</v>
      </c>
      <c r="N21" s="77" t="str">
        <f t="shared" si="8"/>
        <v>FECB</v>
      </c>
      <c r="O21" s="77" t="str">
        <f t="shared" si="11"/>
        <v>FECC</v>
      </c>
      <c r="P21" s="78" t="str">
        <f t="shared" si="12"/>
        <v>FECA</v>
      </c>
      <c r="Q21" s="19" t="str">
        <f t="shared" si="6"/>
        <v>ع</v>
      </c>
      <c r="R21" s="19" t="str">
        <f>IF(M21&lt;&gt;"",toUTF16(HEX2DEC(M21)),"")</f>
        <v>ﻉ</v>
      </c>
      <c r="S21" s="19" t="str">
        <f>IF(N21&lt;&gt;"",toUTF16(HEX2DEC(N21)),"")</f>
        <v>ﻋ</v>
      </c>
      <c r="T21" s="19" t="str">
        <f>IF(O21&lt;&gt;"",toUTF16(HEX2DEC(O21)),"")</f>
        <v>ﻌ</v>
      </c>
      <c r="U21" s="24" t="str">
        <f>IF(P21&lt;&gt;"",toUTF16(HEX2DEC(P21)),"")</f>
        <v>ﻊ</v>
      </c>
      <c r="V21" s="26" t="s">
        <v>294</v>
      </c>
      <c r="Y21" s="9" t="str">
        <f t="shared" si="9"/>
        <v/>
      </c>
      <c r="Z21" s="9" t="str">
        <f t="shared" si="10"/>
        <v/>
      </c>
      <c r="AA21" s="10" t="str">
        <f t="shared" si="7"/>
        <v/>
      </c>
      <c r="AB21" s="5" t="s">
        <v>306</v>
      </c>
      <c r="AC21" s="5" t="s">
        <v>294</v>
      </c>
    </row>
    <row r="22" spans="1:29" ht="23.25">
      <c r="A22" s="5" t="s">
        <v>30</v>
      </c>
      <c r="B22" s="5" t="s">
        <v>58</v>
      </c>
      <c r="C22" s="5" t="s">
        <v>87</v>
      </c>
      <c r="D22" s="5" t="s">
        <v>113</v>
      </c>
      <c r="E22" s="5" t="s">
        <v>131</v>
      </c>
      <c r="F22" s="5" t="s">
        <v>146</v>
      </c>
      <c r="G22" s="7" t="str">
        <f t="shared" si="0"/>
        <v>ﻍ</v>
      </c>
      <c r="H22" s="7" t="str">
        <f t="shared" si="3"/>
        <v>ﻏ</v>
      </c>
      <c r="I22" s="7" t="str">
        <f t="shared" si="4"/>
        <v>ﻐ</v>
      </c>
      <c r="J22" s="7" t="str">
        <f t="shared" si="5"/>
        <v>ﻎ</v>
      </c>
      <c r="K22" s="5" t="s">
        <v>264</v>
      </c>
      <c r="L22" s="79" t="s">
        <v>168</v>
      </c>
      <c r="M22" s="76" t="s">
        <v>208</v>
      </c>
      <c r="N22" s="77" t="str">
        <f t="shared" si="8"/>
        <v>FECF</v>
      </c>
      <c r="O22" s="77" t="str">
        <f t="shared" si="11"/>
        <v>FED0</v>
      </c>
      <c r="P22" s="78" t="str">
        <f t="shared" si="12"/>
        <v>FECE</v>
      </c>
      <c r="Q22" s="19" t="str">
        <f t="shared" si="6"/>
        <v>غ</v>
      </c>
      <c r="R22" s="19" t="str">
        <f>IF(M22&lt;&gt;"",toUTF16(HEX2DEC(M22)),"")</f>
        <v>ﻍ</v>
      </c>
      <c r="S22" s="19" t="str">
        <f>IF(N22&lt;&gt;"",toUTF16(HEX2DEC(N22)),"")</f>
        <v>ﻏ</v>
      </c>
      <c r="T22" s="19" t="str">
        <f>IF(O22&lt;&gt;"",toUTF16(HEX2DEC(O22)),"")</f>
        <v>ﻐ</v>
      </c>
      <c r="U22" s="24" t="str">
        <f>IF(P22&lt;&gt;"",toUTF16(HEX2DEC(P22)),"")</f>
        <v>ﻎ</v>
      </c>
      <c r="V22" s="26" t="s">
        <v>293</v>
      </c>
      <c r="Y22" s="9" t="str">
        <f t="shared" si="9"/>
        <v/>
      </c>
      <c r="Z22" s="9" t="str">
        <f t="shared" si="10"/>
        <v/>
      </c>
      <c r="AA22" s="10" t="str">
        <f t="shared" si="7"/>
        <v/>
      </c>
      <c r="AB22" s="5" t="s">
        <v>335</v>
      </c>
      <c r="AC22" s="5" t="s">
        <v>538</v>
      </c>
    </row>
    <row r="23" spans="1:29" ht="23.25">
      <c r="A23" s="5" t="s">
        <v>31</v>
      </c>
      <c r="B23" s="5" t="s">
        <v>59</v>
      </c>
      <c r="C23" s="5" t="s">
        <v>88</v>
      </c>
      <c r="D23" s="5" t="s">
        <v>115</v>
      </c>
      <c r="E23" s="5" t="s">
        <v>115</v>
      </c>
      <c r="F23" s="5" t="s">
        <v>115</v>
      </c>
      <c r="G23" s="7" t="str">
        <f t="shared" si="0"/>
        <v>ﻑ</v>
      </c>
      <c r="H23" s="7" t="str">
        <f t="shared" si="3"/>
        <v>ﻓ</v>
      </c>
      <c r="I23" s="7" t="str">
        <f t="shared" si="4"/>
        <v>ﻔ</v>
      </c>
      <c r="J23" s="7" t="str">
        <f t="shared" si="5"/>
        <v>ﻒ</v>
      </c>
      <c r="K23" s="21" t="s">
        <v>265</v>
      </c>
      <c r="L23" s="75" t="s">
        <v>169</v>
      </c>
      <c r="M23" s="76" t="s">
        <v>209</v>
      </c>
      <c r="N23" s="77" t="str">
        <f t="shared" si="8"/>
        <v>FED3</v>
      </c>
      <c r="O23" s="77" t="str">
        <f t="shared" si="11"/>
        <v>FED4</v>
      </c>
      <c r="P23" s="78" t="str">
        <f t="shared" si="12"/>
        <v>FED2</v>
      </c>
      <c r="Q23" s="19" t="str">
        <f t="shared" si="6"/>
        <v>ف</v>
      </c>
      <c r="R23" s="19" t="str">
        <f>IF(M23&lt;&gt;"",toUTF16(HEX2DEC(M23)),"")</f>
        <v>ﻑ</v>
      </c>
      <c r="S23" s="19" t="str">
        <f>IF(N23&lt;&gt;"",toUTF16(HEX2DEC(N23)),"")</f>
        <v>ﻓ</v>
      </c>
      <c r="T23" s="19" t="str">
        <f>IF(O23&lt;&gt;"",toUTF16(HEX2DEC(O23)),"")</f>
        <v>ﻔ</v>
      </c>
      <c r="U23" s="24" t="str">
        <f>IF(P23&lt;&gt;"",toUTF16(HEX2DEC(P23)),"")</f>
        <v>ﻒ</v>
      </c>
      <c r="V23" s="26" t="s">
        <v>283</v>
      </c>
      <c r="Y23" s="9" t="str">
        <f t="shared" si="9"/>
        <v/>
      </c>
      <c r="Z23" s="9" t="str">
        <f t="shared" si="10"/>
        <v/>
      </c>
      <c r="AA23" s="10" t="str">
        <f t="shared" si="7"/>
        <v/>
      </c>
      <c r="AB23" s="5" t="s">
        <v>277</v>
      </c>
      <c r="AC23" s="5" t="s">
        <v>283</v>
      </c>
    </row>
    <row r="24" spans="1:29" ht="23.25">
      <c r="A24" s="5" t="s">
        <v>32</v>
      </c>
      <c r="B24" s="5" t="s">
        <v>60</v>
      </c>
      <c r="C24" s="5" t="s">
        <v>89</v>
      </c>
      <c r="D24" s="5" t="s">
        <v>116</v>
      </c>
      <c r="E24" s="5" t="s">
        <v>116</v>
      </c>
      <c r="F24" s="5" t="s">
        <v>116</v>
      </c>
      <c r="G24" s="7" t="str">
        <f t="shared" si="0"/>
        <v>ﻕ</v>
      </c>
      <c r="H24" s="7" t="str">
        <f t="shared" si="3"/>
        <v>ﻗ</v>
      </c>
      <c r="I24" s="7" t="str">
        <f t="shared" si="4"/>
        <v>ﻘ</v>
      </c>
      <c r="J24" s="7" t="str">
        <f t="shared" si="5"/>
        <v>ﻖ</v>
      </c>
      <c r="K24" s="5" t="s">
        <v>266</v>
      </c>
      <c r="L24" s="75" t="s">
        <v>170</v>
      </c>
      <c r="M24" s="76" t="s">
        <v>210</v>
      </c>
      <c r="N24" s="77" t="str">
        <f t="shared" si="8"/>
        <v>FED7</v>
      </c>
      <c r="O24" s="77" t="str">
        <f t="shared" si="11"/>
        <v>FED8</v>
      </c>
      <c r="P24" s="78" t="str">
        <f t="shared" si="12"/>
        <v>FED6</v>
      </c>
      <c r="Q24" s="19" t="str">
        <f t="shared" si="6"/>
        <v>ق</v>
      </c>
      <c r="R24" s="19" t="str">
        <f>IF(M24&lt;&gt;"",toUTF16(HEX2DEC(M24)),"")</f>
        <v>ﻕ</v>
      </c>
      <c r="S24" s="19" t="str">
        <f>IF(N24&lt;&gt;"",toUTF16(HEX2DEC(N24)),"")</f>
        <v>ﻗ</v>
      </c>
      <c r="T24" s="19" t="str">
        <f>IF(O24&lt;&gt;"",toUTF16(HEX2DEC(O24)),"")</f>
        <v>ﻘ</v>
      </c>
      <c r="U24" s="24" t="str">
        <f>IF(P24&lt;&gt;"",toUTF16(HEX2DEC(P24)),"")</f>
        <v>ﻖ</v>
      </c>
      <c r="V24" s="26" t="s">
        <v>290</v>
      </c>
      <c r="Y24" s="9" t="str">
        <f t="shared" si="9"/>
        <v/>
      </c>
      <c r="Z24" s="9" t="str">
        <f t="shared" si="10"/>
        <v/>
      </c>
      <c r="AA24" s="10" t="str">
        <f t="shared" si="7"/>
        <v/>
      </c>
      <c r="AB24" s="5" t="s">
        <v>280</v>
      </c>
      <c r="AC24" s="5" t="s">
        <v>290</v>
      </c>
    </row>
    <row r="25" spans="1:29" ht="23.25">
      <c r="A25" s="5" t="s">
        <v>33</v>
      </c>
      <c r="B25" s="5" t="s">
        <v>61</v>
      </c>
      <c r="C25" s="5" t="s">
        <v>90</v>
      </c>
      <c r="D25" s="5" t="s">
        <v>117</v>
      </c>
      <c r="E25" s="5" t="s">
        <v>117</v>
      </c>
      <c r="F25" s="5" t="s">
        <v>117</v>
      </c>
      <c r="G25" s="7" t="str">
        <f t="shared" si="0"/>
        <v>ﻙ</v>
      </c>
      <c r="H25" s="7" t="str">
        <f t="shared" si="3"/>
        <v>ﻛ</v>
      </c>
      <c r="I25" s="7" t="str">
        <f t="shared" si="4"/>
        <v>ﻜ</v>
      </c>
      <c r="J25" s="7" t="str">
        <f t="shared" si="5"/>
        <v>ﻚ</v>
      </c>
      <c r="K25" s="21" t="s">
        <v>267</v>
      </c>
      <c r="L25" s="75" t="s">
        <v>171</v>
      </c>
      <c r="M25" s="76" t="s">
        <v>211</v>
      </c>
      <c r="N25" s="77" t="str">
        <f t="shared" si="8"/>
        <v>FEDB</v>
      </c>
      <c r="O25" s="77" t="str">
        <f t="shared" si="11"/>
        <v>FEDC</v>
      </c>
      <c r="P25" s="78" t="str">
        <f t="shared" si="12"/>
        <v>FEDA</v>
      </c>
      <c r="Q25" s="19" t="str">
        <f t="shared" si="6"/>
        <v>ك</v>
      </c>
      <c r="R25" s="19" t="str">
        <f>IF(M25&lt;&gt;"",toUTF16(HEX2DEC(M25)),"")</f>
        <v>ﻙ</v>
      </c>
      <c r="S25" s="19" t="str">
        <f>IF(N25&lt;&gt;"",toUTF16(HEX2DEC(N25)),"")</f>
        <v>ﻛ</v>
      </c>
      <c r="T25" s="19" t="str">
        <f>IF(O25&lt;&gt;"",toUTF16(HEX2DEC(O25)),"")</f>
        <v>ﻜ</v>
      </c>
      <c r="U25" s="24" t="str">
        <f>IF(P25&lt;&gt;"",toUTF16(HEX2DEC(P25)),"")</f>
        <v>ﻚ</v>
      </c>
      <c r="V25" s="26" t="s">
        <v>284</v>
      </c>
      <c r="Y25" s="9" t="str">
        <f t="shared" si="9"/>
        <v/>
      </c>
      <c r="Z25" s="9" t="str">
        <f t="shared" si="10"/>
        <v/>
      </c>
      <c r="AA25" s="10" t="str">
        <f t="shared" si="7"/>
        <v/>
      </c>
      <c r="AB25" s="5" t="s">
        <v>447</v>
      </c>
      <c r="AC25" s="5" t="s">
        <v>284</v>
      </c>
    </row>
    <row r="26" spans="1:29" ht="23.25">
      <c r="A26" s="5" t="s">
        <v>34</v>
      </c>
      <c r="B26" s="5" t="s">
        <v>62</v>
      </c>
      <c r="C26" s="5" t="s">
        <v>91</v>
      </c>
      <c r="D26" s="5" t="s">
        <v>118</v>
      </c>
      <c r="E26" s="5" t="s">
        <v>118</v>
      </c>
      <c r="F26" s="5" t="s">
        <v>118</v>
      </c>
      <c r="G26" s="7" t="str">
        <f t="shared" si="0"/>
        <v>ﻝ</v>
      </c>
      <c r="H26" s="7" t="str">
        <f t="shared" si="3"/>
        <v>ﻟ</v>
      </c>
      <c r="I26" s="7" t="str">
        <f t="shared" si="4"/>
        <v>ﻠ</v>
      </c>
      <c r="J26" s="7" t="str">
        <f t="shared" si="5"/>
        <v>ﻞ</v>
      </c>
      <c r="K26" s="21" t="s">
        <v>268</v>
      </c>
      <c r="L26" s="75" t="s">
        <v>172</v>
      </c>
      <c r="M26" s="76" t="s">
        <v>212</v>
      </c>
      <c r="N26" s="77" t="str">
        <f t="shared" si="8"/>
        <v>FEDF</v>
      </c>
      <c r="O26" s="77" t="str">
        <f t="shared" si="11"/>
        <v>FEE0</v>
      </c>
      <c r="P26" s="78" t="str">
        <f t="shared" si="12"/>
        <v>FEDE</v>
      </c>
      <c r="Q26" s="19" t="str">
        <f t="shared" si="6"/>
        <v>ل</v>
      </c>
      <c r="R26" s="19" t="str">
        <f>IF(M26&lt;&gt;"",toUTF16(HEX2DEC(M26)),"")</f>
        <v>ﻝ</v>
      </c>
      <c r="S26" s="19" t="str">
        <f>IF(N26&lt;&gt;"",toUTF16(HEX2DEC(N26)),"")</f>
        <v>ﻟ</v>
      </c>
      <c r="T26" s="19" t="str">
        <f>IF(O26&lt;&gt;"",toUTF16(HEX2DEC(O26)),"")</f>
        <v>ﻠ</v>
      </c>
      <c r="U26" s="24" t="str">
        <f>IF(P26&lt;&gt;"",toUTF16(HEX2DEC(P26)),"")</f>
        <v>ﻞ</v>
      </c>
      <c r="V26" s="26" t="s">
        <v>285</v>
      </c>
      <c r="Y26" s="9" t="str">
        <f t="shared" si="9"/>
        <v/>
      </c>
      <c r="Z26" s="9" t="str">
        <f t="shared" si="10"/>
        <v/>
      </c>
      <c r="AA26" s="10" t="str">
        <f t="shared" si="7"/>
        <v/>
      </c>
      <c r="AB26" s="5" t="s">
        <v>293</v>
      </c>
      <c r="AC26" s="5" t="s">
        <v>285</v>
      </c>
    </row>
    <row r="27" spans="1:29" ht="23.25">
      <c r="A27" s="5" t="s">
        <v>64</v>
      </c>
      <c r="B27" s="5" t="s">
        <v>63</v>
      </c>
      <c r="C27" s="5" t="s">
        <v>92</v>
      </c>
      <c r="D27" s="5" t="s">
        <v>119</v>
      </c>
      <c r="E27" s="5" t="s">
        <v>119</v>
      </c>
      <c r="F27" s="5" t="s">
        <v>119</v>
      </c>
      <c r="G27" s="7" t="str">
        <f t="shared" si="0"/>
        <v>ﻡ</v>
      </c>
      <c r="H27" s="7" t="str">
        <f t="shared" si="3"/>
        <v>ﻣ</v>
      </c>
      <c r="I27" s="7" t="str">
        <f t="shared" si="4"/>
        <v>ﻤ</v>
      </c>
      <c r="J27" s="7" t="str">
        <f t="shared" si="5"/>
        <v>ﻢ</v>
      </c>
      <c r="K27" s="21" t="s">
        <v>269</v>
      </c>
      <c r="L27" s="75" t="s">
        <v>173</v>
      </c>
      <c r="M27" s="76" t="s">
        <v>213</v>
      </c>
      <c r="N27" s="77" t="str">
        <f t="shared" si="8"/>
        <v>FEE3</v>
      </c>
      <c r="O27" s="77" t="str">
        <f t="shared" si="11"/>
        <v>FEE4</v>
      </c>
      <c r="P27" s="78" t="str">
        <f t="shared" si="12"/>
        <v>FEE2</v>
      </c>
      <c r="Q27" s="19" t="str">
        <f t="shared" si="6"/>
        <v>م</v>
      </c>
      <c r="R27" s="19" t="str">
        <f>IF(M27&lt;&gt;"",toUTF16(HEX2DEC(M27)),"")</f>
        <v>ﻡ</v>
      </c>
      <c r="S27" s="19" t="str">
        <f>IF(N27&lt;&gt;"",toUTF16(HEX2DEC(N27)),"")</f>
        <v>ﻣ</v>
      </c>
      <c r="T27" s="19" t="str">
        <f>IF(O27&lt;&gt;"",toUTF16(HEX2DEC(O27)),"")</f>
        <v>ﻤ</v>
      </c>
      <c r="U27" s="24" t="str">
        <f>IF(P27&lt;&gt;"",toUTF16(HEX2DEC(P27)),"")</f>
        <v>ﻢ</v>
      </c>
      <c r="V27" s="26" t="s">
        <v>275</v>
      </c>
      <c r="Y27" s="9" t="str">
        <f t="shared" si="9"/>
        <v/>
      </c>
      <c r="Z27" s="9" t="str">
        <f t="shared" si="10"/>
        <v/>
      </c>
      <c r="AA27" s="10" t="str">
        <f t="shared" si="7"/>
        <v/>
      </c>
      <c r="AB27" s="5" t="s">
        <v>285</v>
      </c>
      <c r="AC27" s="5" t="s">
        <v>275</v>
      </c>
    </row>
    <row r="28" spans="1:29" ht="23.25">
      <c r="A28" s="5" t="s">
        <v>35</v>
      </c>
      <c r="B28" s="5" t="s">
        <v>65</v>
      </c>
      <c r="C28" s="5" t="s">
        <v>93</v>
      </c>
      <c r="D28" s="5" t="s">
        <v>120</v>
      </c>
      <c r="E28" s="5" t="s">
        <v>120</v>
      </c>
      <c r="F28" s="5" t="s">
        <v>120</v>
      </c>
      <c r="G28" s="7" t="str">
        <f t="shared" si="0"/>
        <v>ﻥ</v>
      </c>
      <c r="H28" s="7" t="str">
        <f t="shared" si="3"/>
        <v>ﻧ</v>
      </c>
      <c r="I28" s="7" t="str">
        <f t="shared" si="4"/>
        <v>ﻨ</v>
      </c>
      <c r="J28" s="7" t="str">
        <f t="shared" si="5"/>
        <v>ﻦ</v>
      </c>
      <c r="K28" s="21" t="s">
        <v>270</v>
      </c>
      <c r="L28" s="75" t="s">
        <v>174</v>
      </c>
      <c r="M28" s="76" t="s">
        <v>214</v>
      </c>
      <c r="N28" s="77" t="str">
        <f t="shared" si="8"/>
        <v>FEE7</v>
      </c>
      <c r="O28" s="77" t="str">
        <f t="shared" si="11"/>
        <v>FEE8</v>
      </c>
      <c r="P28" s="78" t="str">
        <f t="shared" si="12"/>
        <v>FEE6</v>
      </c>
      <c r="Q28" s="19" t="str">
        <f t="shared" si="6"/>
        <v>ن</v>
      </c>
      <c r="R28" s="19" t="str">
        <f>IF(M28&lt;&gt;"",toUTF16(HEX2DEC(M28)),"")</f>
        <v>ﻥ</v>
      </c>
      <c r="S28" s="19" t="str">
        <f>IF(N28&lt;&gt;"",toUTF16(HEX2DEC(N28)),"")</f>
        <v>ﻧ</v>
      </c>
      <c r="T28" s="19" t="str">
        <f>IF(O28&lt;&gt;"",toUTF16(HEX2DEC(O28)),"")</f>
        <v>ﻨ</v>
      </c>
      <c r="U28" s="24" t="str">
        <f>IF(P28&lt;&gt;"",toUTF16(HEX2DEC(P28)),"")</f>
        <v>ﻦ</v>
      </c>
      <c r="V28" s="26" t="s">
        <v>286</v>
      </c>
      <c r="Y28" s="9" t="str">
        <f t="shared" si="9"/>
        <v/>
      </c>
      <c r="Z28" s="9" t="str">
        <f t="shared" si="10"/>
        <v/>
      </c>
      <c r="AA28" s="10" t="str">
        <f t="shared" si="7"/>
        <v/>
      </c>
      <c r="AB28" s="5" t="s">
        <v>284</v>
      </c>
      <c r="AC28" s="5" t="s">
        <v>286</v>
      </c>
    </row>
    <row r="29" spans="1:29" ht="23.25">
      <c r="A29" s="5" t="s">
        <v>18</v>
      </c>
      <c r="B29" s="5" t="s">
        <v>66</v>
      </c>
      <c r="C29" s="5" t="s">
        <v>94</v>
      </c>
      <c r="D29" s="5" t="s">
        <v>101</v>
      </c>
      <c r="E29" s="5" t="s">
        <v>101</v>
      </c>
      <c r="F29" s="5" t="s">
        <v>101</v>
      </c>
      <c r="G29" s="7" t="str">
        <f t="shared" si="0"/>
        <v>ﻩ</v>
      </c>
      <c r="H29" s="7" t="str">
        <f t="shared" si="3"/>
        <v>ﻫ</v>
      </c>
      <c r="I29" s="7" t="str">
        <f t="shared" si="4"/>
        <v>ﻬ</v>
      </c>
      <c r="J29" s="7" t="str">
        <f t="shared" si="5"/>
        <v>ﻪ</v>
      </c>
      <c r="K29" s="21" t="s">
        <v>271</v>
      </c>
      <c r="L29" s="75" t="s">
        <v>175</v>
      </c>
      <c r="M29" s="76" t="s">
        <v>215</v>
      </c>
      <c r="N29" s="77" t="str">
        <f t="shared" si="8"/>
        <v>FEEB</v>
      </c>
      <c r="O29" s="77" t="str">
        <f t="shared" si="11"/>
        <v>FEEC</v>
      </c>
      <c r="P29" s="78" t="str">
        <f t="shared" si="12"/>
        <v>FEEA</v>
      </c>
      <c r="Q29" s="19" t="str">
        <f t="shared" si="6"/>
        <v>ه</v>
      </c>
      <c r="R29" s="19" t="str">
        <f>IF(M29&lt;&gt;"",toUTF16(HEX2DEC(M29)),"")</f>
        <v>ﻩ</v>
      </c>
      <c r="S29" s="19" t="str">
        <f>IF(N29&lt;&gt;"",toUTF16(HEX2DEC(N29)),"")</f>
        <v>ﻫ</v>
      </c>
      <c r="T29" s="19" t="str">
        <f>IF(O29&lt;&gt;"",toUTF16(HEX2DEC(O29)),"")</f>
        <v>ﻬ</v>
      </c>
      <c r="U29" s="24" t="str">
        <f>IF(P29&lt;&gt;"",toUTF16(HEX2DEC(P29)),"")</f>
        <v>ﻪ</v>
      </c>
      <c r="V29" s="26" t="s">
        <v>287</v>
      </c>
      <c r="Y29" s="9" t="str">
        <f t="shared" si="9"/>
        <v/>
      </c>
      <c r="Z29" s="9" t="str">
        <f t="shared" si="10"/>
        <v/>
      </c>
      <c r="AA29" s="10" t="str">
        <f t="shared" si="7"/>
        <v/>
      </c>
      <c r="AB29" s="5" t="s">
        <v>296</v>
      </c>
      <c r="AC29" s="5" t="s">
        <v>287</v>
      </c>
    </row>
    <row r="30" spans="1:29" ht="23.25">
      <c r="A30" s="5" t="s">
        <v>36</v>
      </c>
      <c r="B30" s="5" t="s">
        <v>67</v>
      </c>
      <c r="C30" s="5" t="s">
        <v>95</v>
      </c>
      <c r="D30" s="5" t="s">
        <v>122</v>
      </c>
      <c r="E30" s="5" t="s">
        <v>132</v>
      </c>
      <c r="F30" s="5" t="s">
        <v>147</v>
      </c>
      <c r="G30" s="7" t="str">
        <f t="shared" si="0"/>
        <v>ﻭ</v>
      </c>
      <c r="H30" s="7" t="str">
        <f t="shared" si="3"/>
        <v/>
      </c>
      <c r="I30" s="7" t="str">
        <f t="shared" si="4"/>
        <v/>
      </c>
      <c r="J30" s="7" t="str">
        <f t="shared" si="5"/>
        <v>ﻮ</v>
      </c>
      <c r="K30" s="21" t="s">
        <v>272</v>
      </c>
      <c r="L30" s="75" t="s">
        <v>176</v>
      </c>
      <c r="M30" s="76" t="s">
        <v>216</v>
      </c>
      <c r="P30" s="78" t="str">
        <f t="shared" si="12"/>
        <v>FEEE</v>
      </c>
      <c r="Q30" s="19" t="str">
        <f t="shared" si="6"/>
        <v>و</v>
      </c>
      <c r="R30" s="19" t="str">
        <f>IF(M30&lt;&gt;"",toUTF16(HEX2DEC(M30)),"")</f>
        <v>ﻭ</v>
      </c>
      <c r="S30" s="19" t="str">
        <f>IF(N30&lt;&gt;"",toUTF16(HEX2DEC(N30)),"")</f>
        <v/>
      </c>
      <c r="T30" s="19" t="str">
        <f>IF(O30&lt;&gt;"",toUTF16(HEX2DEC(O30)),"")</f>
        <v/>
      </c>
      <c r="U30" s="24" t="str">
        <f>IF(P30&lt;&gt;"",toUTF16(HEX2DEC(P30)),"")</f>
        <v>ﻮ</v>
      </c>
      <c r="V30" s="26" t="s">
        <v>288</v>
      </c>
      <c r="W30" s="8" t="s">
        <v>405</v>
      </c>
      <c r="X30" s="8" t="s">
        <v>411</v>
      </c>
      <c r="Y30" s="9" t="str">
        <f t="shared" si="9"/>
        <v>FE87</v>
      </c>
      <c r="Z30" s="9" t="str">
        <f t="shared" si="10"/>
        <v>FE88</v>
      </c>
      <c r="AA30" s="10" t="str">
        <f t="shared" si="7"/>
        <v>FE86</v>
      </c>
      <c r="AB30" s="5" t="s">
        <v>450</v>
      </c>
      <c r="AC30" s="5" t="s">
        <v>288</v>
      </c>
    </row>
    <row r="31" spans="1:29" s="11" customFormat="1" ht="23.25">
      <c r="A31" s="11" t="s">
        <v>37</v>
      </c>
      <c r="B31" s="11" t="s">
        <v>68</v>
      </c>
      <c r="C31" s="11" t="s">
        <v>96</v>
      </c>
      <c r="D31" s="11" t="s">
        <v>123</v>
      </c>
      <c r="E31" s="11" t="s">
        <v>133</v>
      </c>
      <c r="F31" s="11" t="s">
        <v>148</v>
      </c>
      <c r="G31" s="12" t="str">
        <f t="shared" si="0"/>
        <v>ﻱ</v>
      </c>
      <c r="H31" s="12" t="str">
        <f t="shared" si="3"/>
        <v>ﻳ</v>
      </c>
      <c r="I31" s="12" t="str">
        <f t="shared" si="4"/>
        <v>ﻴ</v>
      </c>
      <c r="J31" s="12" t="str">
        <f t="shared" si="5"/>
        <v>ﻲ</v>
      </c>
      <c r="K31" s="22" t="s">
        <v>273</v>
      </c>
      <c r="L31" s="79" t="s">
        <v>406</v>
      </c>
      <c r="M31" s="80" t="s">
        <v>217</v>
      </c>
      <c r="N31" s="81" t="str">
        <f t="shared" si="8"/>
        <v>FEF3</v>
      </c>
      <c r="O31" s="81" t="str">
        <f t="shared" si="11"/>
        <v>FEF4</v>
      </c>
      <c r="P31" s="82" t="str">
        <f t="shared" si="12"/>
        <v>FEF2</v>
      </c>
      <c r="Q31" s="20" t="str">
        <f t="shared" si="6"/>
        <v>ي</v>
      </c>
      <c r="R31" s="20" t="str">
        <f>IF(M31&lt;&gt;"",toUTF16(HEX2DEC(M31)),"")</f>
        <v>ﻱ</v>
      </c>
      <c r="S31" s="20" t="str">
        <f>IF(N31&lt;&gt;"",toUTF16(HEX2DEC(N31)),"")</f>
        <v>ﻳ</v>
      </c>
      <c r="T31" s="20" t="str">
        <f>IF(O31&lt;&gt;"",toUTF16(HEX2DEC(O31)),"")</f>
        <v>ﻴ</v>
      </c>
      <c r="U31" s="25" t="str">
        <f>IF(P31&lt;&gt;"",toUTF16(HEX2DEC(P31)),"")</f>
        <v>ﻲ</v>
      </c>
      <c r="V31" s="46" t="s">
        <v>289</v>
      </c>
      <c r="W31" s="13" t="s">
        <v>407</v>
      </c>
      <c r="X31" s="13" t="s">
        <v>409</v>
      </c>
      <c r="Y31" s="14" t="str">
        <f t="shared" si="9"/>
        <v>FE8B</v>
      </c>
      <c r="Z31" s="14" t="str">
        <f t="shared" si="10"/>
        <v>FE8C</v>
      </c>
      <c r="AA31" s="15" t="str">
        <f t="shared" si="7"/>
        <v>FE8A</v>
      </c>
      <c r="AB31" s="11" t="s">
        <v>279</v>
      </c>
      <c r="AC31" s="11" t="s">
        <v>289</v>
      </c>
    </row>
    <row r="32" spans="1:29" ht="23.25">
      <c r="A32" s="16" t="s">
        <v>228</v>
      </c>
      <c r="B32" s="16" t="s">
        <v>238</v>
      </c>
      <c r="C32" s="16" t="s">
        <v>218</v>
      </c>
      <c r="D32" s="128">
        <v>0</v>
      </c>
      <c r="E32" s="128"/>
      <c r="G32" s="129" t="str">
        <f>Q32</f>
        <v>٠</v>
      </c>
      <c r="H32" s="129"/>
      <c r="I32" s="129"/>
      <c r="J32" s="129"/>
      <c r="K32" s="5" t="str">
        <f t="shared" ref="K32:K41" si="13">IF(V32&lt;&gt;"",V32,"")</f>
        <v/>
      </c>
      <c r="L32" s="131" t="s">
        <v>177</v>
      </c>
      <c r="M32" s="132"/>
      <c r="N32" s="132"/>
      <c r="O32" s="132"/>
      <c r="P32" s="133"/>
      <c r="Q32" s="120" t="str">
        <f t="shared" si="6"/>
        <v>٠</v>
      </c>
      <c r="R32" s="121"/>
      <c r="S32" s="121"/>
      <c r="T32" s="121"/>
      <c r="U32" s="122"/>
      <c r="AC32" s="16" t="s">
        <v>597</v>
      </c>
    </row>
    <row r="33" spans="1:29" ht="23.25">
      <c r="A33" s="16" t="s">
        <v>229</v>
      </c>
      <c r="B33" s="16" t="s">
        <v>239</v>
      </c>
      <c r="C33" s="16" t="s">
        <v>219</v>
      </c>
      <c r="D33" s="126">
        <v>1</v>
      </c>
      <c r="E33" s="126"/>
      <c r="G33" s="112" t="str">
        <f t="shared" ref="G33:G41" si="14">Q33</f>
        <v>١</v>
      </c>
      <c r="H33" s="112"/>
      <c r="I33" s="112"/>
      <c r="J33" s="112"/>
      <c r="K33" s="5" t="str">
        <f t="shared" si="13"/>
        <v/>
      </c>
      <c r="L33" s="134" t="s">
        <v>178</v>
      </c>
      <c r="M33" s="135"/>
      <c r="N33" s="135"/>
      <c r="O33" s="135"/>
      <c r="P33" s="136"/>
      <c r="Q33" s="123" t="str">
        <f t="shared" si="6"/>
        <v>١</v>
      </c>
      <c r="R33" s="124"/>
      <c r="S33" s="124"/>
      <c r="T33" s="124"/>
      <c r="U33" s="125"/>
      <c r="AC33" s="16" t="s">
        <v>598</v>
      </c>
    </row>
    <row r="34" spans="1:29" ht="23.25">
      <c r="A34" s="16" t="s">
        <v>230</v>
      </c>
      <c r="B34" s="16" t="s">
        <v>240</v>
      </c>
      <c r="C34" s="16" t="s">
        <v>220</v>
      </c>
      <c r="D34" s="126">
        <v>2</v>
      </c>
      <c r="E34" s="126"/>
      <c r="G34" s="112" t="str">
        <f t="shared" si="14"/>
        <v>٢</v>
      </c>
      <c r="H34" s="112"/>
      <c r="I34" s="112"/>
      <c r="J34" s="112"/>
      <c r="K34" s="5" t="str">
        <f t="shared" si="13"/>
        <v/>
      </c>
      <c r="L34" s="134" t="s">
        <v>179</v>
      </c>
      <c r="M34" s="135"/>
      <c r="N34" s="135"/>
      <c r="O34" s="135"/>
      <c r="P34" s="136"/>
      <c r="Q34" s="123" t="str">
        <f t="shared" si="6"/>
        <v>٢</v>
      </c>
      <c r="R34" s="124"/>
      <c r="S34" s="124"/>
      <c r="T34" s="124"/>
      <c r="U34" s="125"/>
      <c r="AC34" s="5" t="s">
        <v>599</v>
      </c>
    </row>
    <row r="35" spans="1:29" ht="23.25">
      <c r="A35" s="16" t="s">
        <v>231</v>
      </c>
      <c r="B35" s="16" t="s">
        <v>241</v>
      </c>
      <c r="C35" s="16" t="s">
        <v>221</v>
      </c>
      <c r="D35" s="126">
        <v>3</v>
      </c>
      <c r="E35" s="126"/>
      <c r="G35" s="112" t="str">
        <f t="shared" si="14"/>
        <v>٣</v>
      </c>
      <c r="H35" s="112"/>
      <c r="I35" s="112"/>
      <c r="J35" s="112"/>
      <c r="K35" s="5" t="str">
        <f t="shared" si="13"/>
        <v/>
      </c>
      <c r="L35" s="134" t="s">
        <v>180</v>
      </c>
      <c r="M35" s="135"/>
      <c r="N35" s="135"/>
      <c r="O35" s="135"/>
      <c r="P35" s="136"/>
      <c r="Q35" s="123" t="str">
        <f t="shared" si="6"/>
        <v>٣</v>
      </c>
      <c r="R35" s="124"/>
      <c r="S35" s="124"/>
      <c r="T35" s="124"/>
      <c r="U35" s="125"/>
      <c r="AC35" s="5" t="s">
        <v>600</v>
      </c>
    </row>
    <row r="36" spans="1:29" ht="23.25">
      <c r="A36" s="16" t="s">
        <v>232</v>
      </c>
      <c r="B36" s="16" t="s">
        <v>242</v>
      </c>
      <c r="C36" s="16" t="s">
        <v>222</v>
      </c>
      <c r="D36" s="126">
        <v>4</v>
      </c>
      <c r="E36" s="126"/>
      <c r="G36" s="112" t="str">
        <f t="shared" si="14"/>
        <v>٤</v>
      </c>
      <c r="H36" s="112"/>
      <c r="I36" s="112"/>
      <c r="J36" s="112"/>
      <c r="K36" s="5" t="str">
        <f t="shared" si="13"/>
        <v/>
      </c>
      <c r="L36" s="134" t="s">
        <v>181</v>
      </c>
      <c r="M36" s="135"/>
      <c r="N36" s="135"/>
      <c r="O36" s="135"/>
      <c r="P36" s="136"/>
      <c r="Q36" s="123" t="str">
        <f t="shared" si="6"/>
        <v>٤</v>
      </c>
      <c r="R36" s="124"/>
      <c r="S36" s="124"/>
      <c r="T36" s="124"/>
      <c r="U36" s="125"/>
      <c r="AC36" s="5" t="s">
        <v>601</v>
      </c>
    </row>
    <row r="37" spans="1:29" ht="23.25">
      <c r="A37" s="16" t="s">
        <v>233</v>
      </c>
      <c r="B37" s="16" t="s">
        <v>243</v>
      </c>
      <c r="C37" s="16" t="s">
        <v>223</v>
      </c>
      <c r="D37" s="126">
        <v>5</v>
      </c>
      <c r="E37" s="126"/>
      <c r="G37" s="112" t="str">
        <f t="shared" si="14"/>
        <v>٥</v>
      </c>
      <c r="H37" s="112"/>
      <c r="I37" s="112"/>
      <c r="J37" s="112"/>
      <c r="K37" s="5" t="str">
        <f t="shared" si="13"/>
        <v/>
      </c>
      <c r="L37" s="134" t="s">
        <v>182</v>
      </c>
      <c r="M37" s="135"/>
      <c r="N37" s="135"/>
      <c r="O37" s="135"/>
      <c r="P37" s="136"/>
      <c r="Q37" s="123" t="str">
        <f t="shared" si="6"/>
        <v>٥</v>
      </c>
      <c r="R37" s="124"/>
      <c r="S37" s="124"/>
      <c r="T37" s="124"/>
      <c r="U37" s="125"/>
      <c r="AC37" s="5" t="s">
        <v>602</v>
      </c>
    </row>
    <row r="38" spans="1:29" ht="23.25">
      <c r="A38" s="16" t="s">
        <v>234</v>
      </c>
      <c r="B38" s="16" t="s">
        <v>244</v>
      </c>
      <c r="C38" s="16" t="s">
        <v>224</v>
      </c>
      <c r="D38" s="126">
        <v>6</v>
      </c>
      <c r="E38" s="126"/>
      <c r="G38" s="112" t="str">
        <f t="shared" si="14"/>
        <v>٦</v>
      </c>
      <c r="H38" s="112"/>
      <c r="I38" s="112"/>
      <c r="J38" s="112"/>
      <c r="K38" s="5" t="str">
        <f t="shared" si="13"/>
        <v/>
      </c>
      <c r="L38" s="134" t="s">
        <v>183</v>
      </c>
      <c r="M38" s="135"/>
      <c r="N38" s="135"/>
      <c r="O38" s="135"/>
      <c r="P38" s="136"/>
      <c r="Q38" s="123" t="str">
        <f t="shared" si="6"/>
        <v>٦</v>
      </c>
      <c r="R38" s="124"/>
      <c r="S38" s="124"/>
      <c r="T38" s="124"/>
      <c r="U38" s="125"/>
      <c r="AC38" s="5" t="s">
        <v>603</v>
      </c>
    </row>
    <row r="39" spans="1:29" ht="23.25">
      <c r="A39" s="16" t="s">
        <v>235</v>
      </c>
      <c r="B39" s="16" t="s">
        <v>245</v>
      </c>
      <c r="C39" s="16" t="s">
        <v>225</v>
      </c>
      <c r="D39" s="126">
        <v>7</v>
      </c>
      <c r="E39" s="126"/>
      <c r="G39" s="112" t="str">
        <f t="shared" si="14"/>
        <v>٧</v>
      </c>
      <c r="H39" s="112"/>
      <c r="I39" s="112"/>
      <c r="J39" s="112"/>
      <c r="K39" s="5" t="str">
        <f t="shared" si="13"/>
        <v/>
      </c>
      <c r="L39" s="134" t="s">
        <v>184</v>
      </c>
      <c r="M39" s="135"/>
      <c r="N39" s="135"/>
      <c r="O39" s="135"/>
      <c r="P39" s="136"/>
      <c r="Q39" s="123" t="str">
        <f t="shared" si="6"/>
        <v>٧</v>
      </c>
      <c r="R39" s="124"/>
      <c r="S39" s="124"/>
      <c r="T39" s="124"/>
      <c r="U39" s="125"/>
      <c r="AC39" s="5" t="s">
        <v>604</v>
      </c>
    </row>
    <row r="40" spans="1:29" ht="23.25">
      <c r="A40" s="16" t="s">
        <v>236</v>
      </c>
      <c r="B40" s="16" t="s">
        <v>246</v>
      </c>
      <c r="C40" s="16" t="s">
        <v>226</v>
      </c>
      <c r="D40" s="126">
        <v>8</v>
      </c>
      <c r="E40" s="126"/>
      <c r="G40" s="112" t="str">
        <f t="shared" si="14"/>
        <v>٨</v>
      </c>
      <c r="H40" s="112"/>
      <c r="I40" s="112"/>
      <c r="J40" s="112"/>
      <c r="K40" s="5" t="str">
        <f t="shared" si="13"/>
        <v/>
      </c>
      <c r="L40" s="134" t="s">
        <v>185</v>
      </c>
      <c r="M40" s="135"/>
      <c r="N40" s="135"/>
      <c r="O40" s="135"/>
      <c r="P40" s="136"/>
      <c r="Q40" s="123" t="str">
        <f t="shared" si="6"/>
        <v>٨</v>
      </c>
      <c r="R40" s="124"/>
      <c r="S40" s="124"/>
      <c r="T40" s="124"/>
      <c r="U40" s="125"/>
      <c r="AC40" s="5" t="s">
        <v>605</v>
      </c>
    </row>
    <row r="41" spans="1:29" s="11" customFormat="1" ht="23.25">
      <c r="A41" s="83" t="s">
        <v>237</v>
      </c>
      <c r="B41" s="83" t="s">
        <v>247</v>
      </c>
      <c r="C41" s="83" t="s">
        <v>227</v>
      </c>
      <c r="D41" s="127">
        <v>9</v>
      </c>
      <c r="E41" s="127"/>
      <c r="G41" s="130" t="str">
        <f t="shared" si="14"/>
        <v>٩</v>
      </c>
      <c r="H41" s="130"/>
      <c r="I41" s="130"/>
      <c r="J41" s="130"/>
      <c r="K41" s="11" t="str">
        <f t="shared" si="13"/>
        <v/>
      </c>
      <c r="L41" s="137" t="s">
        <v>186</v>
      </c>
      <c r="M41" s="138"/>
      <c r="N41" s="138"/>
      <c r="O41" s="138"/>
      <c r="P41" s="139"/>
      <c r="Q41" s="140" t="str">
        <f t="shared" si="6"/>
        <v>٩</v>
      </c>
      <c r="R41" s="141"/>
      <c r="S41" s="141"/>
      <c r="T41" s="141"/>
      <c r="U41" s="142"/>
      <c r="V41" s="46"/>
      <c r="W41" s="13"/>
      <c r="X41" s="13"/>
      <c r="Y41" s="14"/>
      <c r="Z41" s="14"/>
      <c r="AA41" s="15"/>
      <c r="AC41" s="11" t="s">
        <v>606</v>
      </c>
    </row>
    <row r="42" spans="1:29" ht="23.25">
      <c r="C42" s="16" t="s">
        <v>565</v>
      </c>
      <c r="G42" s="18" t="str">
        <f t="shared" ref="G42:G43" si="15">IF(R42&lt;&gt;"",R42,"")</f>
        <v/>
      </c>
      <c r="H42" s="18" t="str">
        <f t="shared" ref="H42:H43" si="16">IF(S42&lt;&gt;"",S42,"")</f>
        <v/>
      </c>
      <c r="I42" s="18" t="str">
        <f t="shared" ref="I42:I43" si="17">IF(T42&lt;&gt;"",T42,"")</f>
        <v/>
      </c>
      <c r="J42" s="18" t="str">
        <f t="shared" ref="J42:J43" si="18">IF(U42&lt;&gt;"",U42,"")</f>
        <v/>
      </c>
      <c r="K42" s="21"/>
      <c r="L42" s="75" t="s">
        <v>477</v>
      </c>
      <c r="Q42" s="19" t="str">
        <f t="shared" ref="Q42:Q43" si="19">IF(L42&lt;&gt;"",toUTF16(HEX2DEC(L42)),"")</f>
        <v>ـ</v>
      </c>
      <c r="R42" s="19" t="str">
        <f>IF(M42&lt;&gt;"",toUTF16(HEX2DEC(M42)),"")</f>
        <v/>
      </c>
      <c r="S42" s="19" t="str">
        <f>IF(N42&lt;&gt;"",toUTF16(HEX2DEC(N42)),"")</f>
        <v/>
      </c>
      <c r="T42" s="19" t="str">
        <f>IF(O42&lt;&gt;"",toUTF16(HEX2DEC(O42)),"")</f>
        <v/>
      </c>
      <c r="U42" s="49" t="str">
        <f>IF(P42&lt;&gt;"",toUTF16(HEX2DEC(P42)),"")</f>
        <v/>
      </c>
      <c r="V42" s="26" t="s">
        <v>288</v>
      </c>
      <c r="W42" s="17"/>
      <c r="X42" s="17"/>
      <c r="Y42" s="9" t="str">
        <f t="shared" ref="Y42:Y104" si="20">IF($X42&lt;&gt;"",DEC2HEX(HEX2DEC($X42)+2,4),"")</f>
        <v/>
      </c>
      <c r="Z42" s="9" t="str">
        <f t="shared" ref="Z42:Z104" si="21">IF($X42&lt;&gt;"",DEC2HEX(HEX2DEC($X42)+3,4),"")</f>
        <v/>
      </c>
      <c r="AA42" s="10" t="str">
        <f t="shared" ref="AA42:AA104" si="22">IF($X42&lt;&gt;"",DEC2HEX(HEX2DEC($X42)+1,4),"")</f>
        <v/>
      </c>
      <c r="AB42" s="5" t="s">
        <v>577</v>
      </c>
      <c r="AC42" s="16" t="s">
        <v>608</v>
      </c>
    </row>
    <row r="43" spans="1:29" ht="23.25">
      <c r="C43" s="16" t="s">
        <v>566</v>
      </c>
      <c r="G43" s="18" t="str">
        <f t="shared" si="15"/>
        <v/>
      </c>
      <c r="H43" s="18" t="str">
        <f t="shared" si="16"/>
        <v/>
      </c>
      <c r="I43" s="18" t="str">
        <f t="shared" si="17"/>
        <v/>
      </c>
      <c r="J43" s="18" t="str">
        <f t="shared" si="18"/>
        <v/>
      </c>
      <c r="K43" s="21"/>
      <c r="L43" s="75" t="s">
        <v>407</v>
      </c>
      <c r="N43" s="77" t="str">
        <f t="shared" ref="N43:N105" si="23">IF($M43&lt;&gt;"",DEC2HEX(HEX2DEC($M43)+2,4),"")</f>
        <v/>
      </c>
      <c r="O43" s="77" t="str">
        <f t="shared" ref="O43:O105" si="24">IF($M43&lt;&gt;"",DEC2HEX(HEX2DEC($M43)+3,4),"")</f>
        <v/>
      </c>
      <c r="P43" s="78" t="str">
        <f t="shared" ref="P43:P105" si="25">IF($M43&lt;&gt;"",DEC2HEX(HEX2DEC($M43)+1,4),"")</f>
        <v/>
      </c>
      <c r="Q43" s="19" t="str">
        <f t="shared" si="19"/>
        <v>ئ</v>
      </c>
      <c r="R43" s="19" t="str">
        <f>IF(M43&lt;&gt;"",toUTF16(HEX2DEC(M43)),"")</f>
        <v/>
      </c>
      <c r="S43" s="19" t="str">
        <f>IF(N43&lt;&gt;"",toUTF16(HEX2DEC(N43)),"")</f>
        <v/>
      </c>
      <c r="T43" s="19" t="str">
        <f>IF(O43&lt;&gt;"",toUTF16(HEX2DEC(O43)),"")</f>
        <v/>
      </c>
      <c r="U43" s="49" t="str">
        <f>IF(P43&lt;&gt;"",toUTF16(HEX2DEC(P43)),"")</f>
        <v/>
      </c>
      <c r="V43" s="26" t="s">
        <v>287</v>
      </c>
      <c r="W43" s="17"/>
      <c r="X43" s="17"/>
      <c r="Y43" s="9" t="str">
        <f t="shared" si="20"/>
        <v/>
      </c>
      <c r="Z43" s="9" t="str">
        <f t="shared" si="21"/>
        <v/>
      </c>
      <c r="AA43" s="10" t="str">
        <f t="shared" si="22"/>
        <v/>
      </c>
      <c r="AB43" s="5" t="s">
        <v>281</v>
      </c>
      <c r="AC43" s="16" t="s">
        <v>545</v>
      </c>
    </row>
    <row r="44" spans="1:29" ht="23.25">
      <c r="C44" s="16" t="s">
        <v>567</v>
      </c>
      <c r="G44" s="18" t="str">
        <f t="shared" ref="G44:G106" si="26">IF(R44&lt;&gt;"",R44,"")</f>
        <v/>
      </c>
      <c r="H44" s="18" t="str">
        <f t="shared" ref="H44:H106" si="27">IF(S44&lt;&gt;"",S44,"")</f>
        <v/>
      </c>
      <c r="I44" s="18" t="str">
        <f t="shared" ref="I44:I106" si="28">IF(T44&lt;&gt;"",T44,"")</f>
        <v/>
      </c>
      <c r="J44" s="18" t="str">
        <f t="shared" ref="J44:J106" si="29">IF(U44&lt;&gt;"",U44,"")</f>
        <v/>
      </c>
      <c r="K44" s="21"/>
      <c r="L44" s="75" t="s">
        <v>405</v>
      </c>
      <c r="N44" s="77" t="str">
        <f t="shared" si="23"/>
        <v/>
      </c>
      <c r="O44" s="77" t="str">
        <f t="shared" si="24"/>
        <v/>
      </c>
      <c r="P44" s="78" t="str">
        <f t="shared" si="25"/>
        <v/>
      </c>
      <c r="Q44" s="19" t="str">
        <f t="shared" ref="Q44:Q106" si="30">IF(L44&lt;&gt;"",toUTF16(HEX2DEC(L44)),"")</f>
        <v>ؤ</v>
      </c>
      <c r="R44" s="19" t="str">
        <f>IF(M44&lt;&gt;"",toUTF16(HEX2DEC(M44)),"")</f>
        <v/>
      </c>
      <c r="S44" s="19" t="str">
        <f>IF(N44&lt;&gt;"",toUTF16(HEX2DEC(N44)),"")</f>
        <v/>
      </c>
      <c r="T44" s="19" t="str">
        <f>IF(O44&lt;&gt;"",toUTF16(HEX2DEC(O44)),"")</f>
        <v/>
      </c>
      <c r="U44" s="49" t="str">
        <f>IF(P44&lt;&gt;"",toUTF16(HEX2DEC(P44)),"")</f>
        <v/>
      </c>
      <c r="V44" s="26" t="s">
        <v>287</v>
      </c>
      <c r="W44" s="17"/>
      <c r="X44" s="17"/>
      <c r="Y44" s="9" t="str">
        <f t="shared" si="20"/>
        <v/>
      </c>
      <c r="Z44" s="9" t="str">
        <f t="shared" si="21"/>
        <v/>
      </c>
      <c r="AA44" s="10" t="str">
        <f t="shared" si="22"/>
        <v/>
      </c>
      <c r="AB44" s="5" t="s">
        <v>294</v>
      </c>
      <c r="AC44" s="16" t="s">
        <v>537</v>
      </c>
    </row>
    <row r="45" spans="1:29" ht="23.25">
      <c r="C45" s="5" t="s">
        <v>573</v>
      </c>
      <c r="G45" s="18" t="str">
        <f t="shared" si="26"/>
        <v/>
      </c>
      <c r="H45" s="18" t="str">
        <f t="shared" si="27"/>
        <v/>
      </c>
      <c r="I45" s="18" t="str">
        <f t="shared" si="28"/>
        <v/>
      </c>
      <c r="J45" s="18" t="str">
        <f t="shared" si="29"/>
        <v/>
      </c>
      <c r="K45" s="21"/>
      <c r="L45" s="75" t="s">
        <v>478</v>
      </c>
      <c r="N45" s="77" t="str">
        <f t="shared" si="23"/>
        <v/>
      </c>
      <c r="O45" s="77" t="str">
        <f t="shared" si="24"/>
        <v/>
      </c>
      <c r="P45" s="78" t="str">
        <f t="shared" si="25"/>
        <v/>
      </c>
      <c r="Q45" s="19" t="str">
        <f>IF(L45&lt;&gt;"",toUTF16sequence(L45),"")</f>
        <v>لا</v>
      </c>
      <c r="R45" s="19" t="str">
        <f>IF(M45&lt;&gt;"",toUTF16(HEX2DEC(M45)),"")</f>
        <v/>
      </c>
      <c r="S45" s="19" t="str">
        <f>IF(N45&lt;&gt;"",toUTF16(HEX2DEC(N45)),"")</f>
        <v/>
      </c>
      <c r="T45" s="19" t="str">
        <f>IF(O45&lt;&gt;"",toUTF16(HEX2DEC(O45)),"")</f>
        <v/>
      </c>
      <c r="U45" s="49" t="str">
        <f>IF(P45&lt;&gt;"",toUTF16(HEX2DEC(P45)),"")</f>
        <v/>
      </c>
      <c r="V45" s="26" t="s">
        <v>287</v>
      </c>
      <c r="W45" s="17"/>
      <c r="X45" s="17"/>
      <c r="Y45" s="9" t="str">
        <f t="shared" si="20"/>
        <v/>
      </c>
      <c r="Z45" s="9" t="str">
        <f t="shared" si="21"/>
        <v/>
      </c>
      <c r="AA45" s="10" t="str">
        <f t="shared" si="22"/>
        <v/>
      </c>
      <c r="AB45" s="5" t="s">
        <v>276</v>
      </c>
      <c r="AC45" s="16" t="s">
        <v>612</v>
      </c>
    </row>
    <row r="46" spans="1:29" ht="23.25">
      <c r="C46" s="5" t="s">
        <v>568</v>
      </c>
      <c r="G46" s="18" t="str">
        <f t="shared" si="26"/>
        <v/>
      </c>
      <c r="H46" s="18" t="str">
        <f t="shared" si="27"/>
        <v/>
      </c>
      <c r="I46" s="18" t="str">
        <f t="shared" si="28"/>
        <v/>
      </c>
      <c r="J46" s="18" t="str">
        <f t="shared" si="29"/>
        <v/>
      </c>
      <c r="K46" s="21"/>
      <c r="L46" s="75" t="s">
        <v>479</v>
      </c>
      <c r="N46" s="77" t="str">
        <f t="shared" si="23"/>
        <v/>
      </c>
      <c r="O46" s="77" t="str">
        <f t="shared" si="24"/>
        <v/>
      </c>
      <c r="P46" s="78" t="str">
        <f t="shared" si="25"/>
        <v/>
      </c>
      <c r="Q46" s="19" t="str">
        <f t="shared" si="30"/>
        <v>ى</v>
      </c>
      <c r="R46" s="19" t="str">
        <f>IF(M46&lt;&gt;"",toUTF16(HEX2DEC(M46)),"")</f>
        <v/>
      </c>
      <c r="S46" s="19" t="str">
        <f>IF(N46&lt;&gt;"",toUTF16(HEX2DEC(N46)),"")</f>
        <v/>
      </c>
      <c r="T46" s="19" t="str">
        <f>IF(O46&lt;&gt;"",toUTF16(HEX2DEC(O46)),"")</f>
        <v/>
      </c>
      <c r="U46" s="49" t="str">
        <f>IF(P46&lt;&gt;"",toUTF16(HEX2DEC(P46)),"")</f>
        <v/>
      </c>
      <c r="V46" s="26" t="s">
        <v>287</v>
      </c>
      <c r="W46" s="17"/>
      <c r="X46" s="17"/>
      <c r="Y46" s="9" t="str">
        <f t="shared" si="20"/>
        <v/>
      </c>
      <c r="Z46" s="9" t="str">
        <f t="shared" si="21"/>
        <v/>
      </c>
      <c r="AA46" s="10" t="str">
        <f t="shared" si="22"/>
        <v/>
      </c>
      <c r="AB46" s="5" t="s">
        <v>286</v>
      </c>
      <c r="AC46" s="16" t="s">
        <v>613</v>
      </c>
    </row>
    <row r="47" spans="1:29" ht="23.25">
      <c r="C47" s="5" t="s">
        <v>569</v>
      </c>
      <c r="G47" s="18" t="str">
        <f t="shared" si="26"/>
        <v/>
      </c>
      <c r="H47" s="18" t="str">
        <f t="shared" si="27"/>
        <v/>
      </c>
      <c r="I47" s="18" t="str">
        <f t="shared" si="28"/>
        <v/>
      </c>
      <c r="J47" s="18" t="str">
        <f t="shared" si="29"/>
        <v/>
      </c>
      <c r="K47" s="21"/>
      <c r="L47" s="75" t="s">
        <v>480</v>
      </c>
      <c r="N47" s="77" t="str">
        <f t="shared" si="23"/>
        <v/>
      </c>
      <c r="O47" s="77" t="str">
        <f t="shared" si="24"/>
        <v/>
      </c>
      <c r="P47" s="78" t="str">
        <f t="shared" si="25"/>
        <v/>
      </c>
      <c r="Q47" s="19" t="str">
        <f t="shared" si="30"/>
        <v>ة</v>
      </c>
      <c r="R47" s="19" t="str">
        <f>IF(M47&lt;&gt;"",toUTF16(HEX2DEC(M47)),"")</f>
        <v/>
      </c>
      <c r="S47" s="19" t="str">
        <f>IF(N47&lt;&gt;"",toUTF16(HEX2DEC(N47)),"")</f>
        <v/>
      </c>
      <c r="T47" s="19" t="str">
        <f>IF(O47&lt;&gt;"",toUTF16(HEX2DEC(O47)),"")</f>
        <v/>
      </c>
      <c r="U47" s="49" t="str">
        <f>IF(P47&lt;&gt;"",toUTF16(HEX2DEC(P47)),"")</f>
        <v/>
      </c>
      <c r="V47" s="26" t="s">
        <v>287</v>
      </c>
      <c r="W47" s="17"/>
      <c r="X47" s="17"/>
      <c r="Y47" s="9" t="str">
        <f t="shared" si="20"/>
        <v/>
      </c>
      <c r="Z47" s="9" t="str">
        <f t="shared" si="21"/>
        <v/>
      </c>
      <c r="AA47" s="10" t="str">
        <f t="shared" si="22"/>
        <v/>
      </c>
      <c r="AB47" s="5" t="s">
        <v>275</v>
      </c>
      <c r="AC47" s="16" t="s">
        <v>614</v>
      </c>
    </row>
    <row r="48" spans="1:29" ht="23.25">
      <c r="C48" s="5" t="s">
        <v>570</v>
      </c>
      <c r="G48" s="18" t="str">
        <f t="shared" si="26"/>
        <v/>
      </c>
      <c r="H48" s="18" t="str">
        <f t="shared" si="27"/>
        <v/>
      </c>
      <c r="I48" s="18" t="str">
        <f t="shared" si="28"/>
        <v/>
      </c>
      <c r="J48" s="18" t="str">
        <f t="shared" si="29"/>
        <v/>
      </c>
      <c r="K48" s="21"/>
      <c r="L48" s="75" t="s">
        <v>495</v>
      </c>
      <c r="N48" s="77" t="str">
        <f t="shared" si="23"/>
        <v/>
      </c>
      <c r="O48" s="77" t="str">
        <f t="shared" si="24"/>
        <v/>
      </c>
      <c r="P48" s="78" t="str">
        <f t="shared" si="25"/>
        <v/>
      </c>
      <c r="Q48" s="19" t="str">
        <f t="shared" si="30"/>
        <v>َ</v>
      </c>
      <c r="R48" s="19" t="str">
        <f>IF(M48&lt;&gt;"",toUTF16(HEX2DEC(M48)),"")</f>
        <v/>
      </c>
      <c r="S48" s="19" t="str">
        <f>IF(N48&lt;&gt;"",toUTF16(HEX2DEC(N48)),"")</f>
        <v/>
      </c>
      <c r="T48" s="19" t="str">
        <f>IF(O48&lt;&gt;"",toUTF16(HEX2DEC(O48)),"")</f>
        <v/>
      </c>
      <c r="U48" s="49" t="str">
        <f>IF(P48&lt;&gt;"",toUTF16(HEX2DEC(P48)),"")</f>
        <v/>
      </c>
      <c r="V48" s="26" t="s">
        <v>287</v>
      </c>
      <c r="W48" s="17"/>
      <c r="X48" s="17"/>
      <c r="Y48" s="9" t="str">
        <f t="shared" si="20"/>
        <v/>
      </c>
      <c r="Z48" s="9" t="str">
        <f t="shared" si="21"/>
        <v/>
      </c>
      <c r="AA48" s="10" t="str">
        <f t="shared" si="22"/>
        <v/>
      </c>
      <c r="AB48" s="5" t="s">
        <v>536</v>
      </c>
      <c r="AC48" s="16" t="s">
        <v>433</v>
      </c>
    </row>
    <row r="49" spans="3:29" ht="23.25">
      <c r="C49" s="5" t="s">
        <v>572</v>
      </c>
      <c r="G49" s="18" t="str">
        <f t="shared" si="26"/>
        <v/>
      </c>
      <c r="H49" s="18" t="str">
        <f t="shared" si="27"/>
        <v/>
      </c>
      <c r="I49" s="18" t="str">
        <f t="shared" si="28"/>
        <v/>
      </c>
      <c r="J49" s="18" t="str">
        <f t="shared" si="29"/>
        <v/>
      </c>
      <c r="K49" s="21"/>
      <c r="L49" s="75" t="s">
        <v>496</v>
      </c>
      <c r="N49" s="77" t="str">
        <f t="shared" si="23"/>
        <v/>
      </c>
      <c r="O49" s="77" t="str">
        <f t="shared" si="24"/>
        <v/>
      </c>
      <c r="P49" s="78" t="str">
        <f t="shared" si="25"/>
        <v/>
      </c>
      <c r="Q49" s="19" t="str">
        <f t="shared" si="30"/>
        <v>ً</v>
      </c>
      <c r="R49" s="19" t="str">
        <f>IF(M49&lt;&gt;"",toUTF16(HEX2DEC(M49)),"")</f>
        <v/>
      </c>
      <c r="S49" s="19" t="str">
        <f>IF(N49&lt;&gt;"",toUTF16(HEX2DEC(N49)),"")</f>
        <v/>
      </c>
      <c r="T49" s="19" t="str">
        <f>IF(O49&lt;&gt;"",toUTF16(HEX2DEC(O49)),"")</f>
        <v/>
      </c>
      <c r="U49" s="49" t="str">
        <f>IF(P49&lt;&gt;"",toUTF16(HEX2DEC(P49)),"")</f>
        <v/>
      </c>
      <c r="V49" s="26" t="s">
        <v>287</v>
      </c>
      <c r="W49" s="17"/>
      <c r="X49" s="17"/>
      <c r="Y49" s="9" t="str">
        <f t="shared" si="20"/>
        <v/>
      </c>
      <c r="Z49" s="9" t="str">
        <f t="shared" si="21"/>
        <v/>
      </c>
      <c r="AA49" s="10" t="str">
        <f t="shared" si="22"/>
        <v/>
      </c>
      <c r="AB49" s="5" t="s">
        <v>537</v>
      </c>
      <c r="AC49" s="16">
        <v>0</v>
      </c>
    </row>
    <row r="50" spans="3:29" ht="23.25">
      <c r="C50" s="5" t="s">
        <v>571</v>
      </c>
      <c r="G50" s="18" t="str">
        <f t="shared" si="26"/>
        <v/>
      </c>
      <c r="H50" s="18" t="str">
        <f t="shared" si="27"/>
        <v/>
      </c>
      <c r="I50" s="18" t="str">
        <f t="shared" si="28"/>
        <v/>
      </c>
      <c r="J50" s="18" t="str">
        <f t="shared" si="29"/>
        <v/>
      </c>
      <c r="K50" s="21"/>
      <c r="L50" s="75" t="s">
        <v>498</v>
      </c>
      <c r="N50" s="77" t="str">
        <f t="shared" si="23"/>
        <v/>
      </c>
      <c r="O50" s="77" t="str">
        <f t="shared" si="24"/>
        <v/>
      </c>
      <c r="P50" s="78" t="str">
        <f t="shared" si="25"/>
        <v/>
      </c>
      <c r="Q50" s="19" t="str">
        <f t="shared" si="30"/>
        <v>ٌ</v>
      </c>
      <c r="R50" s="19" t="str">
        <f>IF(M50&lt;&gt;"",toUTF16(HEX2DEC(M50)),"")</f>
        <v/>
      </c>
      <c r="S50" s="19" t="str">
        <f>IF(N50&lt;&gt;"",toUTF16(HEX2DEC(N50)),"")</f>
        <v/>
      </c>
      <c r="T50" s="19" t="str">
        <f>IF(O50&lt;&gt;"",toUTF16(HEX2DEC(O50)),"")</f>
        <v/>
      </c>
      <c r="U50" s="49" t="str">
        <f>IF(P50&lt;&gt;"",toUTF16(HEX2DEC(P50)),"")</f>
        <v/>
      </c>
      <c r="V50" s="26" t="s">
        <v>287</v>
      </c>
      <c r="W50" s="17"/>
      <c r="X50" s="17"/>
      <c r="Y50" s="9" t="str">
        <f t="shared" si="20"/>
        <v/>
      </c>
      <c r="Z50" s="9" t="str">
        <f t="shared" si="21"/>
        <v/>
      </c>
      <c r="AA50" s="10" t="str">
        <f t="shared" si="22"/>
        <v/>
      </c>
      <c r="AB50" s="5" t="s">
        <v>538</v>
      </c>
      <c r="AC50" s="5" t="s">
        <v>607</v>
      </c>
    </row>
    <row r="51" spans="3:29" ht="23.25">
      <c r="C51" s="5" t="s">
        <v>587</v>
      </c>
      <c r="G51" s="18" t="str">
        <f t="shared" si="26"/>
        <v/>
      </c>
      <c r="H51" s="18" t="str">
        <f t="shared" si="27"/>
        <v/>
      </c>
      <c r="I51" s="18" t="str">
        <f t="shared" si="28"/>
        <v/>
      </c>
      <c r="J51" s="18" t="str">
        <f t="shared" si="29"/>
        <v/>
      </c>
      <c r="K51" s="21"/>
      <c r="L51" s="75" t="s">
        <v>499</v>
      </c>
      <c r="N51" s="77" t="str">
        <f t="shared" si="23"/>
        <v/>
      </c>
      <c r="O51" s="77" t="str">
        <f t="shared" si="24"/>
        <v/>
      </c>
      <c r="P51" s="78" t="str">
        <f t="shared" si="25"/>
        <v/>
      </c>
      <c r="Q51" s="19" t="str">
        <f>IF(L51&lt;&gt;"",toUTF16sequence(L51),"")</f>
        <v>لإ</v>
      </c>
      <c r="R51" s="19" t="str">
        <f>IF(M51&lt;&gt;"",toUTF16(HEX2DEC(M51)),"")</f>
        <v/>
      </c>
      <c r="S51" s="19" t="str">
        <f>IF(N51&lt;&gt;"",toUTF16(HEX2DEC(N51)),"")</f>
        <v/>
      </c>
      <c r="T51" s="19" t="str">
        <f>IF(O51&lt;&gt;"",toUTF16(HEX2DEC(O51)),"")</f>
        <v/>
      </c>
      <c r="U51" s="49" t="str">
        <f>IF(P51&lt;&gt;"",toUTF16(HEX2DEC(P51)),"")</f>
        <v/>
      </c>
      <c r="V51" s="26" t="s">
        <v>287</v>
      </c>
      <c r="W51" s="17"/>
      <c r="X51" s="17"/>
      <c r="Y51" s="9" t="str">
        <f t="shared" si="20"/>
        <v/>
      </c>
      <c r="Z51" s="9" t="str">
        <f t="shared" si="21"/>
        <v/>
      </c>
      <c r="AA51" s="10" t="str">
        <f t="shared" si="22"/>
        <v/>
      </c>
      <c r="AB51" s="5" t="s">
        <v>539</v>
      </c>
      <c r="AC51" s="5" t="s">
        <v>617</v>
      </c>
    </row>
    <row r="52" spans="3:29" ht="23.25">
      <c r="C52" s="5" t="s">
        <v>574</v>
      </c>
      <c r="G52" s="18" t="str">
        <f t="shared" si="26"/>
        <v/>
      </c>
      <c r="H52" s="18" t="str">
        <f t="shared" si="27"/>
        <v/>
      </c>
      <c r="I52" s="18" t="str">
        <f t="shared" si="28"/>
        <v/>
      </c>
      <c r="J52" s="18" t="str">
        <f t="shared" si="29"/>
        <v/>
      </c>
      <c r="K52" s="21"/>
      <c r="L52" s="75" t="s">
        <v>500</v>
      </c>
      <c r="N52" s="77" t="str">
        <f t="shared" si="23"/>
        <v/>
      </c>
      <c r="O52" s="77" t="str">
        <f t="shared" si="24"/>
        <v/>
      </c>
      <c r="P52" s="78" t="str">
        <f t="shared" si="25"/>
        <v/>
      </c>
      <c r="Q52" s="19" t="str">
        <f t="shared" si="30"/>
        <v>إ</v>
      </c>
      <c r="R52" s="19" t="str">
        <f>IF(M52&lt;&gt;"",toUTF16(HEX2DEC(M52)),"")</f>
        <v/>
      </c>
      <c r="S52" s="19" t="str">
        <f>IF(N52&lt;&gt;"",toUTF16(HEX2DEC(N52)),"")</f>
        <v/>
      </c>
      <c r="T52" s="19" t="str">
        <f>IF(O52&lt;&gt;"",toUTF16(HEX2DEC(O52)),"")</f>
        <v/>
      </c>
      <c r="U52" s="49" t="str">
        <f>IF(P52&lt;&gt;"",toUTF16(HEX2DEC(P52)),"")</f>
        <v/>
      </c>
      <c r="V52" s="26" t="s">
        <v>287</v>
      </c>
      <c r="W52" s="17"/>
      <c r="X52" s="17"/>
      <c r="Y52" s="9" t="str">
        <f t="shared" si="20"/>
        <v/>
      </c>
      <c r="Z52" s="9" t="str">
        <f t="shared" si="21"/>
        <v/>
      </c>
      <c r="AA52" s="10" t="str">
        <f t="shared" si="22"/>
        <v/>
      </c>
      <c r="AB52" s="5" t="s">
        <v>540</v>
      </c>
      <c r="AC52" s="5" t="s">
        <v>615</v>
      </c>
    </row>
    <row r="53" spans="3:29" ht="23.25">
      <c r="C53" s="5" t="s">
        <v>575</v>
      </c>
      <c r="G53" s="18" t="str">
        <f t="shared" si="26"/>
        <v/>
      </c>
      <c r="H53" s="18" t="str">
        <f t="shared" si="27"/>
        <v/>
      </c>
      <c r="I53" s="18" t="str">
        <f t="shared" si="28"/>
        <v/>
      </c>
      <c r="J53" s="18" t="str">
        <f t="shared" si="29"/>
        <v/>
      </c>
      <c r="K53" s="21"/>
      <c r="L53" s="75" t="s">
        <v>501</v>
      </c>
      <c r="N53" s="77" t="str">
        <f t="shared" si="23"/>
        <v/>
      </c>
      <c r="O53" s="77" t="str">
        <f t="shared" si="24"/>
        <v/>
      </c>
      <c r="P53" s="78" t="str">
        <f t="shared" si="25"/>
        <v/>
      </c>
      <c r="Q53" s="19" t="str">
        <f t="shared" si="30"/>
        <v>‘</v>
      </c>
      <c r="R53" s="19" t="str">
        <f>IF(M53&lt;&gt;"",toUTF16(HEX2DEC(M53)),"")</f>
        <v/>
      </c>
      <c r="S53" s="19" t="str">
        <f>IF(N53&lt;&gt;"",toUTF16(HEX2DEC(N53)),"")</f>
        <v/>
      </c>
      <c r="T53" s="19" t="str">
        <f>IF(O53&lt;&gt;"",toUTF16(HEX2DEC(O53)),"")</f>
        <v/>
      </c>
      <c r="U53" s="49" t="str">
        <f>IF(P53&lt;&gt;"",toUTF16(HEX2DEC(P53)),"")</f>
        <v/>
      </c>
      <c r="V53" s="26" t="s">
        <v>287</v>
      </c>
      <c r="W53" s="17"/>
      <c r="X53" s="17"/>
      <c r="Y53" s="9" t="str">
        <f t="shared" si="20"/>
        <v/>
      </c>
      <c r="Z53" s="9" t="str">
        <f t="shared" si="21"/>
        <v/>
      </c>
      <c r="AA53" s="10" t="str">
        <f t="shared" si="22"/>
        <v/>
      </c>
      <c r="AB53" s="5" t="s">
        <v>541</v>
      </c>
      <c r="AC53" s="5" t="s">
        <v>434</v>
      </c>
    </row>
    <row r="54" spans="3:29" ht="23.25">
      <c r="C54" s="5" t="s">
        <v>578</v>
      </c>
      <c r="G54" s="18" t="str">
        <f t="shared" si="26"/>
        <v/>
      </c>
      <c r="H54" s="18" t="str">
        <f t="shared" si="27"/>
        <v/>
      </c>
      <c r="I54" s="18" t="str">
        <f t="shared" si="28"/>
        <v/>
      </c>
      <c r="J54" s="18" t="str">
        <f t="shared" si="29"/>
        <v/>
      </c>
      <c r="K54" s="21"/>
      <c r="L54" s="75" t="s">
        <v>504</v>
      </c>
      <c r="N54" s="77" t="str">
        <f t="shared" si="23"/>
        <v/>
      </c>
      <c r="O54" s="77" t="str">
        <f t="shared" si="24"/>
        <v/>
      </c>
      <c r="P54" s="78" t="str">
        <f t="shared" si="25"/>
        <v/>
      </c>
      <c r="Q54" s="19" t="str">
        <f t="shared" si="30"/>
        <v>؛</v>
      </c>
      <c r="R54" s="19" t="str">
        <f>IF(M54&lt;&gt;"",toUTF16(HEX2DEC(M54)),"")</f>
        <v/>
      </c>
      <c r="S54" s="19" t="str">
        <f>IF(N54&lt;&gt;"",toUTF16(HEX2DEC(N54)),"")</f>
        <v/>
      </c>
      <c r="T54" s="19" t="str">
        <f>IF(O54&lt;&gt;"",toUTF16(HEX2DEC(O54)),"")</f>
        <v/>
      </c>
      <c r="U54" s="49" t="str">
        <f>IF(P54&lt;&gt;"",toUTF16(HEX2DEC(P54)),"")</f>
        <v/>
      </c>
      <c r="V54" s="26" t="s">
        <v>287</v>
      </c>
      <c r="W54" s="17"/>
      <c r="X54" s="17"/>
      <c r="Y54" s="9" t="str">
        <f t="shared" si="20"/>
        <v/>
      </c>
      <c r="Z54" s="9" t="str">
        <f t="shared" si="21"/>
        <v/>
      </c>
      <c r="AA54" s="10" t="str">
        <f t="shared" si="22"/>
        <v/>
      </c>
      <c r="AB54" s="5" t="s">
        <v>542</v>
      </c>
      <c r="AC54" s="5" t="s">
        <v>431</v>
      </c>
    </row>
    <row r="55" spans="3:29" ht="23.25">
      <c r="C55" s="5" t="s">
        <v>586</v>
      </c>
      <c r="G55" s="18" t="str">
        <f t="shared" si="26"/>
        <v/>
      </c>
      <c r="H55" s="18" t="str">
        <f t="shared" si="27"/>
        <v/>
      </c>
      <c r="I55" s="18" t="str">
        <f t="shared" si="28"/>
        <v/>
      </c>
      <c r="J55" s="18" t="str">
        <f t="shared" si="29"/>
        <v/>
      </c>
      <c r="K55" s="21"/>
      <c r="L55" s="75" t="s">
        <v>510</v>
      </c>
      <c r="N55" s="77" t="str">
        <f t="shared" si="23"/>
        <v/>
      </c>
      <c r="O55" s="77" t="str">
        <f t="shared" si="24"/>
        <v/>
      </c>
      <c r="P55" s="78" t="str">
        <f t="shared" si="25"/>
        <v/>
      </c>
      <c r="Q55" s="19" t="str">
        <f>IF(L55&lt;&gt;"",toUTF16sequence((L55)),"")</f>
        <v>لأ</v>
      </c>
      <c r="R55" s="19" t="str">
        <f>IF(M55&lt;&gt;"",toUTF16(HEX2DEC(M55)),"")</f>
        <v/>
      </c>
      <c r="S55" s="19" t="str">
        <f>IF(N55&lt;&gt;"",toUTF16(HEX2DEC(N55)),"")</f>
        <v/>
      </c>
      <c r="T55" s="19" t="str">
        <f>IF(O55&lt;&gt;"",toUTF16(HEX2DEC(O55)),"")</f>
        <v/>
      </c>
      <c r="U55" s="49" t="str">
        <f>IF(P55&lt;&gt;"",toUTF16(HEX2DEC(P55)),"")</f>
        <v/>
      </c>
      <c r="V55" s="26" t="s">
        <v>287</v>
      </c>
      <c r="W55" s="17"/>
      <c r="X55" s="17"/>
      <c r="Y55" s="9" t="str">
        <f t="shared" si="20"/>
        <v/>
      </c>
      <c r="Z55" s="9" t="str">
        <f t="shared" si="21"/>
        <v/>
      </c>
      <c r="AA55" s="10" t="str">
        <f t="shared" si="22"/>
        <v/>
      </c>
      <c r="AB55" s="5" t="s">
        <v>543</v>
      </c>
      <c r="AC55" s="5" t="s">
        <v>618</v>
      </c>
    </row>
    <row r="56" spans="3:29" ht="23.25">
      <c r="C56" s="5" t="s">
        <v>576</v>
      </c>
      <c r="G56" s="18" t="str">
        <f t="shared" si="26"/>
        <v/>
      </c>
      <c r="H56" s="18" t="str">
        <f t="shared" si="27"/>
        <v/>
      </c>
      <c r="I56" s="18" t="str">
        <f t="shared" si="28"/>
        <v/>
      </c>
      <c r="J56" s="18" t="str">
        <f t="shared" si="29"/>
        <v/>
      </c>
      <c r="K56" s="21"/>
      <c r="L56" s="75" t="s">
        <v>404</v>
      </c>
      <c r="N56" s="77" t="str">
        <f t="shared" si="23"/>
        <v/>
      </c>
      <c r="O56" s="77" t="str">
        <f t="shared" si="24"/>
        <v/>
      </c>
      <c r="P56" s="78" t="str">
        <f t="shared" si="25"/>
        <v/>
      </c>
      <c r="Q56" s="19" t="str">
        <f t="shared" si="30"/>
        <v>أ</v>
      </c>
      <c r="R56" s="19" t="str">
        <f>IF(M56&lt;&gt;"",toUTF16(HEX2DEC(M56)),"")</f>
        <v/>
      </c>
      <c r="S56" s="19" t="str">
        <f>IF(N56&lt;&gt;"",toUTF16(HEX2DEC(N56)),"")</f>
        <v/>
      </c>
      <c r="T56" s="19" t="str">
        <f>IF(O56&lt;&gt;"",toUTF16(HEX2DEC(O56)),"")</f>
        <v/>
      </c>
      <c r="U56" s="49" t="str">
        <f>IF(P56&lt;&gt;"",toUTF16(HEX2DEC(P56)),"")</f>
        <v/>
      </c>
      <c r="V56" s="26" t="s">
        <v>287</v>
      </c>
      <c r="W56" s="17"/>
      <c r="X56" s="17"/>
      <c r="Y56" s="9" t="str">
        <f t="shared" si="20"/>
        <v/>
      </c>
      <c r="Z56" s="9" t="str">
        <f t="shared" si="21"/>
        <v/>
      </c>
      <c r="AA56" s="10" t="str">
        <f t="shared" si="22"/>
        <v/>
      </c>
      <c r="AB56" s="5" t="s">
        <v>544</v>
      </c>
      <c r="AC56" s="5" t="s">
        <v>616</v>
      </c>
    </row>
    <row r="57" spans="3:29" ht="23.25">
      <c r="C57" s="5" t="s">
        <v>579</v>
      </c>
      <c r="G57" s="18" t="str">
        <f t="shared" si="26"/>
        <v/>
      </c>
      <c r="H57" s="18" t="str">
        <f t="shared" si="27"/>
        <v/>
      </c>
      <c r="I57" s="18" t="str">
        <f t="shared" si="28"/>
        <v/>
      </c>
      <c r="J57" s="18" t="str">
        <f t="shared" si="29"/>
        <v/>
      </c>
      <c r="K57" s="21"/>
      <c r="L57" s="75" t="s">
        <v>511</v>
      </c>
      <c r="N57" s="77" t="str">
        <f t="shared" si="23"/>
        <v/>
      </c>
      <c r="O57" s="77" t="str">
        <f t="shared" si="24"/>
        <v/>
      </c>
      <c r="P57" s="78" t="str">
        <f t="shared" si="25"/>
        <v/>
      </c>
      <c r="Q57" s="19" t="str">
        <f t="shared" si="30"/>
        <v>،</v>
      </c>
      <c r="R57" s="19" t="str">
        <f>IF(M57&lt;&gt;"",toUTF16(HEX2DEC(M57)),"")</f>
        <v/>
      </c>
      <c r="S57" s="19" t="str">
        <f>IF(N57&lt;&gt;"",toUTF16(HEX2DEC(N57)),"")</f>
        <v/>
      </c>
      <c r="T57" s="19" t="str">
        <f>IF(O57&lt;&gt;"",toUTF16(HEX2DEC(O57)),"")</f>
        <v/>
      </c>
      <c r="U57" s="49" t="str">
        <f>IF(P57&lt;&gt;"",toUTF16(HEX2DEC(P57)),"")</f>
        <v/>
      </c>
      <c r="V57" s="26" t="s">
        <v>287</v>
      </c>
      <c r="W57" s="17"/>
      <c r="X57" s="17"/>
      <c r="Y57" s="9" t="str">
        <f t="shared" si="20"/>
        <v/>
      </c>
      <c r="Z57" s="9" t="str">
        <f t="shared" si="21"/>
        <v/>
      </c>
      <c r="AA57" s="10" t="str">
        <f t="shared" si="22"/>
        <v/>
      </c>
      <c r="AB57" s="5" t="s">
        <v>546</v>
      </c>
      <c r="AC57" s="5" t="s">
        <v>450</v>
      </c>
    </row>
    <row r="58" spans="3:29" ht="23.25">
      <c r="C58" s="5" t="s">
        <v>581</v>
      </c>
      <c r="G58" s="18" t="str">
        <f t="shared" si="26"/>
        <v/>
      </c>
      <c r="H58" s="18" t="str">
        <f t="shared" si="27"/>
        <v/>
      </c>
      <c r="I58" s="18" t="str">
        <f t="shared" si="28"/>
        <v/>
      </c>
      <c r="J58" s="18" t="str">
        <f t="shared" si="29"/>
        <v/>
      </c>
      <c r="K58" s="21"/>
      <c r="L58" s="75" t="s">
        <v>517</v>
      </c>
      <c r="N58" s="77" t="str">
        <f t="shared" si="23"/>
        <v/>
      </c>
      <c r="O58" s="77" t="str">
        <f t="shared" si="24"/>
        <v/>
      </c>
      <c r="P58" s="78" t="str">
        <f t="shared" si="25"/>
        <v/>
      </c>
      <c r="Q58" s="19" t="str">
        <f t="shared" si="30"/>
        <v>ْ</v>
      </c>
      <c r="R58" s="19" t="str">
        <f>IF(M58&lt;&gt;"",toUTF16(HEX2DEC(M58)),"")</f>
        <v/>
      </c>
      <c r="S58" s="19" t="str">
        <f>IF(N58&lt;&gt;"",toUTF16(HEX2DEC(N58)),"")</f>
        <v/>
      </c>
      <c r="T58" s="19" t="str">
        <f>IF(O58&lt;&gt;"",toUTF16(HEX2DEC(O58)),"")</f>
        <v/>
      </c>
      <c r="U58" s="49" t="str">
        <f>IF(P58&lt;&gt;"",toUTF16(HEX2DEC(P58)),"")</f>
        <v/>
      </c>
      <c r="V58" s="26" t="s">
        <v>287</v>
      </c>
      <c r="W58" s="17"/>
      <c r="X58" s="17"/>
      <c r="Y58" s="9" t="str">
        <f t="shared" si="20"/>
        <v/>
      </c>
      <c r="Z58" s="9" t="str">
        <f t="shared" si="21"/>
        <v/>
      </c>
      <c r="AA58" s="10" t="str">
        <f t="shared" si="22"/>
        <v/>
      </c>
      <c r="AB58" s="5" t="s">
        <v>547</v>
      </c>
      <c r="AC58" s="5" t="s">
        <v>619</v>
      </c>
    </row>
    <row r="59" spans="3:29" ht="23.25">
      <c r="C59" s="5" t="s">
        <v>580</v>
      </c>
      <c r="G59" s="18" t="str">
        <f t="shared" si="26"/>
        <v/>
      </c>
      <c r="H59" s="18" t="str">
        <f t="shared" si="27"/>
        <v/>
      </c>
      <c r="I59" s="18" t="str">
        <f t="shared" si="28"/>
        <v/>
      </c>
      <c r="J59" s="18" t="str">
        <f t="shared" si="29"/>
        <v/>
      </c>
      <c r="K59" s="21"/>
      <c r="L59" s="75" t="s">
        <v>518</v>
      </c>
      <c r="N59" s="77" t="str">
        <f t="shared" si="23"/>
        <v/>
      </c>
      <c r="O59" s="77" t="str">
        <f t="shared" si="24"/>
        <v/>
      </c>
      <c r="P59" s="78" t="str">
        <f t="shared" si="25"/>
        <v/>
      </c>
      <c r="Q59" s="19" t="str">
        <f t="shared" si="30"/>
        <v>ِ</v>
      </c>
      <c r="R59" s="19" t="str">
        <f>IF(M59&lt;&gt;"",toUTF16(HEX2DEC(M59)),"")</f>
        <v/>
      </c>
      <c r="S59" s="19" t="str">
        <f>IF(N59&lt;&gt;"",toUTF16(HEX2DEC(N59)),"")</f>
        <v/>
      </c>
      <c r="T59" s="19" t="str">
        <f>IF(O59&lt;&gt;"",toUTF16(HEX2DEC(O59)),"")</f>
        <v/>
      </c>
      <c r="U59" s="49" t="str">
        <f>IF(P59&lt;&gt;"",toUTF16(HEX2DEC(P59)),"")</f>
        <v/>
      </c>
      <c r="V59" s="26" t="s">
        <v>287</v>
      </c>
      <c r="W59" s="17"/>
      <c r="X59" s="17"/>
      <c r="Y59" s="9" t="str">
        <f t="shared" si="20"/>
        <v/>
      </c>
      <c r="Z59" s="9" t="str">
        <f t="shared" si="21"/>
        <v/>
      </c>
      <c r="AA59" s="10" t="str">
        <f t="shared" si="22"/>
        <v/>
      </c>
      <c r="AB59" s="5" t="s">
        <v>548</v>
      </c>
      <c r="AC59" s="5" t="s">
        <v>621</v>
      </c>
    </row>
    <row r="60" spans="3:29" ht="23.25">
      <c r="C60" s="5" t="s">
        <v>583</v>
      </c>
      <c r="G60" s="18" t="str">
        <f t="shared" si="26"/>
        <v/>
      </c>
      <c r="H60" s="18" t="str">
        <f t="shared" si="27"/>
        <v/>
      </c>
      <c r="I60" s="18" t="str">
        <f t="shared" si="28"/>
        <v/>
      </c>
      <c r="J60" s="18" t="str">
        <f t="shared" si="29"/>
        <v/>
      </c>
      <c r="K60" s="21"/>
      <c r="L60" s="75" t="s">
        <v>519</v>
      </c>
      <c r="N60" s="77" t="str">
        <f t="shared" si="23"/>
        <v/>
      </c>
      <c r="O60" s="77" t="str">
        <f t="shared" si="24"/>
        <v/>
      </c>
      <c r="P60" s="78" t="str">
        <f t="shared" si="25"/>
        <v/>
      </c>
      <c r="Q60" s="19" t="str">
        <f t="shared" si="30"/>
        <v>ٍ</v>
      </c>
      <c r="R60" s="19" t="str">
        <f>IF(M60&lt;&gt;"",toUTF16(HEX2DEC(M60)),"")</f>
        <v/>
      </c>
      <c r="S60" s="19" t="str">
        <f>IF(N60&lt;&gt;"",toUTF16(HEX2DEC(N60)),"")</f>
        <v/>
      </c>
      <c r="T60" s="19" t="str">
        <f>IF(O60&lt;&gt;"",toUTF16(HEX2DEC(O60)),"")</f>
        <v/>
      </c>
      <c r="U60" s="49" t="str">
        <f>IF(P60&lt;&gt;"",toUTF16(HEX2DEC(P60)),"")</f>
        <v/>
      </c>
      <c r="V60" s="26" t="s">
        <v>287</v>
      </c>
      <c r="W60" s="17"/>
      <c r="X60" s="17"/>
      <c r="Y60" s="9" t="str">
        <f t="shared" si="20"/>
        <v/>
      </c>
      <c r="Z60" s="9" t="str">
        <f t="shared" si="21"/>
        <v/>
      </c>
      <c r="AA60" s="10" t="str">
        <f t="shared" si="22"/>
        <v/>
      </c>
      <c r="AB60" s="5" t="s">
        <v>549</v>
      </c>
      <c r="AC60" s="5" t="s">
        <v>620</v>
      </c>
    </row>
    <row r="61" spans="3:29" ht="23.25">
      <c r="C61" s="5" t="s">
        <v>588</v>
      </c>
      <c r="G61" s="18" t="str">
        <f t="shared" si="26"/>
        <v/>
      </c>
      <c r="H61" s="18" t="str">
        <f t="shared" si="27"/>
        <v/>
      </c>
      <c r="I61" s="18" t="str">
        <f t="shared" si="28"/>
        <v/>
      </c>
      <c r="J61" s="18" t="str">
        <f t="shared" si="29"/>
        <v/>
      </c>
      <c r="K61" s="21"/>
      <c r="L61" s="75" t="s">
        <v>520</v>
      </c>
      <c r="N61" s="77" t="str">
        <f t="shared" si="23"/>
        <v/>
      </c>
      <c r="O61" s="77" t="str">
        <f t="shared" si="24"/>
        <v/>
      </c>
      <c r="P61" s="78" t="str">
        <f t="shared" si="25"/>
        <v/>
      </c>
      <c r="Q61" s="19" t="str">
        <f>IF(L61&lt;&gt;"",toUTF16sequence((L61)),"")</f>
        <v>لآ</v>
      </c>
      <c r="R61" s="19" t="str">
        <f>IF(M61&lt;&gt;"",toUTF16(HEX2DEC(M61)),"")</f>
        <v/>
      </c>
      <c r="S61" s="19" t="str">
        <f>IF(N61&lt;&gt;"",toUTF16(HEX2DEC(N61)),"")</f>
        <v/>
      </c>
      <c r="T61" s="19" t="str">
        <f>IF(O61&lt;&gt;"",toUTF16(HEX2DEC(O61)),"")</f>
        <v/>
      </c>
      <c r="U61" s="49" t="str">
        <f>IF(P61&lt;&gt;"",toUTF16(HEX2DEC(P61)),"")</f>
        <v/>
      </c>
      <c r="V61" s="26" t="s">
        <v>287</v>
      </c>
      <c r="W61" s="17"/>
      <c r="X61" s="17"/>
      <c r="Y61" s="9" t="str">
        <f t="shared" si="20"/>
        <v/>
      </c>
      <c r="Z61" s="9" t="str">
        <f t="shared" si="21"/>
        <v/>
      </c>
      <c r="AA61" s="10" t="str">
        <f t="shared" si="22"/>
        <v/>
      </c>
      <c r="AB61" s="5" t="s">
        <v>550</v>
      </c>
      <c r="AC61" s="5" t="s">
        <v>441</v>
      </c>
    </row>
    <row r="62" spans="3:29" ht="23.25">
      <c r="C62" s="5" t="s">
        <v>582</v>
      </c>
      <c r="G62" s="18" t="str">
        <f t="shared" si="26"/>
        <v/>
      </c>
      <c r="H62" s="18" t="str">
        <f t="shared" si="27"/>
        <v/>
      </c>
      <c r="I62" s="18" t="str">
        <f t="shared" si="28"/>
        <v/>
      </c>
      <c r="J62" s="18" t="str">
        <f t="shared" si="29"/>
        <v/>
      </c>
      <c r="K62" s="21"/>
      <c r="L62" s="75" t="s">
        <v>521</v>
      </c>
      <c r="N62" s="77" t="str">
        <f t="shared" si="23"/>
        <v/>
      </c>
      <c r="O62" s="77" t="str">
        <f t="shared" si="24"/>
        <v/>
      </c>
      <c r="P62" s="78" t="str">
        <f t="shared" si="25"/>
        <v/>
      </c>
      <c r="Q62" s="19" t="str">
        <f t="shared" si="30"/>
        <v>آ</v>
      </c>
      <c r="R62" s="19" t="str">
        <f>IF(M62&lt;&gt;"",toUTF16(HEX2DEC(M62)),"")</f>
        <v/>
      </c>
      <c r="S62" s="19" t="str">
        <f>IF(N62&lt;&gt;"",toUTF16(HEX2DEC(N62)),"")</f>
        <v/>
      </c>
      <c r="T62" s="19" t="str">
        <f>IF(O62&lt;&gt;"",toUTF16(HEX2DEC(O62)),"")</f>
        <v/>
      </c>
      <c r="U62" s="49" t="str">
        <f>IF(P62&lt;&gt;"",toUTF16(HEX2DEC(P62)),"")</f>
        <v/>
      </c>
      <c r="V62" s="26" t="s">
        <v>287</v>
      </c>
      <c r="W62" s="17"/>
      <c r="X62" s="17"/>
      <c r="Y62" s="9" t="str">
        <f t="shared" si="20"/>
        <v/>
      </c>
      <c r="Z62" s="9" t="str">
        <f t="shared" si="21"/>
        <v/>
      </c>
      <c r="AA62" s="10" t="str">
        <f t="shared" si="22"/>
        <v/>
      </c>
      <c r="AB62" s="5" t="s">
        <v>551</v>
      </c>
      <c r="AC62" s="5" t="s">
        <v>634</v>
      </c>
    </row>
    <row r="63" spans="3:29" ht="23.25">
      <c r="C63" s="5" t="s">
        <v>584</v>
      </c>
      <c r="G63" s="18" t="str">
        <f t="shared" si="26"/>
        <v/>
      </c>
      <c r="H63" s="18" t="str">
        <f t="shared" si="27"/>
        <v/>
      </c>
      <c r="I63" s="18" t="str">
        <f t="shared" si="28"/>
        <v/>
      </c>
      <c r="J63" s="18" t="str">
        <f t="shared" si="29"/>
        <v/>
      </c>
      <c r="K63" s="21"/>
      <c r="L63" s="75" t="s">
        <v>522</v>
      </c>
      <c r="N63" s="77" t="str">
        <f t="shared" si="23"/>
        <v/>
      </c>
      <c r="O63" s="77" t="str">
        <f t="shared" si="24"/>
        <v/>
      </c>
      <c r="P63" s="78" t="str">
        <f t="shared" si="25"/>
        <v/>
      </c>
      <c r="Q63" s="19" t="str">
        <f t="shared" si="30"/>
        <v>’</v>
      </c>
      <c r="R63" s="19" t="str">
        <f>IF(M63&lt;&gt;"",toUTF16(HEX2DEC(M63)),"")</f>
        <v/>
      </c>
      <c r="S63" s="19" t="str">
        <f>IF(N63&lt;&gt;"",toUTF16(HEX2DEC(N63)),"")</f>
        <v/>
      </c>
      <c r="T63" s="19" t="str">
        <f>IF(O63&lt;&gt;"",toUTF16(HEX2DEC(O63)),"")</f>
        <v/>
      </c>
      <c r="U63" s="49" t="str">
        <f>IF(P63&lt;&gt;"",toUTF16(HEX2DEC(P63)),"")</f>
        <v/>
      </c>
      <c r="V63" s="26" t="s">
        <v>287</v>
      </c>
      <c r="W63" s="17"/>
      <c r="X63" s="17"/>
      <c r="Y63" s="9" t="str">
        <f t="shared" si="20"/>
        <v/>
      </c>
      <c r="Z63" s="9" t="str">
        <f t="shared" si="21"/>
        <v/>
      </c>
      <c r="AA63" s="10" t="str">
        <f t="shared" si="22"/>
        <v/>
      </c>
      <c r="AB63" s="5" t="s">
        <v>552</v>
      </c>
      <c r="AC63" s="5" t="s">
        <v>447</v>
      </c>
    </row>
    <row r="64" spans="3:29" ht="23.25">
      <c r="C64" s="5" t="s">
        <v>585</v>
      </c>
      <c r="G64" s="18" t="str">
        <f t="shared" si="26"/>
        <v/>
      </c>
      <c r="H64" s="18" t="str">
        <f t="shared" si="27"/>
        <v/>
      </c>
      <c r="I64" s="18" t="str">
        <f t="shared" si="28"/>
        <v/>
      </c>
      <c r="J64" s="18" t="str">
        <f t="shared" si="29"/>
        <v/>
      </c>
      <c r="K64" s="21"/>
      <c r="L64" s="75" t="s">
        <v>525</v>
      </c>
      <c r="N64" s="77" t="str">
        <f t="shared" si="23"/>
        <v/>
      </c>
      <c r="O64" s="77" t="str">
        <f t="shared" si="24"/>
        <v/>
      </c>
      <c r="P64" s="78" t="str">
        <f t="shared" si="25"/>
        <v/>
      </c>
      <c r="Q64" s="19" t="str">
        <f t="shared" si="30"/>
        <v>؟</v>
      </c>
      <c r="R64" s="19" t="str">
        <f>IF(M64&lt;&gt;"",toUTF16(HEX2DEC(M64)),"")</f>
        <v/>
      </c>
      <c r="S64" s="19" t="str">
        <f>IF(N64&lt;&gt;"",toUTF16(HEX2DEC(N64)),"")</f>
        <v/>
      </c>
      <c r="T64" s="19" t="str">
        <f>IF(O64&lt;&gt;"",toUTF16(HEX2DEC(O64)),"")</f>
        <v/>
      </c>
      <c r="U64" s="49" t="str">
        <f>IF(P64&lt;&gt;"",toUTF16(HEX2DEC(P64)),"")</f>
        <v/>
      </c>
      <c r="V64" s="26" t="s">
        <v>287</v>
      </c>
      <c r="W64" s="17"/>
      <c r="X64" s="17"/>
      <c r="Y64" s="9" t="str">
        <f t="shared" si="20"/>
        <v/>
      </c>
      <c r="Z64" s="9" t="str">
        <f t="shared" si="21"/>
        <v/>
      </c>
      <c r="AA64" s="10" t="str">
        <f t="shared" si="22"/>
        <v/>
      </c>
      <c r="AB64" s="5" t="s">
        <v>452</v>
      </c>
      <c r="AC64" s="5" t="s">
        <v>611</v>
      </c>
    </row>
    <row r="65" spans="3:29" ht="23.25">
      <c r="C65" s="5" t="s">
        <v>590</v>
      </c>
      <c r="G65" s="18" t="str">
        <f t="shared" si="26"/>
        <v/>
      </c>
      <c r="H65" s="18" t="str">
        <f t="shared" si="27"/>
        <v/>
      </c>
      <c r="I65" s="18" t="str">
        <f t="shared" si="28"/>
        <v/>
      </c>
      <c r="J65" s="18" t="str">
        <f t="shared" si="29"/>
        <v/>
      </c>
      <c r="K65" s="21"/>
      <c r="L65" s="75" t="s">
        <v>527</v>
      </c>
      <c r="N65" s="77" t="str">
        <f t="shared" si="23"/>
        <v/>
      </c>
      <c r="O65" s="77" t="str">
        <f t="shared" si="24"/>
        <v/>
      </c>
      <c r="P65" s="78" t="str">
        <f t="shared" si="25"/>
        <v/>
      </c>
      <c r="Q65" s="19" t="str">
        <f>IF(L65&lt;&gt;"",toUTF16sequence((L65)),"")</f>
        <v>َّ</v>
      </c>
      <c r="R65" s="19" t="str">
        <f>IF(M65&lt;&gt;"",toUTF16(HEX2DEC(M65)),"")</f>
        <v/>
      </c>
      <c r="S65" s="19" t="str">
        <f>IF(N65&lt;&gt;"",toUTF16(HEX2DEC(N65)),"")</f>
        <v/>
      </c>
      <c r="T65" s="19" t="str">
        <f>IF(O65&lt;&gt;"",toUTF16(HEX2DEC(O65)),"")</f>
        <v/>
      </c>
      <c r="U65" s="49" t="str">
        <f>IF(P65&lt;&gt;"",toUTF16(HEX2DEC(P65)),"")</f>
        <v/>
      </c>
      <c r="V65" s="26" t="s">
        <v>287</v>
      </c>
      <c r="W65" s="17"/>
      <c r="X65" s="17"/>
      <c r="Y65" s="9" t="str">
        <f t="shared" si="20"/>
        <v/>
      </c>
      <c r="Z65" s="9" t="str">
        <f t="shared" si="21"/>
        <v/>
      </c>
      <c r="AA65" s="10" t="str">
        <f t="shared" si="22"/>
        <v/>
      </c>
      <c r="AB65" s="5" t="s">
        <v>553</v>
      </c>
      <c r="AC65" s="6" t="s">
        <v>633</v>
      </c>
    </row>
    <row r="66" spans="3:29" ht="23.25">
      <c r="C66" s="5" t="s">
        <v>591</v>
      </c>
      <c r="G66" s="18" t="str">
        <f t="shared" si="26"/>
        <v/>
      </c>
      <c r="H66" s="18" t="str">
        <f t="shared" si="27"/>
        <v/>
      </c>
      <c r="I66" s="18" t="str">
        <f t="shared" si="28"/>
        <v/>
      </c>
      <c r="J66" s="18" t="str">
        <f t="shared" si="29"/>
        <v/>
      </c>
      <c r="K66" s="21"/>
      <c r="L66" s="75" t="s">
        <v>528</v>
      </c>
      <c r="N66" s="77" t="str">
        <f t="shared" si="23"/>
        <v/>
      </c>
      <c r="O66" s="77" t="str">
        <f t="shared" si="24"/>
        <v/>
      </c>
      <c r="P66" s="78" t="str">
        <f t="shared" si="25"/>
        <v/>
      </c>
      <c r="Q66" s="19" t="str">
        <f>IF(L66&lt;&gt;"",toUTF16sequence((L66)),"")</f>
        <v>ًّ</v>
      </c>
      <c r="R66" s="19" t="str">
        <f>IF(M66&lt;&gt;"",toUTF16(HEX2DEC(M66)),"")</f>
        <v/>
      </c>
      <c r="S66" s="19" t="str">
        <f>IF(N66&lt;&gt;"",toUTF16(HEX2DEC(N66)),"")</f>
        <v/>
      </c>
      <c r="T66" s="19" t="str">
        <f>IF(O66&lt;&gt;"",toUTF16(HEX2DEC(O66)),"")</f>
        <v/>
      </c>
      <c r="U66" s="49" t="str">
        <f>IF(P66&lt;&gt;"",toUTF16(HEX2DEC(P66)),"")</f>
        <v/>
      </c>
      <c r="V66" s="26" t="s">
        <v>287</v>
      </c>
      <c r="W66" s="17"/>
      <c r="X66" s="17"/>
      <c r="Y66" s="9" t="str">
        <f t="shared" si="20"/>
        <v/>
      </c>
      <c r="Z66" s="9" t="str">
        <f t="shared" si="21"/>
        <v/>
      </c>
      <c r="AA66" s="10" t="str">
        <f t="shared" si="22"/>
        <v/>
      </c>
      <c r="AB66" s="5" t="s">
        <v>554</v>
      </c>
      <c r="AC66" s="6" t="s">
        <v>633</v>
      </c>
    </row>
    <row r="67" spans="3:29" ht="23.25">
      <c r="C67" s="5" t="s">
        <v>592</v>
      </c>
      <c r="G67" s="18" t="str">
        <f t="shared" si="26"/>
        <v/>
      </c>
      <c r="H67" s="18" t="str">
        <f t="shared" si="27"/>
        <v/>
      </c>
      <c r="I67" s="18" t="str">
        <f t="shared" si="28"/>
        <v/>
      </c>
      <c r="J67" s="18" t="str">
        <f t="shared" si="29"/>
        <v/>
      </c>
      <c r="K67" s="21"/>
      <c r="L67" s="75" t="s">
        <v>529</v>
      </c>
      <c r="N67" s="77" t="str">
        <f t="shared" si="23"/>
        <v/>
      </c>
      <c r="O67" s="77" t="str">
        <f t="shared" si="24"/>
        <v/>
      </c>
      <c r="P67" s="78" t="str">
        <f t="shared" si="25"/>
        <v/>
      </c>
      <c r="Q67" s="19" t="str">
        <f>IF(L67&lt;&gt;"",toUTF16sequence((L67)),"")</f>
        <v>ُّ</v>
      </c>
      <c r="R67" s="19" t="str">
        <f>IF(M67&lt;&gt;"",toUTF16(HEX2DEC(M67)),"")</f>
        <v/>
      </c>
      <c r="S67" s="19" t="str">
        <f>IF(N67&lt;&gt;"",toUTF16(HEX2DEC(N67)),"")</f>
        <v/>
      </c>
      <c r="T67" s="19" t="str">
        <f>IF(O67&lt;&gt;"",toUTF16(HEX2DEC(O67)),"")</f>
        <v/>
      </c>
      <c r="U67" s="49" t="str">
        <f>IF(P67&lt;&gt;"",toUTF16(HEX2DEC(P67)),"")</f>
        <v/>
      </c>
      <c r="V67" s="26" t="s">
        <v>287</v>
      </c>
      <c r="W67" s="17"/>
      <c r="X67" s="17"/>
      <c r="Y67" s="9" t="str">
        <f t="shared" si="20"/>
        <v/>
      </c>
      <c r="Z67" s="9" t="str">
        <f t="shared" si="21"/>
        <v/>
      </c>
      <c r="AA67" s="10" t="str">
        <f t="shared" si="22"/>
        <v/>
      </c>
      <c r="AB67" s="5" t="s">
        <v>555</v>
      </c>
      <c r="AC67" s="6" t="s">
        <v>633</v>
      </c>
    </row>
    <row r="68" spans="3:29" ht="23.25">
      <c r="C68" s="5" t="s">
        <v>593</v>
      </c>
      <c r="G68" s="18" t="str">
        <f t="shared" si="26"/>
        <v/>
      </c>
      <c r="H68" s="18" t="str">
        <f t="shared" si="27"/>
        <v/>
      </c>
      <c r="I68" s="18" t="str">
        <f t="shared" si="28"/>
        <v/>
      </c>
      <c r="J68" s="18" t="str">
        <f t="shared" si="29"/>
        <v/>
      </c>
      <c r="K68" s="21"/>
      <c r="L68" s="75" t="s">
        <v>530</v>
      </c>
      <c r="N68" s="77" t="str">
        <f t="shared" si="23"/>
        <v/>
      </c>
      <c r="O68" s="77" t="str">
        <f t="shared" si="24"/>
        <v/>
      </c>
      <c r="P68" s="78" t="str">
        <f t="shared" si="25"/>
        <v/>
      </c>
      <c r="Q68" s="19" t="str">
        <f>IF(L68&lt;&gt;"",toUTF16sequence((L68)),"")</f>
        <v>ٌّ</v>
      </c>
      <c r="R68" s="19" t="str">
        <f>IF(M68&lt;&gt;"",toUTF16(HEX2DEC(M68)),"")</f>
        <v/>
      </c>
      <c r="S68" s="19" t="str">
        <f>IF(N68&lt;&gt;"",toUTF16(HEX2DEC(N68)),"")</f>
        <v/>
      </c>
      <c r="T68" s="19" t="str">
        <f>IF(O68&lt;&gt;"",toUTF16(HEX2DEC(O68)),"")</f>
        <v/>
      </c>
      <c r="U68" s="49" t="str">
        <f>IF(P68&lt;&gt;"",toUTF16(HEX2DEC(P68)),"")</f>
        <v/>
      </c>
      <c r="V68" s="26" t="s">
        <v>287</v>
      </c>
      <c r="W68" s="17"/>
      <c r="X68" s="17"/>
      <c r="Y68" s="9" t="str">
        <f t="shared" si="20"/>
        <v/>
      </c>
      <c r="Z68" s="9" t="str">
        <f t="shared" si="21"/>
        <v/>
      </c>
      <c r="AA68" s="10" t="str">
        <f t="shared" si="22"/>
        <v/>
      </c>
      <c r="AB68" s="5" t="s">
        <v>556</v>
      </c>
      <c r="AC68" s="6" t="s">
        <v>633</v>
      </c>
    </row>
    <row r="69" spans="3:29" ht="23.25">
      <c r="C69" s="5" t="s">
        <v>594</v>
      </c>
      <c r="G69" s="18" t="str">
        <f t="shared" si="26"/>
        <v/>
      </c>
      <c r="H69" s="18" t="str">
        <f t="shared" si="27"/>
        <v/>
      </c>
      <c r="I69" s="18" t="str">
        <f t="shared" si="28"/>
        <v/>
      </c>
      <c r="J69" s="18" t="str">
        <f t="shared" si="29"/>
        <v/>
      </c>
      <c r="K69" s="21"/>
      <c r="L69" s="75" t="s">
        <v>531</v>
      </c>
      <c r="N69" s="77" t="str">
        <f t="shared" si="23"/>
        <v/>
      </c>
      <c r="O69" s="77" t="str">
        <f t="shared" si="24"/>
        <v/>
      </c>
      <c r="P69" s="78" t="str">
        <f t="shared" si="25"/>
        <v/>
      </c>
      <c r="Q69" s="19" t="str">
        <f>IF(L69&lt;&gt;"",toUTF16sequence((L69)),"")</f>
        <v>ِّ</v>
      </c>
      <c r="R69" s="19" t="str">
        <f>IF(M69&lt;&gt;"",toUTF16(HEX2DEC(M69)),"")</f>
        <v/>
      </c>
      <c r="S69" s="19" t="str">
        <f>IF(N69&lt;&gt;"",toUTF16(HEX2DEC(N69)),"")</f>
        <v/>
      </c>
      <c r="T69" s="19" t="str">
        <f>IF(O69&lt;&gt;"",toUTF16(HEX2DEC(O69)),"")</f>
        <v/>
      </c>
      <c r="U69" s="49" t="str">
        <f>IF(P69&lt;&gt;"",toUTF16(HEX2DEC(P69)),"")</f>
        <v/>
      </c>
      <c r="V69" s="26" t="s">
        <v>287</v>
      </c>
      <c r="W69" s="17"/>
      <c r="X69" s="17"/>
      <c r="Y69" s="9" t="str">
        <f t="shared" si="20"/>
        <v/>
      </c>
      <c r="Z69" s="9" t="str">
        <f t="shared" si="21"/>
        <v/>
      </c>
      <c r="AA69" s="10" t="str">
        <f t="shared" si="22"/>
        <v/>
      </c>
      <c r="AB69" s="5" t="s">
        <v>557</v>
      </c>
      <c r="AC69" s="6" t="s">
        <v>633</v>
      </c>
    </row>
    <row r="70" spans="3:29" ht="23.25">
      <c r="C70" s="5" t="s">
        <v>595</v>
      </c>
      <c r="G70" s="18" t="str">
        <f t="shared" si="26"/>
        <v/>
      </c>
      <c r="H70" s="18" t="str">
        <f t="shared" si="27"/>
        <v/>
      </c>
      <c r="I70" s="18" t="str">
        <f t="shared" si="28"/>
        <v/>
      </c>
      <c r="J70" s="18" t="str">
        <f t="shared" si="29"/>
        <v/>
      </c>
      <c r="K70" s="21"/>
      <c r="L70" s="75" t="s">
        <v>532</v>
      </c>
      <c r="N70" s="77" t="str">
        <f t="shared" si="23"/>
        <v/>
      </c>
      <c r="O70" s="77" t="str">
        <f t="shared" si="24"/>
        <v/>
      </c>
      <c r="P70" s="78" t="str">
        <f t="shared" si="25"/>
        <v/>
      </c>
      <c r="Q70" s="19" t="str">
        <f>IF(L70&lt;&gt;"",toUTF16sequence((L70)),"")</f>
        <v>ٍّ</v>
      </c>
      <c r="R70" s="19" t="str">
        <f>IF(M70&lt;&gt;"",toUTF16(HEX2DEC(M70)),"")</f>
        <v/>
      </c>
      <c r="S70" s="19" t="str">
        <f>IF(N70&lt;&gt;"",toUTF16(HEX2DEC(N70)),"")</f>
        <v/>
      </c>
      <c r="T70" s="19" t="str">
        <f>IF(O70&lt;&gt;"",toUTF16(HEX2DEC(O70)),"")</f>
        <v/>
      </c>
      <c r="U70" s="49" t="str">
        <f>IF(P70&lt;&gt;"",toUTF16(HEX2DEC(P70)),"")</f>
        <v/>
      </c>
      <c r="V70" s="26" t="s">
        <v>287</v>
      </c>
      <c r="W70" s="17"/>
      <c r="X70" s="17"/>
      <c r="Y70" s="9" t="str">
        <f t="shared" si="20"/>
        <v/>
      </c>
      <c r="Z70" s="9" t="str">
        <f t="shared" si="21"/>
        <v/>
      </c>
      <c r="AA70" s="10" t="str">
        <f t="shared" si="22"/>
        <v/>
      </c>
      <c r="AB70" s="5" t="s">
        <v>558</v>
      </c>
      <c r="AC70" s="6" t="s">
        <v>633</v>
      </c>
    </row>
    <row r="71" spans="3:29" ht="23.25">
      <c r="C71" s="5" t="s">
        <v>622</v>
      </c>
      <c r="G71" s="18" t="str">
        <f t="shared" si="26"/>
        <v/>
      </c>
      <c r="H71" s="18" t="str">
        <f t="shared" si="27"/>
        <v/>
      </c>
      <c r="I71" s="18" t="str">
        <f t="shared" si="28"/>
        <v/>
      </c>
      <c r="J71" s="18" t="str">
        <f t="shared" si="29"/>
        <v/>
      </c>
      <c r="K71" s="21"/>
      <c r="L71" s="75" t="s">
        <v>497</v>
      </c>
      <c r="N71" s="77" t="str">
        <f t="shared" si="23"/>
        <v/>
      </c>
      <c r="O71" s="77" t="str">
        <f t="shared" si="24"/>
        <v/>
      </c>
      <c r="P71" s="78" t="str">
        <f t="shared" si="25"/>
        <v/>
      </c>
      <c r="Q71" s="19" t="str">
        <f t="shared" si="30"/>
        <v>ُ</v>
      </c>
      <c r="R71" s="19" t="str">
        <f>IF(M71&lt;&gt;"",toUTF16(HEX2DEC(M71)),"")</f>
        <v/>
      </c>
      <c r="S71" s="19" t="str">
        <f>IF(N71&lt;&gt;"",toUTF16(HEX2DEC(N71)),"")</f>
        <v/>
      </c>
      <c r="T71" s="19" t="str">
        <f>IF(O71&lt;&gt;"",toUTF16(HEX2DEC(O71)),"")</f>
        <v/>
      </c>
      <c r="U71" s="49" t="str">
        <f>IF(P71&lt;&gt;"",toUTF16(HEX2DEC(P71)),"")</f>
        <v/>
      </c>
      <c r="V71" s="26" t="s">
        <v>287</v>
      </c>
      <c r="W71" s="17"/>
      <c r="X71" s="17"/>
      <c r="Y71" s="9" t="str">
        <f t="shared" si="20"/>
        <v/>
      </c>
      <c r="Z71" s="9" t="str">
        <f t="shared" si="21"/>
        <v/>
      </c>
      <c r="AA71" s="10" t="str">
        <f t="shared" si="22"/>
        <v/>
      </c>
      <c r="AC71" s="5" t="s">
        <v>623</v>
      </c>
    </row>
    <row r="72" spans="3:29" ht="23.25">
      <c r="C72" s="5" t="s">
        <v>589</v>
      </c>
      <c r="G72" s="18" t="str">
        <f t="shared" si="26"/>
        <v/>
      </c>
      <c r="H72" s="18" t="str">
        <f t="shared" si="27"/>
        <v/>
      </c>
      <c r="I72" s="18" t="str">
        <f t="shared" si="28"/>
        <v/>
      </c>
      <c r="J72" s="18" t="str">
        <f t="shared" si="29"/>
        <v/>
      </c>
      <c r="K72" s="21"/>
      <c r="L72" s="75" t="s">
        <v>494</v>
      </c>
      <c r="N72" s="77" t="str">
        <f t="shared" si="23"/>
        <v/>
      </c>
      <c r="O72" s="77" t="str">
        <f t="shared" si="24"/>
        <v/>
      </c>
      <c r="P72" s="78" t="str">
        <f t="shared" si="25"/>
        <v/>
      </c>
      <c r="Q72" s="19" t="str">
        <f t="shared" si="30"/>
        <v>ّ</v>
      </c>
      <c r="R72" s="19" t="str">
        <f>IF(M72&lt;&gt;"",toUTF16(HEX2DEC(M72)),"")</f>
        <v/>
      </c>
      <c r="S72" s="19" t="str">
        <f>IF(N72&lt;&gt;"",toUTF16(HEX2DEC(N72)),"")</f>
        <v/>
      </c>
      <c r="T72" s="19" t="str">
        <f>IF(O72&lt;&gt;"",toUTF16(HEX2DEC(O72)),"")</f>
        <v/>
      </c>
      <c r="U72" s="49" t="str">
        <f>IF(P72&lt;&gt;"",toUTF16(HEX2DEC(P72)),"")</f>
        <v/>
      </c>
      <c r="V72" s="26" t="s">
        <v>287</v>
      </c>
      <c r="W72" s="17"/>
      <c r="X72" s="17"/>
      <c r="Y72" s="9" t="str">
        <f t="shared" si="20"/>
        <v/>
      </c>
      <c r="Z72" s="9" t="str">
        <f t="shared" si="21"/>
        <v/>
      </c>
      <c r="AA72" s="10" t="str">
        <f t="shared" si="22"/>
        <v/>
      </c>
      <c r="AC72" s="5" t="s">
        <v>624</v>
      </c>
    </row>
    <row r="73" spans="3:29" ht="23.25">
      <c r="C73" s="5" t="s">
        <v>626</v>
      </c>
      <c r="G73" s="18" t="str">
        <f t="shared" si="26"/>
        <v/>
      </c>
      <c r="H73" s="18" t="str">
        <f t="shared" si="27"/>
        <v/>
      </c>
      <c r="I73" s="18" t="str">
        <f t="shared" si="28"/>
        <v/>
      </c>
      <c r="J73" s="18" t="str">
        <f t="shared" si="29"/>
        <v/>
      </c>
      <c r="K73" s="21"/>
      <c r="L73" s="75" t="s">
        <v>625</v>
      </c>
      <c r="N73" s="77" t="str">
        <f t="shared" si="23"/>
        <v/>
      </c>
      <c r="O73" s="77" t="str">
        <f t="shared" si="24"/>
        <v/>
      </c>
      <c r="P73" s="78" t="str">
        <f t="shared" si="25"/>
        <v/>
      </c>
      <c r="Q73" s="19" t="str">
        <f t="shared" si="30"/>
        <v>ٓ</v>
      </c>
      <c r="R73" s="19" t="str">
        <f>IF(M73&lt;&gt;"",toUTF16(HEX2DEC(M73)),"")</f>
        <v/>
      </c>
      <c r="S73" s="19" t="str">
        <f>IF(N73&lt;&gt;"",toUTF16(HEX2DEC(N73)),"")</f>
        <v/>
      </c>
      <c r="T73" s="19" t="str">
        <f>IF(O73&lt;&gt;"",toUTF16(HEX2DEC(O73)),"")</f>
        <v/>
      </c>
      <c r="U73" s="49" t="str">
        <f>IF(P73&lt;&gt;"",toUTF16(HEX2DEC(P73)),"")</f>
        <v/>
      </c>
      <c r="V73" s="26" t="s">
        <v>287</v>
      </c>
      <c r="W73" s="17"/>
      <c r="X73" s="17"/>
      <c r="Y73" s="9" t="str">
        <f t="shared" si="20"/>
        <v/>
      </c>
      <c r="Z73" s="9" t="str">
        <f t="shared" si="21"/>
        <v/>
      </c>
      <c r="AA73" s="10" t="str">
        <f t="shared" si="22"/>
        <v/>
      </c>
      <c r="AC73" s="5">
        <v>2</v>
      </c>
    </row>
    <row r="74" spans="3:29" ht="23.25">
      <c r="C74" s="5" t="s">
        <v>629</v>
      </c>
      <c r="G74" s="18" t="str">
        <f t="shared" si="26"/>
        <v/>
      </c>
      <c r="H74" s="18" t="str">
        <f t="shared" si="27"/>
        <v/>
      </c>
      <c r="I74" s="18" t="str">
        <f t="shared" si="28"/>
        <v/>
      </c>
      <c r="J74" s="18" t="str">
        <f t="shared" si="29"/>
        <v/>
      </c>
      <c r="K74" s="21"/>
      <c r="L74" s="75" t="s">
        <v>628</v>
      </c>
      <c r="N74" s="77" t="str">
        <f t="shared" si="23"/>
        <v/>
      </c>
      <c r="O74" s="77" t="str">
        <f t="shared" si="24"/>
        <v/>
      </c>
      <c r="P74" s="78" t="str">
        <f t="shared" si="25"/>
        <v/>
      </c>
      <c r="Q74" s="19" t="str">
        <f t="shared" si="30"/>
        <v>ٔ</v>
      </c>
      <c r="R74" s="19" t="str">
        <f>IF(M74&lt;&gt;"",toUTF16(HEX2DEC(M74)),"")</f>
        <v/>
      </c>
      <c r="S74" s="19" t="str">
        <f>IF(N74&lt;&gt;"",toUTF16(HEX2DEC(N74)),"")</f>
        <v/>
      </c>
      <c r="T74" s="19" t="str">
        <f>IF(O74&lt;&gt;"",toUTF16(HEX2DEC(O74)),"")</f>
        <v/>
      </c>
      <c r="U74" s="49" t="str">
        <f>IF(P74&lt;&gt;"",toUTF16(HEX2DEC(P74)),"")</f>
        <v/>
      </c>
      <c r="V74" s="26" t="s">
        <v>287</v>
      </c>
      <c r="W74" s="17"/>
      <c r="X74" s="17"/>
      <c r="Y74" s="9" t="str">
        <f t="shared" si="20"/>
        <v/>
      </c>
      <c r="Z74" s="9" t="str">
        <f t="shared" si="21"/>
        <v/>
      </c>
      <c r="AA74" s="10" t="str">
        <f t="shared" si="22"/>
        <v/>
      </c>
      <c r="AC74" s="5" t="s">
        <v>631</v>
      </c>
    </row>
    <row r="75" spans="3:29" ht="23.25">
      <c r="C75" s="5" t="s">
        <v>630</v>
      </c>
      <c r="G75" s="18" t="str">
        <f t="shared" si="26"/>
        <v/>
      </c>
      <c r="H75" s="18" t="str">
        <f t="shared" si="27"/>
        <v/>
      </c>
      <c r="I75" s="18" t="str">
        <f t="shared" si="28"/>
        <v/>
      </c>
      <c r="J75" s="18" t="str">
        <f t="shared" si="29"/>
        <v/>
      </c>
      <c r="K75" s="21"/>
      <c r="L75" s="75" t="s">
        <v>627</v>
      </c>
      <c r="N75" s="77" t="str">
        <f t="shared" si="23"/>
        <v/>
      </c>
      <c r="O75" s="77" t="str">
        <f t="shared" si="24"/>
        <v/>
      </c>
      <c r="P75" s="78" t="str">
        <f t="shared" si="25"/>
        <v/>
      </c>
      <c r="Q75" s="19" t="str">
        <f t="shared" si="30"/>
        <v>ٕ</v>
      </c>
      <c r="R75" s="19" t="str">
        <f>IF(M75&lt;&gt;"",toUTF16(HEX2DEC(M75)),"")</f>
        <v/>
      </c>
      <c r="S75" s="19" t="str">
        <f>IF(N75&lt;&gt;"",toUTF16(HEX2DEC(N75)),"")</f>
        <v/>
      </c>
      <c r="T75" s="19" t="str">
        <f>IF(O75&lt;&gt;"",toUTF16(HEX2DEC(O75)),"")</f>
        <v/>
      </c>
      <c r="U75" s="49" t="str">
        <f>IF(P75&lt;&gt;"",toUTF16(HEX2DEC(P75)),"")</f>
        <v/>
      </c>
      <c r="V75" s="26" t="s">
        <v>287</v>
      </c>
      <c r="W75" s="17"/>
      <c r="X75" s="17"/>
      <c r="Y75" s="9" t="str">
        <f t="shared" si="20"/>
        <v/>
      </c>
      <c r="Z75" s="9" t="str">
        <f t="shared" si="21"/>
        <v/>
      </c>
      <c r="AA75" s="10" t="str">
        <f t="shared" si="22"/>
        <v/>
      </c>
      <c r="AC75" s="5" t="s">
        <v>632</v>
      </c>
    </row>
    <row r="76" spans="3:29" ht="23.25">
      <c r="G76" s="18" t="str">
        <f t="shared" si="26"/>
        <v/>
      </c>
      <c r="H76" s="18" t="str">
        <f t="shared" si="27"/>
        <v/>
      </c>
      <c r="I76" s="18" t="str">
        <f t="shared" si="28"/>
        <v/>
      </c>
      <c r="J76" s="18" t="str">
        <f t="shared" si="29"/>
        <v/>
      </c>
      <c r="K76" s="21"/>
      <c r="N76" s="77" t="str">
        <f t="shared" si="23"/>
        <v/>
      </c>
      <c r="O76" s="77" t="str">
        <f t="shared" si="24"/>
        <v/>
      </c>
      <c r="P76" s="78" t="str">
        <f t="shared" si="25"/>
        <v/>
      </c>
      <c r="Q76" s="19" t="str">
        <f t="shared" si="30"/>
        <v/>
      </c>
      <c r="R76" s="19" t="str">
        <f>IF(M76&lt;&gt;"",toUTF16(HEX2DEC(M76)),"")</f>
        <v/>
      </c>
      <c r="S76" s="19" t="str">
        <f>IF(N76&lt;&gt;"",toUTF16(HEX2DEC(N76)),"")</f>
        <v/>
      </c>
      <c r="T76" s="19" t="str">
        <f>IF(O76&lt;&gt;"",toUTF16(HEX2DEC(O76)),"")</f>
        <v/>
      </c>
      <c r="U76" s="49" t="str">
        <f>IF(P76&lt;&gt;"",toUTF16(HEX2DEC(P76)),"")</f>
        <v/>
      </c>
      <c r="V76" s="26" t="s">
        <v>287</v>
      </c>
      <c r="W76" s="17"/>
      <c r="X76" s="17"/>
      <c r="Y76" s="9" t="str">
        <f t="shared" si="20"/>
        <v/>
      </c>
      <c r="Z76" s="9" t="str">
        <f t="shared" si="21"/>
        <v/>
      </c>
      <c r="AA76" s="10" t="str">
        <f t="shared" si="22"/>
        <v/>
      </c>
    </row>
    <row r="77" spans="3:29" ht="23.25">
      <c r="G77" s="18" t="str">
        <f t="shared" si="26"/>
        <v/>
      </c>
      <c r="H77" s="18" t="str">
        <f t="shared" si="27"/>
        <v/>
      </c>
      <c r="I77" s="18" t="str">
        <f t="shared" si="28"/>
        <v/>
      </c>
      <c r="J77" s="18" t="str">
        <f t="shared" si="29"/>
        <v/>
      </c>
      <c r="K77" s="21"/>
      <c r="N77" s="77" t="str">
        <f t="shared" si="23"/>
        <v/>
      </c>
      <c r="O77" s="77" t="str">
        <f t="shared" si="24"/>
        <v/>
      </c>
      <c r="P77" s="78" t="str">
        <f t="shared" si="25"/>
        <v/>
      </c>
      <c r="Q77" s="19" t="str">
        <f t="shared" si="30"/>
        <v/>
      </c>
      <c r="R77" s="19" t="str">
        <f>IF(M77&lt;&gt;"",toUTF16(HEX2DEC(M77)),"")</f>
        <v/>
      </c>
      <c r="S77" s="19" t="str">
        <f>IF(N77&lt;&gt;"",toUTF16(HEX2DEC(N77)),"")</f>
        <v/>
      </c>
      <c r="T77" s="19" t="str">
        <f>IF(O77&lt;&gt;"",toUTF16(HEX2DEC(O77)),"")</f>
        <v/>
      </c>
      <c r="U77" s="49" t="str">
        <f>IF(P77&lt;&gt;"",toUTF16(HEX2DEC(P77)),"")</f>
        <v/>
      </c>
      <c r="V77" s="26" t="s">
        <v>287</v>
      </c>
      <c r="W77" s="17"/>
      <c r="X77" s="17"/>
      <c r="Y77" s="9" t="str">
        <f t="shared" si="20"/>
        <v/>
      </c>
      <c r="Z77" s="9" t="str">
        <f t="shared" si="21"/>
        <v/>
      </c>
      <c r="AA77" s="10" t="str">
        <f t="shared" si="22"/>
        <v/>
      </c>
    </row>
    <row r="78" spans="3:29" ht="23.25">
      <c r="G78" s="18" t="str">
        <f t="shared" si="26"/>
        <v/>
      </c>
      <c r="H78" s="18" t="str">
        <f t="shared" si="27"/>
        <v/>
      </c>
      <c r="I78" s="18" t="str">
        <f t="shared" si="28"/>
        <v/>
      </c>
      <c r="J78" s="18" t="str">
        <f t="shared" si="29"/>
        <v/>
      </c>
      <c r="K78" s="21"/>
      <c r="N78" s="77" t="str">
        <f t="shared" si="23"/>
        <v/>
      </c>
      <c r="O78" s="77" t="str">
        <f t="shared" si="24"/>
        <v/>
      </c>
      <c r="P78" s="78" t="str">
        <f t="shared" si="25"/>
        <v/>
      </c>
      <c r="Q78" s="19" t="str">
        <f t="shared" si="30"/>
        <v/>
      </c>
      <c r="R78" s="19" t="str">
        <f>IF(M78&lt;&gt;"",toUTF16(HEX2DEC(M78)),"")</f>
        <v/>
      </c>
      <c r="S78" s="19" t="str">
        <f>IF(N78&lt;&gt;"",toUTF16(HEX2DEC(N78)),"")</f>
        <v/>
      </c>
      <c r="T78" s="19" t="str">
        <f>IF(O78&lt;&gt;"",toUTF16(HEX2DEC(O78)),"")</f>
        <v/>
      </c>
      <c r="U78" s="49" t="str">
        <f>IF(P78&lt;&gt;"",toUTF16(HEX2DEC(P78)),"")</f>
        <v/>
      </c>
      <c r="V78" s="26" t="s">
        <v>287</v>
      </c>
      <c r="W78" s="17"/>
      <c r="X78" s="17"/>
      <c r="Y78" s="9" t="str">
        <f t="shared" si="20"/>
        <v/>
      </c>
      <c r="Z78" s="9" t="str">
        <f t="shared" si="21"/>
        <v/>
      </c>
      <c r="AA78" s="10" t="str">
        <f t="shared" si="22"/>
        <v/>
      </c>
    </row>
    <row r="79" spans="3:29" ht="23.25">
      <c r="G79" s="18" t="str">
        <f t="shared" si="26"/>
        <v/>
      </c>
      <c r="H79" s="18" t="str">
        <f t="shared" si="27"/>
        <v/>
      </c>
      <c r="I79" s="18" t="str">
        <f t="shared" si="28"/>
        <v/>
      </c>
      <c r="J79" s="18" t="str">
        <f t="shared" si="29"/>
        <v/>
      </c>
      <c r="K79" s="21"/>
      <c r="N79" s="77" t="str">
        <f t="shared" si="23"/>
        <v/>
      </c>
      <c r="O79" s="77" t="str">
        <f t="shared" si="24"/>
        <v/>
      </c>
      <c r="P79" s="78" t="str">
        <f t="shared" si="25"/>
        <v/>
      </c>
      <c r="Q79" s="19" t="str">
        <f t="shared" si="30"/>
        <v/>
      </c>
      <c r="R79" s="19" t="str">
        <f>IF(M79&lt;&gt;"",toUTF16(HEX2DEC(M79)),"")</f>
        <v/>
      </c>
      <c r="S79" s="19" t="str">
        <f>IF(N79&lt;&gt;"",toUTF16(HEX2DEC(N79)),"")</f>
        <v/>
      </c>
      <c r="T79" s="19" t="str">
        <f>IF(O79&lt;&gt;"",toUTF16(HEX2DEC(O79)),"")</f>
        <v/>
      </c>
      <c r="U79" s="49" t="str">
        <f>IF(P79&lt;&gt;"",toUTF16(HEX2DEC(P79)),"")</f>
        <v/>
      </c>
      <c r="V79" s="26" t="s">
        <v>287</v>
      </c>
      <c r="W79" s="17"/>
      <c r="X79" s="17"/>
      <c r="Y79" s="9" t="str">
        <f t="shared" si="20"/>
        <v/>
      </c>
      <c r="Z79" s="9" t="str">
        <f t="shared" si="21"/>
        <v/>
      </c>
      <c r="AA79" s="10" t="str">
        <f t="shared" si="22"/>
        <v/>
      </c>
    </row>
    <row r="80" spans="3:29" ht="23.25">
      <c r="G80" s="18" t="str">
        <f t="shared" si="26"/>
        <v/>
      </c>
      <c r="H80" s="18" t="str">
        <f t="shared" si="27"/>
        <v/>
      </c>
      <c r="I80" s="18" t="str">
        <f t="shared" si="28"/>
        <v/>
      </c>
      <c r="J80" s="18" t="str">
        <f t="shared" si="29"/>
        <v/>
      </c>
      <c r="K80" s="21"/>
      <c r="N80" s="77" t="str">
        <f t="shared" si="23"/>
        <v/>
      </c>
      <c r="O80" s="77" t="str">
        <f t="shared" si="24"/>
        <v/>
      </c>
      <c r="P80" s="78" t="str">
        <f t="shared" si="25"/>
        <v/>
      </c>
      <c r="Q80" s="19" t="str">
        <f t="shared" si="30"/>
        <v/>
      </c>
      <c r="R80" s="19" t="str">
        <f>IF(M80&lt;&gt;"",toUTF16(HEX2DEC(M80)),"")</f>
        <v/>
      </c>
      <c r="S80" s="19" t="str">
        <f>IF(N80&lt;&gt;"",toUTF16(HEX2DEC(N80)),"")</f>
        <v/>
      </c>
      <c r="T80" s="19" t="str">
        <f>IF(O80&lt;&gt;"",toUTF16(HEX2DEC(O80)),"")</f>
        <v/>
      </c>
      <c r="U80" s="49" t="str">
        <f>IF(P80&lt;&gt;"",toUTF16(HEX2DEC(P80)),"")</f>
        <v/>
      </c>
      <c r="V80" s="26" t="s">
        <v>287</v>
      </c>
      <c r="W80" s="17"/>
      <c r="X80" s="17"/>
      <c r="Y80" s="9" t="str">
        <f t="shared" si="20"/>
        <v/>
      </c>
      <c r="Z80" s="9" t="str">
        <f t="shared" si="21"/>
        <v/>
      </c>
      <c r="AA80" s="10" t="str">
        <f t="shared" si="22"/>
        <v/>
      </c>
    </row>
    <row r="81" spans="7:27" ht="23.25">
      <c r="G81" s="18" t="str">
        <f t="shared" si="26"/>
        <v/>
      </c>
      <c r="H81" s="18" t="str">
        <f t="shared" si="27"/>
        <v/>
      </c>
      <c r="I81" s="18" t="str">
        <f t="shared" si="28"/>
        <v/>
      </c>
      <c r="J81" s="18" t="str">
        <f t="shared" si="29"/>
        <v/>
      </c>
      <c r="K81" s="21"/>
      <c r="N81" s="77" t="str">
        <f t="shared" si="23"/>
        <v/>
      </c>
      <c r="O81" s="77" t="str">
        <f t="shared" si="24"/>
        <v/>
      </c>
      <c r="P81" s="78" t="str">
        <f t="shared" si="25"/>
        <v/>
      </c>
      <c r="Q81" s="19" t="str">
        <f t="shared" si="30"/>
        <v/>
      </c>
      <c r="R81" s="19" t="str">
        <f>IF(M81&lt;&gt;"",toUTF16(HEX2DEC(M81)),"")</f>
        <v/>
      </c>
      <c r="S81" s="19" t="str">
        <f>IF(N81&lt;&gt;"",toUTF16(HEX2DEC(N81)),"")</f>
        <v/>
      </c>
      <c r="T81" s="19" t="str">
        <f>IF(O81&lt;&gt;"",toUTF16(HEX2DEC(O81)),"")</f>
        <v/>
      </c>
      <c r="U81" s="49" t="str">
        <f>IF(P81&lt;&gt;"",toUTF16(HEX2DEC(P81)),"")</f>
        <v/>
      </c>
      <c r="V81" s="26" t="s">
        <v>287</v>
      </c>
      <c r="W81" s="17"/>
      <c r="X81" s="17"/>
      <c r="Y81" s="9" t="str">
        <f t="shared" si="20"/>
        <v/>
      </c>
      <c r="Z81" s="9" t="str">
        <f t="shared" si="21"/>
        <v/>
      </c>
      <c r="AA81" s="10" t="str">
        <f t="shared" si="22"/>
        <v/>
      </c>
    </row>
    <row r="82" spans="7:27" ht="23.25">
      <c r="G82" s="18" t="str">
        <f t="shared" si="26"/>
        <v/>
      </c>
      <c r="H82" s="18" t="str">
        <f t="shared" si="27"/>
        <v/>
      </c>
      <c r="I82" s="18" t="str">
        <f t="shared" si="28"/>
        <v/>
      </c>
      <c r="J82" s="18" t="str">
        <f t="shared" si="29"/>
        <v/>
      </c>
      <c r="K82" s="21"/>
      <c r="N82" s="77" t="str">
        <f t="shared" si="23"/>
        <v/>
      </c>
      <c r="O82" s="77" t="str">
        <f t="shared" si="24"/>
        <v/>
      </c>
      <c r="P82" s="78" t="str">
        <f t="shared" si="25"/>
        <v/>
      </c>
      <c r="Q82" s="19" t="str">
        <f t="shared" si="30"/>
        <v/>
      </c>
      <c r="R82" s="19" t="str">
        <f>IF(M82&lt;&gt;"",toUTF16(HEX2DEC(M82)),"")</f>
        <v/>
      </c>
      <c r="S82" s="19" t="str">
        <f>IF(N82&lt;&gt;"",toUTF16(HEX2DEC(N82)),"")</f>
        <v/>
      </c>
      <c r="T82" s="19" t="str">
        <f>IF(O82&lt;&gt;"",toUTF16(HEX2DEC(O82)),"")</f>
        <v/>
      </c>
      <c r="U82" s="49" t="str">
        <f>IF(P82&lt;&gt;"",toUTF16(HEX2DEC(P82)),"")</f>
        <v/>
      </c>
      <c r="V82" s="26" t="s">
        <v>287</v>
      </c>
      <c r="W82" s="17"/>
      <c r="X82" s="17"/>
      <c r="Y82" s="9" t="str">
        <f t="shared" si="20"/>
        <v/>
      </c>
      <c r="Z82" s="9" t="str">
        <f t="shared" si="21"/>
        <v/>
      </c>
      <c r="AA82" s="10" t="str">
        <f t="shared" si="22"/>
        <v/>
      </c>
    </row>
    <row r="83" spans="7:27" ht="23.25">
      <c r="G83" s="18" t="str">
        <f t="shared" si="26"/>
        <v/>
      </c>
      <c r="H83" s="18" t="str">
        <f t="shared" si="27"/>
        <v/>
      </c>
      <c r="I83" s="18" t="str">
        <f t="shared" si="28"/>
        <v/>
      </c>
      <c r="J83" s="18" t="str">
        <f t="shared" si="29"/>
        <v/>
      </c>
      <c r="K83" s="21"/>
      <c r="N83" s="77" t="str">
        <f t="shared" si="23"/>
        <v/>
      </c>
      <c r="O83" s="77" t="str">
        <f t="shared" si="24"/>
        <v/>
      </c>
      <c r="P83" s="78" t="str">
        <f t="shared" si="25"/>
        <v/>
      </c>
      <c r="Q83" s="19" t="str">
        <f t="shared" si="30"/>
        <v/>
      </c>
      <c r="R83" s="19" t="str">
        <f>IF(M83&lt;&gt;"",toUTF16(HEX2DEC(M83)),"")</f>
        <v/>
      </c>
      <c r="S83" s="19" t="str">
        <f>IF(N83&lt;&gt;"",toUTF16(HEX2DEC(N83)),"")</f>
        <v/>
      </c>
      <c r="T83" s="19" t="str">
        <f>IF(O83&lt;&gt;"",toUTF16(HEX2DEC(O83)),"")</f>
        <v/>
      </c>
      <c r="U83" s="49" t="str">
        <f>IF(P83&lt;&gt;"",toUTF16(HEX2DEC(P83)),"")</f>
        <v/>
      </c>
      <c r="V83" s="26" t="s">
        <v>287</v>
      </c>
      <c r="W83" s="17"/>
      <c r="X83" s="17"/>
      <c r="Y83" s="9" t="str">
        <f t="shared" si="20"/>
        <v/>
      </c>
      <c r="Z83" s="9" t="str">
        <f t="shared" si="21"/>
        <v/>
      </c>
      <c r="AA83" s="10" t="str">
        <f t="shared" si="22"/>
        <v/>
      </c>
    </row>
    <row r="84" spans="7:27" ht="23.25">
      <c r="G84" s="18" t="str">
        <f t="shared" si="26"/>
        <v/>
      </c>
      <c r="H84" s="18" t="str">
        <f t="shared" si="27"/>
        <v/>
      </c>
      <c r="I84" s="18" t="str">
        <f t="shared" si="28"/>
        <v/>
      </c>
      <c r="J84" s="18" t="str">
        <f t="shared" si="29"/>
        <v/>
      </c>
      <c r="K84" s="21"/>
      <c r="N84" s="77" t="str">
        <f t="shared" si="23"/>
        <v/>
      </c>
      <c r="O84" s="77" t="str">
        <f t="shared" si="24"/>
        <v/>
      </c>
      <c r="P84" s="78" t="str">
        <f t="shared" si="25"/>
        <v/>
      </c>
      <c r="Q84" s="19" t="str">
        <f t="shared" si="30"/>
        <v/>
      </c>
      <c r="R84" s="19" t="str">
        <f>IF(M84&lt;&gt;"",toUTF16(HEX2DEC(M84)),"")</f>
        <v/>
      </c>
      <c r="S84" s="19" t="str">
        <f>IF(N84&lt;&gt;"",toUTF16(HEX2DEC(N84)),"")</f>
        <v/>
      </c>
      <c r="T84" s="19" t="str">
        <f>IF(O84&lt;&gt;"",toUTF16(HEX2DEC(O84)),"")</f>
        <v/>
      </c>
      <c r="U84" s="49" t="str">
        <f>IF(P84&lt;&gt;"",toUTF16(HEX2DEC(P84)),"")</f>
        <v/>
      </c>
      <c r="V84" s="26" t="s">
        <v>287</v>
      </c>
      <c r="W84" s="17"/>
      <c r="X84" s="17"/>
      <c r="Y84" s="9" t="str">
        <f t="shared" si="20"/>
        <v/>
      </c>
      <c r="Z84" s="9" t="str">
        <f t="shared" si="21"/>
        <v/>
      </c>
      <c r="AA84" s="10" t="str">
        <f t="shared" si="22"/>
        <v/>
      </c>
    </row>
    <row r="85" spans="7:27" ht="23.25">
      <c r="G85" s="18" t="str">
        <f t="shared" si="26"/>
        <v/>
      </c>
      <c r="H85" s="18" t="str">
        <f t="shared" si="27"/>
        <v/>
      </c>
      <c r="I85" s="18" t="str">
        <f t="shared" si="28"/>
        <v/>
      </c>
      <c r="J85" s="18" t="str">
        <f t="shared" si="29"/>
        <v/>
      </c>
      <c r="K85" s="21"/>
      <c r="N85" s="77" t="str">
        <f t="shared" si="23"/>
        <v/>
      </c>
      <c r="O85" s="77" t="str">
        <f t="shared" si="24"/>
        <v/>
      </c>
      <c r="P85" s="78" t="str">
        <f t="shared" si="25"/>
        <v/>
      </c>
      <c r="Q85" s="19" t="str">
        <f t="shared" si="30"/>
        <v/>
      </c>
      <c r="R85" s="19" t="str">
        <f>IF(M85&lt;&gt;"",toUTF16(HEX2DEC(M85)),"")</f>
        <v/>
      </c>
      <c r="S85" s="19" t="str">
        <f>IF(N85&lt;&gt;"",toUTF16(HEX2DEC(N85)),"")</f>
        <v/>
      </c>
      <c r="T85" s="19" t="str">
        <f>IF(O85&lt;&gt;"",toUTF16(HEX2DEC(O85)),"")</f>
        <v/>
      </c>
      <c r="U85" s="49" t="str">
        <f>IF(P85&lt;&gt;"",toUTF16(HEX2DEC(P85)),"")</f>
        <v/>
      </c>
      <c r="V85" s="26" t="s">
        <v>287</v>
      </c>
      <c r="W85" s="17"/>
      <c r="X85" s="17"/>
      <c r="Y85" s="9" t="str">
        <f t="shared" si="20"/>
        <v/>
      </c>
      <c r="Z85" s="9" t="str">
        <f t="shared" si="21"/>
        <v/>
      </c>
      <c r="AA85" s="10" t="str">
        <f t="shared" si="22"/>
        <v/>
      </c>
    </row>
    <row r="86" spans="7:27" ht="23.25">
      <c r="G86" s="18" t="str">
        <f t="shared" si="26"/>
        <v/>
      </c>
      <c r="H86" s="18" t="str">
        <f t="shared" si="27"/>
        <v/>
      </c>
      <c r="I86" s="18" t="str">
        <f t="shared" si="28"/>
        <v/>
      </c>
      <c r="J86" s="18" t="str">
        <f t="shared" si="29"/>
        <v/>
      </c>
      <c r="K86" s="21"/>
      <c r="N86" s="77" t="str">
        <f t="shared" si="23"/>
        <v/>
      </c>
      <c r="O86" s="77" t="str">
        <f t="shared" si="24"/>
        <v/>
      </c>
      <c r="P86" s="78" t="str">
        <f t="shared" si="25"/>
        <v/>
      </c>
      <c r="Q86" s="19" t="str">
        <f t="shared" si="30"/>
        <v/>
      </c>
      <c r="R86" s="19" t="str">
        <f>IF(M86&lt;&gt;"",toUTF16(HEX2DEC(M86)),"")</f>
        <v/>
      </c>
      <c r="S86" s="19" t="str">
        <f>IF(N86&lt;&gt;"",toUTF16(HEX2DEC(N86)),"")</f>
        <v/>
      </c>
      <c r="T86" s="19" t="str">
        <f>IF(O86&lt;&gt;"",toUTF16(HEX2DEC(O86)),"")</f>
        <v/>
      </c>
      <c r="U86" s="49" t="str">
        <f>IF(P86&lt;&gt;"",toUTF16(HEX2DEC(P86)),"")</f>
        <v/>
      </c>
      <c r="V86" s="26" t="s">
        <v>287</v>
      </c>
      <c r="W86" s="17"/>
      <c r="X86" s="17"/>
      <c r="Y86" s="9" t="str">
        <f t="shared" si="20"/>
        <v/>
      </c>
      <c r="Z86" s="9" t="str">
        <f t="shared" si="21"/>
        <v/>
      </c>
      <c r="AA86" s="10" t="str">
        <f t="shared" si="22"/>
        <v/>
      </c>
    </row>
    <row r="87" spans="7:27" ht="23.25">
      <c r="G87" s="18" t="str">
        <f t="shared" si="26"/>
        <v/>
      </c>
      <c r="H87" s="18" t="str">
        <f t="shared" si="27"/>
        <v/>
      </c>
      <c r="I87" s="18" t="str">
        <f t="shared" si="28"/>
        <v/>
      </c>
      <c r="J87" s="18" t="str">
        <f t="shared" si="29"/>
        <v/>
      </c>
      <c r="K87" s="21"/>
      <c r="N87" s="77" t="str">
        <f t="shared" si="23"/>
        <v/>
      </c>
      <c r="O87" s="77" t="str">
        <f t="shared" si="24"/>
        <v/>
      </c>
      <c r="P87" s="78" t="str">
        <f t="shared" si="25"/>
        <v/>
      </c>
      <c r="Q87" s="19" t="str">
        <f t="shared" si="30"/>
        <v/>
      </c>
      <c r="R87" s="19" t="str">
        <f>IF(M87&lt;&gt;"",toUTF16(HEX2DEC(M87)),"")</f>
        <v/>
      </c>
      <c r="S87" s="19" t="str">
        <f>IF(N87&lt;&gt;"",toUTF16(HEX2DEC(N87)),"")</f>
        <v/>
      </c>
      <c r="T87" s="19" t="str">
        <f>IF(O87&lt;&gt;"",toUTF16(HEX2DEC(O87)),"")</f>
        <v/>
      </c>
      <c r="U87" s="49" t="str">
        <f>IF(P87&lt;&gt;"",toUTF16(HEX2DEC(P87)),"")</f>
        <v/>
      </c>
      <c r="V87" s="26" t="s">
        <v>287</v>
      </c>
      <c r="W87" s="17"/>
      <c r="X87" s="17"/>
      <c r="Y87" s="9" t="str">
        <f t="shared" si="20"/>
        <v/>
      </c>
      <c r="Z87" s="9" t="str">
        <f t="shared" si="21"/>
        <v/>
      </c>
      <c r="AA87" s="10" t="str">
        <f t="shared" si="22"/>
        <v/>
      </c>
    </row>
    <row r="88" spans="7:27" ht="23.25">
      <c r="G88" s="18" t="str">
        <f t="shared" si="26"/>
        <v/>
      </c>
      <c r="H88" s="18" t="str">
        <f t="shared" si="27"/>
        <v/>
      </c>
      <c r="I88" s="18" t="str">
        <f t="shared" si="28"/>
        <v/>
      </c>
      <c r="J88" s="18" t="str">
        <f t="shared" si="29"/>
        <v/>
      </c>
      <c r="K88" s="21"/>
      <c r="N88" s="77" t="str">
        <f t="shared" si="23"/>
        <v/>
      </c>
      <c r="O88" s="77" t="str">
        <f t="shared" si="24"/>
        <v/>
      </c>
      <c r="P88" s="78" t="str">
        <f t="shared" si="25"/>
        <v/>
      </c>
      <c r="Q88" s="19" t="str">
        <f t="shared" si="30"/>
        <v/>
      </c>
      <c r="R88" s="19" t="str">
        <f>IF(M88&lt;&gt;"",toUTF16(HEX2DEC(M88)),"")</f>
        <v/>
      </c>
      <c r="S88" s="19" t="str">
        <f>IF(N88&lt;&gt;"",toUTF16(HEX2DEC(N88)),"")</f>
        <v/>
      </c>
      <c r="T88" s="19" t="str">
        <f>IF(O88&lt;&gt;"",toUTF16(HEX2DEC(O88)),"")</f>
        <v/>
      </c>
      <c r="U88" s="49" t="str">
        <f>IF(P88&lt;&gt;"",toUTF16(HEX2DEC(P88)),"")</f>
        <v/>
      </c>
      <c r="V88" s="26" t="s">
        <v>287</v>
      </c>
      <c r="W88" s="17"/>
      <c r="X88" s="17"/>
      <c r="Y88" s="9" t="str">
        <f t="shared" si="20"/>
        <v/>
      </c>
      <c r="Z88" s="9" t="str">
        <f t="shared" si="21"/>
        <v/>
      </c>
      <c r="AA88" s="10" t="str">
        <f t="shared" si="22"/>
        <v/>
      </c>
    </row>
    <row r="89" spans="7:27" ht="23.25">
      <c r="G89" s="18" t="str">
        <f t="shared" si="26"/>
        <v/>
      </c>
      <c r="H89" s="18" t="str">
        <f t="shared" si="27"/>
        <v/>
      </c>
      <c r="I89" s="18" t="str">
        <f t="shared" si="28"/>
        <v/>
      </c>
      <c r="J89" s="18" t="str">
        <f t="shared" si="29"/>
        <v/>
      </c>
      <c r="K89" s="21"/>
      <c r="N89" s="77" t="str">
        <f t="shared" si="23"/>
        <v/>
      </c>
      <c r="O89" s="77" t="str">
        <f t="shared" si="24"/>
        <v/>
      </c>
      <c r="P89" s="78" t="str">
        <f t="shared" si="25"/>
        <v/>
      </c>
      <c r="Q89" s="19" t="str">
        <f t="shared" si="30"/>
        <v/>
      </c>
      <c r="R89" s="19" t="str">
        <f>IF(M89&lt;&gt;"",toUTF16(HEX2DEC(M89)),"")</f>
        <v/>
      </c>
      <c r="S89" s="19" t="str">
        <f>IF(N89&lt;&gt;"",toUTF16(HEX2DEC(N89)),"")</f>
        <v/>
      </c>
      <c r="T89" s="19" t="str">
        <f>IF(O89&lt;&gt;"",toUTF16(HEX2DEC(O89)),"")</f>
        <v/>
      </c>
      <c r="U89" s="49" t="str">
        <f>IF(P89&lt;&gt;"",toUTF16(HEX2DEC(P89)),"")</f>
        <v/>
      </c>
      <c r="V89" s="26" t="s">
        <v>287</v>
      </c>
      <c r="W89" s="17"/>
      <c r="X89" s="17"/>
      <c r="Y89" s="9" t="str">
        <f t="shared" si="20"/>
        <v/>
      </c>
      <c r="Z89" s="9" t="str">
        <f t="shared" si="21"/>
        <v/>
      </c>
      <c r="AA89" s="10" t="str">
        <f t="shared" si="22"/>
        <v/>
      </c>
    </row>
    <row r="90" spans="7:27" ht="23.25">
      <c r="G90" s="18" t="str">
        <f t="shared" si="26"/>
        <v/>
      </c>
      <c r="H90" s="18" t="str">
        <f t="shared" si="27"/>
        <v/>
      </c>
      <c r="I90" s="18" t="str">
        <f t="shared" si="28"/>
        <v/>
      </c>
      <c r="J90" s="18" t="str">
        <f t="shared" si="29"/>
        <v/>
      </c>
      <c r="K90" s="21"/>
      <c r="N90" s="77" t="str">
        <f t="shared" si="23"/>
        <v/>
      </c>
      <c r="O90" s="77" t="str">
        <f t="shared" si="24"/>
        <v/>
      </c>
      <c r="P90" s="78" t="str">
        <f t="shared" si="25"/>
        <v/>
      </c>
      <c r="Q90" s="19" t="str">
        <f t="shared" si="30"/>
        <v/>
      </c>
      <c r="R90" s="19" t="str">
        <f>IF(M90&lt;&gt;"",toUTF16(HEX2DEC(M90)),"")</f>
        <v/>
      </c>
      <c r="S90" s="19" t="str">
        <f>IF(N90&lt;&gt;"",toUTF16(HEX2DEC(N90)),"")</f>
        <v/>
      </c>
      <c r="T90" s="19" t="str">
        <f>IF(O90&lt;&gt;"",toUTF16(HEX2DEC(O90)),"")</f>
        <v/>
      </c>
      <c r="U90" s="49" t="str">
        <f>IF(P90&lt;&gt;"",toUTF16(HEX2DEC(P90)),"")</f>
        <v/>
      </c>
      <c r="V90" s="26" t="s">
        <v>287</v>
      </c>
      <c r="W90" s="17"/>
      <c r="X90" s="17"/>
      <c r="Y90" s="9" t="str">
        <f t="shared" si="20"/>
        <v/>
      </c>
      <c r="Z90" s="9" t="str">
        <f t="shared" si="21"/>
        <v/>
      </c>
      <c r="AA90" s="10" t="str">
        <f t="shared" si="22"/>
        <v/>
      </c>
    </row>
    <row r="91" spans="7:27" ht="23.25">
      <c r="G91" s="18" t="str">
        <f t="shared" si="26"/>
        <v/>
      </c>
      <c r="H91" s="18" t="str">
        <f t="shared" si="27"/>
        <v/>
      </c>
      <c r="I91" s="18" t="str">
        <f t="shared" si="28"/>
        <v/>
      </c>
      <c r="J91" s="18" t="str">
        <f t="shared" si="29"/>
        <v/>
      </c>
      <c r="K91" s="21"/>
      <c r="N91" s="77" t="str">
        <f t="shared" si="23"/>
        <v/>
      </c>
      <c r="O91" s="77" t="str">
        <f t="shared" si="24"/>
        <v/>
      </c>
      <c r="P91" s="78" t="str">
        <f t="shared" si="25"/>
        <v/>
      </c>
      <c r="Q91" s="19" t="str">
        <f t="shared" si="30"/>
        <v/>
      </c>
      <c r="R91" s="19" t="str">
        <f>IF(M91&lt;&gt;"",toUTF16(HEX2DEC(M91)),"")</f>
        <v/>
      </c>
      <c r="S91" s="19" t="str">
        <f>IF(N91&lt;&gt;"",toUTF16(HEX2DEC(N91)),"")</f>
        <v/>
      </c>
      <c r="T91" s="19" t="str">
        <f>IF(O91&lt;&gt;"",toUTF16(HEX2DEC(O91)),"")</f>
        <v/>
      </c>
      <c r="U91" s="49" t="str">
        <f>IF(P91&lt;&gt;"",toUTF16(HEX2DEC(P91)),"")</f>
        <v/>
      </c>
      <c r="V91" s="26" t="s">
        <v>287</v>
      </c>
      <c r="W91" s="17"/>
      <c r="X91" s="17"/>
      <c r="Y91" s="9" t="str">
        <f t="shared" si="20"/>
        <v/>
      </c>
      <c r="Z91" s="9" t="str">
        <f t="shared" si="21"/>
        <v/>
      </c>
      <c r="AA91" s="10" t="str">
        <f t="shared" si="22"/>
        <v/>
      </c>
    </row>
    <row r="92" spans="7:27" ht="23.25">
      <c r="G92" s="18" t="str">
        <f t="shared" si="26"/>
        <v/>
      </c>
      <c r="H92" s="18" t="str">
        <f t="shared" si="27"/>
        <v/>
      </c>
      <c r="I92" s="18" t="str">
        <f t="shared" si="28"/>
        <v/>
      </c>
      <c r="J92" s="18" t="str">
        <f t="shared" si="29"/>
        <v/>
      </c>
      <c r="K92" s="21"/>
      <c r="N92" s="77" t="str">
        <f t="shared" si="23"/>
        <v/>
      </c>
      <c r="O92" s="77" t="str">
        <f t="shared" si="24"/>
        <v/>
      </c>
      <c r="P92" s="78" t="str">
        <f t="shared" si="25"/>
        <v/>
      </c>
      <c r="Q92" s="19" t="str">
        <f t="shared" si="30"/>
        <v/>
      </c>
      <c r="R92" s="19" t="str">
        <f>IF(M92&lt;&gt;"",toUTF16(HEX2DEC(M92)),"")</f>
        <v/>
      </c>
      <c r="S92" s="19" t="str">
        <f>IF(N92&lt;&gt;"",toUTF16(HEX2DEC(N92)),"")</f>
        <v/>
      </c>
      <c r="T92" s="19" t="str">
        <f>IF(O92&lt;&gt;"",toUTF16(HEX2DEC(O92)),"")</f>
        <v/>
      </c>
      <c r="U92" s="49" t="str">
        <f>IF(P92&lt;&gt;"",toUTF16(HEX2DEC(P92)),"")</f>
        <v/>
      </c>
      <c r="V92" s="26" t="s">
        <v>287</v>
      </c>
      <c r="W92" s="17"/>
      <c r="X92" s="17"/>
      <c r="Y92" s="9" t="str">
        <f t="shared" si="20"/>
        <v/>
      </c>
      <c r="Z92" s="9" t="str">
        <f t="shared" si="21"/>
        <v/>
      </c>
      <c r="AA92" s="10" t="str">
        <f t="shared" si="22"/>
        <v/>
      </c>
    </row>
    <row r="93" spans="7:27" ht="23.25">
      <c r="G93" s="18" t="str">
        <f t="shared" si="26"/>
        <v/>
      </c>
      <c r="H93" s="18" t="str">
        <f t="shared" si="27"/>
        <v/>
      </c>
      <c r="I93" s="18" t="str">
        <f t="shared" si="28"/>
        <v/>
      </c>
      <c r="J93" s="18" t="str">
        <f t="shared" si="29"/>
        <v/>
      </c>
      <c r="K93" s="21"/>
      <c r="N93" s="77" t="str">
        <f t="shared" si="23"/>
        <v/>
      </c>
      <c r="O93" s="77" t="str">
        <f t="shared" si="24"/>
        <v/>
      </c>
      <c r="P93" s="78" t="str">
        <f t="shared" si="25"/>
        <v/>
      </c>
      <c r="Q93" s="19" t="str">
        <f t="shared" si="30"/>
        <v/>
      </c>
      <c r="R93" s="19" t="str">
        <f>IF(M93&lt;&gt;"",toUTF16(HEX2DEC(M93)),"")</f>
        <v/>
      </c>
      <c r="S93" s="19" t="str">
        <f>IF(N93&lt;&gt;"",toUTF16(HEX2DEC(N93)),"")</f>
        <v/>
      </c>
      <c r="T93" s="19" t="str">
        <f>IF(O93&lt;&gt;"",toUTF16(HEX2DEC(O93)),"")</f>
        <v/>
      </c>
      <c r="U93" s="49" t="str">
        <f>IF(P93&lt;&gt;"",toUTF16(HEX2DEC(P93)),"")</f>
        <v/>
      </c>
      <c r="V93" s="26" t="s">
        <v>287</v>
      </c>
      <c r="W93" s="17"/>
      <c r="X93" s="17"/>
      <c r="Y93" s="9" t="str">
        <f t="shared" si="20"/>
        <v/>
      </c>
      <c r="Z93" s="9" t="str">
        <f t="shared" si="21"/>
        <v/>
      </c>
      <c r="AA93" s="10" t="str">
        <f t="shared" si="22"/>
        <v/>
      </c>
    </row>
    <row r="94" spans="7:27" ht="23.25">
      <c r="G94" s="18" t="str">
        <f t="shared" si="26"/>
        <v/>
      </c>
      <c r="H94" s="18" t="str">
        <f t="shared" si="27"/>
        <v/>
      </c>
      <c r="I94" s="18" t="str">
        <f t="shared" si="28"/>
        <v/>
      </c>
      <c r="J94" s="18" t="str">
        <f t="shared" si="29"/>
        <v/>
      </c>
      <c r="K94" s="21"/>
      <c r="N94" s="77" t="str">
        <f t="shared" si="23"/>
        <v/>
      </c>
      <c r="O94" s="77" t="str">
        <f t="shared" si="24"/>
        <v/>
      </c>
      <c r="P94" s="78" t="str">
        <f t="shared" si="25"/>
        <v/>
      </c>
      <c r="Q94" s="19" t="str">
        <f t="shared" si="30"/>
        <v/>
      </c>
      <c r="R94" s="19" t="str">
        <f>IF(M94&lt;&gt;"",toUTF16(HEX2DEC(M94)),"")</f>
        <v/>
      </c>
      <c r="S94" s="19" t="str">
        <f>IF(N94&lt;&gt;"",toUTF16(HEX2DEC(N94)),"")</f>
        <v/>
      </c>
      <c r="T94" s="19" t="str">
        <f>IF(O94&lt;&gt;"",toUTF16(HEX2DEC(O94)),"")</f>
        <v/>
      </c>
      <c r="U94" s="49" t="str">
        <f>IF(P94&lt;&gt;"",toUTF16(HEX2DEC(P94)),"")</f>
        <v/>
      </c>
      <c r="V94" s="26" t="s">
        <v>287</v>
      </c>
      <c r="W94" s="17"/>
      <c r="X94" s="17"/>
      <c r="Y94" s="9" t="str">
        <f t="shared" si="20"/>
        <v/>
      </c>
      <c r="Z94" s="9" t="str">
        <f t="shared" si="21"/>
        <v/>
      </c>
      <c r="AA94" s="10" t="str">
        <f t="shared" si="22"/>
        <v/>
      </c>
    </row>
    <row r="95" spans="7:27" ht="23.25">
      <c r="G95" s="18" t="str">
        <f t="shared" si="26"/>
        <v/>
      </c>
      <c r="H95" s="18" t="str">
        <f t="shared" si="27"/>
        <v/>
      </c>
      <c r="I95" s="18" t="str">
        <f t="shared" si="28"/>
        <v/>
      </c>
      <c r="J95" s="18" t="str">
        <f t="shared" si="29"/>
        <v/>
      </c>
      <c r="K95" s="21"/>
      <c r="N95" s="77" t="str">
        <f t="shared" si="23"/>
        <v/>
      </c>
      <c r="O95" s="77" t="str">
        <f t="shared" si="24"/>
        <v/>
      </c>
      <c r="P95" s="78" t="str">
        <f t="shared" si="25"/>
        <v/>
      </c>
      <c r="Q95" s="19" t="str">
        <f t="shared" si="30"/>
        <v/>
      </c>
      <c r="R95" s="19" t="str">
        <f>IF(M95&lt;&gt;"",toUTF16(HEX2DEC(M95)),"")</f>
        <v/>
      </c>
      <c r="S95" s="19" t="str">
        <f>IF(N95&lt;&gt;"",toUTF16(HEX2DEC(N95)),"")</f>
        <v/>
      </c>
      <c r="T95" s="19" t="str">
        <f>IF(O95&lt;&gt;"",toUTF16(HEX2DEC(O95)),"")</f>
        <v/>
      </c>
      <c r="U95" s="49" t="str">
        <f>IF(P95&lt;&gt;"",toUTF16(HEX2DEC(P95)),"")</f>
        <v/>
      </c>
      <c r="V95" s="26" t="s">
        <v>287</v>
      </c>
      <c r="W95" s="17"/>
      <c r="X95" s="17"/>
      <c r="Y95" s="9" t="str">
        <f t="shared" si="20"/>
        <v/>
      </c>
      <c r="Z95" s="9" t="str">
        <f t="shared" si="21"/>
        <v/>
      </c>
      <c r="AA95" s="10" t="str">
        <f t="shared" si="22"/>
        <v/>
      </c>
    </row>
    <row r="96" spans="7:27" ht="23.25">
      <c r="G96" s="18" t="str">
        <f t="shared" si="26"/>
        <v/>
      </c>
      <c r="H96" s="18" t="str">
        <f t="shared" si="27"/>
        <v/>
      </c>
      <c r="I96" s="18" t="str">
        <f t="shared" si="28"/>
        <v/>
      </c>
      <c r="J96" s="18" t="str">
        <f t="shared" si="29"/>
        <v/>
      </c>
      <c r="K96" s="21"/>
      <c r="N96" s="77" t="str">
        <f t="shared" si="23"/>
        <v/>
      </c>
      <c r="O96" s="77" t="str">
        <f t="shared" si="24"/>
        <v/>
      </c>
      <c r="P96" s="78" t="str">
        <f t="shared" si="25"/>
        <v/>
      </c>
      <c r="Q96" s="19" t="str">
        <f t="shared" si="30"/>
        <v/>
      </c>
      <c r="R96" s="19" t="str">
        <f>IF(M96&lt;&gt;"",toUTF16(HEX2DEC(M96)),"")</f>
        <v/>
      </c>
      <c r="S96" s="19" t="str">
        <f>IF(N96&lt;&gt;"",toUTF16(HEX2DEC(N96)),"")</f>
        <v/>
      </c>
      <c r="T96" s="19" t="str">
        <f>IF(O96&lt;&gt;"",toUTF16(HEX2DEC(O96)),"")</f>
        <v/>
      </c>
      <c r="U96" s="49" t="str">
        <f>IF(P96&lt;&gt;"",toUTF16(HEX2DEC(P96)),"")</f>
        <v/>
      </c>
      <c r="V96" s="26" t="s">
        <v>287</v>
      </c>
      <c r="W96" s="17"/>
      <c r="X96" s="17"/>
      <c r="Y96" s="9" t="str">
        <f t="shared" si="20"/>
        <v/>
      </c>
      <c r="Z96" s="9" t="str">
        <f t="shared" si="21"/>
        <v/>
      </c>
      <c r="AA96" s="10" t="str">
        <f t="shared" si="22"/>
        <v/>
      </c>
    </row>
    <row r="97" spans="7:27" ht="23.25">
      <c r="G97" s="18" t="str">
        <f t="shared" si="26"/>
        <v/>
      </c>
      <c r="H97" s="18" t="str">
        <f t="shared" si="27"/>
        <v/>
      </c>
      <c r="I97" s="18" t="str">
        <f t="shared" si="28"/>
        <v/>
      </c>
      <c r="J97" s="18" t="str">
        <f t="shared" si="29"/>
        <v/>
      </c>
      <c r="K97" s="21"/>
      <c r="N97" s="77" t="str">
        <f t="shared" si="23"/>
        <v/>
      </c>
      <c r="O97" s="77" t="str">
        <f t="shared" si="24"/>
        <v/>
      </c>
      <c r="P97" s="78" t="str">
        <f t="shared" si="25"/>
        <v/>
      </c>
      <c r="Q97" s="19" t="str">
        <f t="shared" si="30"/>
        <v/>
      </c>
      <c r="R97" s="19" t="str">
        <f>IF(M97&lt;&gt;"",toUTF16(HEX2DEC(M97)),"")</f>
        <v/>
      </c>
      <c r="S97" s="19" t="str">
        <f>IF(N97&lt;&gt;"",toUTF16(HEX2DEC(N97)),"")</f>
        <v/>
      </c>
      <c r="T97" s="19" t="str">
        <f>IF(O97&lt;&gt;"",toUTF16(HEX2DEC(O97)),"")</f>
        <v/>
      </c>
      <c r="U97" s="49" t="str">
        <f>IF(P97&lt;&gt;"",toUTF16(HEX2DEC(P97)),"")</f>
        <v/>
      </c>
      <c r="V97" s="26" t="s">
        <v>287</v>
      </c>
      <c r="W97" s="17"/>
      <c r="X97" s="17"/>
      <c r="Y97" s="9" t="str">
        <f t="shared" si="20"/>
        <v/>
      </c>
      <c r="Z97" s="9" t="str">
        <f t="shared" si="21"/>
        <v/>
      </c>
      <c r="AA97" s="10" t="str">
        <f t="shared" si="22"/>
        <v/>
      </c>
    </row>
    <row r="98" spans="7:27" ht="23.25">
      <c r="G98" s="18" t="str">
        <f t="shared" si="26"/>
        <v/>
      </c>
      <c r="H98" s="18" t="str">
        <f t="shared" si="27"/>
        <v/>
      </c>
      <c r="I98" s="18" t="str">
        <f t="shared" si="28"/>
        <v/>
      </c>
      <c r="J98" s="18" t="str">
        <f t="shared" si="29"/>
        <v/>
      </c>
      <c r="K98" s="21"/>
      <c r="N98" s="77" t="str">
        <f t="shared" si="23"/>
        <v/>
      </c>
      <c r="O98" s="77" t="str">
        <f t="shared" si="24"/>
        <v/>
      </c>
      <c r="P98" s="78" t="str">
        <f t="shared" si="25"/>
        <v/>
      </c>
      <c r="Q98" s="19" t="str">
        <f t="shared" si="30"/>
        <v/>
      </c>
      <c r="R98" s="19" t="str">
        <f>IF(M98&lt;&gt;"",toUTF16(HEX2DEC(M98)),"")</f>
        <v/>
      </c>
      <c r="S98" s="19" t="str">
        <f>IF(N98&lt;&gt;"",toUTF16(HEX2DEC(N98)),"")</f>
        <v/>
      </c>
      <c r="T98" s="19" t="str">
        <f>IF(O98&lt;&gt;"",toUTF16(HEX2DEC(O98)),"")</f>
        <v/>
      </c>
      <c r="U98" s="49" t="str">
        <f>IF(P98&lt;&gt;"",toUTF16(HEX2DEC(P98)),"")</f>
        <v/>
      </c>
      <c r="V98" s="26" t="s">
        <v>287</v>
      </c>
      <c r="W98" s="17"/>
      <c r="X98" s="17"/>
      <c r="Y98" s="9" t="str">
        <f t="shared" si="20"/>
        <v/>
      </c>
      <c r="Z98" s="9" t="str">
        <f t="shared" si="21"/>
        <v/>
      </c>
      <c r="AA98" s="10" t="str">
        <f t="shared" si="22"/>
        <v/>
      </c>
    </row>
    <row r="99" spans="7:27" ht="23.25">
      <c r="G99" s="18" t="str">
        <f t="shared" si="26"/>
        <v/>
      </c>
      <c r="H99" s="18" t="str">
        <f t="shared" si="27"/>
        <v/>
      </c>
      <c r="I99" s="18" t="str">
        <f t="shared" si="28"/>
        <v/>
      </c>
      <c r="J99" s="18" t="str">
        <f t="shared" si="29"/>
        <v/>
      </c>
      <c r="K99" s="21"/>
      <c r="N99" s="77" t="str">
        <f t="shared" si="23"/>
        <v/>
      </c>
      <c r="O99" s="77" t="str">
        <f t="shared" si="24"/>
        <v/>
      </c>
      <c r="P99" s="78" t="str">
        <f t="shared" si="25"/>
        <v/>
      </c>
      <c r="Q99" s="19" t="str">
        <f t="shared" si="30"/>
        <v/>
      </c>
      <c r="R99" s="19" t="str">
        <f>IF(M99&lt;&gt;"",toUTF16(HEX2DEC(M99)),"")</f>
        <v/>
      </c>
      <c r="S99" s="19" t="str">
        <f>IF(N99&lt;&gt;"",toUTF16(HEX2DEC(N99)),"")</f>
        <v/>
      </c>
      <c r="T99" s="19" t="str">
        <f>IF(O99&lt;&gt;"",toUTF16(HEX2DEC(O99)),"")</f>
        <v/>
      </c>
      <c r="U99" s="49" t="str">
        <f>IF(P99&lt;&gt;"",toUTF16(HEX2DEC(P99)),"")</f>
        <v/>
      </c>
      <c r="V99" s="26" t="s">
        <v>287</v>
      </c>
      <c r="W99" s="17"/>
      <c r="X99" s="17"/>
      <c r="Y99" s="9" t="str">
        <f t="shared" si="20"/>
        <v/>
      </c>
      <c r="Z99" s="9" t="str">
        <f t="shared" si="21"/>
        <v/>
      </c>
      <c r="AA99" s="10" t="str">
        <f t="shared" si="22"/>
        <v/>
      </c>
    </row>
    <row r="100" spans="7:27" ht="23.25">
      <c r="G100" s="18" t="str">
        <f t="shared" si="26"/>
        <v/>
      </c>
      <c r="H100" s="18" t="str">
        <f t="shared" si="27"/>
        <v/>
      </c>
      <c r="I100" s="18" t="str">
        <f t="shared" si="28"/>
        <v/>
      </c>
      <c r="J100" s="18" t="str">
        <f t="shared" si="29"/>
        <v/>
      </c>
      <c r="K100" s="21"/>
      <c r="N100" s="77" t="str">
        <f t="shared" si="23"/>
        <v/>
      </c>
      <c r="O100" s="77" t="str">
        <f t="shared" si="24"/>
        <v/>
      </c>
      <c r="P100" s="78" t="str">
        <f t="shared" si="25"/>
        <v/>
      </c>
      <c r="Q100" s="19" t="str">
        <f t="shared" si="30"/>
        <v/>
      </c>
      <c r="R100" s="19" t="str">
        <f>IF(M100&lt;&gt;"",toUTF16(HEX2DEC(M100)),"")</f>
        <v/>
      </c>
      <c r="S100" s="19" t="str">
        <f>IF(N100&lt;&gt;"",toUTF16(HEX2DEC(N100)),"")</f>
        <v/>
      </c>
      <c r="T100" s="19" t="str">
        <f>IF(O100&lt;&gt;"",toUTF16(HEX2DEC(O100)),"")</f>
        <v/>
      </c>
      <c r="U100" s="49" t="str">
        <f>IF(P100&lt;&gt;"",toUTF16(HEX2DEC(P100)),"")</f>
        <v/>
      </c>
      <c r="V100" s="26" t="s">
        <v>287</v>
      </c>
      <c r="W100" s="17"/>
      <c r="X100" s="17"/>
      <c r="Y100" s="9" t="str">
        <f t="shared" si="20"/>
        <v/>
      </c>
      <c r="Z100" s="9" t="str">
        <f t="shared" si="21"/>
        <v/>
      </c>
      <c r="AA100" s="10" t="str">
        <f t="shared" si="22"/>
        <v/>
      </c>
    </row>
    <row r="101" spans="7:27" ht="23.25">
      <c r="G101" s="18" t="str">
        <f t="shared" si="26"/>
        <v/>
      </c>
      <c r="H101" s="18" t="str">
        <f t="shared" si="27"/>
        <v/>
      </c>
      <c r="I101" s="18" t="str">
        <f t="shared" si="28"/>
        <v/>
      </c>
      <c r="J101" s="18" t="str">
        <f t="shared" si="29"/>
        <v/>
      </c>
      <c r="K101" s="21"/>
      <c r="N101" s="77" t="str">
        <f t="shared" si="23"/>
        <v/>
      </c>
      <c r="O101" s="77" t="str">
        <f t="shared" si="24"/>
        <v/>
      </c>
      <c r="P101" s="78" t="str">
        <f t="shared" si="25"/>
        <v/>
      </c>
      <c r="Q101" s="19" t="str">
        <f t="shared" si="30"/>
        <v/>
      </c>
      <c r="R101" s="19" t="str">
        <f>IF(M101&lt;&gt;"",toUTF16(HEX2DEC(M101)),"")</f>
        <v/>
      </c>
      <c r="S101" s="19" t="str">
        <f>IF(N101&lt;&gt;"",toUTF16(HEX2DEC(N101)),"")</f>
        <v/>
      </c>
      <c r="T101" s="19" t="str">
        <f>IF(O101&lt;&gt;"",toUTF16(HEX2DEC(O101)),"")</f>
        <v/>
      </c>
      <c r="U101" s="49" t="str">
        <f>IF(P101&lt;&gt;"",toUTF16(HEX2DEC(P101)),"")</f>
        <v/>
      </c>
      <c r="V101" s="26" t="s">
        <v>287</v>
      </c>
      <c r="W101" s="17"/>
      <c r="X101" s="17"/>
      <c r="Y101" s="9" t="str">
        <f t="shared" si="20"/>
        <v/>
      </c>
      <c r="Z101" s="9" t="str">
        <f t="shared" si="21"/>
        <v/>
      </c>
      <c r="AA101" s="10" t="str">
        <f t="shared" si="22"/>
        <v/>
      </c>
    </row>
    <row r="102" spans="7:27" ht="23.25">
      <c r="G102" s="18" t="str">
        <f t="shared" si="26"/>
        <v/>
      </c>
      <c r="H102" s="18" t="str">
        <f t="shared" si="27"/>
        <v/>
      </c>
      <c r="I102" s="18" t="str">
        <f t="shared" si="28"/>
        <v/>
      </c>
      <c r="J102" s="18" t="str">
        <f t="shared" si="29"/>
        <v/>
      </c>
      <c r="K102" s="21"/>
      <c r="N102" s="77" t="str">
        <f t="shared" si="23"/>
        <v/>
      </c>
      <c r="O102" s="77" t="str">
        <f t="shared" si="24"/>
        <v/>
      </c>
      <c r="P102" s="78" t="str">
        <f t="shared" si="25"/>
        <v/>
      </c>
      <c r="Q102" s="19" t="str">
        <f t="shared" si="30"/>
        <v/>
      </c>
      <c r="R102" s="19" t="str">
        <f>IF(M102&lt;&gt;"",toUTF16(HEX2DEC(M102)),"")</f>
        <v/>
      </c>
      <c r="S102" s="19" t="str">
        <f>IF(N102&lt;&gt;"",toUTF16(HEX2DEC(N102)),"")</f>
        <v/>
      </c>
      <c r="T102" s="19" t="str">
        <f>IF(O102&lt;&gt;"",toUTF16(HEX2DEC(O102)),"")</f>
        <v/>
      </c>
      <c r="U102" s="49" t="str">
        <f>IF(P102&lt;&gt;"",toUTF16(HEX2DEC(P102)),"")</f>
        <v/>
      </c>
      <c r="V102" s="26" t="s">
        <v>287</v>
      </c>
      <c r="W102" s="17"/>
      <c r="X102" s="17"/>
      <c r="Y102" s="9" t="str">
        <f t="shared" si="20"/>
        <v/>
      </c>
      <c r="Z102" s="9" t="str">
        <f t="shared" si="21"/>
        <v/>
      </c>
      <c r="AA102" s="10" t="str">
        <f t="shared" si="22"/>
        <v/>
      </c>
    </row>
    <row r="103" spans="7:27" ht="23.25">
      <c r="G103" s="18" t="str">
        <f t="shared" si="26"/>
        <v/>
      </c>
      <c r="H103" s="18" t="str">
        <f t="shared" si="27"/>
        <v/>
      </c>
      <c r="I103" s="18" t="str">
        <f t="shared" si="28"/>
        <v/>
      </c>
      <c r="J103" s="18" t="str">
        <f t="shared" si="29"/>
        <v/>
      </c>
      <c r="K103" s="21"/>
      <c r="N103" s="77" t="str">
        <f t="shared" si="23"/>
        <v/>
      </c>
      <c r="O103" s="77" t="str">
        <f t="shared" si="24"/>
        <v/>
      </c>
      <c r="P103" s="78" t="str">
        <f t="shared" si="25"/>
        <v/>
      </c>
      <c r="Q103" s="19" t="str">
        <f t="shared" si="30"/>
        <v/>
      </c>
      <c r="R103" s="19" t="str">
        <f>IF(M103&lt;&gt;"",toUTF16(HEX2DEC(M103)),"")</f>
        <v/>
      </c>
      <c r="S103" s="19" t="str">
        <f>IF(N103&lt;&gt;"",toUTF16(HEX2DEC(N103)),"")</f>
        <v/>
      </c>
      <c r="T103" s="19" t="str">
        <f>IF(O103&lt;&gt;"",toUTF16(HEX2DEC(O103)),"")</f>
        <v/>
      </c>
      <c r="U103" s="49" t="str">
        <f>IF(P103&lt;&gt;"",toUTF16(HEX2DEC(P103)),"")</f>
        <v/>
      </c>
      <c r="V103" s="26" t="s">
        <v>287</v>
      </c>
      <c r="W103" s="17"/>
      <c r="X103" s="17"/>
      <c r="Y103" s="9" t="str">
        <f t="shared" si="20"/>
        <v/>
      </c>
      <c r="Z103" s="9" t="str">
        <f t="shared" si="21"/>
        <v/>
      </c>
      <c r="AA103" s="10" t="str">
        <f t="shared" si="22"/>
        <v/>
      </c>
    </row>
    <row r="104" spans="7:27" ht="23.25">
      <c r="G104" s="18" t="str">
        <f t="shared" si="26"/>
        <v/>
      </c>
      <c r="H104" s="18" t="str">
        <f t="shared" si="27"/>
        <v/>
      </c>
      <c r="I104" s="18" t="str">
        <f t="shared" si="28"/>
        <v/>
      </c>
      <c r="J104" s="18" t="str">
        <f t="shared" si="29"/>
        <v/>
      </c>
      <c r="K104" s="21"/>
      <c r="N104" s="77" t="str">
        <f t="shared" si="23"/>
        <v/>
      </c>
      <c r="O104" s="77" t="str">
        <f t="shared" si="24"/>
        <v/>
      </c>
      <c r="P104" s="78" t="str">
        <f t="shared" si="25"/>
        <v/>
      </c>
      <c r="Q104" s="19" t="str">
        <f t="shared" si="30"/>
        <v/>
      </c>
      <c r="R104" s="19" t="str">
        <f>IF(M104&lt;&gt;"",toUTF16(HEX2DEC(M104)),"")</f>
        <v/>
      </c>
      <c r="S104" s="19" t="str">
        <f>IF(N104&lt;&gt;"",toUTF16(HEX2DEC(N104)),"")</f>
        <v/>
      </c>
      <c r="T104" s="19" t="str">
        <f>IF(O104&lt;&gt;"",toUTF16(HEX2DEC(O104)),"")</f>
        <v/>
      </c>
      <c r="U104" s="49" t="str">
        <f>IF(P104&lt;&gt;"",toUTF16(HEX2DEC(P104)),"")</f>
        <v/>
      </c>
      <c r="V104" s="26" t="s">
        <v>287</v>
      </c>
      <c r="W104" s="17"/>
      <c r="X104" s="17"/>
      <c r="Y104" s="9" t="str">
        <f t="shared" si="20"/>
        <v/>
      </c>
      <c r="Z104" s="9" t="str">
        <f t="shared" si="21"/>
        <v/>
      </c>
      <c r="AA104" s="10" t="str">
        <f t="shared" si="22"/>
        <v/>
      </c>
    </row>
    <row r="105" spans="7:27" ht="23.25">
      <c r="G105" s="18" t="str">
        <f t="shared" si="26"/>
        <v/>
      </c>
      <c r="H105" s="18" t="str">
        <f t="shared" si="27"/>
        <v/>
      </c>
      <c r="I105" s="18" t="str">
        <f t="shared" si="28"/>
        <v/>
      </c>
      <c r="J105" s="18" t="str">
        <f t="shared" si="29"/>
        <v/>
      </c>
      <c r="K105" s="21"/>
      <c r="N105" s="77" t="str">
        <f t="shared" si="23"/>
        <v/>
      </c>
      <c r="O105" s="77" t="str">
        <f t="shared" si="24"/>
        <v/>
      </c>
      <c r="P105" s="78" t="str">
        <f t="shared" si="25"/>
        <v/>
      </c>
      <c r="Q105" s="19" t="str">
        <f t="shared" si="30"/>
        <v/>
      </c>
      <c r="R105" s="19" t="str">
        <f>IF(M105&lt;&gt;"",toUTF16(HEX2DEC(M105)),"")</f>
        <v/>
      </c>
      <c r="S105" s="19" t="str">
        <f>IF(N105&lt;&gt;"",toUTF16(HEX2DEC(N105)),"")</f>
        <v/>
      </c>
      <c r="T105" s="19" t="str">
        <f>IF(O105&lt;&gt;"",toUTF16(HEX2DEC(O105)),"")</f>
        <v/>
      </c>
      <c r="U105" s="49" t="str">
        <f>IF(P105&lt;&gt;"",toUTF16(HEX2DEC(P105)),"")</f>
        <v/>
      </c>
      <c r="V105" s="26" t="s">
        <v>287</v>
      </c>
      <c r="W105" s="17"/>
      <c r="X105" s="17"/>
      <c r="Y105" s="9" t="str">
        <f t="shared" ref="Y105:Y168" si="31">IF($X105&lt;&gt;"",DEC2HEX(HEX2DEC($X105)+2,4),"")</f>
        <v/>
      </c>
      <c r="Z105" s="9" t="str">
        <f t="shared" ref="Z105:Z168" si="32">IF($X105&lt;&gt;"",DEC2HEX(HEX2DEC($X105)+3,4),"")</f>
        <v/>
      </c>
      <c r="AA105" s="10" t="str">
        <f t="shared" ref="AA105:AA168" si="33">IF($X105&lt;&gt;"",DEC2HEX(HEX2DEC($X105)+1,4),"")</f>
        <v/>
      </c>
    </row>
    <row r="106" spans="7:27" ht="23.25">
      <c r="G106" s="18" t="str">
        <f t="shared" si="26"/>
        <v/>
      </c>
      <c r="H106" s="18" t="str">
        <f t="shared" si="27"/>
        <v/>
      </c>
      <c r="I106" s="18" t="str">
        <f t="shared" si="28"/>
        <v/>
      </c>
      <c r="J106" s="18" t="str">
        <f t="shared" si="29"/>
        <v/>
      </c>
      <c r="K106" s="21"/>
      <c r="N106" s="77" t="str">
        <f t="shared" ref="N106:N169" si="34">IF($M106&lt;&gt;"",DEC2HEX(HEX2DEC($M106)+2,4),"")</f>
        <v/>
      </c>
      <c r="O106" s="77" t="str">
        <f t="shared" ref="O106:O169" si="35">IF($M106&lt;&gt;"",DEC2HEX(HEX2DEC($M106)+3,4),"")</f>
        <v/>
      </c>
      <c r="P106" s="78" t="str">
        <f t="shared" ref="P106:P169" si="36">IF($M106&lt;&gt;"",DEC2HEX(HEX2DEC($M106)+1,4),"")</f>
        <v/>
      </c>
      <c r="Q106" s="19" t="str">
        <f t="shared" si="30"/>
        <v/>
      </c>
      <c r="R106" s="19" t="str">
        <f>IF(M106&lt;&gt;"",toUTF16(HEX2DEC(M106)),"")</f>
        <v/>
      </c>
      <c r="S106" s="19" t="str">
        <f>IF(N106&lt;&gt;"",toUTF16(HEX2DEC(N106)),"")</f>
        <v/>
      </c>
      <c r="T106" s="19" t="str">
        <f>IF(O106&lt;&gt;"",toUTF16(HEX2DEC(O106)),"")</f>
        <v/>
      </c>
      <c r="U106" s="49" t="str">
        <f>IF(P106&lt;&gt;"",toUTF16(HEX2DEC(P106)),"")</f>
        <v/>
      </c>
      <c r="V106" s="26" t="s">
        <v>287</v>
      </c>
      <c r="W106" s="17"/>
      <c r="X106" s="17"/>
      <c r="Y106" s="9" t="str">
        <f t="shared" si="31"/>
        <v/>
      </c>
      <c r="Z106" s="9" t="str">
        <f t="shared" si="32"/>
        <v/>
      </c>
      <c r="AA106" s="10" t="str">
        <f t="shared" si="33"/>
        <v/>
      </c>
    </row>
    <row r="107" spans="7:27" ht="23.25">
      <c r="G107" s="18" t="str">
        <f t="shared" ref="G107:G170" si="37">IF(R107&lt;&gt;"",R107,"")</f>
        <v/>
      </c>
      <c r="H107" s="18" t="str">
        <f t="shared" ref="H107:H170" si="38">IF(S107&lt;&gt;"",S107,"")</f>
        <v/>
      </c>
      <c r="I107" s="18" t="str">
        <f t="shared" ref="I107:I170" si="39">IF(T107&lt;&gt;"",T107,"")</f>
        <v/>
      </c>
      <c r="J107" s="18" t="str">
        <f t="shared" ref="J107:J170" si="40">IF(U107&lt;&gt;"",U107,"")</f>
        <v/>
      </c>
      <c r="K107" s="21"/>
      <c r="N107" s="77" t="str">
        <f t="shared" si="34"/>
        <v/>
      </c>
      <c r="O107" s="77" t="str">
        <f t="shared" si="35"/>
        <v/>
      </c>
      <c r="P107" s="78" t="str">
        <f t="shared" si="36"/>
        <v/>
      </c>
      <c r="Q107" s="19" t="str">
        <f t="shared" ref="Q107:Q170" si="41">IF(L107&lt;&gt;"",toUTF16(HEX2DEC(L107)),"")</f>
        <v/>
      </c>
      <c r="R107" s="19" t="str">
        <f>IF(M107&lt;&gt;"",toUTF16(HEX2DEC(M107)),"")</f>
        <v/>
      </c>
      <c r="S107" s="19" t="str">
        <f>IF(N107&lt;&gt;"",toUTF16(HEX2DEC(N107)),"")</f>
        <v/>
      </c>
      <c r="T107" s="19" t="str">
        <f>IF(O107&lt;&gt;"",toUTF16(HEX2DEC(O107)),"")</f>
        <v/>
      </c>
      <c r="U107" s="49" t="str">
        <f>IF(P107&lt;&gt;"",toUTF16(HEX2DEC(P107)),"")</f>
        <v/>
      </c>
      <c r="V107" s="26" t="s">
        <v>287</v>
      </c>
      <c r="W107" s="17"/>
      <c r="X107" s="17"/>
      <c r="Y107" s="9" t="str">
        <f t="shared" si="31"/>
        <v/>
      </c>
      <c r="Z107" s="9" t="str">
        <f t="shared" si="32"/>
        <v/>
      </c>
      <c r="AA107" s="10" t="str">
        <f t="shared" si="33"/>
        <v/>
      </c>
    </row>
    <row r="108" spans="7:27" ht="23.25">
      <c r="G108" s="18" t="str">
        <f t="shared" si="37"/>
        <v/>
      </c>
      <c r="H108" s="18" t="str">
        <f t="shared" si="38"/>
        <v/>
      </c>
      <c r="I108" s="18" t="str">
        <f t="shared" si="39"/>
        <v/>
      </c>
      <c r="J108" s="18" t="str">
        <f t="shared" si="40"/>
        <v/>
      </c>
      <c r="K108" s="21"/>
      <c r="N108" s="77" t="str">
        <f t="shared" si="34"/>
        <v/>
      </c>
      <c r="O108" s="77" t="str">
        <f t="shared" si="35"/>
        <v/>
      </c>
      <c r="P108" s="78" t="str">
        <f t="shared" si="36"/>
        <v/>
      </c>
      <c r="Q108" s="19" t="str">
        <f t="shared" si="41"/>
        <v/>
      </c>
      <c r="R108" s="19" t="str">
        <f>IF(M108&lt;&gt;"",toUTF16(HEX2DEC(M108)),"")</f>
        <v/>
      </c>
      <c r="S108" s="19" t="str">
        <f>IF(N108&lt;&gt;"",toUTF16(HEX2DEC(N108)),"")</f>
        <v/>
      </c>
      <c r="T108" s="19" t="str">
        <f>IF(O108&lt;&gt;"",toUTF16(HEX2DEC(O108)),"")</f>
        <v/>
      </c>
      <c r="U108" s="49" t="str">
        <f>IF(P108&lt;&gt;"",toUTF16(HEX2DEC(P108)),"")</f>
        <v/>
      </c>
      <c r="V108" s="26" t="s">
        <v>287</v>
      </c>
      <c r="W108" s="17"/>
      <c r="X108" s="17"/>
      <c r="Y108" s="9" t="str">
        <f t="shared" si="31"/>
        <v/>
      </c>
      <c r="Z108" s="9" t="str">
        <f t="shared" si="32"/>
        <v/>
      </c>
      <c r="AA108" s="10" t="str">
        <f t="shared" si="33"/>
        <v/>
      </c>
    </row>
    <row r="109" spans="7:27" ht="23.25">
      <c r="G109" s="18" t="str">
        <f t="shared" si="37"/>
        <v/>
      </c>
      <c r="H109" s="18" t="str">
        <f t="shared" si="38"/>
        <v/>
      </c>
      <c r="I109" s="18" t="str">
        <f t="shared" si="39"/>
        <v/>
      </c>
      <c r="J109" s="18" t="str">
        <f t="shared" si="40"/>
        <v/>
      </c>
      <c r="K109" s="21"/>
      <c r="N109" s="77" t="str">
        <f t="shared" si="34"/>
        <v/>
      </c>
      <c r="O109" s="77" t="str">
        <f t="shared" si="35"/>
        <v/>
      </c>
      <c r="P109" s="78" t="str">
        <f t="shared" si="36"/>
        <v/>
      </c>
      <c r="Q109" s="19" t="str">
        <f t="shared" si="41"/>
        <v/>
      </c>
      <c r="R109" s="19" t="str">
        <f>IF(M109&lt;&gt;"",toUTF16(HEX2DEC(M109)),"")</f>
        <v/>
      </c>
      <c r="S109" s="19" t="str">
        <f>IF(N109&lt;&gt;"",toUTF16(HEX2DEC(N109)),"")</f>
        <v/>
      </c>
      <c r="T109" s="19" t="str">
        <f>IF(O109&lt;&gt;"",toUTF16(HEX2DEC(O109)),"")</f>
        <v/>
      </c>
      <c r="U109" s="49" t="str">
        <f>IF(P109&lt;&gt;"",toUTF16(HEX2DEC(P109)),"")</f>
        <v/>
      </c>
      <c r="V109" s="26" t="s">
        <v>287</v>
      </c>
      <c r="W109" s="17"/>
      <c r="X109" s="17"/>
      <c r="Y109" s="9" t="str">
        <f t="shared" si="31"/>
        <v/>
      </c>
      <c r="Z109" s="9" t="str">
        <f t="shared" si="32"/>
        <v/>
      </c>
      <c r="AA109" s="10" t="str">
        <f t="shared" si="33"/>
        <v/>
      </c>
    </row>
    <row r="110" spans="7:27" ht="23.25">
      <c r="G110" s="18" t="str">
        <f t="shared" si="37"/>
        <v/>
      </c>
      <c r="H110" s="18" t="str">
        <f t="shared" si="38"/>
        <v/>
      </c>
      <c r="I110" s="18" t="str">
        <f t="shared" si="39"/>
        <v/>
      </c>
      <c r="J110" s="18" t="str">
        <f t="shared" si="40"/>
        <v/>
      </c>
      <c r="K110" s="21"/>
      <c r="N110" s="77" t="str">
        <f t="shared" si="34"/>
        <v/>
      </c>
      <c r="O110" s="77" t="str">
        <f t="shared" si="35"/>
        <v/>
      </c>
      <c r="P110" s="78" t="str">
        <f t="shared" si="36"/>
        <v/>
      </c>
      <c r="Q110" s="19" t="str">
        <f t="shared" si="41"/>
        <v/>
      </c>
      <c r="R110" s="19" t="str">
        <f>IF(M110&lt;&gt;"",toUTF16(HEX2DEC(M110)),"")</f>
        <v/>
      </c>
      <c r="S110" s="19" t="str">
        <f>IF(N110&lt;&gt;"",toUTF16(HEX2DEC(N110)),"")</f>
        <v/>
      </c>
      <c r="T110" s="19" t="str">
        <f>IF(O110&lt;&gt;"",toUTF16(HEX2DEC(O110)),"")</f>
        <v/>
      </c>
      <c r="U110" s="49" t="str">
        <f>IF(P110&lt;&gt;"",toUTF16(HEX2DEC(P110)),"")</f>
        <v/>
      </c>
      <c r="V110" s="26" t="s">
        <v>287</v>
      </c>
      <c r="W110" s="17"/>
      <c r="X110" s="17"/>
      <c r="Y110" s="9" t="str">
        <f t="shared" si="31"/>
        <v/>
      </c>
      <c r="Z110" s="9" t="str">
        <f t="shared" si="32"/>
        <v/>
      </c>
      <c r="AA110" s="10" t="str">
        <f t="shared" si="33"/>
        <v/>
      </c>
    </row>
    <row r="111" spans="7:27" ht="23.25">
      <c r="G111" s="18" t="str">
        <f t="shared" si="37"/>
        <v/>
      </c>
      <c r="H111" s="18" t="str">
        <f t="shared" si="38"/>
        <v/>
      </c>
      <c r="I111" s="18" t="str">
        <f t="shared" si="39"/>
        <v/>
      </c>
      <c r="J111" s="18" t="str">
        <f t="shared" si="40"/>
        <v/>
      </c>
      <c r="K111" s="21"/>
      <c r="N111" s="77" t="str">
        <f t="shared" si="34"/>
        <v/>
      </c>
      <c r="O111" s="77" t="str">
        <f t="shared" si="35"/>
        <v/>
      </c>
      <c r="P111" s="78" t="str">
        <f t="shared" si="36"/>
        <v/>
      </c>
      <c r="Q111" s="19" t="str">
        <f t="shared" si="41"/>
        <v/>
      </c>
      <c r="R111" s="19" t="str">
        <f>IF(M111&lt;&gt;"",toUTF16(HEX2DEC(M111)),"")</f>
        <v/>
      </c>
      <c r="S111" s="19" t="str">
        <f>IF(N111&lt;&gt;"",toUTF16(HEX2DEC(N111)),"")</f>
        <v/>
      </c>
      <c r="T111" s="19" t="str">
        <f>IF(O111&lt;&gt;"",toUTF16(HEX2DEC(O111)),"")</f>
        <v/>
      </c>
      <c r="U111" s="49" t="str">
        <f>IF(P111&lt;&gt;"",toUTF16(HEX2DEC(P111)),"")</f>
        <v/>
      </c>
      <c r="V111" s="26" t="s">
        <v>287</v>
      </c>
      <c r="W111" s="17"/>
      <c r="X111" s="17"/>
      <c r="Y111" s="9" t="str">
        <f t="shared" si="31"/>
        <v/>
      </c>
      <c r="Z111" s="9" t="str">
        <f t="shared" si="32"/>
        <v/>
      </c>
      <c r="AA111" s="10" t="str">
        <f t="shared" si="33"/>
        <v/>
      </c>
    </row>
    <row r="112" spans="7:27" ht="23.25">
      <c r="G112" s="18" t="str">
        <f t="shared" si="37"/>
        <v/>
      </c>
      <c r="H112" s="18" t="str">
        <f t="shared" si="38"/>
        <v/>
      </c>
      <c r="I112" s="18" t="str">
        <f t="shared" si="39"/>
        <v/>
      </c>
      <c r="J112" s="18" t="str">
        <f t="shared" si="40"/>
        <v/>
      </c>
      <c r="K112" s="21"/>
      <c r="N112" s="77" t="str">
        <f t="shared" si="34"/>
        <v/>
      </c>
      <c r="O112" s="77" t="str">
        <f t="shared" si="35"/>
        <v/>
      </c>
      <c r="P112" s="78" t="str">
        <f t="shared" si="36"/>
        <v/>
      </c>
      <c r="Q112" s="19" t="str">
        <f t="shared" si="41"/>
        <v/>
      </c>
      <c r="R112" s="19" t="str">
        <f>IF(M112&lt;&gt;"",toUTF16(HEX2DEC(M112)),"")</f>
        <v/>
      </c>
      <c r="S112" s="19" t="str">
        <f>IF(N112&lt;&gt;"",toUTF16(HEX2DEC(N112)),"")</f>
        <v/>
      </c>
      <c r="T112" s="19" t="str">
        <f>IF(O112&lt;&gt;"",toUTF16(HEX2DEC(O112)),"")</f>
        <v/>
      </c>
      <c r="U112" s="49" t="str">
        <f>IF(P112&lt;&gt;"",toUTF16(HEX2DEC(P112)),"")</f>
        <v/>
      </c>
      <c r="V112" s="26" t="s">
        <v>287</v>
      </c>
      <c r="W112" s="17"/>
      <c r="X112" s="17"/>
      <c r="Y112" s="9" t="str">
        <f t="shared" si="31"/>
        <v/>
      </c>
      <c r="Z112" s="9" t="str">
        <f t="shared" si="32"/>
        <v/>
      </c>
      <c r="AA112" s="10" t="str">
        <f t="shared" si="33"/>
        <v/>
      </c>
    </row>
    <row r="113" spans="7:27" ht="23.25">
      <c r="G113" s="18" t="str">
        <f t="shared" si="37"/>
        <v/>
      </c>
      <c r="H113" s="18" t="str">
        <f t="shared" si="38"/>
        <v/>
      </c>
      <c r="I113" s="18" t="str">
        <f t="shared" si="39"/>
        <v/>
      </c>
      <c r="J113" s="18" t="str">
        <f t="shared" si="40"/>
        <v/>
      </c>
      <c r="K113" s="21"/>
      <c r="N113" s="77" t="str">
        <f t="shared" si="34"/>
        <v/>
      </c>
      <c r="O113" s="77" t="str">
        <f t="shared" si="35"/>
        <v/>
      </c>
      <c r="P113" s="78" t="str">
        <f t="shared" si="36"/>
        <v/>
      </c>
      <c r="Q113" s="19" t="str">
        <f t="shared" si="41"/>
        <v/>
      </c>
      <c r="R113" s="19" t="str">
        <f>IF(M113&lt;&gt;"",toUTF16(HEX2DEC(M113)),"")</f>
        <v/>
      </c>
      <c r="S113" s="19" t="str">
        <f>IF(N113&lt;&gt;"",toUTF16(HEX2DEC(N113)),"")</f>
        <v/>
      </c>
      <c r="T113" s="19" t="str">
        <f>IF(O113&lt;&gt;"",toUTF16(HEX2DEC(O113)),"")</f>
        <v/>
      </c>
      <c r="U113" s="49" t="str">
        <f>IF(P113&lt;&gt;"",toUTF16(HEX2DEC(P113)),"")</f>
        <v/>
      </c>
      <c r="V113" s="26" t="s">
        <v>287</v>
      </c>
      <c r="W113" s="17"/>
      <c r="X113" s="17"/>
      <c r="Y113" s="9" t="str">
        <f t="shared" si="31"/>
        <v/>
      </c>
      <c r="Z113" s="9" t="str">
        <f t="shared" si="32"/>
        <v/>
      </c>
      <c r="AA113" s="10" t="str">
        <f t="shared" si="33"/>
        <v/>
      </c>
    </row>
    <row r="114" spans="7:27" ht="23.25">
      <c r="G114" s="18" t="str">
        <f t="shared" si="37"/>
        <v/>
      </c>
      <c r="H114" s="18" t="str">
        <f t="shared" si="38"/>
        <v/>
      </c>
      <c r="I114" s="18" t="str">
        <f t="shared" si="39"/>
        <v/>
      </c>
      <c r="J114" s="18" t="str">
        <f t="shared" si="40"/>
        <v/>
      </c>
      <c r="K114" s="21"/>
      <c r="N114" s="77" t="str">
        <f t="shared" si="34"/>
        <v/>
      </c>
      <c r="O114" s="77" t="str">
        <f t="shared" si="35"/>
        <v/>
      </c>
      <c r="P114" s="78" t="str">
        <f t="shared" si="36"/>
        <v/>
      </c>
      <c r="Q114" s="19" t="str">
        <f t="shared" si="41"/>
        <v/>
      </c>
      <c r="R114" s="19" t="str">
        <f>IF(M114&lt;&gt;"",toUTF16(HEX2DEC(M114)),"")</f>
        <v/>
      </c>
      <c r="S114" s="19" t="str">
        <f>IF(N114&lt;&gt;"",toUTF16(HEX2DEC(N114)),"")</f>
        <v/>
      </c>
      <c r="T114" s="19" t="str">
        <f>IF(O114&lt;&gt;"",toUTF16(HEX2DEC(O114)),"")</f>
        <v/>
      </c>
      <c r="U114" s="49" t="str">
        <f>IF(P114&lt;&gt;"",toUTF16(HEX2DEC(P114)),"")</f>
        <v/>
      </c>
      <c r="V114" s="26" t="s">
        <v>287</v>
      </c>
      <c r="W114" s="17"/>
      <c r="X114" s="17"/>
      <c r="Y114" s="9" t="str">
        <f t="shared" si="31"/>
        <v/>
      </c>
      <c r="Z114" s="9" t="str">
        <f t="shared" si="32"/>
        <v/>
      </c>
      <c r="AA114" s="10" t="str">
        <f t="shared" si="33"/>
        <v/>
      </c>
    </row>
    <row r="115" spans="7:27" ht="23.25">
      <c r="G115" s="18" t="str">
        <f t="shared" si="37"/>
        <v/>
      </c>
      <c r="H115" s="18" t="str">
        <f t="shared" si="38"/>
        <v/>
      </c>
      <c r="I115" s="18" t="str">
        <f t="shared" si="39"/>
        <v/>
      </c>
      <c r="J115" s="18" t="str">
        <f t="shared" si="40"/>
        <v/>
      </c>
      <c r="K115" s="21"/>
      <c r="N115" s="77" t="str">
        <f t="shared" si="34"/>
        <v/>
      </c>
      <c r="O115" s="77" t="str">
        <f t="shared" si="35"/>
        <v/>
      </c>
      <c r="P115" s="78" t="str">
        <f t="shared" si="36"/>
        <v/>
      </c>
      <c r="Q115" s="19" t="str">
        <f t="shared" si="41"/>
        <v/>
      </c>
      <c r="R115" s="19" t="str">
        <f>IF(M115&lt;&gt;"",toUTF16(HEX2DEC(M115)),"")</f>
        <v/>
      </c>
      <c r="S115" s="19" t="str">
        <f>IF(N115&lt;&gt;"",toUTF16(HEX2DEC(N115)),"")</f>
        <v/>
      </c>
      <c r="T115" s="19" t="str">
        <f>IF(O115&lt;&gt;"",toUTF16(HEX2DEC(O115)),"")</f>
        <v/>
      </c>
      <c r="U115" s="49" t="str">
        <f>IF(P115&lt;&gt;"",toUTF16(HEX2DEC(P115)),"")</f>
        <v/>
      </c>
      <c r="V115" s="26" t="s">
        <v>287</v>
      </c>
      <c r="W115" s="17"/>
      <c r="X115" s="17"/>
      <c r="Y115" s="9" t="str">
        <f t="shared" si="31"/>
        <v/>
      </c>
      <c r="Z115" s="9" t="str">
        <f t="shared" si="32"/>
        <v/>
      </c>
      <c r="AA115" s="10" t="str">
        <f t="shared" si="33"/>
        <v/>
      </c>
    </row>
    <row r="116" spans="7:27" ht="23.25">
      <c r="G116" s="18" t="str">
        <f t="shared" si="37"/>
        <v/>
      </c>
      <c r="H116" s="18" t="str">
        <f t="shared" si="38"/>
        <v/>
      </c>
      <c r="I116" s="18" t="str">
        <f t="shared" si="39"/>
        <v/>
      </c>
      <c r="J116" s="18" t="str">
        <f t="shared" si="40"/>
        <v/>
      </c>
      <c r="K116" s="21"/>
      <c r="N116" s="77" t="str">
        <f t="shared" si="34"/>
        <v/>
      </c>
      <c r="O116" s="77" t="str">
        <f t="shared" si="35"/>
        <v/>
      </c>
      <c r="P116" s="78" t="str">
        <f t="shared" si="36"/>
        <v/>
      </c>
      <c r="Q116" s="19" t="str">
        <f t="shared" si="41"/>
        <v/>
      </c>
      <c r="R116" s="19" t="str">
        <f>IF(M116&lt;&gt;"",toUTF16(HEX2DEC(M116)),"")</f>
        <v/>
      </c>
      <c r="S116" s="19" t="str">
        <f>IF(N116&lt;&gt;"",toUTF16(HEX2DEC(N116)),"")</f>
        <v/>
      </c>
      <c r="T116" s="19" t="str">
        <f>IF(O116&lt;&gt;"",toUTF16(HEX2DEC(O116)),"")</f>
        <v/>
      </c>
      <c r="U116" s="49" t="str">
        <f>IF(P116&lt;&gt;"",toUTF16(HEX2DEC(P116)),"")</f>
        <v/>
      </c>
      <c r="V116" s="26" t="s">
        <v>287</v>
      </c>
      <c r="W116" s="17"/>
      <c r="X116" s="17"/>
      <c r="Y116" s="9" t="str">
        <f t="shared" si="31"/>
        <v/>
      </c>
      <c r="Z116" s="9" t="str">
        <f t="shared" si="32"/>
        <v/>
      </c>
      <c r="AA116" s="10" t="str">
        <f t="shared" si="33"/>
        <v/>
      </c>
    </row>
    <row r="117" spans="7:27" ht="23.25">
      <c r="G117" s="18" t="str">
        <f t="shared" si="37"/>
        <v/>
      </c>
      <c r="H117" s="18" t="str">
        <f t="shared" si="38"/>
        <v/>
      </c>
      <c r="I117" s="18" t="str">
        <f t="shared" si="39"/>
        <v/>
      </c>
      <c r="J117" s="18" t="str">
        <f t="shared" si="40"/>
        <v/>
      </c>
      <c r="K117" s="21"/>
      <c r="N117" s="77" t="str">
        <f t="shared" si="34"/>
        <v/>
      </c>
      <c r="O117" s="77" t="str">
        <f t="shared" si="35"/>
        <v/>
      </c>
      <c r="P117" s="78" t="str">
        <f t="shared" si="36"/>
        <v/>
      </c>
      <c r="Q117" s="19" t="str">
        <f t="shared" si="41"/>
        <v/>
      </c>
      <c r="R117" s="19" t="str">
        <f>IF(M117&lt;&gt;"",toUTF16(HEX2DEC(M117)),"")</f>
        <v/>
      </c>
      <c r="S117" s="19" t="str">
        <f>IF(N117&lt;&gt;"",toUTF16(HEX2DEC(N117)),"")</f>
        <v/>
      </c>
      <c r="T117" s="19" t="str">
        <f>IF(O117&lt;&gt;"",toUTF16(HEX2DEC(O117)),"")</f>
        <v/>
      </c>
      <c r="U117" s="49" t="str">
        <f>IF(P117&lt;&gt;"",toUTF16(HEX2DEC(P117)),"")</f>
        <v/>
      </c>
      <c r="V117" s="26" t="s">
        <v>287</v>
      </c>
      <c r="W117" s="17"/>
      <c r="X117" s="17"/>
      <c r="Y117" s="9" t="str">
        <f t="shared" si="31"/>
        <v/>
      </c>
      <c r="Z117" s="9" t="str">
        <f t="shared" si="32"/>
        <v/>
      </c>
      <c r="AA117" s="10" t="str">
        <f t="shared" si="33"/>
        <v/>
      </c>
    </row>
    <row r="118" spans="7:27" ht="23.25">
      <c r="G118" s="18" t="str">
        <f t="shared" si="37"/>
        <v/>
      </c>
      <c r="H118" s="18" t="str">
        <f t="shared" si="38"/>
        <v/>
      </c>
      <c r="I118" s="18" t="str">
        <f t="shared" si="39"/>
        <v/>
      </c>
      <c r="J118" s="18" t="str">
        <f t="shared" si="40"/>
        <v/>
      </c>
      <c r="K118" s="21"/>
      <c r="N118" s="77" t="str">
        <f t="shared" si="34"/>
        <v/>
      </c>
      <c r="O118" s="77" t="str">
        <f t="shared" si="35"/>
        <v/>
      </c>
      <c r="P118" s="78" t="str">
        <f t="shared" si="36"/>
        <v/>
      </c>
      <c r="Q118" s="19" t="str">
        <f t="shared" si="41"/>
        <v/>
      </c>
      <c r="R118" s="19" t="str">
        <f>IF(M118&lt;&gt;"",toUTF16(HEX2DEC(M118)),"")</f>
        <v/>
      </c>
      <c r="S118" s="19" t="str">
        <f>IF(N118&lt;&gt;"",toUTF16(HEX2DEC(N118)),"")</f>
        <v/>
      </c>
      <c r="T118" s="19" t="str">
        <f>IF(O118&lt;&gt;"",toUTF16(HEX2DEC(O118)),"")</f>
        <v/>
      </c>
      <c r="U118" s="49" t="str">
        <f>IF(P118&lt;&gt;"",toUTF16(HEX2DEC(P118)),"")</f>
        <v/>
      </c>
      <c r="V118" s="26" t="s">
        <v>287</v>
      </c>
      <c r="W118" s="17"/>
      <c r="X118" s="17"/>
      <c r="Y118" s="9" t="str">
        <f t="shared" si="31"/>
        <v/>
      </c>
      <c r="Z118" s="9" t="str">
        <f t="shared" si="32"/>
        <v/>
      </c>
      <c r="AA118" s="10" t="str">
        <f t="shared" si="33"/>
        <v/>
      </c>
    </row>
    <row r="119" spans="7:27" ht="23.25">
      <c r="G119" s="18" t="str">
        <f t="shared" si="37"/>
        <v/>
      </c>
      <c r="H119" s="18" t="str">
        <f t="shared" si="38"/>
        <v/>
      </c>
      <c r="I119" s="18" t="str">
        <f t="shared" si="39"/>
        <v/>
      </c>
      <c r="J119" s="18" t="str">
        <f t="shared" si="40"/>
        <v/>
      </c>
      <c r="K119" s="21"/>
      <c r="N119" s="77" t="str">
        <f t="shared" si="34"/>
        <v/>
      </c>
      <c r="O119" s="77" t="str">
        <f t="shared" si="35"/>
        <v/>
      </c>
      <c r="P119" s="78" t="str">
        <f t="shared" si="36"/>
        <v/>
      </c>
      <c r="Q119" s="19" t="str">
        <f t="shared" si="41"/>
        <v/>
      </c>
      <c r="R119" s="19" t="str">
        <f>IF(M119&lt;&gt;"",toUTF16(HEX2DEC(M119)),"")</f>
        <v/>
      </c>
      <c r="S119" s="19" t="str">
        <f>IF(N119&lt;&gt;"",toUTF16(HEX2DEC(N119)),"")</f>
        <v/>
      </c>
      <c r="T119" s="19" t="str">
        <f>IF(O119&lt;&gt;"",toUTF16(HEX2DEC(O119)),"")</f>
        <v/>
      </c>
      <c r="U119" s="49" t="str">
        <f>IF(P119&lt;&gt;"",toUTF16(HEX2DEC(P119)),"")</f>
        <v/>
      </c>
      <c r="V119" s="26" t="s">
        <v>287</v>
      </c>
      <c r="W119" s="17"/>
      <c r="X119" s="17"/>
      <c r="Y119" s="9" t="str">
        <f t="shared" si="31"/>
        <v/>
      </c>
      <c r="Z119" s="9" t="str">
        <f t="shared" si="32"/>
        <v/>
      </c>
      <c r="AA119" s="10" t="str">
        <f t="shared" si="33"/>
        <v/>
      </c>
    </row>
    <row r="120" spans="7:27" ht="23.25">
      <c r="G120" s="18" t="str">
        <f t="shared" si="37"/>
        <v/>
      </c>
      <c r="H120" s="18" t="str">
        <f t="shared" si="38"/>
        <v/>
      </c>
      <c r="I120" s="18" t="str">
        <f t="shared" si="39"/>
        <v/>
      </c>
      <c r="J120" s="18" t="str">
        <f t="shared" si="40"/>
        <v/>
      </c>
      <c r="K120" s="21"/>
      <c r="N120" s="77" t="str">
        <f t="shared" si="34"/>
        <v/>
      </c>
      <c r="O120" s="77" t="str">
        <f t="shared" si="35"/>
        <v/>
      </c>
      <c r="P120" s="78" t="str">
        <f t="shared" si="36"/>
        <v/>
      </c>
      <c r="Q120" s="19" t="str">
        <f t="shared" si="41"/>
        <v/>
      </c>
      <c r="R120" s="19" t="str">
        <f>IF(M120&lt;&gt;"",toUTF16(HEX2DEC(M120)),"")</f>
        <v/>
      </c>
      <c r="S120" s="19" t="str">
        <f>IF(N120&lt;&gt;"",toUTF16(HEX2DEC(N120)),"")</f>
        <v/>
      </c>
      <c r="T120" s="19" t="str">
        <f>IF(O120&lt;&gt;"",toUTF16(HEX2DEC(O120)),"")</f>
        <v/>
      </c>
      <c r="U120" s="49" t="str">
        <f>IF(P120&lt;&gt;"",toUTF16(HEX2DEC(P120)),"")</f>
        <v/>
      </c>
      <c r="V120" s="26" t="s">
        <v>287</v>
      </c>
      <c r="W120" s="17"/>
      <c r="X120" s="17"/>
      <c r="Y120" s="9" t="str">
        <f t="shared" si="31"/>
        <v/>
      </c>
      <c r="Z120" s="9" t="str">
        <f t="shared" si="32"/>
        <v/>
      </c>
      <c r="AA120" s="10" t="str">
        <f t="shared" si="33"/>
        <v/>
      </c>
    </row>
    <row r="121" spans="7:27" ht="23.25">
      <c r="G121" s="18" t="str">
        <f t="shared" si="37"/>
        <v/>
      </c>
      <c r="H121" s="18" t="str">
        <f t="shared" si="38"/>
        <v/>
      </c>
      <c r="I121" s="18" t="str">
        <f t="shared" si="39"/>
        <v/>
      </c>
      <c r="J121" s="18" t="str">
        <f t="shared" si="40"/>
        <v/>
      </c>
      <c r="K121" s="21"/>
      <c r="N121" s="77" t="str">
        <f t="shared" si="34"/>
        <v/>
      </c>
      <c r="O121" s="77" t="str">
        <f t="shared" si="35"/>
        <v/>
      </c>
      <c r="P121" s="78" t="str">
        <f t="shared" si="36"/>
        <v/>
      </c>
      <c r="Q121" s="19" t="str">
        <f t="shared" si="41"/>
        <v/>
      </c>
      <c r="R121" s="19" t="str">
        <f>IF(M121&lt;&gt;"",toUTF16(HEX2DEC(M121)),"")</f>
        <v/>
      </c>
      <c r="S121" s="19" t="str">
        <f>IF(N121&lt;&gt;"",toUTF16(HEX2DEC(N121)),"")</f>
        <v/>
      </c>
      <c r="T121" s="19" t="str">
        <f>IF(O121&lt;&gt;"",toUTF16(HEX2DEC(O121)),"")</f>
        <v/>
      </c>
      <c r="U121" s="49" t="str">
        <f>IF(P121&lt;&gt;"",toUTF16(HEX2DEC(P121)),"")</f>
        <v/>
      </c>
      <c r="V121" s="26" t="s">
        <v>287</v>
      </c>
      <c r="W121" s="17"/>
      <c r="X121" s="17"/>
      <c r="Y121" s="9" t="str">
        <f t="shared" si="31"/>
        <v/>
      </c>
      <c r="Z121" s="9" t="str">
        <f t="shared" si="32"/>
        <v/>
      </c>
      <c r="AA121" s="10" t="str">
        <f t="shared" si="33"/>
        <v/>
      </c>
    </row>
    <row r="122" spans="7:27" ht="23.25">
      <c r="G122" s="18" t="str">
        <f t="shared" si="37"/>
        <v/>
      </c>
      <c r="H122" s="18" t="str">
        <f t="shared" si="38"/>
        <v/>
      </c>
      <c r="I122" s="18" t="str">
        <f t="shared" si="39"/>
        <v/>
      </c>
      <c r="J122" s="18" t="str">
        <f t="shared" si="40"/>
        <v/>
      </c>
      <c r="K122" s="21"/>
      <c r="N122" s="77" t="str">
        <f t="shared" si="34"/>
        <v/>
      </c>
      <c r="O122" s="77" t="str">
        <f t="shared" si="35"/>
        <v/>
      </c>
      <c r="P122" s="78" t="str">
        <f t="shared" si="36"/>
        <v/>
      </c>
      <c r="Q122" s="19" t="str">
        <f t="shared" si="41"/>
        <v/>
      </c>
      <c r="R122" s="19" t="str">
        <f>IF(M122&lt;&gt;"",toUTF16(HEX2DEC(M122)),"")</f>
        <v/>
      </c>
      <c r="S122" s="19" t="str">
        <f>IF(N122&lt;&gt;"",toUTF16(HEX2DEC(N122)),"")</f>
        <v/>
      </c>
      <c r="T122" s="19" t="str">
        <f>IF(O122&lt;&gt;"",toUTF16(HEX2DEC(O122)),"")</f>
        <v/>
      </c>
      <c r="U122" s="49" t="str">
        <f>IF(P122&lt;&gt;"",toUTF16(HEX2DEC(P122)),"")</f>
        <v/>
      </c>
      <c r="V122" s="26" t="s">
        <v>287</v>
      </c>
      <c r="W122" s="17"/>
      <c r="X122" s="17"/>
      <c r="Y122" s="9" t="str">
        <f t="shared" si="31"/>
        <v/>
      </c>
      <c r="Z122" s="9" t="str">
        <f t="shared" si="32"/>
        <v/>
      </c>
      <c r="AA122" s="10" t="str">
        <f t="shared" si="33"/>
        <v/>
      </c>
    </row>
    <row r="123" spans="7:27" ht="23.25">
      <c r="G123" s="18" t="str">
        <f t="shared" si="37"/>
        <v/>
      </c>
      <c r="H123" s="18" t="str">
        <f t="shared" si="38"/>
        <v/>
      </c>
      <c r="I123" s="18" t="str">
        <f t="shared" si="39"/>
        <v/>
      </c>
      <c r="J123" s="18" t="str">
        <f t="shared" si="40"/>
        <v/>
      </c>
      <c r="K123" s="21"/>
      <c r="N123" s="77" t="str">
        <f t="shared" si="34"/>
        <v/>
      </c>
      <c r="O123" s="77" t="str">
        <f t="shared" si="35"/>
        <v/>
      </c>
      <c r="P123" s="78" t="str">
        <f t="shared" si="36"/>
        <v/>
      </c>
      <c r="Q123" s="19" t="str">
        <f t="shared" si="41"/>
        <v/>
      </c>
      <c r="R123" s="19" t="str">
        <f>IF(M123&lt;&gt;"",toUTF16(HEX2DEC(M123)),"")</f>
        <v/>
      </c>
      <c r="S123" s="19" t="str">
        <f>IF(N123&lt;&gt;"",toUTF16(HEX2DEC(N123)),"")</f>
        <v/>
      </c>
      <c r="T123" s="19" t="str">
        <f>IF(O123&lt;&gt;"",toUTF16(HEX2DEC(O123)),"")</f>
        <v/>
      </c>
      <c r="U123" s="49" t="str">
        <f>IF(P123&lt;&gt;"",toUTF16(HEX2DEC(P123)),"")</f>
        <v/>
      </c>
      <c r="V123" s="26" t="s">
        <v>287</v>
      </c>
      <c r="W123" s="17"/>
      <c r="X123" s="17"/>
      <c r="Y123" s="9" t="str">
        <f t="shared" si="31"/>
        <v/>
      </c>
      <c r="Z123" s="9" t="str">
        <f t="shared" si="32"/>
        <v/>
      </c>
      <c r="AA123" s="10" t="str">
        <f t="shared" si="33"/>
        <v/>
      </c>
    </row>
    <row r="124" spans="7:27" ht="23.25">
      <c r="G124" s="18" t="str">
        <f t="shared" si="37"/>
        <v/>
      </c>
      <c r="H124" s="18" t="str">
        <f t="shared" si="38"/>
        <v/>
      </c>
      <c r="I124" s="18" t="str">
        <f t="shared" si="39"/>
        <v/>
      </c>
      <c r="J124" s="18" t="str">
        <f t="shared" si="40"/>
        <v/>
      </c>
      <c r="K124" s="21"/>
      <c r="N124" s="77" t="str">
        <f t="shared" si="34"/>
        <v/>
      </c>
      <c r="O124" s="77" t="str">
        <f t="shared" si="35"/>
        <v/>
      </c>
      <c r="P124" s="78" t="str">
        <f t="shared" si="36"/>
        <v/>
      </c>
      <c r="Q124" s="19" t="str">
        <f t="shared" si="41"/>
        <v/>
      </c>
      <c r="R124" s="19" t="str">
        <f>IF(M124&lt;&gt;"",toUTF16(HEX2DEC(M124)),"")</f>
        <v/>
      </c>
      <c r="S124" s="19" t="str">
        <f>IF(N124&lt;&gt;"",toUTF16(HEX2DEC(N124)),"")</f>
        <v/>
      </c>
      <c r="T124" s="19" t="str">
        <f>IF(O124&lt;&gt;"",toUTF16(HEX2DEC(O124)),"")</f>
        <v/>
      </c>
      <c r="U124" s="49" t="str">
        <f>IF(P124&lt;&gt;"",toUTF16(HEX2DEC(P124)),"")</f>
        <v/>
      </c>
      <c r="V124" s="26" t="s">
        <v>287</v>
      </c>
      <c r="W124" s="17"/>
      <c r="X124" s="17"/>
      <c r="Y124" s="9" t="str">
        <f t="shared" si="31"/>
        <v/>
      </c>
      <c r="Z124" s="9" t="str">
        <f t="shared" si="32"/>
        <v/>
      </c>
      <c r="AA124" s="10" t="str">
        <f t="shared" si="33"/>
        <v/>
      </c>
    </row>
    <row r="125" spans="7:27" ht="23.25">
      <c r="G125" s="18" t="str">
        <f t="shared" si="37"/>
        <v/>
      </c>
      <c r="H125" s="18" t="str">
        <f t="shared" si="38"/>
        <v/>
      </c>
      <c r="I125" s="18" t="str">
        <f t="shared" si="39"/>
        <v/>
      </c>
      <c r="J125" s="18" t="str">
        <f t="shared" si="40"/>
        <v/>
      </c>
      <c r="K125" s="21"/>
      <c r="N125" s="77" t="str">
        <f t="shared" si="34"/>
        <v/>
      </c>
      <c r="O125" s="77" t="str">
        <f t="shared" si="35"/>
        <v/>
      </c>
      <c r="P125" s="78" t="str">
        <f t="shared" si="36"/>
        <v/>
      </c>
      <c r="Q125" s="19" t="str">
        <f t="shared" si="41"/>
        <v/>
      </c>
      <c r="R125" s="19" t="str">
        <f>IF(M125&lt;&gt;"",toUTF16(HEX2DEC(M125)),"")</f>
        <v/>
      </c>
      <c r="S125" s="19" t="str">
        <f>IF(N125&lt;&gt;"",toUTF16(HEX2DEC(N125)),"")</f>
        <v/>
      </c>
      <c r="T125" s="19" t="str">
        <f>IF(O125&lt;&gt;"",toUTF16(HEX2DEC(O125)),"")</f>
        <v/>
      </c>
      <c r="U125" s="49" t="str">
        <f>IF(P125&lt;&gt;"",toUTF16(HEX2DEC(P125)),"")</f>
        <v/>
      </c>
      <c r="V125" s="26" t="s">
        <v>287</v>
      </c>
      <c r="W125" s="17"/>
      <c r="X125" s="17"/>
      <c r="Y125" s="9" t="str">
        <f t="shared" si="31"/>
        <v/>
      </c>
      <c r="Z125" s="9" t="str">
        <f t="shared" si="32"/>
        <v/>
      </c>
      <c r="AA125" s="10" t="str">
        <f t="shared" si="33"/>
        <v/>
      </c>
    </row>
    <row r="126" spans="7:27" ht="23.25">
      <c r="G126" s="18" t="str">
        <f t="shared" si="37"/>
        <v/>
      </c>
      <c r="H126" s="18" t="str">
        <f t="shared" si="38"/>
        <v/>
      </c>
      <c r="I126" s="18" t="str">
        <f t="shared" si="39"/>
        <v/>
      </c>
      <c r="J126" s="18" t="str">
        <f t="shared" si="40"/>
        <v/>
      </c>
      <c r="K126" s="21"/>
      <c r="N126" s="77" t="str">
        <f t="shared" si="34"/>
        <v/>
      </c>
      <c r="O126" s="77" t="str">
        <f t="shared" si="35"/>
        <v/>
      </c>
      <c r="P126" s="78" t="str">
        <f t="shared" si="36"/>
        <v/>
      </c>
      <c r="Q126" s="19" t="str">
        <f t="shared" si="41"/>
        <v/>
      </c>
      <c r="R126" s="19" t="str">
        <f>IF(M126&lt;&gt;"",toUTF16(HEX2DEC(M126)),"")</f>
        <v/>
      </c>
      <c r="S126" s="19" t="str">
        <f>IF(N126&lt;&gt;"",toUTF16(HEX2DEC(N126)),"")</f>
        <v/>
      </c>
      <c r="T126" s="19" t="str">
        <f>IF(O126&lt;&gt;"",toUTF16(HEX2DEC(O126)),"")</f>
        <v/>
      </c>
      <c r="U126" s="49" t="str">
        <f>IF(P126&lt;&gt;"",toUTF16(HEX2DEC(P126)),"")</f>
        <v/>
      </c>
      <c r="V126" s="26" t="s">
        <v>287</v>
      </c>
      <c r="W126" s="17"/>
      <c r="X126" s="17"/>
      <c r="Y126" s="9" t="str">
        <f t="shared" si="31"/>
        <v/>
      </c>
      <c r="Z126" s="9" t="str">
        <f t="shared" si="32"/>
        <v/>
      </c>
      <c r="AA126" s="10" t="str">
        <f t="shared" si="33"/>
        <v/>
      </c>
    </row>
    <row r="127" spans="7:27" ht="23.25">
      <c r="G127" s="18" t="str">
        <f t="shared" si="37"/>
        <v/>
      </c>
      <c r="H127" s="18" t="str">
        <f t="shared" si="38"/>
        <v/>
      </c>
      <c r="I127" s="18" t="str">
        <f t="shared" si="39"/>
        <v/>
      </c>
      <c r="J127" s="18" t="str">
        <f t="shared" si="40"/>
        <v/>
      </c>
      <c r="K127" s="21"/>
      <c r="N127" s="77" t="str">
        <f t="shared" si="34"/>
        <v/>
      </c>
      <c r="O127" s="77" t="str">
        <f t="shared" si="35"/>
        <v/>
      </c>
      <c r="P127" s="78" t="str">
        <f t="shared" si="36"/>
        <v/>
      </c>
      <c r="Q127" s="19" t="str">
        <f t="shared" si="41"/>
        <v/>
      </c>
      <c r="R127" s="19" t="str">
        <f>IF(M127&lt;&gt;"",toUTF16(HEX2DEC(M127)),"")</f>
        <v/>
      </c>
      <c r="S127" s="19" t="str">
        <f>IF(N127&lt;&gt;"",toUTF16(HEX2DEC(N127)),"")</f>
        <v/>
      </c>
      <c r="T127" s="19" t="str">
        <f>IF(O127&lt;&gt;"",toUTF16(HEX2DEC(O127)),"")</f>
        <v/>
      </c>
      <c r="U127" s="49" t="str">
        <f>IF(P127&lt;&gt;"",toUTF16(HEX2DEC(P127)),"")</f>
        <v/>
      </c>
      <c r="V127" s="26" t="s">
        <v>287</v>
      </c>
      <c r="W127" s="17"/>
      <c r="X127" s="17"/>
      <c r="Y127" s="9" t="str">
        <f t="shared" si="31"/>
        <v/>
      </c>
      <c r="Z127" s="9" t="str">
        <f t="shared" si="32"/>
        <v/>
      </c>
      <c r="AA127" s="10" t="str">
        <f t="shared" si="33"/>
        <v/>
      </c>
    </row>
    <row r="128" spans="7:27" ht="23.25">
      <c r="G128" s="18" t="str">
        <f t="shared" si="37"/>
        <v/>
      </c>
      <c r="H128" s="18" t="str">
        <f t="shared" si="38"/>
        <v/>
      </c>
      <c r="I128" s="18" t="str">
        <f t="shared" si="39"/>
        <v/>
      </c>
      <c r="J128" s="18" t="str">
        <f t="shared" si="40"/>
        <v/>
      </c>
      <c r="K128" s="21"/>
      <c r="N128" s="77" t="str">
        <f t="shared" si="34"/>
        <v/>
      </c>
      <c r="O128" s="77" t="str">
        <f t="shared" si="35"/>
        <v/>
      </c>
      <c r="P128" s="78" t="str">
        <f t="shared" si="36"/>
        <v/>
      </c>
      <c r="Q128" s="19" t="str">
        <f t="shared" si="41"/>
        <v/>
      </c>
      <c r="R128" s="19" t="str">
        <f>IF(M128&lt;&gt;"",toUTF16(HEX2DEC(M128)),"")</f>
        <v/>
      </c>
      <c r="S128" s="19" t="str">
        <f>IF(N128&lt;&gt;"",toUTF16(HEX2DEC(N128)),"")</f>
        <v/>
      </c>
      <c r="T128" s="19" t="str">
        <f>IF(O128&lt;&gt;"",toUTF16(HEX2DEC(O128)),"")</f>
        <v/>
      </c>
      <c r="U128" s="49" t="str">
        <f>IF(P128&lt;&gt;"",toUTF16(HEX2DEC(P128)),"")</f>
        <v/>
      </c>
      <c r="V128" s="26" t="s">
        <v>287</v>
      </c>
      <c r="W128" s="17"/>
      <c r="X128" s="17"/>
      <c r="Y128" s="9" t="str">
        <f t="shared" si="31"/>
        <v/>
      </c>
      <c r="Z128" s="9" t="str">
        <f t="shared" si="32"/>
        <v/>
      </c>
      <c r="AA128" s="10" t="str">
        <f t="shared" si="33"/>
        <v/>
      </c>
    </row>
    <row r="129" spans="7:27" ht="23.25">
      <c r="G129" s="18" t="str">
        <f t="shared" si="37"/>
        <v/>
      </c>
      <c r="H129" s="18" t="str">
        <f t="shared" si="38"/>
        <v/>
      </c>
      <c r="I129" s="18" t="str">
        <f t="shared" si="39"/>
        <v/>
      </c>
      <c r="J129" s="18" t="str">
        <f t="shared" si="40"/>
        <v/>
      </c>
      <c r="K129" s="21"/>
      <c r="N129" s="77" t="str">
        <f t="shared" si="34"/>
        <v/>
      </c>
      <c r="O129" s="77" t="str">
        <f t="shared" si="35"/>
        <v/>
      </c>
      <c r="P129" s="78" t="str">
        <f t="shared" si="36"/>
        <v/>
      </c>
      <c r="Q129" s="19" t="str">
        <f t="shared" si="41"/>
        <v/>
      </c>
      <c r="R129" s="19" t="str">
        <f>IF(M129&lt;&gt;"",toUTF16(HEX2DEC(M129)),"")</f>
        <v/>
      </c>
      <c r="S129" s="19" t="str">
        <f>IF(N129&lt;&gt;"",toUTF16(HEX2DEC(N129)),"")</f>
        <v/>
      </c>
      <c r="T129" s="19" t="str">
        <f>IF(O129&lt;&gt;"",toUTF16(HEX2DEC(O129)),"")</f>
        <v/>
      </c>
      <c r="U129" s="49" t="str">
        <f>IF(P129&lt;&gt;"",toUTF16(HEX2DEC(P129)),"")</f>
        <v/>
      </c>
      <c r="V129" s="26" t="s">
        <v>287</v>
      </c>
      <c r="W129" s="17"/>
      <c r="X129" s="17"/>
      <c r="Y129" s="9" t="str">
        <f t="shared" si="31"/>
        <v/>
      </c>
      <c r="Z129" s="9" t="str">
        <f t="shared" si="32"/>
        <v/>
      </c>
      <c r="AA129" s="10" t="str">
        <f t="shared" si="33"/>
        <v/>
      </c>
    </row>
    <row r="130" spans="7:27" ht="23.25">
      <c r="G130" s="18" t="str">
        <f t="shared" si="37"/>
        <v/>
      </c>
      <c r="H130" s="18" t="str">
        <f t="shared" si="38"/>
        <v/>
      </c>
      <c r="I130" s="18" t="str">
        <f t="shared" si="39"/>
        <v/>
      </c>
      <c r="J130" s="18" t="str">
        <f t="shared" si="40"/>
        <v/>
      </c>
      <c r="K130" s="21"/>
      <c r="N130" s="77" t="str">
        <f t="shared" si="34"/>
        <v/>
      </c>
      <c r="O130" s="77" t="str">
        <f t="shared" si="35"/>
        <v/>
      </c>
      <c r="P130" s="78" t="str">
        <f t="shared" si="36"/>
        <v/>
      </c>
      <c r="Q130" s="19" t="str">
        <f t="shared" si="41"/>
        <v/>
      </c>
      <c r="R130" s="19" t="str">
        <f>IF(M130&lt;&gt;"",toUTF16(HEX2DEC(M130)),"")</f>
        <v/>
      </c>
      <c r="S130" s="19" t="str">
        <f>IF(N130&lt;&gt;"",toUTF16(HEX2DEC(N130)),"")</f>
        <v/>
      </c>
      <c r="T130" s="19" t="str">
        <f>IF(O130&lt;&gt;"",toUTF16(HEX2DEC(O130)),"")</f>
        <v/>
      </c>
      <c r="U130" s="49" t="str">
        <f>IF(P130&lt;&gt;"",toUTF16(HEX2DEC(P130)),"")</f>
        <v/>
      </c>
      <c r="V130" s="26" t="s">
        <v>287</v>
      </c>
      <c r="W130" s="17"/>
      <c r="X130" s="17"/>
      <c r="Y130" s="9" t="str">
        <f t="shared" si="31"/>
        <v/>
      </c>
      <c r="Z130" s="9" t="str">
        <f t="shared" si="32"/>
        <v/>
      </c>
      <c r="AA130" s="10" t="str">
        <f t="shared" si="33"/>
        <v/>
      </c>
    </row>
    <row r="131" spans="7:27" ht="23.25">
      <c r="G131" s="18" t="str">
        <f t="shared" si="37"/>
        <v/>
      </c>
      <c r="H131" s="18" t="str">
        <f t="shared" si="38"/>
        <v/>
      </c>
      <c r="I131" s="18" t="str">
        <f t="shared" si="39"/>
        <v/>
      </c>
      <c r="J131" s="18" t="str">
        <f t="shared" si="40"/>
        <v/>
      </c>
      <c r="K131" s="21"/>
      <c r="N131" s="77" t="str">
        <f t="shared" si="34"/>
        <v/>
      </c>
      <c r="O131" s="77" t="str">
        <f t="shared" si="35"/>
        <v/>
      </c>
      <c r="P131" s="78" t="str">
        <f t="shared" si="36"/>
        <v/>
      </c>
      <c r="Q131" s="19" t="str">
        <f t="shared" si="41"/>
        <v/>
      </c>
      <c r="R131" s="19" t="str">
        <f>IF(M131&lt;&gt;"",toUTF16(HEX2DEC(M131)),"")</f>
        <v/>
      </c>
      <c r="S131" s="19" t="str">
        <f>IF(N131&lt;&gt;"",toUTF16(HEX2DEC(N131)),"")</f>
        <v/>
      </c>
      <c r="T131" s="19" t="str">
        <f>IF(O131&lt;&gt;"",toUTF16(HEX2DEC(O131)),"")</f>
        <v/>
      </c>
      <c r="U131" s="49" t="str">
        <f>IF(P131&lt;&gt;"",toUTF16(HEX2DEC(P131)),"")</f>
        <v/>
      </c>
      <c r="V131" s="26" t="s">
        <v>287</v>
      </c>
      <c r="W131" s="17"/>
      <c r="X131" s="17"/>
      <c r="Y131" s="9" t="str">
        <f t="shared" si="31"/>
        <v/>
      </c>
      <c r="Z131" s="9" t="str">
        <f t="shared" si="32"/>
        <v/>
      </c>
      <c r="AA131" s="10" t="str">
        <f t="shared" si="33"/>
        <v/>
      </c>
    </row>
    <row r="132" spans="7:27" ht="23.25">
      <c r="G132" s="18" t="str">
        <f t="shared" si="37"/>
        <v/>
      </c>
      <c r="H132" s="18" t="str">
        <f t="shared" si="38"/>
        <v/>
      </c>
      <c r="I132" s="18" t="str">
        <f t="shared" si="39"/>
        <v/>
      </c>
      <c r="J132" s="18" t="str">
        <f t="shared" si="40"/>
        <v/>
      </c>
      <c r="K132" s="21"/>
      <c r="N132" s="77" t="str">
        <f t="shared" si="34"/>
        <v/>
      </c>
      <c r="O132" s="77" t="str">
        <f t="shared" si="35"/>
        <v/>
      </c>
      <c r="P132" s="78" t="str">
        <f t="shared" si="36"/>
        <v/>
      </c>
      <c r="Q132" s="19" t="str">
        <f t="shared" si="41"/>
        <v/>
      </c>
      <c r="R132" s="19" t="str">
        <f>IF(M132&lt;&gt;"",toUTF16(HEX2DEC(M132)),"")</f>
        <v/>
      </c>
      <c r="S132" s="19" t="str">
        <f>IF(N132&lt;&gt;"",toUTF16(HEX2DEC(N132)),"")</f>
        <v/>
      </c>
      <c r="T132" s="19" t="str">
        <f>IF(O132&lt;&gt;"",toUTF16(HEX2DEC(O132)),"")</f>
        <v/>
      </c>
      <c r="U132" s="49" t="str">
        <f>IF(P132&lt;&gt;"",toUTF16(HEX2DEC(P132)),"")</f>
        <v/>
      </c>
      <c r="V132" s="26" t="s">
        <v>287</v>
      </c>
      <c r="W132" s="17"/>
      <c r="X132" s="17"/>
      <c r="Y132" s="9" t="str">
        <f t="shared" si="31"/>
        <v/>
      </c>
      <c r="Z132" s="9" t="str">
        <f t="shared" si="32"/>
        <v/>
      </c>
      <c r="AA132" s="10" t="str">
        <f t="shared" si="33"/>
        <v/>
      </c>
    </row>
    <row r="133" spans="7:27" ht="23.25">
      <c r="G133" s="18" t="str">
        <f t="shared" si="37"/>
        <v/>
      </c>
      <c r="H133" s="18" t="str">
        <f t="shared" si="38"/>
        <v/>
      </c>
      <c r="I133" s="18" t="str">
        <f t="shared" si="39"/>
        <v/>
      </c>
      <c r="J133" s="18" t="str">
        <f t="shared" si="40"/>
        <v/>
      </c>
      <c r="K133" s="21"/>
      <c r="N133" s="77" t="str">
        <f t="shared" si="34"/>
        <v/>
      </c>
      <c r="O133" s="77" t="str">
        <f t="shared" si="35"/>
        <v/>
      </c>
      <c r="P133" s="78" t="str">
        <f t="shared" si="36"/>
        <v/>
      </c>
      <c r="Q133" s="19" t="str">
        <f t="shared" si="41"/>
        <v/>
      </c>
      <c r="R133" s="19" t="str">
        <f>IF(M133&lt;&gt;"",toUTF16(HEX2DEC(M133)),"")</f>
        <v/>
      </c>
      <c r="S133" s="19" t="str">
        <f>IF(N133&lt;&gt;"",toUTF16(HEX2DEC(N133)),"")</f>
        <v/>
      </c>
      <c r="T133" s="19" t="str">
        <f>IF(O133&lt;&gt;"",toUTF16(HEX2DEC(O133)),"")</f>
        <v/>
      </c>
      <c r="U133" s="49" t="str">
        <f>IF(P133&lt;&gt;"",toUTF16(HEX2DEC(P133)),"")</f>
        <v/>
      </c>
      <c r="V133" s="26" t="s">
        <v>287</v>
      </c>
      <c r="W133" s="17"/>
      <c r="X133" s="17"/>
      <c r="Y133" s="9" t="str">
        <f t="shared" si="31"/>
        <v/>
      </c>
      <c r="Z133" s="9" t="str">
        <f t="shared" si="32"/>
        <v/>
      </c>
      <c r="AA133" s="10" t="str">
        <f t="shared" si="33"/>
        <v/>
      </c>
    </row>
    <row r="134" spans="7:27" ht="23.25">
      <c r="G134" s="18" t="str">
        <f t="shared" si="37"/>
        <v/>
      </c>
      <c r="H134" s="18" t="str">
        <f t="shared" si="38"/>
        <v/>
      </c>
      <c r="I134" s="18" t="str">
        <f t="shared" si="39"/>
        <v/>
      </c>
      <c r="J134" s="18" t="str">
        <f t="shared" si="40"/>
        <v/>
      </c>
      <c r="K134" s="21"/>
      <c r="N134" s="77" t="str">
        <f t="shared" si="34"/>
        <v/>
      </c>
      <c r="O134" s="77" t="str">
        <f t="shared" si="35"/>
        <v/>
      </c>
      <c r="P134" s="78" t="str">
        <f t="shared" si="36"/>
        <v/>
      </c>
      <c r="Q134" s="19" t="str">
        <f t="shared" si="41"/>
        <v/>
      </c>
      <c r="R134" s="19" t="str">
        <f>IF(M134&lt;&gt;"",toUTF16(HEX2DEC(M134)),"")</f>
        <v/>
      </c>
      <c r="S134" s="19" t="str">
        <f>IF(N134&lt;&gt;"",toUTF16(HEX2DEC(N134)),"")</f>
        <v/>
      </c>
      <c r="T134" s="19" t="str">
        <f>IF(O134&lt;&gt;"",toUTF16(HEX2DEC(O134)),"")</f>
        <v/>
      </c>
      <c r="U134" s="49" t="str">
        <f>IF(P134&lt;&gt;"",toUTF16(HEX2DEC(P134)),"")</f>
        <v/>
      </c>
      <c r="V134" s="26" t="s">
        <v>287</v>
      </c>
      <c r="W134" s="17"/>
      <c r="X134" s="17"/>
      <c r="Y134" s="9" t="str">
        <f t="shared" si="31"/>
        <v/>
      </c>
      <c r="Z134" s="9" t="str">
        <f t="shared" si="32"/>
        <v/>
      </c>
      <c r="AA134" s="10" t="str">
        <f t="shared" si="33"/>
        <v/>
      </c>
    </row>
    <row r="135" spans="7:27" ht="23.25">
      <c r="G135" s="18" t="str">
        <f t="shared" si="37"/>
        <v/>
      </c>
      <c r="H135" s="18" t="str">
        <f t="shared" si="38"/>
        <v/>
      </c>
      <c r="I135" s="18" t="str">
        <f t="shared" si="39"/>
        <v/>
      </c>
      <c r="J135" s="18" t="str">
        <f t="shared" si="40"/>
        <v/>
      </c>
      <c r="K135" s="21"/>
      <c r="N135" s="77" t="str">
        <f t="shared" si="34"/>
        <v/>
      </c>
      <c r="O135" s="77" t="str">
        <f t="shared" si="35"/>
        <v/>
      </c>
      <c r="P135" s="78" t="str">
        <f t="shared" si="36"/>
        <v/>
      </c>
      <c r="Q135" s="19" t="str">
        <f t="shared" si="41"/>
        <v/>
      </c>
      <c r="R135" s="19" t="str">
        <f>IF(M135&lt;&gt;"",toUTF16(HEX2DEC(M135)),"")</f>
        <v/>
      </c>
      <c r="S135" s="19" t="str">
        <f>IF(N135&lt;&gt;"",toUTF16(HEX2DEC(N135)),"")</f>
        <v/>
      </c>
      <c r="T135" s="19" t="str">
        <f>IF(O135&lt;&gt;"",toUTF16(HEX2DEC(O135)),"")</f>
        <v/>
      </c>
      <c r="U135" s="49" t="str">
        <f>IF(P135&lt;&gt;"",toUTF16(HEX2DEC(P135)),"")</f>
        <v/>
      </c>
      <c r="V135" s="26" t="s">
        <v>287</v>
      </c>
      <c r="W135" s="17"/>
      <c r="X135" s="17"/>
      <c r="Y135" s="9" t="str">
        <f t="shared" si="31"/>
        <v/>
      </c>
      <c r="Z135" s="9" t="str">
        <f t="shared" si="32"/>
        <v/>
      </c>
      <c r="AA135" s="10" t="str">
        <f t="shared" si="33"/>
        <v/>
      </c>
    </row>
    <row r="136" spans="7:27" ht="23.25">
      <c r="G136" s="18" t="str">
        <f t="shared" si="37"/>
        <v/>
      </c>
      <c r="H136" s="18" t="str">
        <f t="shared" si="38"/>
        <v/>
      </c>
      <c r="I136" s="18" t="str">
        <f t="shared" si="39"/>
        <v/>
      </c>
      <c r="J136" s="18" t="str">
        <f t="shared" si="40"/>
        <v/>
      </c>
      <c r="K136" s="21"/>
      <c r="N136" s="77" t="str">
        <f t="shared" si="34"/>
        <v/>
      </c>
      <c r="O136" s="77" t="str">
        <f t="shared" si="35"/>
        <v/>
      </c>
      <c r="P136" s="78" t="str">
        <f t="shared" si="36"/>
        <v/>
      </c>
      <c r="Q136" s="19" t="str">
        <f t="shared" si="41"/>
        <v/>
      </c>
      <c r="R136" s="19" t="str">
        <f>IF(M136&lt;&gt;"",toUTF16(HEX2DEC(M136)),"")</f>
        <v/>
      </c>
      <c r="S136" s="19" t="str">
        <f>IF(N136&lt;&gt;"",toUTF16(HEX2DEC(N136)),"")</f>
        <v/>
      </c>
      <c r="T136" s="19" t="str">
        <f>IF(O136&lt;&gt;"",toUTF16(HEX2DEC(O136)),"")</f>
        <v/>
      </c>
      <c r="U136" s="49" t="str">
        <f>IF(P136&lt;&gt;"",toUTF16(HEX2DEC(P136)),"")</f>
        <v/>
      </c>
      <c r="V136" s="26" t="s">
        <v>287</v>
      </c>
      <c r="W136" s="17"/>
      <c r="X136" s="17"/>
      <c r="Y136" s="9" t="str">
        <f t="shared" si="31"/>
        <v/>
      </c>
      <c r="Z136" s="9" t="str">
        <f t="shared" si="32"/>
        <v/>
      </c>
      <c r="AA136" s="10" t="str">
        <f t="shared" si="33"/>
        <v/>
      </c>
    </row>
    <row r="137" spans="7:27" ht="23.25">
      <c r="G137" s="18" t="str">
        <f t="shared" si="37"/>
        <v/>
      </c>
      <c r="H137" s="18" t="str">
        <f t="shared" si="38"/>
        <v/>
      </c>
      <c r="I137" s="18" t="str">
        <f t="shared" si="39"/>
        <v/>
      </c>
      <c r="J137" s="18" t="str">
        <f t="shared" si="40"/>
        <v/>
      </c>
      <c r="K137" s="21"/>
      <c r="N137" s="77" t="str">
        <f t="shared" si="34"/>
        <v/>
      </c>
      <c r="O137" s="77" t="str">
        <f t="shared" si="35"/>
        <v/>
      </c>
      <c r="P137" s="78" t="str">
        <f t="shared" si="36"/>
        <v/>
      </c>
      <c r="Q137" s="19" t="str">
        <f t="shared" si="41"/>
        <v/>
      </c>
      <c r="R137" s="19" t="str">
        <f>IF(M137&lt;&gt;"",toUTF16(HEX2DEC(M137)),"")</f>
        <v/>
      </c>
      <c r="S137" s="19" t="str">
        <f>IF(N137&lt;&gt;"",toUTF16(HEX2DEC(N137)),"")</f>
        <v/>
      </c>
      <c r="T137" s="19" t="str">
        <f>IF(O137&lt;&gt;"",toUTF16(HEX2DEC(O137)),"")</f>
        <v/>
      </c>
      <c r="U137" s="49" t="str">
        <f>IF(P137&lt;&gt;"",toUTF16(HEX2DEC(P137)),"")</f>
        <v/>
      </c>
      <c r="V137" s="26" t="s">
        <v>287</v>
      </c>
      <c r="W137" s="17"/>
      <c r="X137" s="17"/>
      <c r="Y137" s="9" t="str">
        <f t="shared" si="31"/>
        <v/>
      </c>
      <c r="Z137" s="9" t="str">
        <f t="shared" si="32"/>
        <v/>
      </c>
      <c r="AA137" s="10" t="str">
        <f t="shared" si="33"/>
        <v/>
      </c>
    </row>
    <row r="138" spans="7:27" ht="23.25">
      <c r="G138" s="18" t="str">
        <f t="shared" si="37"/>
        <v/>
      </c>
      <c r="H138" s="18" t="str">
        <f t="shared" si="38"/>
        <v/>
      </c>
      <c r="I138" s="18" t="str">
        <f t="shared" si="39"/>
        <v/>
      </c>
      <c r="J138" s="18" t="str">
        <f t="shared" si="40"/>
        <v/>
      </c>
      <c r="K138" s="21"/>
      <c r="N138" s="77" t="str">
        <f t="shared" si="34"/>
        <v/>
      </c>
      <c r="O138" s="77" t="str">
        <f t="shared" si="35"/>
        <v/>
      </c>
      <c r="P138" s="78" t="str">
        <f t="shared" si="36"/>
        <v/>
      </c>
      <c r="Q138" s="19" t="str">
        <f t="shared" si="41"/>
        <v/>
      </c>
      <c r="R138" s="19" t="str">
        <f>IF(M138&lt;&gt;"",toUTF16(HEX2DEC(M138)),"")</f>
        <v/>
      </c>
      <c r="S138" s="19" t="str">
        <f>IF(N138&lt;&gt;"",toUTF16(HEX2DEC(N138)),"")</f>
        <v/>
      </c>
      <c r="T138" s="19" t="str">
        <f>IF(O138&lt;&gt;"",toUTF16(HEX2DEC(O138)),"")</f>
        <v/>
      </c>
      <c r="U138" s="49" t="str">
        <f>IF(P138&lt;&gt;"",toUTF16(HEX2DEC(P138)),"")</f>
        <v/>
      </c>
      <c r="V138" s="26" t="s">
        <v>287</v>
      </c>
      <c r="W138" s="17"/>
      <c r="X138" s="17"/>
      <c r="Y138" s="9" t="str">
        <f t="shared" si="31"/>
        <v/>
      </c>
      <c r="Z138" s="9" t="str">
        <f t="shared" si="32"/>
        <v/>
      </c>
      <c r="AA138" s="10" t="str">
        <f t="shared" si="33"/>
        <v/>
      </c>
    </row>
    <row r="139" spans="7:27" ht="23.25">
      <c r="G139" s="18" t="str">
        <f t="shared" si="37"/>
        <v/>
      </c>
      <c r="H139" s="18" t="str">
        <f t="shared" si="38"/>
        <v/>
      </c>
      <c r="I139" s="18" t="str">
        <f t="shared" si="39"/>
        <v/>
      </c>
      <c r="J139" s="18" t="str">
        <f t="shared" si="40"/>
        <v/>
      </c>
      <c r="K139" s="21"/>
      <c r="N139" s="77" t="str">
        <f t="shared" si="34"/>
        <v/>
      </c>
      <c r="O139" s="77" t="str">
        <f t="shared" si="35"/>
        <v/>
      </c>
      <c r="P139" s="78" t="str">
        <f t="shared" si="36"/>
        <v/>
      </c>
      <c r="Q139" s="19" t="str">
        <f t="shared" si="41"/>
        <v/>
      </c>
      <c r="R139" s="19" t="str">
        <f>IF(M139&lt;&gt;"",toUTF16(HEX2DEC(M139)),"")</f>
        <v/>
      </c>
      <c r="S139" s="19" t="str">
        <f>IF(N139&lt;&gt;"",toUTF16(HEX2DEC(N139)),"")</f>
        <v/>
      </c>
      <c r="T139" s="19" t="str">
        <f>IF(O139&lt;&gt;"",toUTF16(HEX2DEC(O139)),"")</f>
        <v/>
      </c>
      <c r="U139" s="49" t="str">
        <f>IF(P139&lt;&gt;"",toUTF16(HEX2DEC(P139)),"")</f>
        <v/>
      </c>
      <c r="V139" s="26" t="s">
        <v>287</v>
      </c>
      <c r="W139" s="17"/>
      <c r="X139" s="17"/>
      <c r="Y139" s="9" t="str">
        <f t="shared" si="31"/>
        <v/>
      </c>
      <c r="Z139" s="9" t="str">
        <f t="shared" si="32"/>
        <v/>
      </c>
      <c r="AA139" s="10" t="str">
        <f t="shared" si="33"/>
        <v/>
      </c>
    </row>
    <row r="140" spans="7:27" ht="23.25">
      <c r="G140" s="18" t="str">
        <f t="shared" si="37"/>
        <v/>
      </c>
      <c r="H140" s="18" t="str">
        <f t="shared" si="38"/>
        <v/>
      </c>
      <c r="I140" s="18" t="str">
        <f t="shared" si="39"/>
        <v/>
      </c>
      <c r="J140" s="18" t="str">
        <f t="shared" si="40"/>
        <v/>
      </c>
      <c r="K140" s="21"/>
      <c r="N140" s="77" t="str">
        <f t="shared" si="34"/>
        <v/>
      </c>
      <c r="O140" s="77" t="str">
        <f t="shared" si="35"/>
        <v/>
      </c>
      <c r="P140" s="78" t="str">
        <f t="shared" si="36"/>
        <v/>
      </c>
      <c r="Q140" s="19" t="str">
        <f t="shared" si="41"/>
        <v/>
      </c>
      <c r="R140" s="19" t="str">
        <f>IF(M140&lt;&gt;"",toUTF16(HEX2DEC(M140)),"")</f>
        <v/>
      </c>
      <c r="S140" s="19" t="str">
        <f>IF(N140&lt;&gt;"",toUTF16(HEX2DEC(N140)),"")</f>
        <v/>
      </c>
      <c r="T140" s="19" t="str">
        <f>IF(O140&lt;&gt;"",toUTF16(HEX2DEC(O140)),"")</f>
        <v/>
      </c>
      <c r="U140" s="49" t="str">
        <f>IF(P140&lt;&gt;"",toUTF16(HEX2DEC(P140)),"")</f>
        <v/>
      </c>
      <c r="V140" s="26" t="s">
        <v>287</v>
      </c>
      <c r="W140" s="17"/>
      <c r="X140" s="17"/>
      <c r="Y140" s="9" t="str">
        <f t="shared" si="31"/>
        <v/>
      </c>
      <c r="Z140" s="9" t="str">
        <f t="shared" si="32"/>
        <v/>
      </c>
      <c r="AA140" s="10" t="str">
        <f t="shared" si="33"/>
        <v/>
      </c>
    </row>
    <row r="141" spans="7:27" ht="23.25">
      <c r="G141" s="18" t="str">
        <f t="shared" si="37"/>
        <v/>
      </c>
      <c r="H141" s="18" t="str">
        <f t="shared" si="38"/>
        <v/>
      </c>
      <c r="I141" s="18" t="str">
        <f t="shared" si="39"/>
        <v/>
      </c>
      <c r="J141" s="18" t="str">
        <f t="shared" si="40"/>
        <v/>
      </c>
      <c r="K141" s="21"/>
      <c r="N141" s="77" t="str">
        <f t="shared" si="34"/>
        <v/>
      </c>
      <c r="O141" s="77" t="str">
        <f t="shared" si="35"/>
        <v/>
      </c>
      <c r="P141" s="78" t="str">
        <f t="shared" si="36"/>
        <v/>
      </c>
      <c r="Q141" s="19" t="str">
        <f t="shared" si="41"/>
        <v/>
      </c>
      <c r="R141" s="19" t="str">
        <f>IF(M141&lt;&gt;"",toUTF16(HEX2DEC(M141)),"")</f>
        <v/>
      </c>
      <c r="S141" s="19" t="str">
        <f>IF(N141&lt;&gt;"",toUTF16(HEX2DEC(N141)),"")</f>
        <v/>
      </c>
      <c r="T141" s="19" t="str">
        <f>IF(O141&lt;&gt;"",toUTF16(HEX2DEC(O141)),"")</f>
        <v/>
      </c>
      <c r="U141" s="49" t="str">
        <f>IF(P141&lt;&gt;"",toUTF16(HEX2DEC(P141)),"")</f>
        <v/>
      </c>
      <c r="V141" s="26" t="s">
        <v>287</v>
      </c>
      <c r="W141" s="17"/>
      <c r="X141" s="17"/>
      <c r="Y141" s="9" t="str">
        <f t="shared" si="31"/>
        <v/>
      </c>
      <c r="Z141" s="9" t="str">
        <f t="shared" si="32"/>
        <v/>
      </c>
      <c r="AA141" s="10" t="str">
        <f t="shared" si="33"/>
        <v/>
      </c>
    </row>
    <row r="142" spans="7:27" ht="23.25">
      <c r="G142" s="18" t="str">
        <f t="shared" si="37"/>
        <v/>
      </c>
      <c r="H142" s="18" t="str">
        <f t="shared" si="38"/>
        <v/>
      </c>
      <c r="I142" s="18" t="str">
        <f t="shared" si="39"/>
        <v/>
      </c>
      <c r="J142" s="18" t="str">
        <f t="shared" si="40"/>
        <v/>
      </c>
      <c r="K142" s="21"/>
      <c r="N142" s="77" t="str">
        <f t="shared" si="34"/>
        <v/>
      </c>
      <c r="O142" s="77" t="str">
        <f t="shared" si="35"/>
        <v/>
      </c>
      <c r="P142" s="78" t="str">
        <f t="shared" si="36"/>
        <v/>
      </c>
      <c r="Q142" s="19" t="str">
        <f t="shared" si="41"/>
        <v/>
      </c>
      <c r="R142" s="19" t="str">
        <f>IF(M142&lt;&gt;"",toUTF16(HEX2DEC(M142)),"")</f>
        <v/>
      </c>
      <c r="S142" s="19" t="str">
        <f>IF(N142&lt;&gt;"",toUTF16(HEX2DEC(N142)),"")</f>
        <v/>
      </c>
      <c r="T142" s="19" t="str">
        <f>IF(O142&lt;&gt;"",toUTF16(HEX2DEC(O142)),"")</f>
        <v/>
      </c>
      <c r="U142" s="49" t="str">
        <f>IF(P142&lt;&gt;"",toUTF16(HEX2DEC(P142)),"")</f>
        <v/>
      </c>
      <c r="V142" s="26" t="s">
        <v>287</v>
      </c>
      <c r="W142" s="17"/>
      <c r="X142" s="17"/>
      <c r="Y142" s="9" t="str">
        <f t="shared" si="31"/>
        <v/>
      </c>
      <c r="Z142" s="9" t="str">
        <f t="shared" si="32"/>
        <v/>
      </c>
      <c r="AA142" s="10" t="str">
        <f t="shared" si="33"/>
        <v/>
      </c>
    </row>
    <row r="143" spans="7:27" ht="23.25">
      <c r="G143" s="18" t="str">
        <f t="shared" si="37"/>
        <v/>
      </c>
      <c r="H143" s="18" t="str">
        <f t="shared" si="38"/>
        <v/>
      </c>
      <c r="I143" s="18" t="str">
        <f t="shared" si="39"/>
        <v/>
      </c>
      <c r="J143" s="18" t="str">
        <f t="shared" si="40"/>
        <v/>
      </c>
      <c r="K143" s="21"/>
      <c r="N143" s="77" t="str">
        <f t="shared" si="34"/>
        <v/>
      </c>
      <c r="O143" s="77" t="str">
        <f t="shared" si="35"/>
        <v/>
      </c>
      <c r="P143" s="78" t="str">
        <f t="shared" si="36"/>
        <v/>
      </c>
      <c r="Q143" s="19" t="str">
        <f t="shared" si="41"/>
        <v/>
      </c>
      <c r="R143" s="19" t="str">
        <f>IF(M143&lt;&gt;"",toUTF16(HEX2DEC(M143)),"")</f>
        <v/>
      </c>
      <c r="S143" s="19" t="str">
        <f>IF(N143&lt;&gt;"",toUTF16(HEX2DEC(N143)),"")</f>
        <v/>
      </c>
      <c r="T143" s="19" t="str">
        <f>IF(O143&lt;&gt;"",toUTF16(HEX2DEC(O143)),"")</f>
        <v/>
      </c>
      <c r="U143" s="49" t="str">
        <f>IF(P143&lt;&gt;"",toUTF16(HEX2DEC(P143)),"")</f>
        <v/>
      </c>
      <c r="V143" s="26" t="s">
        <v>287</v>
      </c>
      <c r="W143" s="17"/>
      <c r="X143" s="17"/>
      <c r="Y143" s="9" t="str">
        <f t="shared" si="31"/>
        <v/>
      </c>
      <c r="Z143" s="9" t="str">
        <f t="shared" si="32"/>
        <v/>
      </c>
      <c r="AA143" s="10" t="str">
        <f t="shared" si="33"/>
        <v/>
      </c>
    </row>
    <row r="144" spans="7:27" ht="23.25">
      <c r="G144" s="18" t="str">
        <f t="shared" si="37"/>
        <v/>
      </c>
      <c r="H144" s="18" t="str">
        <f t="shared" si="38"/>
        <v/>
      </c>
      <c r="I144" s="18" t="str">
        <f t="shared" si="39"/>
        <v/>
      </c>
      <c r="J144" s="18" t="str">
        <f t="shared" si="40"/>
        <v/>
      </c>
      <c r="K144" s="21"/>
      <c r="N144" s="77" t="str">
        <f t="shared" si="34"/>
        <v/>
      </c>
      <c r="O144" s="77" t="str">
        <f t="shared" si="35"/>
        <v/>
      </c>
      <c r="P144" s="78" t="str">
        <f t="shared" si="36"/>
        <v/>
      </c>
      <c r="Q144" s="19" t="str">
        <f t="shared" si="41"/>
        <v/>
      </c>
      <c r="R144" s="19" t="str">
        <f>IF(M144&lt;&gt;"",toUTF16(HEX2DEC(M144)),"")</f>
        <v/>
      </c>
      <c r="S144" s="19" t="str">
        <f>IF(N144&lt;&gt;"",toUTF16(HEX2DEC(N144)),"")</f>
        <v/>
      </c>
      <c r="T144" s="19" t="str">
        <f>IF(O144&lt;&gt;"",toUTF16(HEX2DEC(O144)),"")</f>
        <v/>
      </c>
      <c r="U144" s="49" t="str">
        <f>IF(P144&lt;&gt;"",toUTF16(HEX2DEC(P144)),"")</f>
        <v/>
      </c>
      <c r="V144" s="26" t="s">
        <v>287</v>
      </c>
      <c r="W144" s="17"/>
      <c r="X144" s="17"/>
      <c r="Y144" s="9" t="str">
        <f t="shared" si="31"/>
        <v/>
      </c>
      <c r="Z144" s="9" t="str">
        <f t="shared" si="32"/>
        <v/>
      </c>
      <c r="AA144" s="10" t="str">
        <f t="shared" si="33"/>
        <v/>
      </c>
    </row>
    <row r="145" spans="7:27" ht="23.25">
      <c r="G145" s="18" t="str">
        <f t="shared" si="37"/>
        <v/>
      </c>
      <c r="H145" s="18" t="str">
        <f t="shared" si="38"/>
        <v/>
      </c>
      <c r="I145" s="18" t="str">
        <f t="shared" si="39"/>
        <v/>
      </c>
      <c r="J145" s="18" t="str">
        <f t="shared" si="40"/>
        <v/>
      </c>
      <c r="K145" s="21"/>
      <c r="N145" s="77" t="str">
        <f t="shared" si="34"/>
        <v/>
      </c>
      <c r="O145" s="77" t="str">
        <f t="shared" si="35"/>
        <v/>
      </c>
      <c r="P145" s="78" t="str">
        <f t="shared" si="36"/>
        <v/>
      </c>
      <c r="Q145" s="19" t="str">
        <f t="shared" si="41"/>
        <v/>
      </c>
      <c r="R145" s="19" t="str">
        <f>IF(M145&lt;&gt;"",toUTF16(HEX2DEC(M145)),"")</f>
        <v/>
      </c>
      <c r="S145" s="19" t="str">
        <f>IF(N145&lt;&gt;"",toUTF16(HEX2DEC(N145)),"")</f>
        <v/>
      </c>
      <c r="T145" s="19" t="str">
        <f>IF(O145&lt;&gt;"",toUTF16(HEX2DEC(O145)),"")</f>
        <v/>
      </c>
      <c r="U145" s="49" t="str">
        <f>IF(P145&lt;&gt;"",toUTF16(HEX2DEC(P145)),"")</f>
        <v/>
      </c>
      <c r="V145" s="26" t="s">
        <v>287</v>
      </c>
      <c r="W145" s="17"/>
      <c r="X145" s="17"/>
      <c r="Y145" s="9" t="str">
        <f t="shared" si="31"/>
        <v/>
      </c>
      <c r="Z145" s="9" t="str">
        <f t="shared" si="32"/>
        <v/>
      </c>
      <c r="AA145" s="10" t="str">
        <f t="shared" si="33"/>
        <v/>
      </c>
    </row>
    <row r="146" spans="7:27" ht="23.25">
      <c r="G146" s="18" t="str">
        <f t="shared" si="37"/>
        <v/>
      </c>
      <c r="H146" s="18" t="str">
        <f t="shared" si="38"/>
        <v/>
      </c>
      <c r="I146" s="18" t="str">
        <f t="shared" si="39"/>
        <v/>
      </c>
      <c r="J146" s="18" t="str">
        <f t="shared" si="40"/>
        <v/>
      </c>
      <c r="K146" s="21"/>
      <c r="N146" s="77" t="str">
        <f t="shared" si="34"/>
        <v/>
      </c>
      <c r="O146" s="77" t="str">
        <f t="shared" si="35"/>
        <v/>
      </c>
      <c r="P146" s="78" t="str">
        <f t="shared" si="36"/>
        <v/>
      </c>
      <c r="Q146" s="19" t="str">
        <f t="shared" si="41"/>
        <v/>
      </c>
      <c r="R146" s="19" t="str">
        <f>IF(M146&lt;&gt;"",toUTF16(HEX2DEC(M146)),"")</f>
        <v/>
      </c>
      <c r="S146" s="19" t="str">
        <f>IF(N146&lt;&gt;"",toUTF16(HEX2DEC(N146)),"")</f>
        <v/>
      </c>
      <c r="T146" s="19" t="str">
        <f>IF(O146&lt;&gt;"",toUTF16(HEX2DEC(O146)),"")</f>
        <v/>
      </c>
      <c r="U146" s="49" t="str">
        <f>IF(P146&lt;&gt;"",toUTF16(HEX2DEC(P146)),"")</f>
        <v/>
      </c>
      <c r="V146" s="26" t="s">
        <v>287</v>
      </c>
      <c r="W146" s="17"/>
      <c r="X146" s="17"/>
      <c r="Y146" s="9" t="str">
        <f t="shared" si="31"/>
        <v/>
      </c>
      <c r="Z146" s="9" t="str">
        <f t="shared" si="32"/>
        <v/>
      </c>
      <c r="AA146" s="10" t="str">
        <f t="shared" si="33"/>
        <v/>
      </c>
    </row>
    <row r="147" spans="7:27" ht="23.25">
      <c r="G147" s="18" t="str">
        <f t="shared" si="37"/>
        <v/>
      </c>
      <c r="H147" s="18" t="str">
        <f t="shared" si="38"/>
        <v/>
      </c>
      <c r="I147" s="18" t="str">
        <f t="shared" si="39"/>
        <v/>
      </c>
      <c r="J147" s="18" t="str">
        <f t="shared" si="40"/>
        <v/>
      </c>
      <c r="K147" s="21"/>
      <c r="N147" s="77" t="str">
        <f t="shared" si="34"/>
        <v/>
      </c>
      <c r="O147" s="77" t="str">
        <f t="shared" si="35"/>
        <v/>
      </c>
      <c r="P147" s="78" t="str">
        <f t="shared" si="36"/>
        <v/>
      </c>
      <c r="Q147" s="19" t="str">
        <f t="shared" si="41"/>
        <v/>
      </c>
      <c r="R147" s="19" t="str">
        <f>IF(M147&lt;&gt;"",toUTF16(HEX2DEC(M147)),"")</f>
        <v/>
      </c>
      <c r="S147" s="19" t="str">
        <f>IF(N147&lt;&gt;"",toUTF16(HEX2DEC(N147)),"")</f>
        <v/>
      </c>
      <c r="T147" s="19" t="str">
        <f>IF(O147&lt;&gt;"",toUTF16(HEX2DEC(O147)),"")</f>
        <v/>
      </c>
      <c r="U147" s="49" t="str">
        <f>IF(P147&lt;&gt;"",toUTF16(HEX2DEC(P147)),"")</f>
        <v/>
      </c>
      <c r="V147" s="26" t="s">
        <v>287</v>
      </c>
      <c r="W147" s="17"/>
      <c r="X147" s="17"/>
      <c r="Y147" s="9" t="str">
        <f t="shared" si="31"/>
        <v/>
      </c>
      <c r="Z147" s="9" t="str">
        <f t="shared" si="32"/>
        <v/>
      </c>
      <c r="AA147" s="10" t="str">
        <f t="shared" si="33"/>
        <v/>
      </c>
    </row>
    <row r="148" spans="7:27" ht="23.25">
      <c r="G148" s="18" t="str">
        <f t="shared" si="37"/>
        <v/>
      </c>
      <c r="H148" s="18" t="str">
        <f t="shared" si="38"/>
        <v/>
      </c>
      <c r="I148" s="18" t="str">
        <f t="shared" si="39"/>
        <v/>
      </c>
      <c r="J148" s="18" t="str">
        <f t="shared" si="40"/>
        <v/>
      </c>
      <c r="K148" s="21"/>
      <c r="N148" s="77" t="str">
        <f t="shared" si="34"/>
        <v/>
      </c>
      <c r="O148" s="77" t="str">
        <f t="shared" si="35"/>
        <v/>
      </c>
      <c r="P148" s="78" t="str">
        <f t="shared" si="36"/>
        <v/>
      </c>
      <c r="Q148" s="19" t="str">
        <f t="shared" si="41"/>
        <v/>
      </c>
      <c r="R148" s="19" t="str">
        <f>IF(M148&lt;&gt;"",toUTF16(HEX2DEC(M148)),"")</f>
        <v/>
      </c>
      <c r="S148" s="19" t="str">
        <f>IF(N148&lt;&gt;"",toUTF16(HEX2DEC(N148)),"")</f>
        <v/>
      </c>
      <c r="T148" s="19" t="str">
        <f>IF(O148&lt;&gt;"",toUTF16(HEX2DEC(O148)),"")</f>
        <v/>
      </c>
      <c r="U148" s="49" t="str">
        <f>IF(P148&lt;&gt;"",toUTF16(HEX2DEC(P148)),"")</f>
        <v/>
      </c>
      <c r="V148" s="26" t="s">
        <v>287</v>
      </c>
      <c r="W148" s="17"/>
      <c r="X148" s="17"/>
      <c r="Y148" s="9" t="str">
        <f t="shared" si="31"/>
        <v/>
      </c>
      <c r="Z148" s="9" t="str">
        <f t="shared" si="32"/>
        <v/>
      </c>
      <c r="AA148" s="10" t="str">
        <f t="shared" si="33"/>
        <v/>
      </c>
    </row>
    <row r="149" spans="7:27" ht="23.25">
      <c r="G149" s="18" t="str">
        <f t="shared" si="37"/>
        <v/>
      </c>
      <c r="H149" s="18" t="str">
        <f t="shared" si="38"/>
        <v/>
      </c>
      <c r="I149" s="18" t="str">
        <f t="shared" si="39"/>
        <v/>
      </c>
      <c r="J149" s="18" t="str">
        <f t="shared" si="40"/>
        <v/>
      </c>
      <c r="K149" s="21"/>
      <c r="N149" s="77" t="str">
        <f t="shared" si="34"/>
        <v/>
      </c>
      <c r="O149" s="77" t="str">
        <f t="shared" si="35"/>
        <v/>
      </c>
      <c r="P149" s="78" t="str">
        <f t="shared" si="36"/>
        <v/>
      </c>
      <c r="Q149" s="19" t="str">
        <f t="shared" si="41"/>
        <v/>
      </c>
      <c r="R149" s="19" t="str">
        <f>IF(M149&lt;&gt;"",toUTF16(HEX2DEC(M149)),"")</f>
        <v/>
      </c>
      <c r="S149" s="19" t="str">
        <f>IF(N149&lt;&gt;"",toUTF16(HEX2DEC(N149)),"")</f>
        <v/>
      </c>
      <c r="T149" s="19" t="str">
        <f>IF(O149&lt;&gt;"",toUTF16(HEX2DEC(O149)),"")</f>
        <v/>
      </c>
      <c r="U149" s="49" t="str">
        <f>IF(P149&lt;&gt;"",toUTF16(HEX2DEC(P149)),"")</f>
        <v/>
      </c>
      <c r="V149" s="26" t="s">
        <v>287</v>
      </c>
      <c r="W149" s="17"/>
      <c r="X149" s="17"/>
      <c r="Y149" s="9" t="str">
        <f t="shared" si="31"/>
        <v/>
      </c>
      <c r="Z149" s="9" t="str">
        <f t="shared" si="32"/>
        <v/>
      </c>
      <c r="AA149" s="10" t="str">
        <f t="shared" si="33"/>
        <v/>
      </c>
    </row>
    <row r="150" spans="7:27" ht="23.25">
      <c r="G150" s="18" t="str">
        <f t="shared" si="37"/>
        <v/>
      </c>
      <c r="H150" s="18" t="str">
        <f t="shared" si="38"/>
        <v/>
      </c>
      <c r="I150" s="18" t="str">
        <f t="shared" si="39"/>
        <v/>
      </c>
      <c r="J150" s="18" t="str">
        <f t="shared" si="40"/>
        <v/>
      </c>
      <c r="K150" s="21"/>
      <c r="N150" s="77" t="str">
        <f t="shared" si="34"/>
        <v/>
      </c>
      <c r="O150" s="77" t="str">
        <f t="shared" si="35"/>
        <v/>
      </c>
      <c r="P150" s="78" t="str">
        <f t="shared" si="36"/>
        <v/>
      </c>
      <c r="Q150" s="19" t="str">
        <f t="shared" si="41"/>
        <v/>
      </c>
      <c r="R150" s="19" t="str">
        <f>IF(M150&lt;&gt;"",toUTF16(HEX2DEC(M150)),"")</f>
        <v/>
      </c>
      <c r="S150" s="19" t="str">
        <f>IF(N150&lt;&gt;"",toUTF16(HEX2DEC(N150)),"")</f>
        <v/>
      </c>
      <c r="T150" s="19" t="str">
        <f>IF(O150&lt;&gt;"",toUTF16(HEX2DEC(O150)),"")</f>
        <v/>
      </c>
      <c r="U150" s="49" t="str">
        <f>IF(P150&lt;&gt;"",toUTF16(HEX2DEC(P150)),"")</f>
        <v/>
      </c>
      <c r="V150" s="26" t="s">
        <v>287</v>
      </c>
      <c r="W150" s="17"/>
      <c r="X150" s="17"/>
      <c r="Y150" s="9" t="str">
        <f t="shared" si="31"/>
        <v/>
      </c>
      <c r="Z150" s="9" t="str">
        <f t="shared" si="32"/>
        <v/>
      </c>
      <c r="AA150" s="10" t="str">
        <f t="shared" si="33"/>
        <v/>
      </c>
    </row>
    <row r="151" spans="7:27" ht="23.25">
      <c r="G151" s="18" t="str">
        <f t="shared" si="37"/>
        <v/>
      </c>
      <c r="H151" s="18" t="str">
        <f t="shared" si="38"/>
        <v/>
      </c>
      <c r="I151" s="18" t="str">
        <f t="shared" si="39"/>
        <v/>
      </c>
      <c r="J151" s="18" t="str">
        <f t="shared" si="40"/>
        <v/>
      </c>
      <c r="K151" s="21"/>
      <c r="N151" s="77" t="str">
        <f t="shared" si="34"/>
        <v/>
      </c>
      <c r="O151" s="77" t="str">
        <f t="shared" si="35"/>
        <v/>
      </c>
      <c r="P151" s="78" t="str">
        <f t="shared" si="36"/>
        <v/>
      </c>
      <c r="Q151" s="19" t="str">
        <f t="shared" si="41"/>
        <v/>
      </c>
      <c r="R151" s="19" t="str">
        <f>IF(M151&lt;&gt;"",toUTF16(HEX2DEC(M151)),"")</f>
        <v/>
      </c>
      <c r="S151" s="19" t="str">
        <f>IF(N151&lt;&gt;"",toUTF16(HEX2DEC(N151)),"")</f>
        <v/>
      </c>
      <c r="T151" s="19" t="str">
        <f>IF(O151&lt;&gt;"",toUTF16(HEX2DEC(O151)),"")</f>
        <v/>
      </c>
      <c r="U151" s="49" t="str">
        <f>IF(P151&lt;&gt;"",toUTF16(HEX2DEC(P151)),"")</f>
        <v/>
      </c>
      <c r="V151" s="26" t="s">
        <v>287</v>
      </c>
      <c r="W151" s="17"/>
      <c r="X151" s="17"/>
      <c r="Y151" s="9" t="str">
        <f t="shared" si="31"/>
        <v/>
      </c>
      <c r="Z151" s="9" t="str">
        <f t="shared" si="32"/>
        <v/>
      </c>
      <c r="AA151" s="10" t="str">
        <f t="shared" si="33"/>
        <v/>
      </c>
    </row>
    <row r="152" spans="7:27" ht="23.25">
      <c r="G152" s="18" t="str">
        <f t="shared" si="37"/>
        <v/>
      </c>
      <c r="H152" s="18" t="str">
        <f t="shared" si="38"/>
        <v/>
      </c>
      <c r="I152" s="18" t="str">
        <f t="shared" si="39"/>
        <v/>
      </c>
      <c r="J152" s="18" t="str">
        <f t="shared" si="40"/>
        <v/>
      </c>
      <c r="K152" s="21"/>
      <c r="N152" s="77" t="str">
        <f t="shared" si="34"/>
        <v/>
      </c>
      <c r="O152" s="77" t="str">
        <f t="shared" si="35"/>
        <v/>
      </c>
      <c r="P152" s="78" t="str">
        <f t="shared" si="36"/>
        <v/>
      </c>
      <c r="Q152" s="19" t="str">
        <f t="shared" si="41"/>
        <v/>
      </c>
      <c r="R152" s="19" t="str">
        <f>IF(M152&lt;&gt;"",toUTF16(HEX2DEC(M152)),"")</f>
        <v/>
      </c>
      <c r="S152" s="19" t="str">
        <f>IF(N152&lt;&gt;"",toUTF16(HEX2DEC(N152)),"")</f>
        <v/>
      </c>
      <c r="T152" s="19" t="str">
        <f>IF(O152&lt;&gt;"",toUTF16(HEX2DEC(O152)),"")</f>
        <v/>
      </c>
      <c r="U152" s="49" t="str">
        <f>IF(P152&lt;&gt;"",toUTF16(HEX2DEC(P152)),"")</f>
        <v/>
      </c>
      <c r="V152" s="26" t="s">
        <v>287</v>
      </c>
      <c r="W152" s="17"/>
      <c r="X152" s="17"/>
      <c r="Y152" s="9" t="str">
        <f t="shared" si="31"/>
        <v/>
      </c>
      <c r="Z152" s="9" t="str">
        <f t="shared" si="32"/>
        <v/>
      </c>
      <c r="AA152" s="10" t="str">
        <f t="shared" si="33"/>
        <v/>
      </c>
    </row>
    <row r="153" spans="7:27" ht="23.25">
      <c r="G153" s="18" t="str">
        <f t="shared" si="37"/>
        <v/>
      </c>
      <c r="H153" s="18" t="str">
        <f t="shared" si="38"/>
        <v/>
      </c>
      <c r="I153" s="18" t="str">
        <f t="shared" si="39"/>
        <v/>
      </c>
      <c r="J153" s="18" t="str">
        <f t="shared" si="40"/>
        <v/>
      </c>
      <c r="K153" s="21"/>
      <c r="N153" s="77" t="str">
        <f t="shared" si="34"/>
        <v/>
      </c>
      <c r="O153" s="77" t="str">
        <f t="shared" si="35"/>
        <v/>
      </c>
      <c r="P153" s="78" t="str">
        <f t="shared" si="36"/>
        <v/>
      </c>
      <c r="Q153" s="19" t="str">
        <f t="shared" si="41"/>
        <v/>
      </c>
      <c r="R153" s="19" t="str">
        <f>IF(M153&lt;&gt;"",toUTF16(HEX2DEC(M153)),"")</f>
        <v/>
      </c>
      <c r="S153" s="19" t="str">
        <f>IF(N153&lt;&gt;"",toUTF16(HEX2DEC(N153)),"")</f>
        <v/>
      </c>
      <c r="T153" s="19" t="str">
        <f>IF(O153&lt;&gt;"",toUTF16(HEX2DEC(O153)),"")</f>
        <v/>
      </c>
      <c r="U153" s="49" t="str">
        <f>IF(P153&lt;&gt;"",toUTF16(HEX2DEC(P153)),"")</f>
        <v/>
      </c>
      <c r="V153" s="26" t="s">
        <v>287</v>
      </c>
      <c r="W153" s="17"/>
      <c r="X153" s="17"/>
      <c r="Y153" s="9" t="str">
        <f t="shared" si="31"/>
        <v/>
      </c>
      <c r="Z153" s="9" t="str">
        <f t="shared" si="32"/>
        <v/>
      </c>
      <c r="AA153" s="10" t="str">
        <f t="shared" si="33"/>
        <v/>
      </c>
    </row>
    <row r="154" spans="7:27" ht="23.25">
      <c r="G154" s="18" t="str">
        <f t="shared" si="37"/>
        <v/>
      </c>
      <c r="H154" s="18" t="str">
        <f t="shared" si="38"/>
        <v/>
      </c>
      <c r="I154" s="18" t="str">
        <f t="shared" si="39"/>
        <v/>
      </c>
      <c r="J154" s="18" t="str">
        <f t="shared" si="40"/>
        <v/>
      </c>
      <c r="K154" s="21"/>
      <c r="N154" s="77" t="str">
        <f t="shared" si="34"/>
        <v/>
      </c>
      <c r="O154" s="77" t="str">
        <f t="shared" si="35"/>
        <v/>
      </c>
      <c r="P154" s="78" t="str">
        <f t="shared" si="36"/>
        <v/>
      </c>
      <c r="Q154" s="19" t="str">
        <f t="shared" si="41"/>
        <v/>
      </c>
      <c r="R154" s="19" t="str">
        <f>IF(M154&lt;&gt;"",toUTF16(HEX2DEC(M154)),"")</f>
        <v/>
      </c>
      <c r="S154" s="19" t="str">
        <f>IF(N154&lt;&gt;"",toUTF16(HEX2DEC(N154)),"")</f>
        <v/>
      </c>
      <c r="T154" s="19" t="str">
        <f>IF(O154&lt;&gt;"",toUTF16(HEX2DEC(O154)),"")</f>
        <v/>
      </c>
      <c r="U154" s="49" t="str">
        <f>IF(P154&lt;&gt;"",toUTF16(HEX2DEC(P154)),"")</f>
        <v/>
      </c>
      <c r="V154" s="26" t="s">
        <v>287</v>
      </c>
      <c r="W154" s="17"/>
      <c r="X154" s="17"/>
      <c r="Y154" s="9" t="str">
        <f t="shared" si="31"/>
        <v/>
      </c>
      <c r="Z154" s="9" t="str">
        <f t="shared" si="32"/>
        <v/>
      </c>
      <c r="AA154" s="10" t="str">
        <f t="shared" si="33"/>
        <v/>
      </c>
    </row>
    <row r="155" spans="7:27" ht="23.25">
      <c r="G155" s="18" t="str">
        <f t="shared" si="37"/>
        <v/>
      </c>
      <c r="H155" s="18" t="str">
        <f t="shared" si="38"/>
        <v/>
      </c>
      <c r="I155" s="18" t="str">
        <f t="shared" si="39"/>
        <v/>
      </c>
      <c r="J155" s="18" t="str">
        <f t="shared" si="40"/>
        <v/>
      </c>
      <c r="K155" s="21"/>
      <c r="N155" s="77" t="str">
        <f t="shared" si="34"/>
        <v/>
      </c>
      <c r="O155" s="77" t="str">
        <f t="shared" si="35"/>
        <v/>
      </c>
      <c r="P155" s="78" t="str">
        <f t="shared" si="36"/>
        <v/>
      </c>
      <c r="Q155" s="19" t="str">
        <f t="shared" si="41"/>
        <v/>
      </c>
      <c r="R155" s="19" t="str">
        <f>IF(M155&lt;&gt;"",toUTF16(HEX2DEC(M155)),"")</f>
        <v/>
      </c>
      <c r="S155" s="19" t="str">
        <f>IF(N155&lt;&gt;"",toUTF16(HEX2DEC(N155)),"")</f>
        <v/>
      </c>
      <c r="T155" s="19" t="str">
        <f>IF(O155&lt;&gt;"",toUTF16(HEX2DEC(O155)),"")</f>
        <v/>
      </c>
      <c r="U155" s="49" t="str">
        <f>IF(P155&lt;&gt;"",toUTF16(HEX2DEC(P155)),"")</f>
        <v/>
      </c>
      <c r="V155" s="26" t="s">
        <v>287</v>
      </c>
      <c r="W155" s="17"/>
      <c r="X155" s="17"/>
      <c r="Y155" s="9" t="str">
        <f t="shared" si="31"/>
        <v/>
      </c>
      <c r="Z155" s="9" t="str">
        <f t="shared" si="32"/>
        <v/>
      </c>
      <c r="AA155" s="10" t="str">
        <f t="shared" si="33"/>
        <v/>
      </c>
    </row>
    <row r="156" spans="7:27" ht="23.25">
      <c r="G156" s="18" t="str">
        <f t="shared" si="37"/>
        <v/>
      </c>
      <c r="H156" s="18" t="str">
        <f t="shared" si="38"/>
        <v/>
      </c>
      <c r="I156" s="18" t="str">
        <f t="shared" si="39"/>
        <v/>
      </c>
      <c r="J156" s="18" t="str">
        <f t="shared" si="40"/>
        <v/>
      </c>
      <c r="K156" s="21"/>
      <c r="N156" s="77" t="str">
        <f t="shared" si="34"/>
        <v/>
      </c>
      <c r="O156" s="77" t="str">
        <f t="shared" si="35"/>
        <v/>
      </c>
      <c r="P156" s="78" t="str">
        <f t="shared" si="36"/>
        <v/>
      </c>
      <c r="Q156" s="19" t="str">
        <f t="shared" si="41"/>
        <v/>
      </c>
      <c r="R156" s="19" t="str">
        <f>IF(M156&lt;&gt;"",toUTF16(HEX2DEC(M156)),"")</f>
        <v/>
      </c>
      <c r="S156" s="19" t="str">
        <f>IF(N156&lt;&gt;"",toUTF16(HEX2DEC(N156)),"")</f>
        <v/>
      </c>
      <c r="T156" s="19" t="str">
        <f>IF(O156&lt;&gt;"",toUTF16(HEX2DEC(O156)),"")</f>
        <v/>
      </c>
      <c r="U156" s="49" t="str">
        <f>IF(P156&lt;&gt;"",toUTF16(HEX2DEC(P156)),"")</f>
        <v/>
      </c>
      <c r="V156" s="26" t="s">
        <v>287</v>
      </c>
      <c r="W156" s="17"/>
      <c r="X156" s="17"/>
      <c r="Y156" s="9" t="str">
        <f t="shared" si="31"/>
        <v/>
      </c>
      <c r="Z156" s="9" t="str">
        <f t="shared" si="32"/>
        <v/>
      </c>
      <c r="AA156" s="10" t="str">
        <f t="shared" si="33"/>
        <v/>
      </c>
    </row>
    <row r="157" spans="7:27" ht="23.25">
      <c r="G157" s="18" t="str">
        <f t="shared" si="37"/>
        <v/>
      </c>
      <c r="H157" s="18" t="str">
        <f t="shared" si="38"/>
        <v/>
      </c>
      <c r="I157" s="18" t="str">
        <f t="shared" si="39"/>
        <v/>
      </c>
      <c r="J157" s="18" t="str">
        <f t="shared" si="40"/>
        <v/>
      </c>
      <c r="K157" s="21"/>
      <c r="N157" s="77" t="str">
        <f t="shared" si="34"/>
        <v/>
      </c>
      <c r="O157" s="77" t="str">
        <f t="shared" si="35"/>
        <v/>
      </c>
      <c r="P157" s="78" t="str">
        <f t="shared" si="36"/>
        <v/>
      </c>
      <c r="Q157" s="19" t="str">
        <f t="shared" si="41"/>
        <v/>
      </c>
      <c r="R157" s="19" t="str">
        <f>IF(M157&lt;&gt;"",toUTF16(HEX2DEC(M157)),"")</f>
        <v/>
      </c>
      <c r="S157" s="19" t="str">
        <f>IF(N157&lt;&gt;"",toUTF16(HEX2DEC(N157)),"")</f>
        <v/>
      </c>
      <c r="T157" s="19" t="str">
        <f>IF(O157&lt;&gt;"",toUTF16(HEX2DEC(O157)),"")</f>
        <v/>
      </c>
      <c r="U157" s="49" t="str">
        <f>IF(P157&lt;&gt;"",toUTF16(HEX2DEC(P157)),"")</f>
        <v/>
      </c>
      <c r="V157" s="26" t="s">
        <v>287</v>
      </c>
      <c r="W157" s="17"/>
      <c r="X157" s="17"/>
      <c r="Y157" s="9" t="str">
        <f t="shared" si="31"/>
        <v/>
      </c>
      <c r="Z157" s="9" t="str">
        <f t="shared" si="32"/>
        <v/>
      </c>
      <c r="AA157" s="10" t="str">
        <f t="shared" si="33"/>
        <v/>
      </c>
    </row>
    <row r="158" spans="7:27" ht="23.25">
      <c r="G158" s="18" t="str">
        <f t="shared" si="37"/>
        <v/>
      </c>
      <c r="H158" s="18" t="str">
        <f t="shared" si="38"/>
        <v/>
      </c>
      <c r="I158" s="18" t="str">
        <f t="shared" si="39"/>
        <v/>
      </c>
      <c r="J158" s="18" t="str">
        <f t="shared" si="40"/>
        <v/>
      </c>
      <c r="K158" s="21"/>
      <c r="N158" s="77" t="str">
        <f t="shared" si="34"/>
        <v/>
      </c>
      <c r="O158" s="77" t="str">
        <f t="shared" si="35"/>
        <v/>
      </c>
      <c r="P158" s="78" t="str">
        <f t="shared" si="36"/>
        <v/>
      </c>
      <c r="Q158" s="19" t="str">
        <f t="shared" si="41"/>
        <v/>
      </c>
      <c r="R158" s="19" t="str">
        <f>IF(M158&lt;&gt;"",toUTF16(HEX2DEC(M158)),"")</f>
        <v/>
      </c>
      <c r="S158" s="19" t="str">
        <f>IF(N158&lt;&gt;"",toUTF16(HEX2DEC(N158)),"")</f>
        <v/>
      </c>
      <c r="T158" s="19" t="str">
        <f>IF(O158&lt;&gt;"",toUTF16(HEX2DEC(O158)),"")</f>
        <v/>
      </c>
      <c r="U158" s="49" t="str">
        <f>IF(P158&lt;&gt;"",toUTF16(HEX2DEC(P158)),"")</f>
        <v/>
      </c>
      <c r="V158" s="26" t="s">
        <v>287</v>
      </c>
      <c r="W158" s="17"/>
      <c r="X158" s="17"/>
      <c r="Y158" s="9" t="str">
        <f t="shared" si="31"/>
        <v/>
      </c>
      <c r="Z158" s="9" t="str">
        <f t="shared" si="32"/>
        <v/>
      </c>
      <c r="AA158" s="10" t="str">
        <f t="shared" si="33"/>
        <v/>
      </c>
    </row>
    <row r="159" spans="7:27" ht="23.25">
      <c r="G159" s="18" t="str">
        <f t="shared" si="37"/>
        <v/>
      </c>
      <c r="H159" s="18" t="str">
        <f t="shared" si="38"/>
        <v/>
      </c>
      <c r="I159" s="18" t="str">
        <f t="shared" si="39"/>
        <v/>
      </c>
      <c r="J159" s="18" t="str">
        <f t="shared" si="40"/>
        <v/>
      </c>
      <c r="K159" s="21"/>
      <c r="N159" s="77" t="str">
        <f t="shared" si="34"/>
        <v/>
      </c>
      <c r="O159" s="77" t="str">
        <f t="shared" si="35"/>
        <v/>
      </c>
      <c r="P159" s="78" t="str">
        <f t="shared" si="36"/>
        <v/>
      </c>
      <c r="Q159" s="19" t="str">
        <f t="shared" si="41"/>
        <v/>
      </c>
      <c r="R159" s="19" t="str">
        <f>IF(M159&lt;&gt;"",toUTF16(HEX2DEC(M159)),"")</f>
        <v/>
      </c>
      <c r="S159" s="19" t="str">
        <f>IF(N159&lt;&gt;"",toUTF16(HEX2DEC(N159)),"")</f>
        <v/>
      </c>
      <c r="T159" s="19" t="str">
        <f>IF(O159&lt;&gt;"",toUTF16(HEX2DEC(O159)),"")</f>
        <v/>
      </c>
      <c r="U159" s="49" t="str">
        <f>IF(P159&lt;&gt;"",toUTF16(HEX2DEC(P159)),"")</f>
        <v/>
      </c>
      <c r="V159" s="26" t="s">
        <v>287</v>
      </c>
      <c r="W159" s="17"/>
      <c r="X159" s="17"/>
      <c r="Y159" s="9" t="str">
        <f t="shared" si="31"/>
        <v/>
      </c>
      <c r="Z159" s="9" t="str">
        <f t="shared" si="32"/>
        <v/>
      </c>
      <c r="AA159" s="10" t="str">
        <f t="shared" si="33"/>
        <v/>
      </c>
    </row>
    <row r="160" spans="7:27" ht="23.25">
      <c r="G160" s="18" t="str">
        <f t="shared" si="37"/>
        <v/>
      </c>
      <c r="H160" s="18" t="str">
        <f t="shared" si="38"/>
        <v/>
      </c>
      <c r="I160" s="18" t="str">
        <f t="shared" si="39"/>
        <v/>
      </c>
      <c r="J160" s="18" t="str">
        <f t="shared" si="40"/>
        <v/>
      </c>
      <c r="K160" s="21"/>
      <c r="N160" s="77" t="str">
        <f t="shared" si="34"/>
        <v/>
      </c>
      <c r="O160" s="77" t="str">
        <f t="shared" si="35"/>
        <v/>
      </c>
      <c r="P160" s="78" t="str">
        <f t="shared" si="36"/>
        <v/>
      </c>
      <c r="Q160" s="19" t="str">
        <f t="shared" si="41"/>
        <v/>
      </c>
      <c r="R160" s="19" t="str">
        <f>IF(M160&lt;&gt;"",toUTF16(HEX2DEC(M160)),"")</f>
        <v/>
      </c>
      <c r="S160" s="19" t="str">
        <f>IF(N160&lt;&gt;"",toUTF16(HEX2DEC(N160)),"")</f>
        <v/>
      </c>
      <c r="T160" s="19" t="str">
        <f>IF(O160&lt;&gt;"",toUTF16(HEX2DEC(O160)),"")</f>
        <v/>
      </c>
      <c r="U160" s="49" t="str">
        <f>IF(P160&lt;&gt;"",toUTF16(HEX2DEC(P160)),"")</f>
        <v/>
      </c>
      <c r="V160" s="26" t="s">
        <v>287</v>
      </c>
      <c r="W160" s="17"/>
      <c r="X160" s="17"/>
      <c r="Y160" s="9" t="str">
        <f t="shared" si="31"/>
        <v/>
      </c>
      <c r="Z160" s="9" t="str">
        <f t="shared" si="32"/>
        <v/>
      </c>
      <c r="AA160" s="10" t="str">
        <f t="shared" si="33"/>
        <v/>
      </c>
    </row>
    <row r="161" spans="7:27" ht="23.25">
      <c r="G161" s="18" t="str">
        <f t="shared" si="37"/>
        <v/>
      </c>
      <c r="H161" s="18" t="str">
        <f t="shared" si="38"/>
        <v/>
      </c>
      <c r="I161" s="18" t="str">
        <f t="shared" si="39"/>
        <v/>
      </c>
      <c r="J161" s="18" t="str">
        <f t="shared" si="40"/>
        <v/>
      </c>
      <c r="K161" s="21"/>
      <c r="N161" s="77" t="str">
        <f t="shared" si="34"/>
        <v/>
      </c>
      <c r="O161" s="77" t="str">
        <f t="shared" si="35"/>
        <v/>
      </c>
      <c r="P161" s="78" t="str">
        <f t="shared" si="36"/>
        <v/>
      </c>
      <c r="Q161" s="19" t="str">
        <f t="shared" si="41"/>
        <v/>
      </c>
      <c r="R161" s="19" t="str">
        <f>IF(M161&lt;&gt;"",toUTF16(HEX2DEC(M161)),"")</f>
        <v/>
      </c>
      <c r="S161" s="19" t="str">
        <f>IF(N161&lt;&gt;"",toUTF16(HEX2DEC(N161)),"")</f>
        <v/>
      </c>
      <c r="T161" s="19" t="str">
        <f>IF(O161&lt;&gt;"",toUTF16(HEX2DEC(O161)),"")</f>
        <v/>
      </c>
      <c r="U161" s="49" t="str">
        <f>IF(P161&lt;&gt;"",toUTF16(HEX2DEC(P161)),"")</f>
        <v/>
      </c>
      <c r="V161" s="26" t="s">
        <v>287</v>
      </c>
      <c r="W161" s="17"/>
      <c r="X161" s="17"/>
      <c r="Y161" s="9" t="str">
        <f t="shared" si="31"/>
        <v/>
      </c>
      <c r="Z161" s="9" t="str">
        <f t="shared" si="32"/>
        <v/>
      </c>
      <c r="AA161" s="10" t="str">
        <f t="shared" si="33"/>
        <v/>
      </c>
    </row>
    <row r="162" spans="7:27" ht="23.25">
      <c r="G162" s="18" t="str">
        <f t="shared" si="37"/>
        <v/>
      </c>
      <c r="H162" s="18" t="str">
        <f t="shared" si="38"/>
        <v/>
      </c>
      <c r="I162" s="18" t="str">
        <f t="shared" si="39"/>
        <v/>
      </c>
      <c r="J162" s="18" t="str">
        <f t="shared" si="40"/>
        <v/>
      </c>
      <c r="K162" s="21"/>
      <c r="N162" s="77" t="str">
        <f t="shared" si="34"/>
        <v/>
      </c>
      <c r="O162" s="77" t="str">
        <f t="shared" si="35"/>
        <v/>
      </c>
      <c r="P162" s="78" t="str">
        <f t="shared" si="36"/>
        <v/>
      </c>
      <c r="Q162" s="19" t="str">
        <f t="shared" si="41"/>
        <v/>
      </c>
      <c r="R162" s="19" t="str">
        <f>IF(M162&lt;&gt;"",toUTF16(HEX2DEC(M162)),"")</f>
        <v/>
      </c>
      <c r="S162" s="19" t="str">
        <f>IF(N162&lt;&gt;"",toUTF16(HEX2DEC(N162)),"")</f>
        <v/>
      </c>
      <c r="T162" s="19" t="str">
        <f>IF(O162&lt;&gt;"",toUTF16(HEX2DEC(O162)),"")</f>
        <v/>
      </c>
      <c r="U162" s="49" t="str">
        <f>IF(P162&lt;&gt;"",toUTF16(HEX2DEC(P162)),"")</f>
        <v/>
      </c>
      <c r="V162" s="26" t="s">
        <v>287</v>
      </c>
      <c r="W162" s="17"/>
      <c r="X162" s="17"/>
      <c r="Y162" s="9" t="str">
        <f t="shared" si="31"/>
        <v/>
      </c>
      <c r="Z162" s="9" t="str">
        <f t="shared" si="32"/>
        <v/>
      </c>
      <c r="AA162" s="10" t="str">
        <f t="shared" si="33"/>
        <v/>
      </c>
    </row>
    <row r="163" spans="7:27" ht="23.25">
      <c r="G163" s="18" t="str">
        <f t="shared" si="37"/>
        <v/>
      </c>
      <c r="H163" s="18" t="str">
        <f t="shared" si="38"/>
        <v/>
      </c>
      <c r="I163" s="18" t="str">
        <f t="shared" si="39"/>
        <v/>
      </c>
      <c r="J163" s="18" t="str">
        <f t="shared" si="40"/>
        <v/>
      </c>
      <c r="K163" s="21"/>
      <c r="N163" s="77" t="str">
        <f t="shared" si="34"/>
        <v/>
      </c>
      <c r="O163" s="77" t="str">
        <f t="shared" si="35"/>
        <v/>
      </c>
      <c r="P163" s="78" t="str">
        <f t="shared" si="36"/>
        <v/>
      </c>
      <c r="Q163" s="19" t="str">
        <f t="shared" si="41"/>
        <v/>
      </c>
      <c r="R163" s="19" t="str">
        <f>IF(M163&lt;&gt;"",toUTF16(HEX2DEC(M163)),"")</f>
        <v/>
      </c>
      <c r="S163" s="19" t="str">
        <f>IF(N163&lt;&gt;"",toUTF16(HEX2DEC(N163)),"")</f>
        <v/>
      </c>
      <c r="T163" s="19" t="str">
        <f>IF(O163&lt;&gt;"",toUTF16(HEX2DEC(O163)),"")</f>
        <v/>
      </c>
      <c r="U163" s="49" t="str">
        <f>IF(P163&lt;&gt;"",toUTF16(HEX2DEC(P163)),"")</f>
        <v/>
      </c>
      <c r="V163" s="26" t="s">
        <v>287</v>
      </c>
      <c r="W163" s="17"/>
      <c r="X163" s="17"/>
      <c r="Y163" s="9" t="str">
        <f t="shared" si="31"/>
        <v/>
      </c>
      <c r="Z163" s="9" t="str">
        <f t="shared" si="32"/>
        <v/>
      </c>
      <c r="AA163" s="10" t="str">
        <f t="shared" si="33"/>
        <v/>
      </c>
    </row>
    <row r="164" spans="7:27" ht="23.25">
      <c r="G164" s="18" t="str">
        <f t="shared" si="37"/>
        <v/>
      </c>
      <c r="H164" s="18" t="str">
        <f t="shared" si="38"/>
        <v/>
      </c>
      <c r="I164" s="18" t="str">
        <f t="shared" si="39"/>
        <v/>
      </c>
      <c r="J164" s="18" t="str">
        <f t="shared" si="40"/>
        <v/>
      </c>
      <c r="K164" s="21"/>
      <c r="N164" s="77" t="str">
        <f t="shared" si="34"/>
        <v/>
      </c>
      <c r="O164" s="77" t="str">
        <f t="shared" si="35"/>
        <v/>
      </c>
      <c r="P164" s="78" t="str">
        <f t="shared" si="36"/>
        <v/>
      </c>
      <c r="Q164" s="19" t="str">
        <f t="shared" si="41"/>
        <v/>
      </c>
      <c r="R164" s="19" t="str">
        <f>IF(M164&lt;&gt;"",toUTF16(HEX2DEC(M164)),"")</f>
        <v/>
      </c>
      <c r="S164" s="19" t="str">
        <f>IF(N164&lt;&gt;"",toUTF16(HEX2DEC(N164)),"")</f>
        <v/>
      </c>
      <c r="T164" s="19" t="str">
        <f>IF(O164&lt;&gt;"",toUTF16(HEX2DEC(O164)),"")</f>
        <v/>
      </c>
      <c r="U164" s="49" t="str">
        <f>IF(P164&lt;&gt;"",toUTF16(HEX2DEC(P164)),"")</f>
        <v/>
      </c>
      <c r="V164" s="26" t="s">
        <v>287</v>
      </c>
      <c r="W164" s="17"/>
      <c r="X164" s="17"/>
      <c r="Y164" s="9" t="str">
        <f t="shared" si="31"/>
        <v/>
      </c>
      <c r="Z164" s="9" t="str">
        <f t="shared" si="32"/>
        <v/>
      </c>
      <c r="AA164" s="10" t="str">
        <f t="shared" si="33"/>
        <v/>
      </c>
    </row>
    <row r="165" spans="7:27" ht="23.25">
      <c r="G165" s="18" t="str">
        <f t="shared" si="37"/>
        <v/>
      </c>
      <c r="H165" s="18" t="str">
        <f t="shared" si="38"/>
        <v/>
      </c>
      <c r="I165" s="18" t="str">
        <f t="shared" si="39"/>
        <v/>
      </c>
      <c r="J165" s="18" t="str">
        <f t="shared" si="40"/>
        <v/>
      </c>
      <c r="K165" s="21"/>
      <c r="N165" s="77" t="str">
        <f t="shared" si="34"/>
        <v/>
      </c>
      <c r="O165" s="77" t="str">
        <f t="shared" si="35"/>
        <v/>
      </c>
      <c r="P165" s="78" t="str">
        <f t="shared" si="36"/>
        <v/>
      </c>
      <c r="Q165" s="19" t="str">
        <f t="shared" si="41"/>
        <v/>
      </c>
      <c r="R165" s="19" t="str">
        <f>IF(M165&lt;&gt;"",toUTF16(HEX2DEC(M165)),"")</f>
        <v/>
      </c>
      <c r="S165" s="19" t="str">
        <f>IF(N165&lt;&gt;"",toUTF16(HEX2DEC(N165)),"")</f>
        <v/>
      </c>
      <c r="T165" s="19" t="str">
        <f>IF(O165&lt;&gt;"",toUTF16(HEX2DEC(O165)),"")</f>
        <v/>
      </c>
      <c r="U165" s="49" t="str">
        <f>IF(P165&lt;&gt;"",toUTF16(HEX2DEC(P165)),"")</f>
        <v/>
      </c>
      <c r="V165" s="26" t="s">
        <v>287</v>
      </c>
      <c r="W165" s="17"/>
      <c r="X165" s="17"/>
      <c r="Y165" s="9" t="str">
        <f t="shared" si="31"/>
        <v/>
      </c>
      <c r="Z165" s="9" t="str">
        <f t="shared" si="32"/>
        <v/>
      </c>
      <c r="AA165" s="10" t="str">
        <f t="shared" si="33"/>
        <v/>
      </c>
    </row>
    <row r="166" spans="7:27" ht="23.25">
      <c r="G166" s="18" t="str">
        <f t="shared" si="37"/>
        <v/>
      </c>
      <c r="H166" s="18" t="str">
        <f t="shared" si="38"/>
        <v/>
      </c>
      <c r="I166" s="18" t="str">
        <f t="shared" si="39"/>
        <v/>
      </c>
      <c r="J166" s="18" t="str">
        <f t="shared" si="40"/>
        <v/>
      </c>
      <c r="K166" s="21"/>
      <c r="N166" s="77" t="str">
        <f t="shared" si="34"/>
        <v/>
      </c>
      <c r="O166" s="77" t="str">
        <f t="shared" si="35"/>
        <v/>
      </c>
      <c r="P166" s="78" t="str">
        <f t="shared" si="36"/>
        <v/>
      </c>
      <c r="Q166" s="19" t="str">
        <f t="shared" si="41"/>
        <v/>
      </c>
      <c r="R166" s="19" t="str">
        <f>IF(M166&lt;&gt;"",toUTF16(HEX2DEC(M166)),"")</f>
        <v/>
      </c>
      <c r="S166" s="19" t="str">
        <f>IF(N166&lt;&gt;"",toUTF16(HEX2DEC(N166)),"")</f>
        <v/>
      </c>
      <c r="T166" s="19" t="str">
        <f>IF(O166&lt;&gt;"",toUTF16(HEX2DEC(O166)),"")</f>
        <v/>
      </c>
      <c r="U166" s="49" t="str">
        <f>IF(P166&lt;&gt;"",toUTF16(HEX2DEC(P166)),"")</f>
        <v/>
      </c>
      <c r="V166" s="26" t="s">
        <v>287</v>
      </c>
      <c r="W166" s="17"/>
      <c r="X166" s="17"/>
      <c r="Y166" s="9" t="str">
        <f t="shared" si="31"/>
        <v/>
      </c>
      <c r="Z166" s="9" t="str">
        <f t="shared" si="32"/>
        <v/>
      </c>
      <c r="AA166" s="10" t="str">
        <f t="shared" si="33"/>
        <v/>
      </c>
    </row>
    <row r="167" spans="7:27" ht="23.25">
      <c r="G167" s="18" t="str">
        <f t="shared" si="37"/>
        <v/>
      </c>
      <c r="H167" s="18" t="str">
        <f t="shared" si="38"/>
        <v/>
      </c>
      <c r="I167" s="18" t="str">
        <f t="shared" si="39"/>
        <v/>
      </c>
      <c r="J167" s="18" t="str">
        <f t="shared" si="40"/>
        <v/>
      </c>
      <c r="K167" s="21"/>
      <c r="N167" s="77" t="str">
        <f t="shared" si="34"/>
        <v/>
      </c>
      <c r="O167" s="77" t="str">
        <f t="shared" si="35"/>
        <v/>
      </c>
      <c r="P167" s="78" t="str">
        <f t="shared" si="36"/>
        <v/>
      </c>
      <c r="Q167" s="19" t="str">
        <f t="shared" si="41"/>
        <v/>
      </c>
      <c r="R167" s="19" t="str">
        <f>IF(M167&lt;&gt;"",toUTF16(HEX2DEC(M167)),"")</f>
        <v/>
      </c>
      <c r="S167" s="19" t="str">
        <f>IF(N167&lt;&gt;"",toUTF16(HEX2DEC(N167)),"")</f>
        <v/>
      </c>
      <c r="T167" s="19" t="str">
        <f>IF(O167&lt;&gt;"",toUTF16(HEX2DEC(O167)),"")</f>
        <v/>
      </c>
      <c r="U167" s="49" t="str">
        <f>IF(P167&lt;&gt;"",toUTF16(HEX2DEC(P167)),"")</f>
        <v/>
      </c>
      <c r="V167" s="26" t="s">
        <v>287</v>
      </c>
      <c r="W167" s="17"/>
      <c r="X167" s="17"/>
      <c r="Y167" s="9" t="str">
        <f t="shared" si="31"/>
        <v/>
      </c>
      <c r="Z167" s="9" t="str">
        <f t="shared" si="32"/>
        <v/>
      </c>
      <c r="AA167" s="10" t="str">
        <f t="shared" si="33"/>
        <v/>
      </c>
    </row>
    <row r="168" spans="7:27" ht="23.25">
      <c r="G168" s="18" t="str">
        <f t="shared" si="37"/>
        <v/>
      </c>
      <c r="H168" s="18" t="str">
        <f t="shared" si="38"/>
        <v/>
      </c>
      <c r="I168" s="18" t="str">
        <f t="shared" si="39"/>
        <v/>
      </c>
      <c r="J168" s="18" t="str">
        <f t="shared" si="40"/>
        <v/>
      </c>
      <c r="K168" s="21"/>
      <c r="N168" s="77" t="str">
        <f t="shared" si="34"/>
        <v/>
      </c>
      <c r="O168" s="77" t="str">
        <f t="shared" si="35"/>
        <v/>
      </c>
      <c r="P168" s="78" t="str">
        <f t="shared" si="36"/>
        <v/>
      </c>
      <c r="Q168" s="19" t="str">
        <f t="shared" si="41"/>
        <v/>
      </c>
      <c r="R168" s="19" t="str">
        <f>IF(M168&lt;&gt;"",toUTF16(HEX2DEC(M168)),"")</f>
        <v/>
      </c>
      <c r="S168" s="19" t="str">
        <f>IF(N168&lt;&gt;"",toUTF16(HEX2DEC(N168)),"")</f>
        <v/>
      </c>
      <c r="T168" s="19" t="str">
        <f>IF(O168&lt;&gt;"",toUTF16(HEX2DEC(O168)),"")</f>
        <v/>
      </c>
      <c r="U168" s="49" t="str">
        <f>IF(P168&lt;&gt;"",toUTF16(HEX2DEC(P168)),"")</f>
        <v/>
      </c>
      <c r="V168" s="26" t="s">
        <v>287</v>
      </c>
      <c r="W168" s="17"/>
      <c r="X168" s="17"/>
      <c r="Y168" s="9" t="str">
        <f t="shared" si="31"/>
        <v/>
      </c>
      <c r="Z168" s="9" t="str">
        <f t="shared" si="32"/>
        <v/>
      </c>
      <c r="AA168" s="10" t="str">
        <f t="shared" si="33"/>
        <v/>
      </c>
    </row>
    <row r="169" spans="7:27" ht="23.25">
      <c r="G169" s="18" t="str">
        <f t="shared" si="37"/>
        <v/>
      </c>
      <c r="H169" s="18" t="str">
        <f t="shared" si="38"/>
        <v/>
      </c>
      <c r="I169" s="18" t="str">
        <f t="shared" si="39"/>
        <v/>
      </c>
      <c r="J169" s="18" t="str">
        <f t="shared" si="40"/>
        <v/>
      </c>
      <c r="K169" s="21"/>
      <c r="N169" s="77" t="str">
        <f t="shared" si="34"/>
        <v/>
      </c>
      <c r="O169" s="77" t="str">
        <f t="shared" si="35"/>
        <v/>
      </c>
      <c r="P169" s="78" t="str">
        <f t="shared" si="36"/>
        <v/>
      </c>
      <c r="Q169" s="19" t="str">
        <f t="shared" si="41"/>
        <v/>
      </c>
      <c r="R169" s="19" t="str">
        <f>IF(M169&lt;&gt;"",toUTF16(HEX2DEC(M169)),"")</f>
        <v/>
      </c>
      <c r="S169" s="19" t="str">
        <f>IF(N169&lt;&gt;"",toUTF16(HEX2DEC(N169)),"")</f>
        <v/>
      </c>
      <c r="T169" s="19" t="str">
        <f>IF(O169&lt;&gt;"",toUTF16(HEX2DEC(O169)),"")</f>
        <v/>
      </c>
      <c r="U169" s="49" t="str">
        <f>IF(P169&lt;&gt;"",toUTF16(HEX2DEC(P169)),"")</f>
        <v/>
      </c>
      <c r="V169" s="26" t="s">
        <v>287</v>
      </c>
      <c r="W169" s="17"/>
      <c r="X169" s="17"/>
      <c r="Y169" s="9" t="str">
        <f t="shared" ref="Y169:Y232" si="42">IF($X169&lt;&gt;"",DEC2HEX(HEX2DEC($X169)+2,4),"")</f>
        <v/>
      </c>
      <c r="Z169" s="9" t="str">
        <f t="shared" ref="Z169:Z232" si="43">IF($X169&lt;&gt;"",DEC2HEX(HEX2DEC($X169)+3,4),"")</f>
        <v/>
      </c>
      <c r="AA169" s="10" t="str">
        <f t="shared" ref="AA169:AA232" si="44">IF($X169&lt;&gt;"",DEC2HEX(HEX2DEC($X169)+1,4),"")</f>
        <v/>
      </c>
    </row>
    <row r="170" spans="7:27" ht="23.25">
      <c r="G170" s="18" t="str">
        <f t="shared" si="37"/>
        <v/>
      </c>
      <c r="H170" s="18" t="str">
        <f t="shared" si="38"/>
        <v/>
      </c>
      <c r="I170" s="18" t="str">
        <f t="shared" si="39"/>
        <v/>
      </c>
      <c r="J170" s="18" t="str">
        <f t="shared" si="40"/>
        <v/>
      </c>
      <c r="K170" s="21"/>
      <c r="N170" s="77" t="str">
        <f t="shared" ref="N170:N233" si="45">IF($M170&lt;&gt;"",DEC2HEX(HEX2DEC($M170)+2,4),"")</f>
        <v/>
      </c>
      <c r="O170" s="77" t="str">
        <f t="shared" ref="O170:O233" si="46">IF($M170&lt;&gt;"",DEC2HEX(HEX2DEC($M170)+3,4),"")</f>
        <v/>
      </c>
      <c r="P170" s="78" t="str">
        <f t="shared" ref="P170:P233" si="47">IF($M170&lt;&gt;"",DEC2HEX(HEX2DEC($M170)+1,4),"")</f>
        <v/>
      </c>
      <c r="Q170" s="19" t="str">
        <f t="shared" si="41"/>
        <v/>
      </c>
      <c r="R170" s="19" t="str">
        <f>IF(M170&lt;&gt;"",toUTF16(HEX2DEC(M170)),"")</f>
        <v/>
      </c>
      <c r="S170" s="19" t="str">
        <f>IF(N170&lt;&gt;"",toUTF16(HEX2DEC(N170)),"")</f>
        <v/>
      </c>
      <c r="T170" s="19" t="str">
        <f>IF(O170&lt;&gt;"",toUTF16(HEX2DEC(O170)),"")</f>
        <v/>
      </c>
      <c r="U170" s="49" t="str">
        <f>IF(P170&lt;&gt;"",toUTF16(HEX2DEC(P170)),"")</f>
        <v/>
      </c>
      <c r="V170" s="26" t="s">
        <v>287</v>
      </c>
      <c r="W170" s="17"/>
      <c r="X170" s="17"/>
      <c r="Y170" s="9" t="str">
        <f t="shared" si="42"/>
        <v/>
      </c>
      <c r="Z170" s="9" t="str">
        <f t="shared" si="43"/>
        <v/>
      </c>
      <c r="AA170" s="10" t="str">
        <f t="shared" si="44"/>
        <v/>
      </c>
    </row>
    <row r="171" spans="7:27" ht="23.25">
      <c r="G171" s="18" t="str">
        <f t="shared" ref="G171:G234" si="48">IF(R171&lt;&gt;"",R171,"")</f>
        <v/>
      </c>
      <c r="H171" s="18" t="str">
        <f t="shared" ref="H171:H234" si="49">IF(S171&lt;&gt;"",S171,"")</f>
        <v/>
      </c>
      <c r="I171" s="18" t="str">
        <f t="shared" ref="I171:I234" si="50">IF(T171&lt;&gt;"",T171,"")</f>
        <v/>
      </c>
      <c r="J171" s="18" t="str">
        <f t="shared" ref="J171:J234" si="51">IF(U171&lt;&gt;"",U171,"")</f>
        <v/>
      </c>
      <c r="K171" s="21"/>
      <c r="N171" s="77" t="str">
        <f t="shared" si="45"/>
        <v/>
      </c>
      <c r="O171" s="77" t="str">
        <f t="shared" si="46"/>
        <v/>
      </c>
      <c r="P171" s="78" t="str">
        <f t="shared" si="47"/>
        <v/>
      </c>
      <c r="Q171" s="19" t="str">
        <f t="shared" ref="Q171:Q234" si="52">IF(L171&lt;&gt;"",toUTF16(HEX2DEC(L171)),"")</f>
        <v/>
      </c>
      <c r="R171" s="19" t="str">
        <f>IF(M171&lt;&gt;"",toUTF16(HEX2DEC(M171)),"")</f>
        <v/>
      </c>
      <c r="S171" s="19" t="str">
        <f>IF(N171&lt;&gt;"",toUTF16(HEX2DEC(N171)),"")</f>
        <v/>
      </c>
      <c r="T171" s="19" t="str">
        <f>IF(O171&lt;&gt;"",toUTF16(HEX2DEC(O171)),"")</f>
        <v/>
      </c>
      <c r="U171" s="49" t="str">
        <f>IF(P171&lt;&gt;"",toUTF16(HEX2DEC(P171)),"")</f>
        <v/>
      </c>
      <c r="V171" s="26" t="s">
        <v>287</v>
      </c>
      <c r="W171" s="17"/>
      <c r="X171" s="17"/>
      <c r="Y171" s="9" t="str">
        <f t="shared" si="42"/>
        <v/>
      </c>
      <c r="Z171" s="9" t="str">
        <f t="shared" si="43"/>
        <v/>
      </c>
      <c r="AA171" s="10" t="str">
        <f t="shared" si="44"/>
        <v/>
      </c>
    </row>
    <row r="172" spans="7:27" ht="23.25">
      <c r="G172" s="18" t="str">
        <f t="shared" si="48"/>
        <v/>
      </c>
      <c r="H172" s="18" t="str">
        <f t="shared" si="49"/>
        <v/>
      </c>
      <c r="I172" s="18" t="str">
        <f t="shared" si="50"/>
        <v/>
      </c>
      <c r="J172" s="18" t="str">
        <f t="shared" si="51"/>
        <v/>
      </c>
      <c r="K172" s="21"/>
      <c r="N172" s="77" t="str">
        <f t="shared" si="45"/>
        <v/>
      </c>
      <c r="O172" s="77" t="str">
        <f t="shared" si="46"/>
        <v/>
      </c>
      <c r="P172" s="78" t="str">
        <f t="shared" si="47"/>
        <v/>
      </c>
      <c r="Q172" s="19" t="str">
        <f t="shared" si="52"/>
        <v/>
      </c>
      <c r="R172" s="19" t="str">
        <f>IF(M172&lt;&gt;"",toUTF16(HEX2DEC(M172)),"")</f>
        <v/>
      </c>
      <c r="S172" s="19" t="str">
        <f>IF(N172&lt;&gt;"",toUTF16(HEX2DEC(N172)),"")</f>
        <v/>
      </c>
      <c r="T172" s="19" t="str">
        <f>IF(O172&lt;&gt;"",toUTF16(HEX2DEC(O172)),"")</f>
        <v/>
      </c>
      <c r="U172" s="49" t="str">
        <f>IF(P172&lt;&gt;"",toUTF16(HEX2DEC(P172)),"")</f>
        <v/>
      </c>
      <c r="V172" s="26" t="s">
        <v>287</v>
      </c>
      <c r="W172" s="17"/>
      <c r="X172" s="17"/>
      <c r="Y172" s="9" t="str">
        <f t="shared" si="42"/>
        <v/>
      </c>
      <c r="Z172" s="9" t="str">
        <f t="shared" si="43"/>
        <v/>
      </c>
      <c r="AA172" s="10" t="str">
        <f t="shared" si="44"/>
        <v/>
      </c>
    </row>
    <row r="173" spans="7:27" ht="23.25">
      <c r="G173" s="18" t="str">
        <f t="shared" si="48"/>
        <v/>
      </c>
      <c r="H173" s="18" t="str">
        <f t="shared" si="49"/>
        <v/>
      </c>
      <c r="I173" s="18" t="str">
        <f t="shared" si="50"/>
        <v/>
      </c>
      <c r="J173" s="18" t="str">
        <f t="shared" si="51"/>
        <v/>
      </c>
      <c r="K173" s="21"/>
      <c r="N173" s="77" t="str">
        <f t="shared" si="45"/>
        <v/>
      </c>
      <c r="O173" s="77" t="str">
        <f t="shared" si="46"/>
        <v/>
      </c>
      <c r="P173" s="78" t="str">
        <f t="shared" si="47"/>
        <v/>
      </c>
      <c r="Q173" s="19" t="str">
        <f t="shared" si="52"/>
        <v/>
      </c>
      <c r="R173" s="19" t="str">
        <f>IF(M173&lt;&gt;"",toUTF16(HEX2DEC(M173)),"")</f>
        <v/>
      </c>
      <c r="S173" s="19" t="str">
        <f>IF(N173&lt;&gt;"",toUTF16(HEX2DEC(N173)),"")</f>
        <v/>
      </c>
      <c r="T173" s="19" t="str">
        <f>IF(O173&lt;&gt;"",toUTF16(HEX2DEC(O173)),"")</f>
        <v/>
      </c>
      <c r="U173" s="49" t="str">
        <f>IF(P173&lt;&gt;"",toUTF16(HEX2DEC(P173)),"")</f>
        <v/>
      </c>
      <c r="V173" s="26" t="s">
        <v>287</v>
      </c>
      <c r="W173" s="17"/>
      <c r="X173" s="17"/>
      <c r="Y173" s="9" t="str">
        <f t="shared" si="42"/>
        <v/>
      </c>
      <c r="Z173" s="9" t="str">
        <f t="shared" si="43"/>
        <v/>
      </c>
      <c r="AA173" s="10" t="str">
        <f t="shared" si="44"/>
        <v/>
      </c>
    </row>
    <row r="174" spans="7:27" ht="23.25">
      <c r="G174" s="18" t="str">
        <f t="shared" si="48"/>
        <v/>
      </c>
      <c r="H174" s="18" t="str">
        <f t="shared" si="49"/>
        <v/>
      </c>
      <c r="I174" s="18" t="str">
        <f t="shared" si="50"/>
        <v/>
      </c>
      <c r="J174" s="18" t="str">
        <f t="shared" si="51"/>
        <v/>
      </c>
      <c r="K174" s="21"/>
      <c r="N174" s="77" t="str">
        <f t="shared" si="45"/>
        <v/>
      </c>
      <c r="O174" s="77" t="str">
        <f t="shared" si="46"/>
        <v/>
      </c>
      <c r="P174" s="78" t="str">
        <f t="shared" si="47"/>
        <v/>
      </c>
      <c r="Q174" s="19" t="str">
        <f t="shared" si="52"/>
        <v/>
      </c>
      <c r="R174" s="19" t="str">
        <f>IF(M174&lt;&gt;"",toUTF16(HEX2DEC(M174)),"")</f>
        <v/>
      </c>
      <c r="S174" s="19" t="str">
        <f>IF(N174&lt;&gt;"",toUTF16(HEX2DEC(N174)),"")</f>
        <v/>
      </c>
      <c r="T174" s="19" t="str">
        <f>IF(O174&lt;&gt;"",toUTF16(HEX2DEC(O174)),"")</f>
        <v/>
      </c>
      <c r="U174" s="49" t="str">
        <f>IF(P174&lt;&gt;"",toUTF16(HEX2DEC(P174)),"")</f>
        <v/>
      </c>
      <c r="V174" s="26" t="s">
        <v>287</v>
      </c>
      <c r="W174" s="17"/>
      <c r="X174" s="17"/>
      <c r="Y174" s="9" t="str">
        <f t="shared" si="42"/>
        <v/>
      </c>
      <c r="Z174" s="9" t="str">
        <f t="shared" si="43"/>
        <v/>
      </c>
      <c r="AA174" s="10" t="str">
        <f t="shared" si="44"/>
        <v/>
      </c>
    </row>
    <row r="175" spans="7:27" ht="23.25">
      <c r="G175" s="18" t="str">
        <f t="shared" si="48"/>
        <v/>
      </c>
      <c r="H175" s="18" t="str">
        <f t="shared" si="49"/>
        <v/>
      </c>
      <c r="I175" s="18" t="str">
        <f t="shared" si="50"/>
        <v/>
      </c>
      <c r="J175" s="18" t="str">
        <f t="shared" si="51"/>
        <v/>
      </c>
      <c r="K175" s="21"/>
      <c r="N175" s="77" t="str">
        <f t="shared" si="45"/>
        <v/>
      </c>
      <c r="O175" s="77" t="str">
        <f t="shared" si="46"/>
        <v/>
      </c>
      <c r="P175" s="78" t="str">
        <f t="shared" si="47"/>
        <v/>
      </c>
      <c r="Q175" s="19" t="str">
        <f t="shared" si="52"/>
        <v/>
      </c>
      <c r="R175" s="19" t="str">
        <f>IF(M175&lt;&gt;"",toUTF16(HEX2DEC(M175)),"")</f>
        <v/>
      </c>
      <c r="S175" s="19" t="str">
        <f>IF(N175&lt;&gt;"",toUTF16(HEX2DEC(N175)),"")</f>
        <v/>
      </c>
      <c r="T175" s="19" t="str">
        <f>IF(O175&lt;&gt;"",toUTF16(HEX2DEC(O175)),"")</f>
        <v/>
      </c>
      <c r="U175" s="49" t="str">
        <f>IF(P175&lt;&gt;"",toUTF16(HEX2DEC(P175)),"")</f>
        <v/>
      </c>
      <c r="V175" s="26" t="s">
        <v>287</v>
      </c>
      <c r="W175" s="17"/>
      <c r="X175" s="17"/>
      <c r="Y175" s="9" t="str">
        <f t="shared" si="42"/>
        <v/>
      </c>
      <c r="Z175" s="9" t="str">
        <f t="shared" si="43"/>
        <v/>
      </c>
      <c r="AA175" s="10" t="str">
        <f t="shared" si="44"/>
        <v/>
      </c>
    </row>
    <row r="176" spans="7:27" ht="23.25">
      <c r="G176" s="18" t="str">
        <f t="shared" si="48"/>
        <v/>
      </c>
      <c r="H176" s="18" t="str">
        <f t="shared" si="49"/>
        <v/>
      </c>
      <c r="I176" s="18" t="str">
        <f t="shared" si="50"/>
        <v/>
      </c>
      <c r="J176" s="18" t="str">
        <f t="shared" si="51"/>
        <v/>
      </c>
      <c r="K176" s="21"/>
      <c r="N176" s="77" t="str">
        <f t="shared" si="45"/>
        <v/>
      </c>
      <c r="O176" s="77" t="str">
        <f t="shared" si="46"/>
        <v/>
      </c>
      <c r="P176" s="78" t="str">
        <f t="shared" si="47"/>
        <v/>
      </c>
      <c r="Q176" s="19" t="str">
        <f t="shared" si="52"/>
        <v/>
      </c>
      <c r="R176" s="19" t="str">
        <f>IF(M176&lt;&gt;"",toUTF16(HEX2DEC(M176)),"")</f>
        <v/>
      </c>
      <c r="S176" s="19" t="str">
        <f>IF(N176&lt;&gt;"",toUTF16(HEX2DEC(N176)),"")</f>
        <v/>
      </c>
      <c r="T176" s="19" t="str">
        <f>IF(O176&lt;&gt;"",toUTF16(HEX2DEC(O176)),"")</f>
        <v/>
      </c>
      <c r="U176" s="49" t="str">
        <f>IF(P176&lt;&gt;"",toUTF16(HEX2DEC(P176)),"")</f>
        <v/>
      </c>
      <c r="V176" s="26" t="s">
        <v>287</v>
      </c>
      <c r="W176" s="17"/>
      <c r="X176" s="17"/>
      <c r="Y176" s="9" t="str">
        <f t="shared" si="42"/>
        <v/>
      </c>
      <c r="Z176" s="9" t="str">
        <f t="shared" si="43"/>
        <v/>
      </c>
      <c r="AA176" s="10" t="str">
        <f t="shared" si="44"/>
        <v/>
      </c>
    </row>
    <row r="177" spans="7:27" ht="23.25">
      <c r="G177" s="18" t="str">
        <f t="shared" si="48"/>
        <v/>
      </c>
      <c r="H177" s="18" t="str">
        <f t="shared" si="49"/>
        <v/>
      </c>
      <c r="I177" s="18" t="str">
        <f t="shared" si="50"/>
        <v/>
      </c>
      <c r="J177" s="18" t="str">
        <f t="shared" si="51"/>
        <v/>
      </c>
      <c r="K177" s="21"/>
      <c r="N177" s="77" t="str">
        <f t="shared" si="45"/>
        <v/>
      </c>
      <c r="O177" s="77" t="str">
        <f t="shared" si="46"/>
        <v/>
      </c>
      <c r="P177" s="78" t="str">
        <f t="shared" si="47"/>
        <v/>
      </c>
      <c r="Q177" s="19" t="str">
        <f t="shared" si="52"/>
        <v/>
      </c>
      <c r="R177" s="19" t="str">
        <f>IF(M177&lt;&gt;"",toUTF16(HEX2DEC(M177)),"")</f>
        <v/>
      </c>
      <c r="S177" s="19" t="str">
        <f>IF(N177&lt;&gt;"",toUTF16(HEX2DEC(N177)),"")</f>
        <v/>
      </c>
      <c r="T177" s="19" t="str">
        <f>IF(O177&lt;&gt;"",toUTF16(HEX2DEC(O177)),"")</f>
        <v/>
      </c>
      <c r="U177" s="49" t="str">
        <f>IF(P177&lt;&gt;"",toUTF16(HEX2DEC(P177)),"")</f>
        <v/>
      </c>
      <c r="V177" s="26" t="s">
        <v>287</v>
      </c>
      <c r="W177" s="17"/>
      <c r="X177" s="17"/>
      <c r="Y177" s="9" t="str">
        <f t="shared" si="42"/>
        <v/>
      </c>
      <c r="Z177" s="9" t="str">
        <f t="shared" si="43"/>
        <v/>
      </c>
      <c r="AA177" s="10" t="str">
        <f t="shared" si="44"/>
        <v/>
      </c>
    </row>
    <row r="178" spans="7:27" ht="23.25">
      <c r="G178" s="18" t="str">
        <f t="shared" si="48"/>
        <v/>
      </c>
      <c r="H178" s="18" t="str">
        <f t="shared" si="49"/>
        <v/>
      </c>
      <c r="I178" s="18" t="str">
        <f t="shared" si="50"/>
        <v/>
      </c>
      <c r="J178" s="18" t="str">
        <f t="shared" si="51"/>
        <v/>
      </c>
      <c r="K178" s="21"/>
      <c r="N178" s="77" t="str">
        <f t="shared" si="45"/>
        <v/>
      </c>
      <c r="O178" s="77" t="str">
        <f t="shared" si="46"/>
        <v/>
      </c>
      <c r="P178" s="78" t="str">
        <f t="shared" si="47"/>
        <v/>
      </c>
      <c r="Q178" s="19" t="str">
        <f t="shared" si="52"/>
        <v/>
      </c>
      <c r="R178" s="19" t="str">
        <f>IF(M178&lt;&gt;"",toUTF16(HEX2DEC(M178)),"")</f>
        <v/>
      </c>
      <c r="S178" s="19" t="str">
        <f>IF(N178&lt;&gt;"",toUTF16(HEX2DEC(N178)),"")</f>
        <v/>
      </c>
      <c r="T178" s="19" t="str">
        <f>IF(O178&lt;&gt;"",toUTF16(HEX2DEC(O178)),"")</f>
        <v/>
      </c>
      <c r="U178" s="49" t="str">
        <f>IF(P178&lt;&gt;"",toUTF16(HEX2DEC(P178)),"")</f>
        <v/>
      </c>
      <c r="V178" s="26" t="s">
        <v>287</v>
      </c>
      <c r="W178" s="17"/>
      <c r="X178" s="17"/>
      <c r="Y178" s="9" t="str">
        <f t="shared" si="42"/>
        <v/>
      </c>
      <c r="Z178" s="9" t="str">
        <f t="shared" si="43"/>
        <v/>
      </c>
      <c r="AA178" s="10" t="str">
        <f t="shared" si="44"/>
        <v/>
      </c>
    </row>
    <row r="179" spans="7:27" ht="23.25">
      <c r="G179" s="18" t="str">
        <f t="shared" si="48"/>
        <v/>
      </c>
      <c r="H179" s="18" t="str">
        <f t="shared" si="49"/>
        <v/>
      </c>
      <c r="I179" s="18" t="str">
        <f t="shared" si="50"/>
        <v/>
      </c>
      <c r="J179" s="18" t="str">
        <f t="shared" si="51"/>
        <v/>
      </c>
      <c r="K179" s="21"/>
      <c r="N179" s="77" t="str">
        <f t="shared" si="45"/>
        <v/>
      </c>
      <c r="O179" s="77" t="str">
        <f t="shared" si="46"/>
        <v/>
      </c>
      <c r="P179" s="78" t="str">
        <f t="shared" si="47"/>
        <v/>
      </c>
      <c r="Q179" s="19" t="str">
        <f t="shared" si="52"/>
        <v/>
      </c>
      <c r="R179" s="19" t="str">
        <f>IF(M179&lt;&gt;"",toUTF16(HEX2DEC(M179)),"")</f>
        <v/>
      </c>
      <c r="S179" s="19" t="str">
        <f>IF(N179&lt;&gt;"",toUTF16(HEX2DEC(N179)),"")</f>
        <v/>
      </c>
      <c r="T179" s="19" t="str">
        <f>IF(O179&lt;&gt;"",toUTF16(HEX2DEC(O179)),"")</f>
        <v/>
      </c>
      <c r="U179" s="49" t="str">
        <f>IF(P179&lt;&gt;"",toUTF16(HEX2DEC(P179)),"")</f>
        <v/>
      </c>
      <c r="V179" s="26" t="s">
        <v>287</v>
      </c>
      <c r="W179" s="17"/>
      <c r="X179" s="17"/>
      <c r="Y179" s="9" t="str">
        <f t="shared" si="42"/>
        <v/>
      </c>
      <c r="Z179" s="9" t="str">
        <f t="shared" si="43"/>
        <v/>
      </c>
      <c r="AA179" s="10" t="str">
        <f t="shared" si="44"/>
        <v/>
      </c>
    </row>
    <row r="180" spans="7:27" ht="23.25">
      <c r="G180" s="18" t="str">
        <f t="shared" si="48"/>
        <v/>
      </c>
      <c r="H180" s="18" t="str">
        <f t="shared" si="49"/>
        <v/>
      </c>
      <c r="I180" s="18" t="str">
        <f t="shared" si="50"/>
        <v/>
      </c>
      <c r="J180" s="18" t="str">
        <f t="shared" si="51"/>
        <v/>
      </c>
      <c r="K180" s="21"/>
      <c r="N180" s="77" t="str">
        <f t="shared" si="45"/>
        <v/>
      </c>
      <c r="O180" s="77" t="str">
        <f t="shared" si="46"/>
        <v/>
      </c>
      <c r="P180" s="78" t="str">
        <f t="shared" si="47"/>
        <v/>
      </c>
      <c r="Q180" s="19" t="str">
        <f t="shared" si="52"/>
        <v/>
      </c>
      <c r="R180" s="19" t="str">
        <f>IF(M180&lt;&gt;"",toUTF16(HEX2DEC(M180)),"")</f>
        <v/>
      </c>
      <c r="S180" s="19" t="str">
        <f>IF(N180&lt;&gt;"",toUTF16(HEX2DEC(N180)),"")</f>
        <v/>
      </c>
      <c r="T180" s="19" t="str">
        <f>IF(O180&lt;&gt;"",toUTF16(HEX2DEC(O180)),"")</f>
        <v/>
      </c>
      <c r="U180" s="49" t="str">
        <f>IF(P180&lt;&gt;"",toUTF16(HEX2DEC(P180)),"")</f>
        <v/>
      </c>
      <c r="V180" s="26" t="s">
        <v>287</v>
      </c>
      <c r="W180" s="17"/>
      <c r="X180" s="17"/>
      <c r="Y180" s="9" t="str">
        <f t="shared" si="42"/>
        <v/>
      </c>
      <c r="Z180" s="9" t="str">
        <f t="shared" si="43"/>
        <v/>
      </c>
      <c r="AA180" s="10" t="str">
        <f t="shared" si="44"/>
        <v/>
      </c>
    </row>
    <row r="181" spans="7:27" ht="23.25">
      <c r="G181" s="18" t="str">
        <f t="shared" si="48"/>
        <v/>
      </c>
      <c r="H181" s="18" t="str">
        <f t="shared" si="49"/>
        <v/>
      </c>
      <c r="I181" s="18" t="str">
        <f t="shared" si="50"/>
        <v/>
      </c>
      <c r="J181" s="18" t="str">
        <f t="shared" si="51"/>
        <v/>
      </c>
      <c r="K181" s="21"/>
      <c r="N181" s="77" t="str">
        <f t="shared" si="45"/>
        <v/>
      </c>
      <c r="O181" s="77" t="str">
        <f t="shared" si="46"/>
        <v/>
      </c>
      <c r="P181" s="78" t="str">
        <f t="shared" si="47"/>
        <v/>
      </c>
      <c r="Q181" s="19" t="str">
        <f t="shared" si="52"/>
        <v/>
      </c>
      <c r="R181" s="19" t="str">
        <f>IF(M181&lt;&gt;"",toUTF16(HEX2DEC(M181)),"")</f>
        <v/>
      </c>
      <c r="S181" s="19" t="str">
        <f>IF(N181&lt;&gt;"",toUTF16(HEX2DEC(N181)),"")</f>
        <v/>
      </c>
      <c r="T181" s="19" t="str">
        <f>IF(O181&lt;&gt;"",toUTF16(HEX2DEC(O181)),"")</f>
        <v/>
      </c>
      <c r="U181" s="49" t="str">
        <f>IF(P181&lt;&gt;"",toUTF16(HEX2DEC(P181)),"")</f>
        <v/>
      </c>
      <c r="V181" s="26" t="s">
        <v>287</v>
      </c>
      <c r="W181" s="17"/>
      <c r="X181" s="17"/>
      <c r="Y181" s="9" t="str">
        <f t="shared" si="42"/>
        <v/>
      </c>
      <c r="Z181" s="9" t="str">
        <f t="shared" si="43"/>
        <v/>
      </c>
      <c r="AA181" s="10" t="str">
        <f t="shared" si="44"/>
        <v/>
      </c>
    </row>
    <row r="182" spans="7:27" ht="23.25">
      <c r="G182" s="18" t="str">
        <f t="shared" si="48"/>
        <v/>
      </c>
      <c r="H182" s="18" t="str">
        <f t="shared" si="49"/>
        <v/>
      </c>
      <c r="I182" s="18" t="str">
        <f t="shared" si="50"/>
        <v/>
      </c>
      <c r="J182" s="18" t="str">
        <f t="shared" si="51"/>
        <v/>
      </c>
      <c r="K182" s="21"/>
      <c r="N182" s="77" t="str">
        <f t="shared" si="45"/>
        <v/>
      </c>
      <c r="O182" s="77" t="str">
        <f t="shared" si="46"/>
        <v/>
      </c>
      <c r="P182" s="78" t="str">
        <f t="shared" si="47"/>
        <v/>
      </c>
      <c r="Q182" s="19" t="str">
        <f t="shared" si="52"/>
        <v/>
      </c>
      <c r="R182" s="19" t="str">
        <f>IF(M182&lt;&gt;"",toUTF16(HEX2DEC(M182)),"")</f>
        <v/>
      </c>
      <c r="S182" s="19" t="str">
        <f>IF(N182&lt;&gt;"",toUTF16(HEX2DEC(N182)),"")</f>
        <v/>
      </c>
      <c r="T182" s="19" t="str">
        <f>IF(O182&lt;&gt;"",toUTF16(HEX2DEC(O182)),"")</f>
        <v/>
      </c>
      <c r="U182" s="49" t="str">
        <f>IF(P182&lt;&gt;"",toUTF16(HEX2DEC(P182)),"")</f>
        <v/>
      </c>
      <c r="V182" s="26" t="s">
        <v>287</v>
      </c>
      <c r="W182" s="17"/>
      <c r="X182" s="17"/>
      <c r="Y182" s="9" t="str">
        <f t="shared" si="42"/>
        <v/>
      </c>
      <c r="Z182" s="9" t="str">
        <f t="shared" si="43"/>
        <v/>
      </c>
      <c r="AA182" s="10" t="str">
        <f t="shared" si="44"/>
        <v/>
      </c>
    </row>
    <row r="183" spans="7:27" ht="23.25">
      <c r="G183" s="18" t="str">
        <f t="shared" si="48"/>
        <v/>
      </c>
      <c r="H183" s="18" t="str">
        <f t="shared" si="49"/>
        <v/>
      </c>
      <c r="I183" s="18" t="str">
        <f t="shared" si="50"/>
        <v/>
      </c>
      <c r="J183" s="18" t="str">
        <f t="shared" si="51"/>
        <v/>
      </c>
      <c r="K183" s="21"/>
      <c r="N183" s="77" t="str">
        <f t="shared" si="45"/>
        <v/>
      </c>
      <c r="O183" s="77" t="str">
        <f t="shared" si="46"/>
        <v/>
      </c>
      <c r="P183" s="78" t="str">
        <f t="shared" si="47"/>
        <v/>
      </c>
      <c r="Q183" s="19" t="str">
        <f t="shared" si="52"/>
        <v/>
      </c>
      <c r="R183" s="19" t="str">
        <f>IF(M183&lt;&gt;"",toUTF16(HEX2DEC(M183)),"")</f>
        <v/>
      </c>
      <c r="S183" s="19" t="str">
        <f>IF(N183&lt;&gt;"",toUTF16(HEX2DEC(N183)),"")</f>
        <v/>
      </c>
      <c r="T183" s="19" t="str">
        <f>IF(O183&lt;&gt;"",toUTF16(HEX2DEC(O183)),"")</f>
        <v/>
      </c>
      <c r="U183" s="49" t="str">
        <f>IF(P183&lt;&gt;"",toUTF16(HEX2DEC(P183)),"")</f>
        <v/>
      </c>
      <c r="V183" s="26" t="s">
        <v>287</v>
      </c>
      <c r="W183" s="17"/>
      <c r="X183" s="17"/>
      <c r="Y183" s="9" t="str">
        <f t="shared" si="42"/>
        <v/>
      </c>
      <c r="Z183" s="9" t="str">
        <f t="shared" si="43"/>
        <v/>
      </c>
      <c r="AA183" s="10" t="str">
        <f t="shared" si="44"/>
        <v/>
      </c>
    </row>
    <row r="184" spans="7:27" ht="23.25">
      <c r="G184" s="18" t="str">
        <f t="shared" si="48"/>
        <v/>
      </c>
      <c r="H184" s="18" t="str">
        <f t="shared" si="49"/>
        <v/>
      </c>
      <c r="I184" s="18" t="str">
        <f t="shared" si="50"/>
        <v/>
      </c>
      <c r="J184" s="18" t="str">
        <f t="shared" si="51"/>
        <v/>
      </c>
      <c r="K184" s="21"/>
      <c r="N184" s="77" t="str">
        <f t="shared" si="45"/>
        <v/>
      </c>
      <c r="O184" s="77" t="str">
        <f t="shared" si="46"/>
        <v/>
      </c>
      <c r="P184" s="78" t="str">
        <f t="shared" si="47"/>
        <v/>
      </c>
      <c r="Q184" s="19" t="str">
        <f t="shared" si="52"/>
        <v/>
      </c>
      <c r="R184" s="19" t="str">
        <f>IF(M184&lt;&gt;"",toUTF16(HEX2DEC(M184)),"")</f>
        <v/>
      </c>
      <c r="S184" s="19" t="str">
        <f>IF(N184&lt;&gt;"",toUTF16(HEX2DEC(N184)),"")</f>
        <v/>
      </c>
      <c r="T184" s="19" t="str">
        <f>IF(O184&lt;&gt;"",toUTF16(HEX2DEC(O184)),"")</f>
        <v/>
      </c>
      <c r="U184" s="49" t="str">
        <f>IF(P184&lt;&gt;"",toUTF16(HEX2DEC(P184)),"")</f>
        <v/>
      </c>
      <c r="V184" s="26" t="s">
        <v>287</v>
      </c>
      <c r="W184" s="17"/>
      <c r="X184" s="17"/>
      <c r="Y184" s="9" t="str">
        <f t="shared" si="42"/>
        <v/>
      </c>
      <c r="Z184" s="9" t="str">
        <f t="shared" si="43"/>
        <v/>
      </c>
      <c r="AA184" s="10" t="str">
        <f t="shared" si="44"/>
        <v/>
      </c>
    </row>
    <row r="185" spans="7:27" ht="23.25">
      <c r="G185" s="18" t="str">
        <f t="shared" si="48"/>
        <v/>
      </c>
      <c r="H185" s="18" t="str">
        <f t="shared" si="49"/>
        <v/>
      </c>
      <c r="I185" s="18" t="str">
        <f t="shared" si="50"/>
        <v/>
      </c>
      <c r="J185" s="18" t="str">
        <f t="shared" si="51"/>
        <v/>
      </c>
      <c r="K185" s="21"/>
      <c r="N185" s="77" t="str">
        <f t="shared" si="45"/>
        <v/>
      </c>
      <c r="O185" s="77" t="str">
        <f t="shared" si="46"/>
        <v/>
      </c>
      <c r="P185" s="78" t="str">
        <f t="shared" si="47"/>
        <v/>
      </c>
      <c r="Q185" s="19" t="str">
        <f t="shared" si="52"/>
        <v/>
      </c>
      <c r="R185" s="19" t="str">
        <f>IF(M185&lt;&gt;"",toUTF16(HEX2DEC(M185)),"")</f>
        <v/>
      </c>
      <c r="S185" s="19" t="str">
        <f>IF(N185&lt;&gt;"",toUTF16(HEX2DEC(N185)),"")</f>
        <v/>
      </c>
      <c r="T185" s="19" t="str">
        <f>IF(O185&lt;&gt;"",toUTF16(HEX2DEC(O185)),"")</f>
        <v/>
      </c>
      <c r="U185" s="49" t="str">
        <f>IF(P185&lt;&gt;"",toUTF16(HEX2DEC(P185)),"")</f>
        <v/>
      </c>
      <c r="V185" s="26" t="s">
        <v>287</v>
      </c>
      <c r="W185" s="17"/>
      <c r="X185" s="17"/>
      <c r="Y185" s="9" t="str">
        <f t="shared" si="42"/>
        <v/>
      </c>
      <c r="Z185" s="9" t="str">
        <f t="shared" si="43"/>
        <v/>
      </c>
      <c r="AA185" s="10" t="str">
        <f t="shared" si="44"/>
        <v/>
      </c>
    </row>
    <row r="186" spans="7:27" ht="23.25">
      <c r="G186" s="18" t="str">
        <f t="shared" si="48"/>
        <v/>
      </c>
      <c r="H186" s="18" t="str">
        <f t="shared" si="49"/>
        <v/>
      </c>
      <c r="I186" s="18" t="str">
        <f t="shared" si="50"/>
        <v/>
      </c>
      <c r="J186" s="18" t="str">
        <f t="shared" si="51"/>
        <v/>
      </c>
      <c r="K186" s="21"/>
      <c r="N186" s="77" t="str">
        <f t="shared" si="45"/>
        <v/>
      </c>
      <c r="O186" s="77" t="str">
        <f t="shared" si="46"/>
        <v/>
      </c>
      <c r="P186" s="78" t="str">
        <f t="shared" si="47"/>
        <v/>
      </c>
      <c r="Q186" s="19" t="str">
        <f t="shared" si="52"/>
        <v/>
      </c>
      <c r="R186" s="19" t="str">
        <f>IF(M186&lt;&gt;"",toUTF16(HEX2DEC(M186)),"")</f>
        <v/>
      </c>
      <c r="S186" s="19" t="str">
        <f>IF(N186&lt;&gt;"",toUTF16(HEX2DEC(N186)),"")</f>
        <v/>
      </c>
      <c r="T186" s="19" t="str">
        <f>IF(O186&lt;&gt;"",toUTF16(HEX2DEC(O186)),"")</f>
        <v/>
      </c>
      <c r="U186" s="49" t="str">
        <f>IF(P186&lt;&gt;"",toUTF16(HEX2DEC(P186)),"")</f>
        <v/>
      </c>
      <c r="V186" s="26" t="s">
        <v>287</v>
      </c>
      <c r="W186" s="17"/>
      <c r="X186" s="17"/>
      <c r="Y186" s="9" t="str">
        <f t="shared" si="42"/>
        <v/>
      </c>
      <c r="Z186" s="9" t="str">
        <f t="shared" si="43"/>
        <v/>
      </c>
      <c r="AA186" s="10" t="str">
        <f t="shared" si="44"/>
        <v/>
      </c>
    </row>
    <row r="187" spans="7:27" ht="23.25">
      <c r="G187" s="18" t="str">
        <f t="shared" si="48"/>
        <v/>
      </c>
      <c r="H187" s="18" t="str">
        <f t="shared" si="49"/>
        <v/>
      </c>
      <c r="I187" s="18" t="str">
        <f t="shared" si="50"/>
        <v/>
      </c>
      <c r="J187" s="18" t="str">
        <f t="shared" si="51"/>
        <v/>
      </c>
      <c r="K187" s="21"/>
      <c r="N187" s="77" t="str">
        <f t="shared" si="45"/>
        <v/>
      </c>
      <c r="O187" s="77" t="str">
        <f t="shared" si="46"/>
        <v/>
      </c>
      <c r="P187" s="78" t="str">
        <f t="shared" si="47"/>
        <v/>
      </c>
      <c r="Q187" s="19" t="str">
        <f t="shared" si="52"/>
        <v/>
      </c>
      <c r="R187" s="19" t="str">
        <f>IF(M187&lt;&gt;"",toUTF16(HEX2DEC(M187)),"")</f>
        <v/>
      </c>
      <c r="S187" s="19" t="str">
        <f>IF(N187&lt;&gt;"",toUTF16(HEX2DEC(N187)),"")</f>
        <v/>
      </c>
      <c r="T187" s="19" t="str">
        <f>IF(O187&lt;&gt;"",toUTF16(HEX2DEC(O187)),"")</f>
        <v/>
      </c>
      <c r="U187" s="49" t="str">
        <f>IF(P187&lt;&gt;"",toUTF16(HEX2DEC(P187)),"")</f>
        <v/>
      </c>
      <c r="V187" s="26" t="s">
        <v>287</v>
      </c>
      <c r="W187" s="17"/>
      <c r="X187" s="17"/>
      <c r="Y187" s="9" t="str">
        <f t="shared" si="42"/>
        <v/>
      </c>
      <c r="Z187" s="9" t="str">
        <f t="shared" si="43"/>
        <v/>
      </c>
      <c r="AA187" s="10" t="str">
        <f t="shared" si="44"/>
        <v/>
      </c>
    </row>
    <row r="188" spans="7:27" ht="23.25">
      <c r="G188" s="18" t="str">
        <f t="shared" si="48"/>
        <v/>
      </c>
      <c r="H188" s="18" t="str">
        <f t="shared" si="49"/>
        <v/>
      </c>
      <c r="I188" s="18" t="str">
        <f t="shared" si="50"/>
        <v/>
      </c>
      <c r="J188" s="18" t="str">
        <f t="shared" si="51"/>
        <v/>
      </c>
      <c r="K188" s="21"/>
      <c r="N188" s="77" t="str">
        <f t="shared" si="45"/>
        <v/>
      </c>
      <c r="O188" s="77" t="str">
        <f t="shared" si="46"/>
        <v/>
      </c>
      <c r="P188" s="78" t="str">
        <f t="shared" si="47"/>
        <v/>
      </c>
      <c r="Q188" s="19" t="str">
        <f t="shared" si="52"/>
        <v/>
      </c>
      <c r="R188" s="19" t="str">
        <f>IF(M188&lt;&gt;"",toUTF16(HEX2DEC(M188)),"")</f>
        <v/>
      </c>
      <c r="S188" s="19" t="str">
        <f>IF(N188&lt;&gt;"",toUTF16(HEX2DEC(N188)),"")</f>
        <v/>
      </c>
      <c r="T188" s="19" t="str">
        <f>IF(O188&lt;&gt;"",toUTF16(HEX2DEC(O188)),"")</f>
        <v/>
      </c>
      <c r="U188" s="49" t="str">
        <f>IF(P188&lt;&gt;"",toUTF16(HEX2DEC(P188)),"")</f>
        <v/>
      </c>
      <c r="V188" s="26" t="s">
        <v>287</v>
      </c>
      <c r="W188" s="17"/>
      <c r="X188" s="17"/>
      <c r="Y188" s="9" t="str">
        <f t="shared" si="42"/>
        <v/>
      </c>
      <c r="Z188" s="9" t="str">
        <f t="shared" si="43"/>
        <v/>
      </c>
      <c r="AA188" s="10" t="str">
        <f t="shared" si="44"/>
        <v/>
      </c>
    </row>
    <row r="189" spans="7:27" ht="23.25">
      <c r="G189" s="18" t="str">
        <f t="shared" si="48"/>
        <v/>
      </c>
      <c r="H189" s="18" t="str">
        <f t="shared" si="49"/>
        <v/>
      </c>
      <c r="I189" s="18" t="str">
        <f t="shared" si="50"/>
        <v/>
      </c>
      <c r="J189" s="18" t="str">
        <f t="shared" si="51"/>
        <v/>
      </c>
      <c r="K189" s="21"/>
      <c r="N189" s="77" t="str">
        <f t="shared" si="45"/>
        <v/>
      </c>
      <c r="O189" s="77" t="str">
        <f t="shared" si="46"/>
        <v/>
      </c>
      <c r="P189" s="78" t="str">
        <f t="shared" si="47"/>
        <v/>
      </c>
      <c r="Q189" s="19" t="str">
        <f t="shared" si="52"/>
        <v/>
      </c>
      <c r="R189" s="19" t="str">
        <f>IF(M189&lt;&gt;"",toUTF16(HEX2DEC(M189)),"")</f>
        <v/>
      </c>
      <c r="S189" s="19" t="str">
        <f>IF(N189&lt;&gt;"",toUTF16(HEX2DEC(N189)),"")</f>
        <v/>
      </c>
      <c r="T189" s="19" t="str">
        <f>IF(O189&lt;&gt;"",toUTF16(HEX2DEC(O189)),"")</f>
        <v/>
      </c>
      <c r="U189" s="49" t="str">
        <f>IF(P189&lt;&gt;"",toUTF16(HEX2DEC(P189)),"")</f>
        <v/>
      </c>
      <c r="V189" s="26" t="s">
        <v>287</v>
      </c>
      <c r="W189" s="17"/>
      <c r="X189" s="17"/>
      <c r="Y189" s="9" t="str">
        <f t="shared" si="42"/>
        <v/>
      </c>
      <c r="Z189" s="9" t="str">
        <f t="shared" si="43"/>
        <v/>
      </c>
      <c r="AA189" s="10" t="str">
        <f t="shared" si="44"/>
        <v/>
      </c>
    </row>
    <row r="190" spans="7:27" ht="23.25">
      <c r="G190" s="18" t="str">
        <f t="shared" si="48"/>
        <v/>
      </c>
      <c r="H190" s="18" t="str">
        <f t="shared" si="49"/>
        <v/>
      </c>
      <c r="I190" s="18" t="str">
        <f t="shared" si="50"/>
        <v/>
      </c>
      <c r="J190" s="18" t="str">
        <f t="shared" si="51"/>
        <v/>
      </c>
      <c r="K190" s="21"/>
      <c r="N190" s="77" t="str">
        <f t="shared" si="45"/>
        <v/>
      </c>
      <c r="O190" s="77" t="str">
        <f t="shared" si="46"/>
        <v/>
      </c>
      <c r="P190" s="78" t="str">
        <f t="shared" si="47"/>
        <v/>
      </c>
      <c r="Q190" s="19" t="str">
        <f t="shared" si="52"/>
        <v/>
      </c>
      <c r="R190" s="19" t="str">
        <f>IF(M190&lt;&gt;"",toUTF16(HEX2DEC(M190)),"")</f>
        <v/>
      </c>
      <c r="S190" s="19" t="str">
        <f>IF(N190&lt;&gt;"",toUTF16(HEX2DEC(N190)),"")</f>
        <v/>
      </c>
      <c r="T190" s="19" t="str">
        <f>IF(O190&lt;&gt;"",toUTF16(HEX2DEC(O190)),"")</f>
        <v/>
      </c>
      <c r="U190" s="49" t="str">
        <f>IF(P190&lt;&gt;"",toUTF16(HEX2DEC(P190)),"")</f>
        <v/>
      </c>
      <c r="V190" s="26" t="s">
        <v>287</v>
      </c>
      <c r="W190" s="17"/>
      <c r="X190" s="17"/>
      <c r="Y190" s="9" t="str">
        <f t="shared" si="42"/>
        <v/>
      </c>
      <c r="Z190" s="9" t="str">
        <f t="shared" si="43"/>
        <v/>
      </c>
      <c r="AA190" s="10" t="str">
        <f t="shared" si="44"/>
        <v/>
      </c>
    </row>
    <row r="191" spans="7:27" ht="23.25">
      <c r="G191" s="18" t="str">
        <f t="shared" si="48"/>
        <v/>
      </c>
      <c r="H191" s="18" t="str">
        <f t="shared" si="49"/>
        <v/>
      </c>
      <c r="I191" s="18" t="str">
        <f t="shared" si="50"/>
        <v/>
      </c>
      <c r="J191" s="18" t="str">
        <f t="shared" si="51"/>
        <v/>
      </c>
      <c r="K191" s="21"/>
      <c r="N191" s="77" t="str">
        <f t="shared" si="45"/>
        <v/>
      </c>
      <c r="O191" s="77" t="str">
        <f t="shared" si="46"/>
        <v/>
      </c>
      <c r="P191" s="78" t="str">
        <f t="shared" si="47"/>
        <v/>
      </c>
      <c r="Q191" s="19" t="str">
        <f t="shared" si="52"/>
        <v/>
      </c>
      <c r="R191" s="19" t="str">
        <f>IF(M191&lt;&gt;"",toUTF16(HEX2DEC(M191)),"")</f>
        <v/>
      </c>
      <c r="S191" s="19" t="str">
        <f>IF(N191&lt;&gt;"",toUTF16(HEX2DEC(N191)),"")</f>
        <v/>
      </c>
      <c r="T191" s="19" t="str">
        <f>IF(O191&lt;&gt;"",toUTF16(HEX2DEC(O191)),"")</f>
        <v/>
      </c>
      <c r="U191" s="49" t="str">
        <f>IF(P191&lt;&gt;"",toUTF16(HEX2DEC(P191)),"")</f>
        <v/>
      </c>
      <c r="V191" s="26" t="s">
        <v>287</v>
      </c>
      <c r="W191" s="17"/>
      <c r="X191" s="17"/>
      <c r="Y191" s="9" t="str">
        <f t="shared" si="42"/>
        <v/>
      </c>
      <c r="Z191" s="9" t="str">
        <f t="shared" si="43"/>
        <v/>
      </c>
      <c r="AA191" s="10" t="str">
        <f t="shared" si="44"/>
        <v/>
      </c>
    </row>
    <row r="192" spans="7:27" ht="23.25">
      <c r="G192" s="18" t="str">
        <f t="shared" si="48"/>
        <v/>
      </c>
      <c r="H192" s="18" t="str">
        <f t="shared" si="49"/>
        <v/>
      </c>
      <c r="I192" s="18" t="str">
        <f t="shared" si="50"/>
        <v/>
      </c>
      <c r="J192" s="18" t="str">
        <f t="shared" si="51"/>
        <v/>
      </c>
      <c r="K192" s="21"/>
      <c r="N192" s="77" t="str">
        <f t="shared" si="45"/>
        <v/>
      </c>
      <c r="O192" s="77" t="str">
        <f t="shared" si="46"/>
        <v/>
      </c>
      <c r="P192" s="78" t="str">
        <f t="shared" si="47"/>
        <v/>
      </c>
      <c r="Q192" s="19" t="str">
        <f t="shared" si="52"/>
        <v/>
      </c>
      <c r="R192" s="19" t="str">
        <f>IF(M192&lt;&gt;"",toUTF16(HEX2DEC(M192)),"")</f>
        <v/>
      </c>
      <c r="S192" s="19" t="str">
        <f>IF(N192&lt;&gt;"",toUTF16(HEX2DEC(N192)),"")</f>
        <v/>
      </c>
      <c r="T192" s="19" t="str">
        <f>IF(O192&lt;&gt;"",toUTF16(HEX2DEC(O192)),"")</f>
        <v/>
      </c>
      <c r="U192" s="49" t="str">
        <f>IF(P192&lt;&gt;"",toUTF16(HEX2DEC(P192)),"")</f>
        <v/>
      </c>
      <c r="V192" s="26" t="s">
        <v>287</v>
      </c>
      <c r="W192" s="17"/>
      <c r="X192" s="17"/>
      <c r="Y192" s="9" t="str">
        <f t="shared" si="42"/>
        <v/>
      </c>
      <c r="Z192" s="9" t="str">
        <f t="shared" si="43"/>
        <v/>
      </c>
      <c r="AA192" s="10" t="str">
        <f t="shared" si="44"/>
        <v/>
      </c>
    </row>
    <row r="193" spans="7:27" ht="23.25">
      <c r="G193" s="18" t="str">
        <f t="shared" si="48"/>
        <v/>
      </c>
      <c r="H193" s="18" t="str">
        <f t="shared" si="49"/>
        <v/>
      </c>
      <c r="I193" s="18" t="str">
        <f t="shared" si="50"/>
        <v/>
      </c>
      <c r="J193" s="18" t="str">
        <f t="shared" si="51"/>
        <v/>
      </c>
      <c r="K193" s="21"/>
      <c r="N193" s="77" t="str">
        <f t="shared" si="45"/>
        <v/>
      </c>
      <c r="O193" s="77" t="str">
        <f t="shared" si="46"/>
        <v/>
      </c>
      <c r="P193" s="78" t="str">
        <f t="shared" si="47"/>
        <v/>
      </c>
      <c r="Q193" s="19" t="str">
        <f t="shared" si="52"/>
        <v/>
      </c>
      <c r="R193" s="19" t="str">
        <f>IF(M193&lt;&gt;"",toUTF16(HEX2DEC(M193)),"")</f>
        <v/>
      </c>
      <c r="S193" s="19" t="str">
        <f>IF(N193&lt;&gt;"",toUTF16(HEX2DEC(N193)),"")</f>
        <v/>
      </c>
      <c r="T193" s="19" t="str">
        <f>IF(O193&lt;&gt;"",toUTF16(HEX2DEC(O193)),"")</f>
        <v/>
      </c>
      <c r="U193" s="49" t="str">
        <f>IF(P193&lt;&gt;"",toUTF16(HEX2DEC(P193)),"")</f>
        <v/>
      </c>
      <c r="V193" s="26" t="s">
        <v>287</v>
      </c>
      <c r="W193" s="17"/>
      <c r="X193" s="17"/>
      <c r="Y193" s="9" t="str">
        <f t="shared" si="42"/>
        <v/>
      </c>
      <c r="Z193" s="9" t="str">
        <f t="shared" si="43"/>
        <v/>
      </c>
      <c r="AA193" s="10" t="str">
        <f t="shared" si="44"/>
        <v/>
      </c>
    </row>
    <row r="194" spans="7:27" ht="23.25">
      <c r="G194" s="18" t="str">
        <f t="shared" si="48"/>
        <v/>
      </c>
      <c r="H194" s="18" t="str">
        <f t="shared" si="49"/>
        <v/>
      </c>
      <c r="I194" s="18" t="str">
        <f t="shared" si="50"/>
        <v/>
      </c>
      <c r="J194" s="18" t="str">
        <f t="shared" si="51"/>
        <v/>
      </c>
      <c r="K194" s="21"/>
      <c r="N194" s="77" t="str">
        <f t="shared" si="45"/>
        <v/>
      </c>
      <c r="O194" s="77" t="str">
        <f t="shared" si="46"/>
        <v/>
      </c>
      <c r="P194" s="78" t="str">
        <f t="shared" si="47"/>
        <v/>
      </c>
      <c r="Q194" s="19" t="str">
        <f t="shared" si="52"/>
        <v/>
      </c>
      <c r="R194" s="19" t="str">
        <f>IF(M194&lt;&gt;"",toUTF16(HEX2DEC(M194)),"")</f>
        <v/>
      </c>
      <c r="S194" s="19" t="str">
        <f>IF(N194&lt;&gt;"",toUTF16(HEX2DEC(N194)),"")</f>
        <v/>
      </c>
      <c r="T194" s="19" t="str">
        <f>IF(O194&lt;&gt;"",toUTF16(HEX2DEC(O194)),"")</f>
        <v/>
      </c>
      <c r="U194" s="49" t="str">
        <f>IF(P194&lt;&gt;"",toUTF16(HEX2DEC(P194)),"")</f>
        <v/>
      </c>
      <c r="V194" s="26" t="s">
        <v>287</v>
      </c>
      <c r="W194" s="17"/>
      <c r="X194" s="17"/>
      <c r="Y194" s="9" t="str">
        <f t="shared" si="42"/>
        <v/>
      </c>
      <c r="Z194" s="9" t="str">
        <f t="shared" si="43"/>
        <v/>
      </c>
      <c r="AA194" s="10" t="str">
        <f t="shared" si="44"/>
        <v/>
      </c>
    </row>
    <row r="195" spans="7:27" ht="23.25">
      <c r="G195" s="18" t="str">
        <f t="shared" si="48"/>
        <v/>
      </c>
      <c r="H195" s="18" t="str">
        <f t="shared" si="49"/>
        <v/>
      </c>
      <c r="I195" s="18" t="str">
        <f t="shared" si="50"/>
        <v/>
      </c>
      <c r="J195" s="18" t="str">
        <f t="shared" si="51"/>
        <v/>
      </c>
      <c r="K195" s="21"/>
      <c r="N195" s="77" t="str">
        <f t="shared" si="45"/>
        <v/>
      </c>
      <c r="O195" s="77" t="str">
        <f t="shared" si="46"/>
        <v/>
      </c>
      <c r="P195" s="78" t="str">
        <f t="shared" si="47"/>
        <v/>
      </c>
      <c r="Q195" s="19" t="str">
        <f t="shared" si="52"/>
        <v/>
      </c>
      <c r="R195" s="19" t="str">
        <f>IF(M195&lt;&gt;"",toUTF16(HEX2DEC(M195)),"")</f>
        <v/>
      </c>
      <c r="S195" s="19" t="str">
        <f>IF(N195&lt;&gt;"",toUTF16(HEX2DEC(N195)),"")</f>
        <v/>
      </c>
      <c r="T195" s="19" t="str">
        <f>IF(O195&lt;&gt;"",toUTF16(HEX2DEC(O195)),"")</f>
        <v/>
      </c>
      <c r="U195" s="49" t="str">
        <f>IF(P195&lt;&gt;"",toUTF16(HEX2DEC(P195)),"")</f>
        <v/>
      </c>
      <c r="V195" s="26" t="s">
        <v>287</v>
      </c>
      <c r="W195" s="17"/>
      <c r="X195" s="17"/>
      <c r="Y195" s="9" t="str">
        <f t="shared" si="42"/>
        <v/>
      </c>
      <c r="Z195" s="9" t="str">
        <f t="shared" si="43"/>
        <v/>
      </c>
      <c r="AA195" s="10" t="str">
        <f t="shared" si="44"/>
        <v/>
      </c>
    </row>
    <row r="196" spans="7:27" ht="23.25">
      <c r="G196" s="18" t="str">
        <f t="shared" si="48"/>
        <v/>
      </c>
      <c r="H196" s="18" t="str">
        <f t="shared" si="49"/>
        <v/>
      </c>
      <c r="I196" s="18" t="str">
        <f t="shared" si="50"/>
        <v/>
      </c>
      <c r="J196" s="18" t="str">
        <f t="shared" si="51"/>
        <v/>
      </c>
      <c r="K196" s="21"/>
      <c r="N196" s="77" t="str">
        <f t="shared" si="45"/>
        <v/>
      </c>
      <c r="O196" s="77" t="str">
        <f t="shared" si="46"/>
        <v/>
      </c>
      <c r="P196" s="78" t="str">
        <f t="shared" si="47"/>
        <v/>
      </c>
      <c r="Q196" s="19" t="str">
        <f t="shared" si="52"/>
        <v/>
      </c>
      <c r="R196" s="19" t="str">
        <f>IF(M196&lt;&gt;"",toUTF16(HEX2DEC(M196)),"")</f>
        <v/>
      </c>
      <c r="S196" s="19" t="str">
        <f>IF(N196&lt;&gt;"",toUTF16(HEX2DEC(N196)),"")</f>
        <v/>
      </c>
      <c r="T196" s="19" t="str">
        <f>IF(O196&lt;&gt;"",toUTF16(HEX2DEC(O196)),"")</f>
        <v/>
      </c>
      <c r="U196" s="49" t="str">
        <f>IF(P196&lt;&gt;"",toUTF16(HEX2DEC(P196)),"")</f>
        <v/>
      </c>
      <c r="V196" s="26" t="s">
        <v>287</v>
      </c>
      <c r="W196" s="17"/>
      <c r="X196" s="17"/>
      <c r="Y196" s="9" t="str">
        <f t="shared" si="42"/>
        <v/>
      </c>
      <c r="Z196" s="9" t="str">
        <f t="shared" si="43"/>
        <v/>
      </c>
      <c r="AA196" s="10" t="str">
        <f t="shared" si="44"/>
        <v/>
      </c>
    </row>
    <row r="197" spans="7:27" ht="23.25">
      <c r="G197" s="18" t="str">
        <f t="shared" si="48"/>
        <v/>
      </c>
      <c r="H197" s="18" t="str">
        <f t="shared" si="49"/>
        <v/>
      </c>
      <c r="I197" s="18" t="str">
        <f t="shared" si="50"/>
        <v/>
      </c>
      <c r="J197" s="18" t="str">
        <f t="shared" si="51"/>
        <v/>
      </c>
      <c r="K197" s="21"/>
      <c r="N197" s="77" t="str">
        <f t="shared" si="45"/>
        <v/>
      </c>
      <c r="O197" s="77" t="str">
        <f t="shared" si="46"/>
        <v/>
      </c>
      <c r="P197" s="78" t="str">
        <f t="shared" si="47"/>
        <v/>
      </c>
      <c r="Q197" s="19" t="str">
        <f t="shared" si="52"/>
        <v/>
      </c>
      <c r="R197" s="19" t="str">
        <f>IF(M197&lt;&gt;"",toUTF16(HEX2DEC(M197)),"")</f>
        <v/>
      </c>
      <c r="S197" s="19" t="str">
        <f>IF(N197&lt;&gt;"",toUTF16(HEX2DEC(N197)),"")</f>
        <v/>
      </c>
      <c r="T197" s="19" t="str">
        <f>IF(O197&lt;&gt;"",toUTF16(HEX2DEC(O197)),"")</f>
        <v/>
      </c>
      <c r="U197" s="49" t="str">
        <f>IF(P197&lt;&gt;"",toUTF16(HEX2DEC(P197)),"")</f>
        <v/>
      </c>
      <c r="V197" s="26" t="s">
        <v>287</v>
      </c>
      <c r="W197" s="17"/>
      <c r="X197" s="17"/>
      <c r="Y197" s="9" t="str">
        <f t="shared" si="42"/>
        <v/>
      </c>
      <c r="Z197" s="9" t="str">
        <f t="shared" si="43"/>
        <v/>
      </c>
      <c r="AA197" s="10" t="str">
        <f t="shared" si="44"/>
        <v/>
      </c>
    </row>
    <row r="198" spans="7:27" ht="23.25">
      <c r="G198" s="18" t="str">
        <f t="shared" si="48"/>
        <v/>
      </c>
      <c r="H198" s="18" t="str">
        <f t="shared" si="49"/>
        <v/>
      </c>
      <c r="I198" s="18" t="str">
        <f t="shared" si="50"/>
        <v/>
      </c>
      <c r="J198" s="18" t="str">
        <f t="shared" si="51"/>
        <v/>
      </c>
      <c r="K198" s="21"/>
      <c r="N198" s="77" t="str">
        <f t="shared" si="45"/>
        <v/>
      </c>
      <c r="O198" s="77" t="str">
        <f t="shared" si="46"/>
        <v/>
      </c>
      <c r="P198" s="78" t="str">
        <f t="shared" si="47"/>
        <v/>
      </c>
      <c r="Q198" s="19" t="str">
        <f t="shared" si="52"/>
        <v/>
      </c>
      <c r="R198" s="19" t="str">
        <f>IF(M198&lt;&gt;"",toUTF16(HEX2DEC(M198)),"")</f>
        <v/>
      </c>
      <c r="S198" s="19" t="str">
        <f>IF(N198&lt;&gt;"",toUTF16(HEX2DEC(N198)),"")</f>
        <v/>
      </c>
      <c r="T198" s="19" t="str">
        <f>IF(O198&lt;&gt;"",toUTF16(HEX2DEC(O198)),"")</f>
        <v/>
      </c>
      <c r="U198" s="49" t="str">
        <f>IF(P198&lt;&gt;"",toUTF16(HEX2DEC(P198)),"")</f>
        <v/>
      </c>
      <c r="V198" s="26" t="s">
        <v>287</v>
      </c>
      <c r="W198" s="17"/>
      <c r="X198" s="17"/>
      <c r="Y198" s="9" t="str">
        <f t="shared" si="42"/>
        <v/>
      </c>
      <c r="Z198" s="9" t="str">
        <f t="shared" si="43"/>
        <v/>
      </c>
      <c r="AA198" s="10" t="str">
        <f t="shared" si="44"/>
        <v/>
      </c>
    </row>
    <row r="199" spans="7:27" ht="23.25">
      <c r="G199" s="18" t="str">
        <f t="shared" si="48"/>
        <v/>
      </c>
      <c r="H199" s="18" t="str">
        <f t="shared" si="49"/>
        <v/>
      </c>
      <c r="I199" s="18" t="str">
        <f t="shared" si="50"/>
        <v/>
      </c>
      <c r="J199" s="18" t="str">
        <f t="shared" si="51"/>
        <v/>
      </c>
      <c r="K199" s="21"/>
      <c r="N199" s="77" t="str">
        <f t="shared" si="45"/>
        <v/>
      </c>
      <c r="O199" s="77" t="str">
        <f t="shared" si="46"/>
        <v/>
      </c>
      <c r="P199" s="78" t="str">
        <f t="shared" si="47"/>
        <v/>
      </c>
      <c r="Q199" s="19" t="str">
        <f t="shared" si="52"/>
        <v/>
      </c>
      <c r="R199" s="19" t="str">
        <f>IF(M199&lt;&gt;"",toUTF16(HEX2DEC(M199)),"")</f>
        <v/>
      </c>
      <c r="S199" s="19" t="str">
        <f>IF(N199&lt;&gt;"",toUTF16(HEX2DEC(N199)),"")</f>
        <v/>
      </c>
      <c r="T199" s="19" t="str">
        <f>IF(O199&lt;&gt;"",toUTF16(HEX2DEC(O199)),"")</f>
        <v/>
      </c>
      <c r="U199" s="49" t="str">
        <f>IF(P199&lt;&gt;"",toUTF16(HEX2DEC(P199)),"")</f>
        <v/>
      </c>
      <c r="V199" s="26" t="s">
        <v>287</v>
      </c>
      <c r="W199" s="17"/>
      <c r="X199" s="17"/>
      <c r="Y199" s="9" t="str">
        <f t="shared" si="42"/>
        <v/>
      </c>
      <c r="Z199" s="9" t="str">
        <f t="shared" si="43"/>
        <v/>
      </c>
      <c r="AA199" s="10" t="str">
        <f t="shared" si="44"/>
        <v/>
      </c>
    </row>
    <row r="200" spans="7:27" ht="23.25">
      <c r="G200" s="18" t="str">
        <f t="shared" si="48"/>
        <v/>
      </c>
      <c r="H200" s="18" t="str">
        <f t="shared" si="49"/>
        <v/>
      </c>
      <c r="I200" s="18" t="str">
        <f t="shared" si="50"/>
        <v/>
      </c>
      <c r="J200" s="18" t="str">
        <f t="shared" si="51"/>
        <v/>
      </c>
      <c r="K200" s="21"/>
      <c r="N200" s="77" t="str">
        <f t="shared" si="45"/>
        <v/>
      </c>
      <c r="O200" s="77" t="str">
        <f t="shared" si="46"/>
        <v/>
      </c>
      <c r="P200" s="78" t="str">
        <f t="shared" si="47"/>
        <v/>
      </c>
      <c r="Q200" s="19" t="str">
        <f t="shared" si="52"/>
        <v/>
      </c>
      <c r="R200" s="19" t="str">
        <f>IF(M200&lt;&gt;"",toUTF16(HEX2DEC(M200)),"")</f>
        <v/>
      </c>
      <c r="S200" s="19" t="str">
        <f>IF(N200&lt;&gt;"",toUTF16(HEX2DEC(N200)),"")</f>
        <v/>
      </c>
      <c r="T200" s="19" t="str">
        <f>IF(O200&lt;&gt;"",toUTF16(HEX2DEC(O200)),"")</f>
        <v/>
      </c>
      <c r="U200" s="49" t="str">
        <f>IF(P200&lt;&gt;"",toUTF16(HEX2DEC(P200)),"")</f>
        <v/>
      </c>
      <c r="V200" s="26" t="s">
        <v>287</v>
      </c>
      <c r="W200" s="17"/>
      <c r="X200" s="17"/>
      <c r="Y200" s="9" t="str">
        <f t="shared" si="42"/>
        <v/>
      </c>
      <c r="Z200" s="9" t="str">
        <f t="shared" si="43"/>
        <v/>
      </c>
      <c r="AA200" s="10" t="str">
        <f t="shared" si="44"/>
        <v/>
      </c>
    </row>
    <row r="201" spans="7:27" ht="23.25">
      <c r="G201" s="18" t="str">
        <f t="shared" si="48"/>
        <v/>
      </c>
      <c r="H201" s="18" t="str">
        <f t="shared" si="49"/>
        <v/>
      </c>
      <c r="I201" s="18" t="str">
        <f t="shared" si="50"/>
        <v/>
      </c>
      <c r="J201" s="18" t="str">
        <f t="shared" si="51"/>
        <v/>
      </c>
      <c r="K201" s="21"/>
      <c r="N201" s="77" t="str">
        <f t="shared" si="45"/>
        <v/>
      </c>
      <c r="O201" s="77" t="str">
        <f t="shared" si="46"/>
        <v/>
      </c>
      <c r="P201" s="78" t="str">
        <f t="shared" si="47"/>
        <v/>
      </c>
      <c r="Q201" s="19" t="str">
        <f t="shared" si="52"/>
        <v/>
      </c>
      <c r="R201" s="19" t="str">
        <f>IF(M201&lt;&gt;"",toUTF16(HEX2DEC(M201)),"")</f>
        <v/>
      </c>
      <c r="S201" s="19" t="str">
        <f>IF(N201&lt;&gt;"",toUTF16(HEX2DEC(N201)),"")</f>
        <v/>
      </c>
      <c r="T201" s="19" t="str">
        <f>IF(O201&lt;&gt;"",toUTF16(HEX2DEC(O201)),"")</f>
        <v/>
      </c>
      <c r="U201" s="49" t="str">
        <f>IF(P201&lt;&gt;"",toUTF16(HEX2DEC(P201)),"")</f>
        <v/>
      </c>
      <c r="V201" s="26" t="s">
        <v>287</v>
      </c>
      <c r="W201" s="17"/>
      <c r="X201" s="17"/>
      <c r="Y201" s="9" t="str">
        <f t="shared" si="42"/>
        <v/>
      </c>
      <c r="Z201" s="9" t="str">
        <f t="shared" si="43"/>
        <v/>
      </c>
      <c r="AA201" s="10" t="str">
        <f t="shared" si="44"/>
        <v/>
      </c>
    </row>
    <row r="202" spans="7:27" ht="23.25">
      <c r="G202" s="18" t="str">
        <f t="shared" si="48"/>
        <v/>
      </c>
      <c r="H202" s="18" t="str">
        <f t="shared" si="49"/>
        <v/>
      </c>
      <c r="I202" s="18" t="str">
        <f t="shared" si="50"/>
        <v/>
      </c>
      <c r="J202" s="18" t="str">
        <f t="shared" si="51"/>
        <v/>
      </c>
      <c r="K202" s="21"/>
      <c r="N202" s="77" t="str">
        <f t="shared" si="45"/>
        <v/>
      </c>
      <c r="O202" s="77" t="str">
        <f t="shared" si="46"/>
        <v/>
      </c>
      <c r="P202" s="78" t="str">
        <f t="shared" si="47"/>
        <v/>
      </c>
      <c r="Q202" s="19" t="str">
        <f t="shared" si="52"/>
        <v/>
      </c>
      <c r="R202" s="19" t="str">
        <f>IF(M202&lt;&gt;"",toUTF16(HEX2DEC(M202)),"")</f>
        <v/>
      </c>
      <c r="S202" s="19" t="str">
        <f>IF(N202&lt;&gt;"",toUTF16(HEX2DEC(N202)),"")</f>
        <v/>
      </c>
      <c r="T202" s="19" t="str">
        <f>IF(O202&lt;&gt;"",toUTF16(HEX2DEC(O202)),"")</f>
        <v/>
      </c>
      <c r="U202" s="49" t="str">
        <f>IF(P202&lt;&gt;"",toUTF16(HEX2DEC(P202)),"")</f>
        <v/>
      </c>
      <c r="V202" s="26" t="s">
        <v>287</v>
      </c>
      <c r="W202" s="17"/>
      <c r="X202" s="17"/>
      <c r="Y202" s="9" t="str">
        <f t="shared" si="42"/>
        <v/>
      </c>
      <c r="Z202" s="9" t="str">
        <f t="shared" si="43"/>
        <v/>
      </c>
      <c r="AA202" s="10" t="str">
        <f t="shared" si="44"/>
        <v/>
      </c>
    </row>
    <row r="203" spans="7:27" ht="23.25">
      <c r="G203" s="18" t="str">
        <f t="shared" si="48"/>
        <v/>
      </c>
      <c r="H203" s="18" t="str">
        <f t="shared" si="49"/>
        <v/>
      </c>
      <c r="I203" s="18" t="str">
        <f t="shared" si="50"/>
        <v/>
      </c>
      <c r="J203" s="18" t="str">
        <f t="shared" si="51"/>
        <v/>
      </c>
      <c r="K203" s="21"/>
      <c r="N203" s="77" t="str">
        <f t="shared" si="45"/>
        <v/>
      </c>
      <c r="O203" s="77" t="str">
        <f t="shared" si="46"/>
        <v/>
      </c>
      <c r="P203" s="78" t="str">
        <f t="shared" si="47"/>
        <v/>
      </c>
      <c r="Q203" s="19" t="str">
        <f t="shared" si="52"/>
        <v/>
      </c>
      <c r="R203" s="19" t="str">
        <f>IF(M203&lt;&gt;"",toUTF16(HEX2DEC(M203)),"")</f>
        <v/>
      </c>
      <c r="S203" s="19" t="str">
        <f>IF(N203&lt;&gt;"",toUTF16(HEX2DEC(N203)),"")</f>
        <v/>
      </c>
      <c r="T203" s="19" t="str">
        <f>IF(O203&lt;&gt;"",toUTF16(HEX2DEC(O203)),"")</f>
        <v/>
      </c>
      <c r="U203" s="49" t="str">
        <f>IF(P203&lt;&gt;"",toUTF16(HEX2DEC(P203)),"")</f>
        <v/>
      </c>
      <c r="V203" s="26" t="s">
        <v>287</v>
      </c>
      <c r="W203" s="17"/>
      <c r="X203" s="17"/>
      <c r="Y203" s="9" t="str">
        <f t="shared" si="42"/>
        <v/>
      </c>
      <c r="Z203" s="9" t="str">
        <f t="shared" si="43"/>
        <v/>
      </c>
      <c r="AA203" s="10" t="str">
        <f t="shared" si="44"/>
        <v/>
      </c>
    </row>
    <row r="204" spans="7:27" ht="23.25">
      <c r="G204" s="18" t="str">
        <f t="shared" si="48"/>
        <v/>
      </c>
      <c r="H204" s="18" t="str">
        <f t="shared" si="49"/>
        <v/>
      </c>
      <c r="I204" s="18" t="str">
        <f t="shared" si="50"/>
        <v/>
      </c>
      <c r="J204" s="18" t="str">
        <f t="shared" si="51"/>
        <v/>
      </c>
      <c r="K204" s="21"/>
      <c r="N204" s="77" t="str">
        <f t="shared" si="45"/>
        <v/>
      </c>
      <c r="O204" s="77" t="str">
        <f t="shared" si="46"/>
        <v/>
      </c>
      <c r="P204" s="78" t="str">
        <f t="shared" si="47"/>
        <v/>
      </c>
      <c r="Q204" s="19" t="str">
        <f t="shared" si="52"/>
        <v/>
      </c>
      <c r="R204" s="19" t="str">
        <f>IF(M204&lt;&gt;"",toUTF16(HEX2DEC(M204)),"")</f>
        <v/>
      </c>
      <c r="S204" s="19" t="str">
        <f>IF(N204&lt;&gt;"",toUTF16(HEX2DEC(N204)),"")</f>
        <v/>
      </c>
      <c r="T204" s="19" t="str">
        <f>IF(O204&lt;&gt;"",toUTF16(HEX2DEC(O204)),"")</f>
        <v/>
      </c>
      <c r="U204" s="49" t="str">
        <f>IF(P204&lt;&gt;"",toUTF16(HEX2DEC(P204)),"")</f>
        <v/>
      </c>
      <c r="V204" s="26" t="s">
        <v>287</v>
      </c>
      <c r="W204" s="17"/>
      <c r="X204" s="17"/>
      <c r="Y204" s="9" t="str">
        <f t="shared" si="42"/>
        <v/>
      </c>
      <c r="Z204" s="9" t="str">
        <f t="shared" si="43"/>
        <v/>
      </c>
      <c r="AA204" s="10" t="str">
        <f t="shared" si="44"/>
        <v/>
      </c>
    </row>
    <row r="205" spans="7:27" ht="23.25">
      <c r="G205" s="18" t="str">
        <f t="shared" si="48"/>
        <v/>
      </c>
      <c r="H205" s="18" t="str">
        <f t="shared" si="49"/>
        <v/>
      </c>
      <c r="I205" s="18" t="str">
        <f t="shared" si="50"/>
        <v/>
      </c>
      <c r="J205" s="18" t="str">
        <f t="shared" si="51"/>
        <v/>
      </c>
      <c r="K205" s="21"/>
      <c r="N205" s="77" t="str">
        <f t="shared" si="45"/>
        <v/>
      </c>
      <c r="O205" s="77" t="str">
        <f t="shared" si="46"/>
        <v/>
      </c>
      <c r="P205" s="78" t="str">
        <f t="shared" si="47"/>
        <v/>
      </c>
      <c r="Q205" s="19" t="str">
        <f t="shared" si="52"/>
        <v/>
      </c>
      <c r="R205" s="19" t="str">
        <f>IF(M205&lt;&gt;"",toUTF16(HEX2DEC(M205)),"")</f>
        <v/>
      </c>
      <c r="S205" s="19" t="str">
        <f>IF(N205&lt;&gt;"",toUTF16(HEX2DEC(N205)),"")</f>
        <v/>
      </c>
      <c r="T205" s="19" t="str">
        <f>IF(O205&lt;&gt;"",toUTF16(HEX2DEC(O205)),"")</f>
        <v/>
      </c>
      <c r="U205" s="49" t="str">
        <f>IF(P205&lt;&gt;"",toUTF16(HEX2DEC(P205)),"")</f>
        <v/>
      </c>
      <c r="V205" s="26" t="s">
        <v>287</v>
      </c>
      <c r="W205" s="17"/>
      <c r="X205" s="17"/>
      <c r="Y205" s="9" t="str">
        <f t="shared" si="42"/>
        <v/>
      </c>
      <c r="Z205" s="9" t="str">
        <f t="shared" si="43"/>
        <v/>
      </c>
      <c r="AA205" s="10" t="str">
        <f t="shared" si="44"/>
        <v/>
      </c>
    </row>
    <row r="206" spans="7:27" ht="23.25">
      <c r="G206" s="18" t="str">
        <f t="shared" si="48"/>
        <v/>
      </c>
      <c r="H206" s="18" t="str">
        <f t="shared" si="49"/>
        <v/>
      </c>
      <c r="I206" s="18" t="str">
        <f t="shared" si="50"/>
        <v/>
      </c>
      <c r="J206" s="18" t="str">
        <f t="shared" si="51"/>
        <v/>
      </c>
      <c r="K206" s="21"/>
      <c r="N206" s="77" t="str">
        <f t="shared" si="45"/>
        <v/>
      </c>
      <c r="O206" s="77" t="str">
        <f t="shared" si="46"/>
        <v/>
      </c>
      <c r="P206" s="78" t="str">
        <f t="shared" si="47"/>
        <v/>
      </c>
      <c r="Q206" s="19" t="str">
        <f t="shared" si="52"/>
        <v/>
      </c>
      <c r="R206" s="19" t="str">
        <f>IF(M206&lt;&gt;"",toUTF16(HEX2DEC(M206)),"")</f>
        <v/>
      </c>
      <c r="S206" s="19" t="str">
        <f>IF(N206&lt;&gt;"",toUTF16(HEX2DEC(N206)),"")</f>
        <v/>
      </c>
      <c r="T206" s="19" t="str">
        <f>IF(O206&lt;&gt;"",toUTF16(HEX2DEC(O206)),"")</f>
        <v/>
      </c>
      <c r="U206" s="49" t="str">
        <f>IF(P206&lt;&gt;"",toUTF16(HEX2DEC(P206)),"")</f>
        <v/>
      </c>
      <c r="V206" s="26" t="s">
        <v>287</v>
      </c>
      <c r="W206" s="17"/>
      <c r="X206" s="17"/>
      <c r="Y206" s="9" t="str">
        <f t="shared" si="42"/>
        <v/>
      </c>
      <c r="Z206" s="9" t="str">
        <f t="shared" si="43"/>
        <v/>
      </c>
      <c r="AA206" s="10" t="str">
        <f t="shared" si="44"/>
        <v/>
      </c>
    </row>
    <row r="207" spans="7:27" ht="23.25">
      <c r="G207" s="18" t="str">
        <f t="shared" si="48"/>
        <v/>
      </c>
      <c r="H207" s="18" t="str">
        <f t="shared" si="49"/>
        <v/>
      </c>
      <c r="I207" s="18" t="str">
        <f t="shared" si="50"/>
        <v/>
      </c>
      <c r="J207" s="18" t="str">
        <f t="shared" si="51"/>
        <v/>
      </c>
      <c r="K207" s="21"/>
      <c r="N207" s="77" t="str">
        <f t="shared" si="45"/>
        <v/>
      </c>
      <c r="O207" s="77" t="str">
        <f t="shared" si="46"/>
        <v/>
      </c>
      <c r="P207" s="78" t="str">
        <f t="shared" si="47"/>
        <v/>
      </c>
      <c r="Q207" s="19" t="str">
        <f t="shared" si="52"/>
        <v/>
      </c>
      <c r="R207" s="19" t="str">
        <f>IF(M207&lt;&gt;"",toUTF16(HEX2DEC(M207)),"")</f>
        <v/>
      </c>
      <c r="S207" s="19" t="str">
        <f>IF(N207&lt;&gt;"",toUTF16(HEX2DEC(N207)),"")</f>
        <v/>
      </c>
      <c r="T207" s="19" t="str">
        <f>IF(O207&lt;&gt;"",toUTF16(HEX2DEC(O207)),"")</f>
        <v/>
      </c>
      <c r="U207" s="49" t="str">
        <f>IF(P207&lt;&gt;"",toUTF16(HEX2DEC(P207)),"")</f>
        <v/>
      </c>
      <c r="V207" s="26" t="s">
        <v>287</v>
      </c>
      <c r="W207" s="17"/>
      <c r="X207" s="17"/>
      <c r="Y207" s="9" t="str">
        <f t="shared" si="42"/>
        <v/>
      </c>
      <c r="Z207" s="9" t="str">
        <f t="shared" si="43"/>
        <v/>
      </c>
      <c r="AA207" s="10" t="str">
        <f t="shared" si="44"/>
        <v/>
      </c>
    </row>
    <row r="208" spans="7:27" ht="23.25">
      <c r="G208" s="18" t="str">
        <f t="shared" si="48"/>
        <v/>
      </c>
      <c r="H208" s="18" t="str">
        <f t="shared" si="49"/>
        <v/>
      </c>
      <c r="I208" s="18" t="str">
        <f t="shared" si="50"/>
        <v/>
      </c>
      <c r="J208" s="18" t="str">
        <f t="shared" si="51"/>
        <v/>
      </c>
      <c r="K208" s="21"/>
      <c r="N208" s="77" t="str">
        <f t="shared" si="45"/>
        <v/>
      </c>
      <c r="O208" s="77" t="str">
        <f t="shared" si="46"/>
        <v/>
      </c>
      <c r="P208" s="78" t="str">
        <f t="shared" si="47"/>
        <v/>
      </c>
      <c r="Q208" s="19" t="str">
        <f t="shared" si="52"/>
        <v/>
      </c>
      <c r="R208" s="19" t="str">
        <f>IF(M208&lt;&gt;"",toUTF16(HEX2DEC(M208)),"")</f>
        <v/>
      </c>
      <c r="S208" s="19" t="str">
        <f>IF(N208&lt;&gt;"",toUTF16(HEX2DEC(N208)),"")</f>
        <v/>
      </c>
      <c r="T208" s="19" t="str">
        <f>IF(O208&lt;&gt;"",toUTF16(HEX2DEC(O208)),"")</f>
        <v/>
      </c>
      <c r="U208" s="49" t="str">
        <f>IF(P208&lt;&gt;"",toUTF16(HEX2DEC(P208)),"")</f>
        <v/>
      </c>
      <c r="V208" s="26" t="s">
        <v>287</v>
      </c>
      <c r="W208" s="17"/>
      <c r="X208" s="17"/>
      <c r="Y208" s="9" t="str">
        <f t="shared" si="42"/>
        <v/>
      </c>
      <c r="Z208" s="9" t="str">
        <f t="shared" si="43"/>
        <v/>
      </c>
      <c r="AA208" s="10" t="str">
        <f t="shared" si="44"/>
        <v/>
      </c>
    </row>
    <row r="209" spans="7:27" ht="23.25">
      <c r="G209" s="18" t="str">
        <f t="shared" si="48"/>
        <v/>
      </c>
      <c r="H209" s="18" t="str">
        <f t="shared" si="49"/>
        <v/>
      </c>
      <c r="I209" s="18" t="str">
        <f t="shared" si="50"/>
        <v/>
      </c>
      <c r="J209" s="18" t="str">
        <f t="shared" si="51"/>
        <v/>
      </c>
      <c r="K209" s="21"/>
      <c r="N209" s="77" t="str">
        <f t="shared" si="45"/>
        <v/>
      </c>
      <c r="O209" s="77" t="str">
        <f t="shared" si="46"/>
        <v/>
      </c>
      <c r="P209" s="78" t="str">
        <f t="shared" si="47"/>
        <v/>
      </c>
      <c r="Q209" s="19" t="str">
        <f t="shared" si="52"/>
        <v/>
      </c>
      <c r="R209" s="19" t="str">
        <f>IF(M209&lt;&gt;"",toUTF16(HEX2DEC(M209)),"")</f>
        <v/>
      </c>
      <c r="S209" s="19" t="str">
        <f>IF(N209&lt;&gt;"",toUTF16(HEX2DEC(N209)),"")</f>
        <v/>
      </c>
      <c r="T209" s="19" t="str">
        <f>IF(O209&lt;&gt;"",toUTF16(HEX2DEC(O209)),"")</f>
        <v/>
      </c>
      <c r="U209" s="49" t="str">
        <f>IF(P209&lt;&gt;"",toUTF16(HEX2DEC(P209)),"")</f>
        <v/>
      </c>
      <c r="V209" s="26" t="s">
        <v>287</v>
      </c>
      <c r="W209" s="17"/>
      <c r="X209" s="17"/>
      <c r="Y209" s="9" t="str">
        <f t="shared" si="42"/>
        <v/>
      </c>
      <c r="Z209" s="9" t="str">
        <f t="shared" si="43"/>
        <v/>
      </c>
      <c r="AA209" s="10" t="str">
        <f t="shared" si="44"/>
        <v/>
      </c>
    </row>
    <row r="210" spans="7:27" ht="23.25">
      <c r="G210" s="18" t="str">
        <f t="shared" si="48"/>
        <v/>
      </c>
      <c r="H210" s="18" t="str">
        <f t="shared" si="49"/>
        <v/>
      </c>
      <c r="I210" s="18" t="str">
        <f t="shared" si="50"/>
        <v/>
      </c>
      <c r="J210" s="18" t="str">
        <f t="shared" si="51"/>
        <v/>
      </c>
      <c r="K210" s="21"/>
      <c r="N210" s="77" t="str">
        <f t="shared" si="45"/>
        <v/>
      </c>
      <c r="O210" s="77" t="str">
        <f t="shared" si="46"/>
        <v/>
      </c>
      <c r="P210" s="78" t="str">
        <f t="shared" si="47"/>
        <v/>
      </c>
      <c r="Q210" s="19" t="str">
        <f t="shared" si="52"/>
        <v/>
      </c>
      <c r="R210" s="19" t="str">
        <f>IF(M210&lt;&gt;"",toUTF16(HEX2DEC(M210)),"")</f>
        <v/>
      </c>
      <c r="S210" s="19" t="str">
        <f>IF(N210&lt;&gt;"",toUTF16(HEX2DEC(N210)),"")</f>
        <v/>
      </c>
      <c r="T210" s="19" t="str">
        <f>IF(O210&lt;&gt;"",toUTF16(HEX2DEC(O210)),"")</f>
        <v/>
      </c>
      <c r="U210" s="49" t="str">
        <f>IF(P210&lt;&gt;"",toUTF16(HEX2DEC(P210)),"")</f>
        <v/>
      </c>
      <c r="V210" s="26" t="s">
        <v>287</v>
      </c>
      <c r="W210" s="17"/>
      <c r="X210" s="17"/>
      <c r="Y210" s="9" t="str">
        <f t="shared" si="42"/>
        <v/>
      </c>
      <c r="Z210" s="9" t="str">
        <f t="shared" si="43"/>
        <v/>
      </c>
      <c r="AA210" s="10" t="str">
        <f t="shared" si="44"/>
        <v/>
      </c>
    </row>
    <row r="211" spans="7:27" ht="23.25">
      <c r="G211" s="18" t="str">
        <f t="shared" si="48"/>
        <v/>
      </c>
      <c r="H211" s="18" t="str">
        <f t="shared" si="49"/>
        <v/>
      </c>
      <c r="I211" s="18" t="str">
        <f t="shared" si="50"/>
        <v/>
      </c>
      <c r="J211" s="18" t="str">
        <f t="shared" si="51"/>
        <v/>
      </c>
      <c r="K211" s="21"/>
      <c r="N211" s="77" t="str">
        <f t="shared" si="45"/>
        <v/>
      </c>
      <c r="O211" s="77" t="str">
        <f t="shared" si="46"/>
        <v/>
      </c>
      <c r="P211" s="78" t="str">
        <f t="shared" si="47"/>
        <v/>
      </c>
      <c r="Q211" s="19" t="str">
        <f t="shared" si="52"/>
        <v/>
      </c>
      <c r="R211" s="19" t="str">
        <f>IF(M211&lt;&gt;"",toUTF16(HEX2DEC(M211)),"")</f>
        <v/>
      </c>
      <c r="S211" s="19" t="str">
        <f>IF(N211&lt;&gt;"",toUTF16(HEX2DEC(N211)),"")</f>
        <v/>
      </c>
      <c r="T211" s="19" t="str">
        <f>IF(O211&lt;&gt;"",toUTF16(HEX2DEC(O211)),"")</f>
        <v/>
      </c>
      <c r="U211" s="49" t="str">
        <f>IF(P211&lt;&gt;"",toUTF16(HEX2DEC(P211)),"")</f>
        <v/>
      </c>
      <c r="V211" s="26" t="s">
        <v>287</v>
      </c>
      <c r="W211" s="17"/>
      <c r="X211" s="17"/>
      <c r="Y211" s="9" t="str">
        <f t="shared" si="42"/>
        <v/>
      </c>
      <c r="Z211" s="9" t="str">
        <f t="shared" si="43"/>
        <v/>
      </c>
      <c r="AA211" s="10" t="str">
        <f t="shared" si="44"/>
        <v/>
      </c>
    </row>
    <row r="212" spans="7:27" ht="23.25">
      <c r="G212" s="18" t="str">
        <f t="shared" si="48"/>
        <v/>
      </c>
      <c r="H212" s="18" t="str">
        <f t="shared" si="49"/>
        <v/>
      </c>
      <c r="I212" s="18" t="str">
        <f t="shared" si="50"/>
        <v/>
      </c>
      <c r="J212" s="18" t="str">
        <f t="shared" si="51"/>
        <v/>
      </c>
      <c r="K212" s="21"/>
      <c r="N212" s="77" t="str">
        <f t="shared" si="45"/>
        <v/>
      </c>
      <c r="O212" s="77" t="str">
        <f t="shared" si="46"/>
        <v/>
      </c>
      <c r="P212" s="78" t="str">
        <f t="shared" si="47"/>
        <v/>
      </c>
      <c r="Q212" s="19" t="str">
        <f t="shared" si="52"/>
        <v/>
      </c>
      <c r="R212" s="19" t="str">
        <f>IF(M212&lt;&gt;"",toUTF16(HEX2DEC(M212)),"")</f>
        <v/>
      </c>
      <c r="S212" s="19" t="str">
        <f>IF(N212&lt;&gt;"",toUTF16(HEX2DEC(N212)),"")</f>
        <v/>
      </c>
      <c r="T212" s="19" t="str">
        <f>IF(O212&lt;&gt;"",toUTF16(HEX2DEC(O212)),"")</f>
        <v/>
      </c>
      <c r="U212" s="49" t="str">
        <f>IF(P212&lt;&gt;"",toUTF16(HEX2DEC(P212)),"")</f>
        <v/>
      </c>
      <c r="V212" s="26" t="s">
        <v>287</v>
      </c>
      <c r="W212" s="17"/>
      <c r="X212" s="17"/>
      <c r="Y212" s="9" t="str">
        <f t="shared" si="42"/>
        <v/>
      </c>
      <c r="Z212" s="9" t="str">
        <f t="shared" si="43"/>
        <v/>
      </c>
      <c r="AA212" s="10" t="str">
        <f t="shared" si="44"/>
        <v/>
      </c>
    </row>
    <row r="213" spans="7:27" ht="23.25">
      <c r="G213" s="18" t="str">
        <f t="shared" si="48"/>
        <v/>
      </c>
      <c r="H213" s="18" t="str">
        <f t="shared" si="49"/>
        <v/>
      </c>
      <c r="I213" s="18" t="str">
        <f t="shared" si="50"/>
        <v/>
      </c>
      <c r="J213" s="18" t="str">
        <f t="shared" si="51"/>
        <v/>
      </c>
      <c r="K213" s="21"/>
      <c r="N213" s="77" t="str">
        <f t="shared" si="45"/>
        <v/>
      </c>
      <c r="O213" s="77" t="str">
        <f t="shared" si="46"/>
        <v/>
      </c>
      <c r="P213" s="78" t="str">
        <f t="shared" si="47"/>
        <v/>
      </c>
      <c r="Q213" s="19" t="str">
        <f t="shared" si="52"/>
        <v/>
      </c>
      <c r="R213" s="19" t="str">
        <f>IF(M213&lt;&gt;"",toUTF16(HEX2DEC(M213)),"")</f>
        <v/>
      </c>
      <c r="S213" s="19" t="str">
        <f>IF(N213&lt;&gt;"",toUTF16(HEX2DEC(N213)),"")</f>
        <v/>
      </c>
      <c r="T213" s="19" t="str">
        <f>IF(O213&lt;&gt;"",toUTF16(HEX2DEC(O213)),"")</f>
        <v/>
      </c>
      <c r="U213" s="49" t="str">
        <f>IF(P213&lt;&gt;"",toUTF16(HEX2DEC(P213)),"")</f>
        <v/>
      </c>
      <c r="V213" s="26" t="s">
        <v>287</v>
      </c>
      <c r="W213" s="17"/>
      <c r="X213" s="17"/>
      <c r="Y213" s="9" t="str">
        <f t="shared" si="42"/>
        <v/>
      </c>
      <c r="Z213" s="9" t="str">
        <f t="shared" si="43"/>
        <v/>
      </c>
      <c r="AA213" s="10" t="str">
        <f t="shared" si="44"/>
        <v/>
      </c>
    </row>
    <row r="214" spans="7:27" ht="23.25">
      <c r="G214" s="18" t="str">
        <f t="shared" si="48"/>
        <v/>
      </c>
      <c r="H214" s="18" t="str">
        <f t="shared" si="49"/>
        <v/>
      </c>
      <c r="I214" s="18" t="str">
        <f t="shared" si="50"/>
        <v/>
      </c>
      <c r="J214" s="18" t="str">
        <f t="shared" si="51"/>
        <v/>
      </c>
      <c r="K214" s="21"/>
      <c r="N214" s="77" t="str">
        <f t="shared" si="45"/>
        <v/>
      </c>
      <c r="O214" s="77" t="str">
        <f t="shared" si="46"/>
        <v/>
      </c>
      <c r="P214" s="78" t="str">
        <f t="shared" si="47"/>
        <v/>
      </c>
      <c r="Q214" s="19" t="str">
        <f t="shared" si="52"/>
        <v/>
      </c>
      <c r="R214" s="19" t="str">
        <f>IF(M214&lt;&gt;"",toUTF16(HEX2DEC(M214)),"")</f>
        <v/>
      </c>
      <c r="S214" s="19" t="str">
        <f>IF(N214&lt;&gt;"",toUTF16(HEX2DEC(N214)),"")</f>
        <v/>
      </c>
      <c r="T214" s="19" t="str">
        <f>IF(O214&lt;&gt;"",toUTF16(HEX2DEC(O214)),"")</f>
        <v/>
      </c>
      <c r="U214" s="49" t="str">
        <f>IF(P214&lt;&gt;"",toUTF16(HEX2DEC(P214)),"")</f>
        <v/>
      </c>
      <c r="V214" s="26" t="s">
        <v>287</v>
      </c>
      <c r="W214" s="17"/>
      <c r="X214" s="17"/>
      <c r="Y214" s="9" t="str">
        <f t="shared" si="42"/>
        <v/>
      </c>
      <c r="Z214" s="9" t="str">
        <f t="shared" si="43"/>
        <v/>
      </c>
      <c r="AA214" s="10" t="str">
        <f t="shared" si="44"/>
        <v/>
      </c>
    </row>
    <row r="215" spans="7:27" ht="23.25">
      <c r="G215" s="18" t="str">
        <f t="shared" si="48"/>
        <v/>
      </c>
      <c r="H215" s="18" t="str">
        <f t="shared" si="49"/>
        <v/>
      </c>
      <c r="I215" s="18" t="str">
        <f t="shared" si="50"/>
        <v/>
      </c>
      <c r="J215" s="18" t="str">
        <f t="shared" si="51"/>
        <v/>
      </c>
      <c r="K215" s="21"/>
      <c r="N215" s="77" t="str">
        <f t="shared" si="45"/>
        <v/>
      </c>
      <c r="O215" s="77" t="str">
        <f t="shared" si="46"/>
        <v/>
      </c>
      <c r="P215" s="78" t="str">
        <f t="shared" si="47"/>
        <v/>
      </c>
      <c r="Q215" s="19" t="str">
        <f t="shared" si="52"/>
        <v/>
      </c>
      <c r="R215" s="19" t="str">
        <f>IF(M215&lt;&gt;"",toUTF16(HEX2DEC(M215)),"")</f>
        <v/>
      </c>
      <c r="S215" s="19" t="str">
        <f>IF(N215&lt;&gt;"",toUTF16(HEX2DEC(N215)),"")</f>
        <v/>
      </c>
      <c r="T215" s="19" t="str">
        <f>IF(O215&lt;&gt;"",toUTF16(HEX2DEC(O215)),"")</f>
        <v/>
      </c>
      <c r="U215" s="49" t="str">
        <f>IF(P215&lt;&gt;"",toUTF16(HEX2DEC(P215)),"")</f>
        <v/>
      </c>
      <c r="V215" s="26" t="s">
        <v>287</v>
      </c>
      <c r="W215" s="17"/>
      <c r="X215" s="17"/>
      <c r="Y215" s="9" t="str">
        <f t="shared" si="42"/>
        <v/>
      </c>
      <c r="Z215" s="9" t="str">
        <f t="shared" si="43"/>
        <v/>
      </c>
      <c r="AA215" s="10" t="str">
        <f t="shared" si="44"/>
        <v/>
      </c>
    </row>
    <row r="216" spans="7:27" ht="23.25">
      <c r="G216" s="18" t="str">
        <f t="shared" si="48"/>
        <v/>
      </c>
      <c r="H216" s="18" t="str">
        <f t="shared" si="49"/>
        <v/>
      </c>
      <c r="I216" s="18" t="str">
        <f t="shared" si="50"/>
        <v/>
      </c>
      <c r="J216" s="18" t="str">
        <f t="shared" si="51"/>
        <v/>
      </c>
      <c r="K216" s="21"/>
      <c r="N216" s="77" t="str">
        <f t="shared" si="45"/>
        <v/>
      </c>
      <c r="O216" s="77" t="str">
        <f t="shared" si="46"/>
        <v/>
      </c>
      <c r="P216" s="78" t="str">
        <f t="shared" si="47"/>
        <v/>
      </c>
      <c r="Q216" s="19" t="str">
        <f t="shared" si="52"/>
        <v/>
      </c>
      <c r="R216" s="19" t="str">
        <f>IF(M216&lt;&gt;"",toUTF16(HEX2DEC(M216)),"")</f>
        <v/>
      </c>
      <c r="S216" s="19" t="str">
        <f>IF(N216&lt;&gt;"",toUTF16(HEX2DEC(N216)),"")</f>
        <v/>
      </c>
      <c r="T216" s="19" t="str">
        <f>IF(O216&lt;&gt;"",toUTF16(HEX2DEC(O216)),"")</f>
        <v/>
      </c>
      <c r="U216" s="49" t="str">
        <f>IF(P216&lt;&gt;"",toUTF16(HEX2DEC(P216)),"")</f>
        <v/>
      </c>
      <c r="V216" s="26" t="s">
        <v>287</v>
      </c>
      <c r="W216" s="17"/>
      <c r="X216" s="17"/>
      <c r="Y216" s="9" t="str">
        <f t="shared" si="42"/>
        <v/>
      </c>
      <c r="Z216" s="9" t="str">
        <f t="shared" si="43"/>
        <v/>
      </c>
      <c r="AA216" s="10" t="str">
        <f t="shared" si="44"/>
        <v/>
      </c>
    </row>
    <row r="217" spans="7:27" ht="23.25">
      <c r="G217" s="18" t="str">
        <f t="shared" si="48"/>
        <v/>
      </c>
      <c r="H217" s="18" t="str">
        <f t="shared" si="49"/>
        <v/>
      </c>
      <c r="I217" s="18" t="str">
        <f t="shared" si="50"/>
        <v/>
      </c>
      <c r="J217" s="18" t="str">
        <f t="shared" si="51"/>
        <v/>
      </c>
      <c r="K217" s="21"/>
      <c r="N217" s="77" t="str">
        <f t="shared" si="45"/>
        <v/>
      </c>
      <c r="O217" s="77" t="str">
        <f t="shared" si="46"/>
        <v/>
      </c>
      <c r="P217" s="78" t="str">
        <f t="shared" si="47"/>
        <v/>
      </c>
      <c r="Q217" s="19" t="str">
        <f t="shared" si="52"/>
        <v/>
      </c>
      <c r="R217" s="19" t="str">
        <f>IF(M217&lt;&gt;"",toUTF16(HEX2DEC(M217)),"")</f>
        <v/>
      </c>
      <c r="S217" s="19" t="str">
        <f>IF(N217&lt;&gt;"",toUTF16(HEX2DEC(N217)),"")</f>
        <v/>
      </c>
      <c r="T217" s="19" t="str">
        <f>IF(O217&lt;&gt;"",toUTF16(HEX2DEC(O217)),"")</f>
        <v/>
      </c>
      <c r="U217" s="49" t="str">
        <f>IF(P217&lt;&gt;"",toUTF16(HEX2DEC(P217)),"")</f>
        <v/>
      </c>
      <c r="V217" s="26" t="s">
        <v>287</v>
      </c>
      <c r="W217" s="17"/>
      <c r="X217" s="17"/>
      <c r="Y217" s="9" t="str">
        <f t="shared" si="42"/>
        <v/>
      </c>
      <c r="Z217" s="9" t="str">
        <f t="shared" si="43"/>
        <v/>
      </c>
      <c r="AA217" s="10" t="str">
        <f t="shared" si="44"/>
        <v/>
      </c>
    </row>
    <row r="218" spans="7:27" ht="23.25">
      <c r="G218" s="18" t="str">
        <f t="shared" si="48"/>
        <v/>
      </c>
      <c r="H218" s="18" t="str">
        <f t="shared" si="49"/>
        <v/>
      </c>
      <c r="I218" s="18" t="str">
        <f t="shared" si="50"/>
        <v/>
      </c>
      <c r="J218" s="18" t="str">
        <f t="shared" si="51"/>
        <v/>
      </c>
      <c r="K218" s="21"/>
      <c r="N218" s="77" t="str">
        <f t="shared" si="45"/>
        <v/>
      </c>
      <c r="O218" s="77" t="str">
        <f t="shared" si="46"/>
        <v/>
      </c>
      <c r="P218" s="78" t="str">
        <f t="shared" si="47"/>
        <v/>
      </c>
      <c r="Q218" s="19" t="str">
        <f t="shared" si="52"/>
        <v/>
      </c>
      <c r="R218" s="19" t="str">
        <f>IF(M218&lt;&gt;"",toUTF16(HEX2DEC(M218)),"")</f>
        <v/>
      </c>
      <c r="S218" s="19" t="str">
        <f>IF(N218&lt;&gt;"",toUTF16(HEX2DEC(N218)),"")</f>
        <v/>
      </c>
      <c r="T218" s="19" t="str">
        <f>IF(O218&lt;&gt;"",toUTF16(HEX2DEC(O218)),"")</f>
        <v/>
      </c>
      <c r="U218" s="49" t="str">
        <f>IF(P218&lt;&gt;"",toUTF16(HEX2DEC(P218)),"")</f>
        <v/>
      </c>
      <c r="V218" s="26" t="s">
        <v>287</v>
      </c>
      <c r="W218" s="17"/>
      <c r="X218" s="17"/>
      <c r="Y218" s="9" t="str">
        <f t="shared" si="42"/>
        <v/>
      </c>
      <c r="Z218" s="9" t="str">
        <f t="shared" si="43"/>
        <v/>
      </c>
      <c r="AA218" s="10" t="str">
        <f t="shared" si="44"/>
        <v/>
      </c>
    </row>
    <row r="219" spans="7:27" ht="23.25">
      <c r="G219" s="18" t="str">
        <f t="shared" si="48"/>
        <v/>
      </c>
      <c r="H219" s="18" t="str">
        <f t="shared" si="49"/>
        <v/>
      </c>
      <c r="I219" s="18" t="str">
        <f t="shared" si="50"/>
        <v/>
      </c>
      <c r="J219" s="18" t="str">
        <f t="shared" si="51"/>
        <v/>
      </c>
      <c r="K219" s="21"/>
      <c r="N219" s="77" t="str">
        <f t="shared" si="45"/>
        <v/>
      </c>
      <c r="O219" s="77" t="str">
        <f t="shared" si="46"/>
        <v/>
      </c>
      <c r="P219" s="78" t="str">
        <f t="shared" si="47"/>
        <v/>
      </c>
      <c r="Q219" s="19" t="str">
        <f t="shared" si="52"/>
        <v/>
      </c>
      <c r="R219" s="19" t="str">
        <f>IF(M219&lt;&gt;"",toUTF16(HEX2DEC(M219)),"")</f>
        <v/>
      </c>
      <c r="S219" s="19" t="str">
        <f>IF(N219&lt;&gt;"",toUTF16(HEX2DEC(N219)),"")</f>
        <v/>
      </c>
      <c r="T219" s="19" t="str">
        <f>IF(O219&lt;&gt;"",toUTF16(HEX2DEC(O219)),"")</f>
        <v/>
      </c>
      <c r="U219" s="49" t="str">
        <f>IF(P219&lt;&gt;"",toUTF16(HEX2DEC(P219)),"")</f>
        <v/>
      </c>
      <c r="V219" s="26" t="s">
        <v>287</v>
      </c>
      <c r="W219" s="17"/>
      <c r="X219" s="17"/>
      <c r="Y219" s="9" t="str">
        <f t="shared" si="42"/>
        <v/>
      </c>
      <c r="Z219" s="9" t="str">
        <f t="shared" si="43"/>
        <v/>
      </c>
      <c r="AA219" s="10" t="str">
        <f t="shared" si="44"/>
        <v/>
      </c>
    </row>
    <row r="220" spans="7:27" ht="23.25">
      <c r="G220" s="18" t="str">
        <f t="shared" si="48"/>
        <v/>
      </c>
      <c r="H220" s="18" t="str">
        <f t="shared" si="49"/>
        <v/>
      </c>
      <c r="I220" s="18" t="str">
        <f t="shared" si="50"/>
        <v/>
      </c>
      <c r="J220" s="18" t="str">
        <f t="shared" si="51"/>
        <v/>
      </c>
      <c r="K220" s="21"/>
      <c r="N220" s="77" t="str">
        <f t="shared" si="45"/>
        <v/>
      </c>
      <c r="O220" s="77" t="str">
        <f t="shared" si="46"/>
        <v/>
      </c>
      <c r="P220" s="78" t="str">
        <f t="shared" si="47"/>
        <v/>
      </c>
      <c r="Q220" s="19" t="str">
        <f t="shared" si="52"/>
        <v/>
      </c>
      <c r="R220" s="19" t="str">
        <f>IF(M220&lt;&gt;"",toUTF16(HEX2DEC(M220)),"")</f>
        <v/>
      </c>
      <c r="S220" s="19" t="str">
        <f>IF(N220&lt;&gt;"",toUTF16(HEX2DEC(N220)),"")</f>
        <v/>
      </c>
      <c r="T220" s="19" t="str">
        <f>IF(O220&lt;&gt;"",toUTF16(HEX2DEC(O220)),"")</f>
        <v/>
      </c>
      <c r="U220" s="49" t="str">
        <f>IF(P220&lt;&gt;"",toUTF16(HEX2DEC(P220)),"")</f>
        <v/>
      </c>
      <c r="V220" s="26" t="s">
        <v>287</v>
      </c>
      <c r="W220" s="17"/>
      <c r="X220" s="17"/>
      <c r="Y220" s="9" t="str">
        <f t="shared" si="42"/>
        <v/>
      </c>
      <c r="Z220" s="9" t="str">
        <f t="shared" si="43"/>
        <v/>
      </c>
      <c r="AA220" s="10" t="str">
        <f t="shared" si="44"/>
        <v/>
      </c>
    </row>
    <row r="221" spans="7:27" ht="23.25">
      <c r="G221" s="18" t="str">
        <f t="shared" si="48"/>
        <v/>
      </c>
      <c r="H221" s="18" t="str">
        <f t="shared" si="49"/>
        <v/>
      </c>
      <c r="I221" s="18" t="str">
        <f t="shared" si="50"/>
        <v/>
      </c>
      <c r="J221" s="18" t="str">
        <f t="shared" si="51"/>
        <v/>
      </c>
      <c r="K221" s="21"/>
      <c r="N221" s="77" t="str">
        <f t="shared" si="45"/>
        <v/>
      </c>
      <c r="O221" s="77" t="str">
        <f t="shared" si="46"/>
        <v/>
      </c>
      <c r="P221" s="78" t="str">
        <f t="shared" si="47"/>
        <v/>
      </c>
      <c r="Q221" s="19" t="str">
        <f t="shared" si="52"/>
        <v/>
      </c>
      <c r="R221" s="19" t="str">
        <f>IF(M221&lt;&gt;"",toUTF16(HEX2DEC(M221)),"")</f>
        <v/>
      </c>
      <c r="S221" s="19" t="str">
        <f>IF(N221&lt;&gt;"",toUTF16(HEX2DEC(N221)),"")</f>
        <v/>
      </c>
      <c r="T221" s="19" t="str">
        <f>IF(O221&lt;&gt;"",toUTF16(HEX2DEC(O221)),"")</f>
        <v/>
      </c>
      <c r="U221" s="49" t="str">
        <f>IF(P221&lt;&gt;"",toUTF16(HEX2DEC(P221)),"")</f>
        <v/>
      </c>
      <c r="V221" s="26" t="s">
        <v>287</v>
      </c>
      <c r="W221" s="17"/>
      <c r="X221" s="17"/>
      <c r="Y221" s="9" t="str">
        <f t="shared" si="42"/>
        <v/>
      </c>
      <c r="Z221" s="9" t="str">
        <f t="shared" si="43"/>
        <v/>
      </c>
      <c r="AA221" s="10" t="str">
        <f t="shared" si="44"/>
        <v/>
      </c>
    </row>
    <row r="222" spans="7:27" ht="23.25">
      <c r="G222" s="18" t="str">
        <f t="shared" si="48"/>
        <v/>
      </c>
      <c r="H222" s="18" t="str">
        <f t="shared" si="49"/>
        <v/>
      </c>
      <c r="I222" s="18" t="str">
        <f t="shared" si="50"/>
        <v/>
      </c>
      <c r="J222" s="18" t="str">
        <f t="shared" si="51"/>
        <v/>
      </c>
      <c r="K222" s="21"/>
      <c r="N222" s="77" t="str">
        <f t="shared" si="45"/>
        <v/>
      </c>
      <c r="O222" s="77" t="str">
        <f t="shared" si="46"/>
        <v/>
      </c>
      <c r="P222" s="78" t="str">
        <f t="shared" si="47"/>
        <v/>
      </c>
      <c r="Q222" s="19" t="str">
        <f t="shared" si="52"/>
        <v/>
      </c>
      <c r="R222" s="19" t="str">
        <f>IF(M222&lt;&gt;"",toUTF16(HEX2DEC(M222)),"")</f>
        <v/>
      </c>
      <c r="S222" s="19" t="str">
        <f>IF(N222&lt;&gt;"",toUTF16(HEX2DEC(N222)),"")</f>
        <v/>
      </c>
      <c r="T222" s="19" t="str">
        <f>IF(O222&lt;&gt;"",toUTF16(HEX2DEC(O222)),"")</f>
        <v/>
      </c>
      <c r="U222" s="49" t="str">
        <f>IF(P222&lt;&gt;"",toUTF16(HEX2DEC(P222)),"")</f>
        <v/>
      </c>
      <c r="V222" s="26" t="s">
        <v>287</v>
      </c>
      <c r="W222" s="17"/>
      <c r="X222" s="17"/>
      <c r="Y222" s="9" t="str">
        <f t="shared" si="42"/>
        <v/>
      </c>
      <c r="Z222" s="9" t="str">
        <f t="shared" si="43"/>
        <v/>
      </c>
      <c r="AA222" s="10" t="str">
        <f t="shared" si="44"/>
        <v/>
      </c>
    </row>
    <row r="223" spans="7:27" ht="23.25">
      <c r="G223" s="18" t="str">
        <f t="shared" si="48"/>
        <v/>
      </c>
      <c r="H223" s="18" t="str">
        <f t="shared" si="49"/>
        <v/>
      </c>
      <c r="I223" s="18" t="str">
        <f t="shared" si="50"/>
        <v/>
      </c>
      <c r="J223" s="18" t="str">
        <f t="shared" si="51"/>
        <v/>
      </c>
      <c r="K223" s="21"/>
      <c r="N223" s="77" t="str">
        <f t="shared" si="45"/>
        <v/>
      </c>
      <c r="O223" s="77" t="str">
        <f t="shared" si="46"/>
        <v/>
      </c>
      <c r="P223" s="78" t="str">
        <f t="shared" si="47"/>
        <v/>
      </c>
      <c r="Q223" s="19" t="str">
        <f t="shared" si="52"/>
        <v/>
      </c>
      <c r="R223" s="19" t="str">
        <f>IF(M223&lt;&gt;"",toUTF16(HEX2DEC(M223)),"")</f>
        <v/>
      </c>
      <c r="S223" s="19" t="str">
        <f>IF(N223&lt;&gt;"",toUTF16(HEX2DEC(N223)),"")</f>
        <v/>
      </c>
      <c r="T223" s="19" t="str">
        <f>IF(O223&lt;&gt;"",toUTF16(HEX2DEC(O223)),"")</f>
        <v/>
      </c>
      <c r="U223" s="49" t="str">
        <f>IF(P223&lt;&gt;"",toUTF16(HEX2DEC(P223)),"")</f>
        <v/>
      </c>
      <c r="V223" s="26" t="s">
        <v>287</v>
      </c>
      <c r="W223" s="17"/>
      <c r="X223" s="17"/>
      <c r="Y223" s="9" t="str">
        <f t="shared" si="42"/>
        <v/>
      </c>
      <c r="Z223" s="9" t="str">
        <f t="shared" si="43"/>
        <v/>
      </c>
      <c r="AA223" s="10" t="str">
        <f t="shared" si="44"/>
        <v/>
      </c>
    </row>
    <row r="224" spans="7:27" ht="23.25">
      <c r="G224" s="18" t="str">
        <f t="shared" si="48"/>
        <v/>
      </c>
      <c r="H224" s="18" t="str">
        <f t="shared" si="49"/>
        <v/>
      </c>
      <c r="I224" s="18" t="str">
        <f t="shared" si="50"/>
        <v/>
      </c>
      <c r="J224" s="18" t="str">
        <f t="shared" si="51"/>
        <v/>
      </c>
      <c r="K224" s="21"/>
      <c r="N224" s="77" t="str">
        <f t="shared" si="45"/>
        <v/>
      </c>
      <c r="O224" s="77" t="str">
        <f t="shared" si="46"/>
        <v/>
      </c>
      <c r="P224" s="78" t="str">
        <f t="shared" si="47"/>
        <v/>
      </c>
      <c r="Q224" s="19" t="str">
        <f t="shared" si="52"/>
        <v/>
      </c>
      <c r="R224" s="19" t="str">
        <f>IF(M224&lt;&gt;"",toUTF16(HEX2DEC(M224)),"")</f>
        <v/>
      </c>
      <c r="S224" s="19" t="str">
        <f>IF(N224&lt;&gt;"",toUTF16(HEX2DEC(N224)),"")</f>
        <v/>
      </c>
      <c r="T224" s="19" t="str">
        <f>IF(O224&lt;&gt;"",toUTF16(HEX2DEC(O224)),"")</f>
        <v/>
      </c>
      <c r="U224" s="49" t="str">
        <f>IF(P224&lt;&gt;"",toUTF16(HEX2DEC(P224)),"")</f>
        <v/>
      </c>
      <c r="V224" s="26" t="s">
        <v>287</v>
      </c>
      <c r="W224" s="17"/>
      <c r="X224" s="17"/>
      <c r="Y224" s="9" t="str">
        <f t="shared" si="42"/>
        <v/>
      </c>
      <c r="Z224" s="9" t="str">
        <f t="shared" si="43"/>
        <v/>
      </c>
      <c r="AA224" s="10" t="str">
        <f t="shared" si="44"/>
        <v/>
      </c>
    </row>
    <row r="225" spans="7:27" ht="23.25">
      <c r="G225" s="18" t="str">
        <f t="shared" si="48"/>
        <v/>
      </c>
      <c r="H225" s="18" t="str">
        <f t="shared" si="49"/>
        <v/>
      </c>
      <c r="I225" s="18" t="str">
        <f t="shared" si="50"/>
        <v/>
      </c>
      <c r="J225" s="18" t="str">
        <f t="shared" si="51"/>
        <v/>
      </c>
      <c r="K225" s="21"/>
      <c r="N225" s="77" t="str">
        <f t="shared" si="45"/>
        <v/>
      </c>
      <c r="O225" s="77" t="str">
        <f t="shared" si="46"/>
        <v/>
      </c>
      <c r="P225" s="78" t="str">
        <f t="shared" si="47"/>
        <v/>
      </c>
      <c r="Q225" s="19" t="str">
        <f t="shared" si="52"/>
        <v/>
      </c>
      <c r="R225" s="19" t="str">
        <f>IF(M225&lt;&gt;"",toUTF16(HEX2DEC(M225)),"")</f>
        <v/>
      </c>
      <c r="S225" s="19" t="str">
        <f>IF(N225&lt;&gt;"",toUTF16(HEX2DEC(N225)),"")</f>
        <v/>
      </c>
      <c r="T225" s="19" t="str">
        <f>IF(O225&lt;&gt;"",toUTF16(HEX2DEC(O225)),"")</f>
        <v/>
      </c>
      <c r="U225" s="49" t="str">
        <f>IF(P225&lt;&gt;"",toUTF16(HEX2DEC(P225)),"")</f>
        <v/>
      </c>
      <c r="V225" s="26" t="s">
        <v>287</v>
      </c>
      <c r="W225" s="17"/>
      <c r="X225" s="17"/>
      <c r="Y225" s="9" t="str">
        <f t="shared" si="42"/>
        <v/>
      </c>
      <c r="Z225" s="9" t="str">
        <f t="shared" si="43"/>
        <v/>
      </c>
      <c r="AA225" s="10" t="str">
        <f t="shared" si="44"/>
        <v/>
      </c>
    </row>
    <row r="226" spans="7:27" ht="23.25">
      <c r="G226" s="18" t="str">
        <f t="shared" si="48"/>
        <v/>
      </c>
      <c r="H226" s="18" t="str">
        <f t="shared" si="49"/>
        <v/>
      </c>
      <c r="I226" s="18" t="str">
        <f t="shared" si="50"/>
        <v/>
      </c>
      <c r="J226" s="18" t="str">
        <f t="shared" si="51"/>
        <v/>
      </c>
      <c r="K226" s="21"/>
      <c r="N226" s="77" t="str">
        <f t="shared" si="45"/>
        <v/>
      </c>
      <c r="O226" s="77" t="str">
        <f t="shared" si="46"/>
        <v/>
      </c>
      <c r="P226" s="78" t="str">
        <f t="shared" si="47"/>
        <v/>
      </c>
      <c r="Q226" s="19" t="str">
        <f t="shared" si="52"/>
        <v/>
      </c>
      <c r="R226" s="19" t="str">
        <f>IF(M226&lt;&gt;"",toUTF16(HEX2DEC(M226)),"")</f>
        <v/>
      </c>
      <c r="S226" s="19" t="str">
        <f>IF(N226&lt;&gt;"",toUTF16(HEX2DEC(N226)),"")</f>
        <v/>
      </c>
      <c r="T226" s="19" t="str">
        <f>IF(O226&lt;&gt;"",toUTF16(HEX2DEC(O226)),"")</f>
        <v/>
      </c>
      <c r="U226" s="49" t="str">
        <f>IF(P226&lt;&gt;"",toUTF16(HEX2DEC(P226)),"")</f>
        <v/>
      </c>
      <c r="V226" s="26" t="s">
        <v>287</v>
      </c>
      <c r="W226" s="17"/>
      <c r="X226" s="17"/>
      <c r="Y226" s="9" t="str">
        <f t="shared" si="42"/>
        <v/>
      </c>
      <c r="Z226" s="9" t="str">
        <f t="shared" si="43"/>
        <v/>
      </c>
      <c r="AA226" s="10" t="str">
        <f t="shared" si="44"/>
        <v/>
      </c>
    </row>
    <row r="227" spans="7:27" ht="23.25">
      <c r="G227" s="18" t="str">
        <f t="shared" si="48"/>
        <v/>
      </c>
      <c r="H227" s="18" t="str">
        <f t="shared" si="49"/>
        <v/>
      </c>
      <c r="I227" s="18" t="str">
        <f t="shared" si="50"/>
        <v/>
      </c>
      <c r="J227" s="18" t="str">
        <f t="shared" si="51"/>
        <v/>
      </c>
      <c r="K227" s="21"/>
      <c r="N227" s="77" t="str">
        <f t="shared" si="45"/>
        <v/>
      </c>
      <c r="O227" s="77" t="str">
        <f t="shared" si="46"/>
        <v/>
      </c>
      <c r="P227" s="78" t="str">
        <f t="shared" si="47"/>
        <v/>
      </c>
      <c r="Q227" s="19" t="str">
        <f t="shared" si="52"/>
        <v/>
      </c>
      <c r="R227" s="19" t="str">
        <f>IF(M227&lt;&gt;"",toUTF16(HEX2DEC(M227)),"")</f>
        <v/>
      </c>
      <c r="S227" s="19" t="str">
        <f>IF(N227&lt;&gt;"",toUTF16(HEX2DEC(N227)),"")</f>
        <v/>
      </c>
      <c r="T227" s="19" t="str">
        <f>IF(O227&lt;&gt;"",toUTF16(HEX2DEC(O227)),"")</f>
        <v/>
      </c>
      <c r="U227" s="49" t="str">
        <f>IF(P227&lt;&gt;"",toUTF16(HEX2DEC(P227)),"")</f>
        <v/>
      </c>
      <c r="V227" s="26" t="s">
        <v>287</v>
      </c>
      <c r="W227" s="17"/>
      <c r="X227" s="17"/>
      <c r="Y227" s="9" t="str">
        <f t="shared" si="42"/>
        <v/>
      </c>
      <c r="Z227" s="9" t="str">
        <f t="shared" si="43"/>
        <v/>
      </c>
      <c r="AA227" s="10" t="str">
        <f t="shared" si="44"/>
        <v/>
      </c>
    </row>
    <row r="228" spans="7:27" ht="23.25">
      <c r="G228" s="18" t="str">
        <f t="shared" si="48"/>
        <v/>
      </c>
      <c r="H228" s="18" t="str">
        <f t="shared" si="49"/>
        <v/>
      </c>
      <c r="I228" s="18" t="str">
        <f t="shared" si="50"/>
        <v/>
      </c>
      <c r="J228" s="18" t="str">
        <f t="shared" si="51"/>
        <v/>
      </c>
      <c r="K228" s="21"/>
      <c r="N228" s="77" t="str">
        <f t="shared" si="45"/>
        <v/>
      </c>
      <c r="O228" s="77" t="str">
        <f t="shared" si="46"/>
        <v/>
      </c>
      <c r="P228" s="78" t="str">
        <f t="shared" si="47"/>
        <v/>
      </c>
      <c r="Q228" s="19" t="str">
        <f t="shared" si="52"/>
        <v/>
      </c>
      <c r="R228" s="19" t="str">
        <f>IF(M228&lt;&gt;"",toUTF16(HEX2DEC(M228)),"")</f>
        <v/>
      </c>
      <c r="S228" s="19" t="str">
        <f>IF(N228&lt;&gt;"",toUTF16(HEX2DEC(N228)),"")</f>
        <v/>
      </c>
      <c r="T228" s="19" t="str">
        <f>IF(O228&lt;&gt;"",toUTF16(HEX2DEC(O228)),"")</f>
        <v/>
      </c>
      <c r="U228" s="49" t="str">
        <f>IF(P228&lt;&gt;"",toUTF16(HEX2DEC(P228)),"")</f>
        <v/>
      </c>
      <c r="V228" s="26" t="s">
        <v>287</v>
      </c>
      <c r="W228" s="17"/>
      <c r="X228" s="17"/>
      <c r="Y228" s="9" t="str">
        <f t="shared" si="42"/>
        <v/>
      </c>
      <c r="Z228" s="9" t="str">
        <f t="shared" si="43"/>
        <v/>
      </c>
      <c r="AA228" s="10" t="str">
        <f t="shared" si="44"/>
        <v/>
      </c>
    </row>
    <row r="229" spans="7:27" ht="23.25">
      <c r="G229" s="18" t="str">
        <f t="shared" si="48"/>
        <v/>
      </c>
      <c r="H229" s="18" t="str">
        <f t="shared" si="49"/>
        <v/>
      </c>
      <c r="I229" s="18" t="str">
        <f t="shared" si="50"/>
        <v/>
      </c>
      <c r="J229" s="18" t="str">
        <f t="shared" si="51"/>
        <v/>
      </c>
      <c r="K229" s="21"/>
      <c r="N229" s="77" t="str">
        <f t="shared" si="45"/>
        <v/>
      </c>
      <c r="O229" s="77" t="str">
        <f t="shared" si="46"/>
        <v/>
      </c>
      <c r="P229" s="78" t="str">
        <f t="shared" si="47"/>
        <v/>
      </c>
      <c r="Q229" s="19" t="str">
        <f t="shared" si="52"/>
        <v/>
      </c>
      <c r="R229" s="19" t="str">
        <f>IF(M229&lt;&gt;"",toUTF16(HEX2DEC(M229)),"")</f>
        <v/>
      </c>
      <c r="S229" s="19" t="str">
        <f>IF(N229&lt;&gt;"",toUTF16(HEX2DEC(N229)),"")</f>
        <v/>
      </c>
      <c r="T229" s="19" t="str">
        <f>IF(O229&lt;&gt;"",toUTF16(HEX2DEC(O229)),"")</f>
        <v/>
      </c>
      <c r="U229" s="49" t="str">
        <f>IF(P229&lt;&gt;"",toUTF16(HEX2DEC(P229)),"")</f>
        <v/>
      </c>
      <c r="V229" s="26" t="s">
        <v>287</v>
      </c>
      <c r="W229" s="17"/>
      <c r="X229" s="17"/>
      <c r="Y229" s="9" t="str">
        <f t="shared" si="42"/>
        <v/>
      </c>
      <c r="Z229" s="9" t="str">
        <f t="shared" si="43"/>
        <v/>
      </c>
      <c r="AA229" s="10" t="str">
        <f t="shared" si="44"/>
        <v/>
      </c>
    </row>
    <row r="230" spans="7:27" ht="23.25">
      <c r="G230" s="18" t="str">
        <f t="shared" si="48"/>
        <v/>
      </c>
      <c r="H230" s="18" t="str">
        <f t="shared" si="49"/>
        <v/>
      </c>
      <c r="I230" s="18" t="str">
        <f t="shared" si="50"/>
        <v/>
      </c>
      <c r="J230" s="18" t="str">
        <f t="shared" si="51"/>
        <v/>
      </c>
      <c r="K230" s="21"/>
      <c r="N230" s="77" t="str">
        <f t="shared" si="45"/>
        <v/>
      </c>
      <c r="O230" s="77" t="str">
        <f t="shared" si="46"/>
        <v/>
      </c>
      <c r="P230" s="78" t="str">
        <f t="shared" si="47"/>
        <v/>
      </c>
      <c r="Q230" s="19" t="str">
        <f t="shared" si="52"/>
        <v/>
      </c>
      <c r="R230" s="19" t="str">
        <f>IF(M230&lt;&gt;"",toUTF16(HEX2DEC(M230)),"")</f>
        <v/>
      </c>
      <c r="S230" s="19" t="str">
        <f>IF(N230&lt;&gt;"",toUTF16(HEX2DEC(N230)),"")</f>
        <v/>
      </c>
      <c r="T230" s="19" t="str">
        <f>IF(O230&lt;&gt;"",toUTF16(HEX2DEC(O230)),"")</f>
        <v/>
      </c>
      <c r="U230" s="49" t="str">
        <f>IF(P230&lt;&gt;"",toUTF16(HEX2DEC(P230)),"")</f>
        <v/>
      </c>
      <c r="V230" s="26" t="s">
        <v>287</v>
      </c>
      <c r="W230" s="17"/>
      <c r="X230" s="17"/>
      <c r="Y230" s="9" t="str">
        <f t="shared" si="42"/>
        <v/>
      </c>
      <c r="Z230" s="9" t="str">
        <f t="shared" si="43"/>
        <v/>
      </c>
      <c r="AA230" s="10" t="str">
        <f t="shared" si="44"/>
        <v/>
      </c>
    </row>
    <row r="231" spans="7:27" ht="23.25">
      <c r="G231" s="18" t="str">
        <f t="shared" si="48"/>
        <v/>
      </c>
      <c r="H231" s="18" t="str">
        <f t="shared" si="49"/>
        <v/>
      </c>
      <c r="I231" s="18" t="str">
        <f t="shared" si="50"/>
        <v/>
      </c>
      <c r="J231" s="18" t="str">
        <f t="shared" si="51"/>
        <v/>
      </c>
      <c r="K231" s="21"/>
      <c r="N231" s="77" t="str">
        <f t="shared" si="45"/>
        <v/>
      </c>
      <c r="O231" s="77" t="str">
        <f t="shared" si="46"/>
        <v/>
      </c>
      <c r="P231" s="78" t="str">
        <f t="shared" si="47"/>
        <v/>
      </c>
      <c r="Q231" s="19" t="str">
        <f t="shared" si="52"/>
        <v/>
      </c>
      <c r="R231" s="19" t="str">
        <f>IF(M231&lt;&gt;"",toUTF16(HEX2DEC(M231)),"")</f>
        <v/>
      </c>
      <c r="S231" s="19" t="str">
        <f>IF(N231&lt;&gt;"",toUTF16(HEX2DEC(N231)),"")</f>
        <v/>
      </c>
      <c r="T231" s="19" t="str">
        <f>IF(O231&lt;&gt;"",toUTF16(HEX2DEC(O231)),"")</f>
        <v/>
      </c>
      <c r="U231" s="49" t="str">
        <f>IF(P231&lt;&gt;"",toUTF16(HEX2DEC(P231)),"")</f>
        <v/>
      </c>
      <c r="V231" s="26" t="s">
        <v>287</v>
      </c>
      <c r="W231" s="17"/>
      <c r="X231" s="17"/>
      <c r="Y231" s="9" t="str">
        <f t="shared" si="42"/>
        <v/>
      </c>
      <c r="Z231" s="9" t="str">
        <f t="shared" si="43"/>
        <v/>
      </c>
      <c r="AA231" s="10" t="str">
        <f t="shared" si="44"/>
        <v/>
      </c>
    </row>
    <row r="232" spans="7:27" ht="23.25">
      <c r="G232" s="18" t="str">
        <f t="shared" si="48"/>
        <v/>
      </c>
      <c r="H232" s="18" t="str">
        <f t="shared" si="49"/>
        <v/>
      </c>
      <c r="I232" s="18" t="str">
        <f t="shared" si="50"/>
        <v/>
      </c>
      <c r="J232" s="18" t="str">
        <f t="shared" si="51"/>
        <v/>
      </c>
      <c r="K232" s="21"/>
      <c r="N232" s="77" t="str">
        <f t="shared" si="45"/>
        <v/>
      </c>
      <c r="O232" s="77" t="str">
        <f t="shared" si="46"/>
        <v/>
      </c>
      <c r="P232" s="78" t="str">
        <f t="shared" si="47"/>
        <v/>
      </c>
      <c r="Q232" s="19" t="str">
        <f t="shared" si="52"/>
        <v/>
      </c>
      <c r="R232" s="19" t="str">
        <f>IF(M232&lt;&gt;"",toUTF16(HEX2DEC(M232)),"")</f>
        <v/>
      </c>
      <c r="S232" s="19" t="str">
        <f>IF(N232&lt;&gt;"",toUTF16(HEX2DEC(N232)),"")</f>
        <v/>
      </c>
      <c r="T232" s="19" t="str">
        <f>IF(O232&lt;&gt;"",toUTF16(HEX2DEC(O232)),"")</f>
        <v/>
      </c>
      <c r="U232" s="49" t="str">
        <f>IF(P232&lt;&gt;"",toUTF16(HEX2DEC(P232)),"")</f>
        <v/>
      </c>
      <c r="V232" s="26" t="s">
        <v>287</v>
      </c>
      <c r="W232" s="17"/>
      <c r="X232" s="17"/>
      <c r="Y232" s="9" t="str">
        <f t="shared" si="42"/>
        <v/>
      </c>
      <c r="Z232" s="9" t="str">
        <f t="shared" si="43"/>
        <v/>
      </c>
      <c r="AA232" s="10" t="str">
        <f t="shared" si="44"/>
        <v/>
      </c>
    </row>
    <row r="233" spans="7:27" ht="23.25">
      <c r="G233" s="18" t="str">
        <f t="shared" si="48"/>
        <v/>
      </c>
      <c r="H233" s="18" t="str">
        <f t="shared" si="49"/>
        <v/>
      </c>
      <c r="I233" s="18" t="str">
        <f t="shared" si="50"/>
        <v/>
      </c>
      <c r="J233" s="18" t="str">
        <f t="shared" si="51"/>
        <v/>
      </c>
      <c r="K233" s="21"/>
      <c r="N233" s="77" t="str">
        <f t="shared" si="45"/>
        <v/>
      </c>
      <c r="O233" s="77" t="str">
        <f t="shared" si="46"/>
        <v/>
      </c>
      <c r="P233" s="78" t="str">
        <f t="shared" si="47"/>
        <v/>
      </c>
      <c r="Q233" s="19" t="str">
        <f t="shared" si="52"/>
        <v/>
      </c>
      <c r="R233" s="19" t="str">
        <f>IF(M233&lt;&gt;"",toUTF16(HEX2DEC(M233)),"")</f>
        <v/>
      </c>
      <c r="S233" s="19" t="str">
        <f>IF(N233&lt;&gt;"",toUTF16(HEX2DEC(N233)),"")</f>
        <v/>
      </c>
      <c r="T233" s="19" t="str">
        <f>IF(O233&lt;&gt;"",toUTF16(HEX2DEC(O233)),"")</f>
        <v/>
      </c>
      <c r="U233" s="49" t="str">
        <f>IF(P233&lt;&gt;"",toUTF16(HEX2DEC(P233)),"")</f>
        <v/>
      </c>
      <c r="V233" s="26" t="s">
        <v>287</v>
      </c>
      <c r="W233" s="17"/>
      <c r="X233" s="17"/>
      <c r="Y233" s="9" t="str">
        <f t="shared" ref="Y233:Y296" si="53">IF($X233&lt;&gt;"",DEC2HEX(HEX2DEC($X233)+2,4),"")</f>
        <v/>
      </c>
      <c r="Z233" s="9" t="str">
        <f t="shared" ref="Z233:Z296" si="54">IF($X233&lt;&gt;"",DEC2HEX(HEX2DEC($X233)+3,4),"")</f>
        <v/>
      </c>
      <c r="AA233" s="10" t="str">
        <f t="shared" ref="AA233:AA296" si="55">IF($X233&lt;&gt;"",DEC2HEX(HEX2DEC($X233)+1,4),"")</f>
        <v/>
      </c>
    </row>
    <row r="234" spans="7:27" ht="23.25">
      <c r="G234" s="18" t="str">
        <f t="shared" si="48"/>
        <v/>
      </c>
      <c r="H234" s="18" t="str">
        <f t="shared" si="49"/>
        <v/>
      </c>
      <c r="I234" s="18" t="str">
        <f t="shared" si="50"/>
        <v/>
      </c>
      <c r="J234" s="18" t="str">
        <f t="shared" si="51"/>
        <v/>
      </c>
      <c r="K234" s="21"/>
      <c r="N234" s="77" t="str">
        <f t="shared" ref="N234:N297" si="56">IF($M234&lt;&gt;"",DEC2HEX(HEX2DEC($M234)+2,4),"")</f>
        <v/>
      </c>
      <c r="O234" s="77" t="str">
        <f t="shared" ref="O234:O297" si="57">IF($M234&lt;&gt;"",DEC2HEX(HEX2DEC($M234)+3,4),"")</f>
        <v/>
      </c>
      <c r="P234" s="78" t="str">
        <f t="shared" ref="P234:P297" si="58">IF($M234&lt;&gt;"",DEC2HEX(HEX2DEC($M234)+1,4),"")</f>
        <v/>
      </c>
      <c r="Q234" s="19" t="str">
        <f t="shared" si="52"/>
        <v/>
      </c>
      <c r="R234" s="19" t="str">
        <f>IF(M234&lt;&gt;"",toUTF16(HEX2DEC(M234)),"")</f>
        <v/>
      </c>
      <c r="S234" s="19" t="str">
        <f>IF(N234&lt;&gt;"",toUTF16(HEX2DEC(N234)),"")</f>
        <v/>
      </c>
      <c r="T234" s="19" t="str">
        <f>IF(O234&lt;&gt;"",toUTF16(HEX2DEC(O234)),"")</f>
        <v/>
      </c>
      <c r="U234" s="49" t="str">
        <f>IF(P234&lt;&gt;"",toUTF16(HEX2DEC(P234)),"")</f>
        <v/>
      </c>
      <c r="V234" s="26" t="s">
        <v>287</v>
      </c>
      <c r="W234" s="17"/>
      <c r="X234" s="17"/>
      <c r="Y234" s="9" t="str">
        <f t="shared" si="53"/>
        <v/>
      </c>
      <c r="Z234" s="9" t="str">
        <f t="shared" si="54"/>
        <v/>
      </c>
      <c r="AA234" s="10" t="str">
        <f t="shared" si="55"/>
        <v/>
      </c>
    </row>
    <row r="235" spans="7:27" ht="23.25">
      <c r="G235" s="18" t="str">
        <f t="shared" ref="G235:G298" si="59">IF(R235&lt;&gt;"",R235,"")</f>
        <v/>
      </c>
      <c r="H235" s="18" t="str">
        <f t="shared" ref="H235:H298" si="60">IF(S235&lt;&gt;"",S235,"")</f>
        <v/>
      </c>
      <c r="I235" s="18" t="str">
        <f t="shared" ref="I235:I298" si="61">IF(T235&lt;&gt;"",T235,"")</f>
        <v/>
      </c>
      <c r="J235" s="18" t="str">
        <f t="shared" ref="J235:J298" si="62">IF(U235&lt;&gt;"",U235,"")</f>
        <v/>
      </c>
      <c r="K235" s="21"/>
      <c r="N235" s="77" t="str">
        <f t="shared" si="56"/>
        <v/>
      </c>
      <c r="O235" s="77" t="str">
        <f t="shared" si="57"/>
        <v/>
      </c>
      <c r="P235" s="78" t="str">
        <f t="shared" si="58"/>
        <v/>
      </c>
      <c r="Q235" s="19" t="str">
        <f t="shared" ref="Q235:Q298" si="63">IF(L235&lt;&gt;"",toUTF16(HEX2DEC(L235)),"")</f>
        <v/>
      </c>
      <c r="R235" s="19" t="str">
        <f>IF(M235&lt;&gt;"",toUTF16(HEX2DEC(M235)),"")</f>
        <v/>
      </c>
      <c r="S235" s="19" t="str">
        <f>IF(N235&lt;&gt;"",toUTF16(HEX2DEC(N235)),"")</f>
        <v/>
      </c>
      <c r="T235" s="19" t="str">
        <f>IF(O235&lt;&gt;"",toUTF16(HEX2DEC(O235)),"")</f>
        <v/>
      </c>
      <c r="U235" s="49" t="str">
        <f>IF(P235&lt;&gt;"",toUTF16(HEX2DEC(P235)),"")</f>
        <v/>
      </c>
      <c r="V235" s="26" t="s">
        <v>287</v>
      </c>
      <c r="W235" s="17"/>
      <c r="X235" s="17"/>
      <c r="Y235" s="9" t="str">
        <f t="shared" si="53"/>
        <v/>
      </c>
      <c r="Z235" s="9" t="str">
        <f t="shared" si="54"/>
        <v/>
      </c>
      <c r="AA235" s="10" t="str">
        <f t="shared" si="55"/>
        <v/>
      </c>
    </row>
    <row r="236" spans="7:27" ht="23.25">
      <c r="G236" s="18" t="str">
        <f t="shared" si="59"/>
        <v/>
      </c>
      <c r="H236" s="18" t="str">
        <f t="shared" si="60"/>
        <v/>
      </c>
      <c r="I236" s="18" t="str">
        <f t="shared" si="61"/>
        <v/>
      </c>
      <c r="J236" s="18" t="str">
        <f t="shared" si="62"/>
        <v/>
      </c>
      <c r="K236" s="21"/>
      <c r="N236" s="77" t="str">
        <f t="shared" si="56"/>
        <v/>
      </c>
      <c r="O236" s="77" t="str">
        <f t="shared" si="57"/>
        <v/>
      </c>
      <c r="P236" s="78" t="str">
        <f t="shared" si="58"/>
        <v/>
      </c>
      <c r="Q236" s="19" t="str">
        <f t="shared" si="63"/>
        <v/>
      </c>
      <c r="R236" s="19" t="str">
        <f>IF(M236&lt;&gt;"",toUTF16(HEX2DEC(M236)),"")</f>
        <v/>
      </c>
      <c r="S236" s="19" t="str">
        <f>IF(N236&lt;&gt;"",toUTF16(HEX2DEC(N236)),"")</f>
        <v/>
      </c>
      <c r="T236" s="19" t="str">
        <f>IF(O236&lt;&gt;"",toUTF16(HEX2DEC(O236)),"")</f>
        <v/>
      </c>
      <c r="U236" s="49" t="str">
        <f>IF(P236&lt;&gt;"",toUTF16(HEX2DEC(P236)),"")</f>
        <v/>
      </c>
      <c r="V236" s="26" t="s">
        <v>287</v>
      </c>
      <c r="W236" s="17"/>
      <c r="X236" s="17"/>
      <c r="Y236" s="9" t="str">
        <f t="shared" si="53"/>
        <v/>
      </c>
      <c r="Z236" s="9" t="str">
        <f t="shared" si="54"/>
        <v/>
      </c>
      <c r="AA236" s="10" t="str">
        <f t="shared" si="55"/>
        <v/>
      </c>
    </row>
    <row r="237" spans="7:27" ht="23.25">
      <c r="G237" s="18" t="str">
        <f t="shared" si="59"/>
        <v/>
      </c>
      <c r="H237" s="18" t="str">
        <f t="shared" si="60"/>
        <v/>
      </c>
      <c r="I237" s="18" t="str">
        <f t="shared" si="61"/>
        <v/>
      </c>
      <c r="J237" s="18" t="str">
        <f t="shared" si="62"/>
        <v/>
      </c>
      <c r="K237" s="21"/>
      <c r="N237" s="77" t="str">
        <f t="shared" si="56"/>
        <v/>
      </c>
      <c r="O237" s="77" t="str">
        <f t="shared" si="57"/>
        <v/>
      </c>
      <c r="P237" s="78" t="str">
        <f t="shared" si="58"/>
        <v/>
      </c>
      <c r="Q237" s="19" t="str">
        <f t="shared" si="63"/>
        <v/>
      </c>
      <c r="R237" s="19" t="str">
        <f>IF(M237&lt;&gt;"",toUTF16(HEX2DEC(M237)),"")</f>
        <v/>
      </c>
      <c r="S237" s="19" t="str">
        <f>IF(N237&lt;&gt;"",toUTF16(HEX2DEC(N237)),"")</f>
        <v/>
      </c>
      <c r="T237" s="19" t="str">
        <f>IF(O237&lt;&gt;"",toUTF16(HEX2DEC(O237)),"")</f>
        <v/>
      </c>
      <c r="U237" s="49" t="str">
        <f>IF(P237&lt;&gt;"",toUTF16(HEX2DEC(P237)),"")</f>
        <v/>
      </c>
      <c r="V237" s="26" t="s">
        <v>287</v>
      </c>
      <c r="W237" s="17"/>
      <c r="X237" s="17"/>
      <c r="Y237" s="9" t="str">
        <f t="shared" si="53"/>
        <v/>
      </c>
      <c r="Z237" s="9" t="str">
        <f t="shared" si="54"/>
        <v/>
      </c>
      <c r="AA237" s="10" t="str">
        <f t="shared" si="55"/>
        <v/>
      </c>
    </row>
    <row r="238" spans="7:27" ht="23.25">
      <c r="G238" s="18" t="str">
        <f t="shared" si="59"/>
        <v/>
      </c>
      <c r="H238" s="18" t="str">
        <f t="shared" si="60"/>
        <v/>
      </c>
      <c r="I238" s="18" t="str">
        <f t="shared" si="61"/>
        <v/>
      </c>
      <c r="J238" s="18" t="str">
        <f t="shared" si="62"/>
        <v/>
      </c>
      <c r="K238" s="21"/>
      <c r="N238" s="77" t="str">
        <f t="shared" si="56"/>
        <v/>
      </c>
      <c r="O238" s="77" t="str">
        <f t="shared" si="57"/>
        <v/>
      </c>
      <c r="P238" s="78" t="str">
        <f t="shared" si="58"/>
        <v/>
      </c>
      <c r="Q238" s="19" t="str">
        <f t="shared" si="63"/>
        <v/>
      </c>
      <c r="R238" s="19" t="str">
        <f>IF(M238&lt;&gt;"",toUTF16(HEX2DEC(M238)),"")</f>
        <v/>
      </c>
      <c r="S238" s="19" t="str">
        <f>IF(N238&lt;&gt;"",toUTF16(HEX2DEC(N238)),"")</f>
        <v/>
      </c>
      <c r="T238" s="19" t="str">
        <f>IF(O238&lt;&gt;"",toUTF16(HEX2DEC(O238)),"")</f>
        <v/>
      </c>
      <c r="U238" s="49" t="str">
        <f>IF(P238&lt;&gt;"",toUTF16(HEX2DEC(P238)),"")</f>
        <v/>
      </c>
      <c r="V238" s="26" t="s">
        <v>287</v>
      </c>
      <c r="W238" s="17"/>
      <c r="X238" s="17"/>
      <c r="Y238" s="9" t="str">
        <f t="shared" si="53"/>
        <v/>
      </c>
      <c r="Z238" s="9" t="str">
        <f t="shared" si="54"/>
        <v/>
      </c>
      <c r="AA238" s="10" t="str">
        <f t="shared" si="55"/>
        <v/>
      </c>
    </row>
    <row r="239" spans="7:27" ht="23.25">
      <c r="G239" s="18" t="str">
        <f t="shared" si="59"/>
        <v/>
      </c>
      <c r="H239" s="18" t="str">
        <f t="shared" si="60"/>
        <v/>
      </c>
      <c r="I239" s="18" t="str">
        <f t="shared" si="61"/>
        <v/>
      </c>
      <c r="J239" s="18" t="str">
        <f t="shared" si="62"/>
        <v/>
      </c>
      <c r="K239" s="21"/>
      <c r="N239" s="77" t="str">
        <f t="shared" si="56"/>
        <v/>
      </c>
      <c r="O239" s="77" t="str">
        <f t="shared" si="57"/>
        <v/>
      </c>
      <c r="P239" s="78" t="str">
        <f t="shared" si="58"/>
        <v/>
      </c>
      <c r="Q239" s="19" t="str">
        <f t="shared" si="63"/>
        <v/>
      </c>
      <c r="R239" s="19" t="str">
        <f>IF(M239&lt;&gt;"",toUTF16(HEX2DEC(M239)),"")</f>
        <v/>
      </c>
      <c r="S239" s="19" t="str">
        <f>IF(N239&lt;&gt;"",toUTF16(HEX2DEC(N239)),"")</f>
        <v/>
      </c>
      <c r="T239" s="19" t="str">
        <f>IF(O239&lt;&gt;"",toUTF16(HEX2DEC(O239)),"")</f>
        <v/>
      </c>
      <c r="U239" s="49" t="str">
        <f>IF(P239&lt;&gt;"",toUTF16(HEX2DEC(P239)),"")</f>
        <v/>
      </c>
      <c r="V239" s="26" t="s">
        <v>287</v>
      </c>
      <c r="W239" s="17"/>
      <c r="X239" s="17"/>
      <c r="Y239" s="9" t="str">
        <f t="shared" si="53"/>
        <v/>
      </c>
      <c r="Z239" s="9" t="str">
        <f t="shared" si="54"/>
        <v/>
      </c>
      <c r="AA239" s="10" t="str">
        <f t="shared" si="55"/>
        <v/>
      </c>
    </row>
    <row r="240" spans="7:27" ht="23.25">
      <c r="G240" s="18" t="str">
        <f t="shared" si="59"/>
        <v/>
      </c>
      <c r="H240" s="18" t="str">
        <f t="shared" si="60"/>
        <v/>
      </c>
      <c r="I240" s="18" t="str">
        <f t="shared" si="61"/>
        <v/>
      </c>
      <c r="J240" s="18" t="str">
        <f t="shared" si="62"/>
        <v/>
      </c>
      <c r="K240" s="21"/>
      <c r="N240" s="77" t="str">
        <f t="shared" si="56"/>
        <v/>
      </c>
      <c r="O240" s="77" t="str">
        <f t="shared" si="57"/>
        <v/>
      </c>
      <c r="P240" s="78" t="str">
        <f t="shared" si="58"/>
        <v/>
      </c>
      <c r="Q240" s="19" t="str">
        <f t="shared" si="63"/>
        <v/>
      </c>
      <c r="R240" s="19" t="str">
        <f>IF(M240&lt;&gt;"",toUTF16(HEX2DEC(M240)),"")</f>
        <v/>
      </c>
      <c r="S240" s="19" t="str">
        <f>IF(N240&lt;&gt;"",toUTF16(HEX2DEC(N240)),"")</f>
        <v/>
      </c>
      <c r="T240" s="19" t="str">
        <f>IF(O240&lt;&gt;"",toUTF16(HEX2DEC(O240)),"")</f>
        <v/>
      </c>
      <c r="U240" s="49" t="str">
        <f>IF(P240&lt;&gt;"",toUTF16(HEX2DEC(P240)),"")</f>
        <v/>
      </c>
      <c r="V240" s="26" t="s">
        <v>287</v>
      </c>
      <c r="W240" s="17"/>
      <c r="X240" s="17"/>
      <c r="Y240" s="9" t="str">
        <f t="shared" si="53"/>
        <v/>
      </c>
      <c r="Z240" s="9" t="str">
        <f t="shared" si="54"/>
        <v/>
      </c>
      <c r="AA240" s="10" t="str">
        <f t="shared" si="55"/>
        <v/>
      </c>
    </row>
    <row r="241" spans="7:27" ht="23.25">
      <c r="G241" s="18" t="str">
        <f t="shared" si="59"/>
        <v/>
      </c>
      <c r="H241" s="18" t="str">
        <f t="shared" si="60"/>
        <v/>
      </c>
      <c r="I241" s="18" t="str">
        <f t="shared" si="61"/>
        <v/>
      </c>
      <c r="J241" s="18" t="str">
        <f t="shared" si="62"/>
        <v/>
      </c>
      <c r="K241" s="21"/>
      <c r="N241" s="77" t="str">
        <f t="shared" si="56"/>
        <v/>
      </c>
      <c r="O241" s="77" t="str">
        <f t="shared" si="57"/>
        <v/>
      </c>
      <c r="P241" s="78" t="str">
        <f t="shared" si="58"/>
        <v/>
      </c>
      <c r="Q241" s="19" t="str">
        <f t="shared" si="63"/>
        <v/>
      </c>
      <c r="R241" s="19" t="str">
        <f>IF(M241&lt;&gt;"",toUTF16(HEX2DEC(M241)),"")</f>
        <v/>
      </c>
      <c r="S241" s="19" t="str">
        <f>IF(N241&lt;&gt;"",toUTF16(HEX2DEC(N241)),"")</f>
        <v/>
      </c>
      <c r="T241" s="19" t="str">
        <f>IF(O241&lt;&gt;"",toUTF16(HEX2DEC(O241)),"")</f>
        <v/>
      </c>
      <c r="U241" s="49" t="str">
        <f>IF(P241&lt;&gt;"",toUTF16(HEX2DEC(P241)),"")</f>
        <v/>
      </c>
      <c r="V241" s="26" t="s">
        <v>287</v>
      </c>
      <c r="W241" s="17"/>
      <c r="X241" s="17"/>
      <c r="Y241" s="9" t="str">
        <f t="shared" si="53"/>
        <v/>
      </c>
      <c r="Z241" s="9" t="str">
        <f t="shared" si="54"/>
        <v/>
      </c>
      <c r="AA241" s="10" t="str">
        <f t="shared" si="55"/>
        <v/>
      </c>
    </row>
    <row r="242" spans="7:27" ht="23.25">
      <c r="G242" s="18" t="str">
        <f t="shared" si="59"/>
        <v/>
      </c>
      <c r="H242" s="18" t="str">
        <f t="shared" si="60"/>
        <v/>
      </c>
      <c r="I242" s="18" t="str">
        <f t="shared" si="61"/>
        <v/>
      </c>
      <c r="J242" s="18" t="str">
        <f t="shared" si="62"/>
        <v/>
      </c>
      <c r="K242" s="21"/>
      <c r="N242" s="77" t="str">
        <f t="shared" si="56"/>
        <v/>
      </c>
      <c r="O242" s="77" t="str">
        <f t="shared" si="57"/>
        <v/>
      </c>
      <c r="P242" s="78" t="str">
        <f t="shared" si="58"/>
        <v/>
      </c>
      <c r="Q242" s="19" t="str">
        <f t="shared" si="63"/>
        <v/>
      </c>
      <c r="R242" s="19" t="str">
        <f>IF(M242&lt;&gt;"",toUTF16(HEX2DEC(M242)),"")</f>
        <v/>
      </c>
      <c r="S242" s="19" t="str">
        <f>IF(N242&lt;&gt;"",toUTF16(HEX2DEC(N242)),"")</f>
        <v/>
      </c>
      <c r="T242" s="19" t="str">
        <f>IF(O242&lt;&gt;"",toUTF16(HEX2DEC(O242)),"")</f>
        <v/>
      </c>
      <c r="U242" s="49" t="str">
        <f>IF(P242&lt;&gt;"",toUTF16(HEX2DEC(P242)),"")</f>
        <v/>
      </c>
      <c r="V242" s="26" t="s">
        <v>287</v>
      </c>
      <c r="W242" s="17"/>
      <c r="X242" s="17"/>
      <c r="Y242" s="9" t="str">
        <f t="shared" si="53"/>
        <v/>
      </c>
      <c r="Z242" s="9" t="str">
        <f t="shared" si="54"/>
        <v/>
      </c>
      <c r="AA242" s="10" t="str">
        <f t="shared" si="55"/>
        <v/>
      </c>
    </row>
    <row r="243" spans="7:27" ht="23.25">
      <c r="G243" s="18" t="str">
        <f t="shared" si="59"/>
        <v/>
      </c>
      <c r="H243" s="18" t="str">
        <f t="shared" si="60"/>
        <v/>
      </c>
      <c r="I243" s="18" t="str">
        <f t="shared" si="61"/>
        <v/>
      </c>
      <c r="J243" s="18" t="str">
        <f t="shared" si="62"/>
        <v/>
      </c>
      <c r="K243" s="21"/>
      <c r="N243" s="77" t="str">
        <f t="shared" si="56"/>
        <v/>
      </c>
      <c r="O243" s="77" t="str">
        <f t="shared" si="57"/>
        <v/>
      </c>
      <c r="P243" s="78" t="str">
        <f t="shared" si="58"/>
        <v/>
      </c>
      <c r="Q243" s="19" t="str">
        <f t="shared" si="63"/>
        <v/>
      </c>
      <c r="R243" s="19" t="str">
        <f>IF(M243&lt;&gt;"",toUTF16(HEX2DEC(M243)),"")</f>
        <v/>
      </c>
      <c r="S243" s="19" t="str">
        <f>IF(N243&lt;&gt;"",toUTF16(HEX2DEC(N243)),"")</f>
        <v/>
      </c>
      <c r="T243" s="19" t="str">
        <f>IF(O243&lt;&gt;"",toUTF16(HEX2DEC(O243)),"")</f>
        <v/>
      </c>
      <c r="U243" s="49" t="str">
        <f>IF(P243&lt;&gt;"",toUTF16(HEX2DEC(P243)),"")</f>
        <v/>
      </c>
      <c r="V243" s="26" t="s">
        <v>287</v>
      </c>
      <c r="W243" s="17"/>
      <c r="X243" s="17"/>
      <c r="Y243" s="9" t="str">
        <f t="shared" si="53"/>
        <v/>
      </c>
      <c r="Z243" s="9" t="str">
        <f t="shared" si="54"/>
        <v/>
      </c>
      <c r="AA243" s="10" t="str">
        <f t="shared" si="55"/>
        <v/>
      </c>
    </row>
    <row r="244" spans="7:27" ht="23.25">
      <c r="G244" s="18" t="str">
        <f t="shared" si="59"/>
        <v/>
      </c>
      <c r="H244" s="18" t="str">
        <f t="shared" si="60"/>
        <v/>
      </c>
      <c r="I244" s="18" t="str">
        <f t="shared" si="61"/>
        <v/>
      </c>
      <c r="J244" s="18" t="str">
        <f t="shared" si="62"/>
        <v/>
      </c>
      <c r="K244" s="21"/>
      <c r="N244" s="77" t="str">
        <f t="shared" si="56"/>
        <v/>
      </c>
      <c r="O244" s="77" t="str">
        <f t="shared" si="57"/>
        <v/>
      </c>
      <c r="P244" s="78" t="str">
        <f t="shared" si="58"/>
        <v/>
      </c>
      <c r="Q244" s="19" t="str">
        <f t="shared" si="63"/>
        <v/>
      </c>
      <c r="R244" s="19" t="str">
        <f>IF(M244&lt;&gt;"",toUTF16(HEX2DEC(M244)),"")</f>
        <v/>
      </c>
      <c r="S244" s="19" t="str">
        <f>IF(N244&lt;&gt;"",toUTF16(HEX2DEC(N244)),"")</f>
        <v/>
      </c>
      <c r="T244" s="19" t="str">
        <f>IF(O244&lt;&gt;"",toUTF16(HEX2DEC(O244)),"")</f>
        <v/>
      </c>
      <c r="U244" s="49" t="str">
        <f>IF(P244&lt;&gt;"",toUTF16(HEX2DEC(P244)),"")</f>
        <v/>
      </c>
      <c r="V244" s="26" t="s">
        <v>287</v>
      </c>
      <c r="W244" s="17"/>
      <c r="X244" s="17"/>
      <c r="Y244" s="9" t="str">
        <f t="shared" si="53"/>
        <v/>
      </c>
      <c r="Z244" s="9" t="str">
        <f t="shared" si="54"/>
        <v/>
      </c>
      <c r="AA244" s="10" t="str">
        <f t="shared" si="55"/>
        <v/>
      </c>
    </row>
    <row r="245" spans="7:27" ht="23.25">
      <c r="G245" s="18" t="str">
        <f t="shared" si="59"/>
        <v/>
      </c>
      <c r="H245" s="18" t="str">
        <f t="shared" si="60"/>
        <v/>
      </c>
      <c r="I245" s="18" t="str">
        <f t="shared" si="61"/>
        <v/>
      </c>
      <c r="J245" s="18" t="str">
        <f t="shared" si="62"/>
        <v/>
      </c>
      <c r="K245" s="21"/>
      <c r="N245" s="77" t="str">
        <f t="shared" si="56"/>
        <v/>
      </c>
      <c r="O245" s="77" t="str">
        <f t="shared" si="57"/>
        <v/>
      </c>
      <c r="P245" s="78" t="str">
        <f t="shared" si="58"/>
        <v/>
      </c>
      <c r="Q245" s="19" t="str">
        <f t="shared" si="63"/>
        <v/>
      </c>
      <c r="R245" s="19" t="str">
        <f>IF(M245&lt;&gt;"",toUTF16(HEX2DEC(M245)),"")</f>
        <v/>
      </c>
      <c r="S245" s="19" t="str">
        <f>IF(N245&lt;&gt;"",toUTF16(HEX2DEC(N245)),"")</f>
        <v/>
      </c>
      <c r="T245" s="19" t="str">
        <f>IF(O245&lt;&gt;"",toUTF16(HEX2DEC(O245)),"")</f>
        <v/>
      </c>
      <c r="U245" s="49" t="str">
        <f>IF(P245&lt;&gt;"",toUTF16(HEX2DEC(P245)),"")</f>
        <v/>
      </c>
      <c r="V245" s="26" t="s">
        <v>287</v>
      </c>
      <c r="W245" s="17"/>
      <c r="X245" s="17"/>
      <c r="Y245" s="9" t="str">
        <f t="shared" si="53"/>
        <v/>
      </c>
      <c r="Z245" s="9" t="str">
        <f t="shared" si="54"/>
        <v/>
      </c>
      <c r="AA245" s="10" t="str">
        <f t="shared" si="55"/>
        <v/>
      </c>
    </row>
    <row r="246" spans="7:27" ht="23.25">
      <c r="G246" s="18" t="str">
        <f t="shared" si="59"/>
        <v/>
      </c>
      <c r="H246" s="18" t="str">
        <f t="shared" si="60"/>
        <v/>
      </c>
      <c r="I246" s="18" t="str">
        <f t="shared" si="61"/>
        <v/>
      </c>
      <c r="J246" s="18" t="str">
        <f t="shared" si="62"/>
        <v/>
      </c>
      <c r="K246" s="21"/>
      <c r="N246" s="77" t="str">
        <f t="shared" si="56"/>
        <v/>
      </c>
      <c r="O246" s="77" t="str">
        <f t="shared" si="57"/>
        <v/>
      </c>
      <c r="P246" s="78" t="str">
        <f t="shared" si="58"/>
        <v/>
      </c>
      <c r="Q246" s="19" t="str">
        <f t="shared" si="63"/>
        <v/>
      </c>
      <c r="R246" s="19" t="str">
        <f>IF(M246&lt;&gt;"",toUTF16(HEX2DEC(M246)),"")</f>
        <v/>
      </c>
      <c r="S246" s="19" t="str">
        <f>IF(N246&lt;&gt;"",toUTF16(HEX2DEC(N246)),"")</f>
        <v/>
      </c>
      <c r="T246" s="19" t="str">
        <f>IF(O246&lt;&gt;"",toUTF16(HEX2DEC(O246)),"")</f>
        <v/>
      </c>
      <c r="U246" s="49" t="str">
        <f>IF(P246&lt;&gt;"",toUTF16(HEX2DEC(P246)),"")</f>
        <v/>
      </c>
      <c r="V246" s="26" t="s">
        <v>287</v>
      </c>
      <c r="W246" s="17"/>
      <c r="X246" s="17"/>
      <c r="Y246" s="9" t="str">
        <f t="shared" si="53"/>
        <v/>
      </c>
      <c r="Z246" s="9" t="str">
        <f t="shared" si="54"/>
        <v/>
      </c>
      <c r="AA246" s="10" t="str">
        <f t="shared" si="55"/>
        <v/>
      </c>
    </row>
    <row r="247" spans="7:27" ht="23.25">
      <c r="G247" s="18" t="str">
        <f t="shared" si="59"/>
        <v/>
      </c>
      <c r="H247" s="18" t="str">
        <f t="shared" si="60"/>
        <v/>
      </c>
      <c r="I247" s="18" t="str">
        <f t="shared" si="61"/>
        <v/>
      </c>
      <c r="J247" s="18" t="str">
        <f t="shared" si="62"/>
        <v/>
      </c>
      <c r="K247" s="21"/>
      <c r="N247" s="77" t="str">
        <f t="shared" si="56"/>
        <v/>
      </c>
      <c r="O247" s="77" t="str">
        <f t="shared" si="57"/>
        <v/>
      </c>
      <c r="P247" s="78" t="str">
        <f t="shared" si="58"/>
        <v/>
      </c>
      <c r="Q247" s="19" t="str">
        <f t="shared" si="63"/>
        <v/>
      </c>
      <c r="R247" s="19" t="str">
        <f>IF(M247&lt;&gt;"",toUTF16(HEX2DEC(M247)),"")</f>
        <v/>
      </c>
      <c r="S247" s="19" t="str">
        <f>IF(N247&lt;&gt;"",toUTF16(HEX2DEC(N247)),"")</f>
        <v/>
      </c>
      <c r="T247" s="19" t="str">
        <f>IF(O247&lt;&gt;"",toUTF16(HEX2DEC(O247)),"")</f>
        <v/>
      </c>
      <c r="U247" s="49" t="str">
        <f>IF(P247&lt;&gt;"",toUTF16(HEX2DEC(P247)),"")</f>
        <v/>
      </c>
      <c r="V247" s="26" t="s">
        <v>287</v>
      </c>
      <c r="W247" s="17"/>
      <c r="X247" s="17"/>
      <c r="Y247" s="9" t="str">
        <f t="shared" si="53"/>
        <v/>
      </c>
      <c r="Z247" s="9" t="str">
        <f t="shared" si="54"/>
        <v/>
      </c>
      <c r="AA247" s="10" t="str">
        <f t="shared" si="55"/>
        <v/>
      </c>
    </row>
    <row r="248" spans="7:27" ht="23.25">
      <c r="G248" s="18" t="str">
        <f t="shared" si="59"/>
        <v/>
      </c>
      <c r="H248" s="18" t="str">
        <f t="shared" si="60"/>
        <v/>
      </c>
      <c r="I248" s="18" t="str">
        <f t="shared" si="61"/>
        <v/>
      </c>
      <c r="J248" s="18" t="str">
        <f t="shared" si="62"/>
        <v/>
      </c>
      <c r="K248" s="21"/>
      <c r="N248" s="77" t="str">
        <f t="shared" si="56"/>
        <v/>
      </c>
      <c r="O248" s="77" t="str">
        <f t="shared" si="57"/>
        <v/>
      </c>
      <c r="P248" s="78" t="str">
        <f t="shared" si="58"/>
        <v/>
      </c>
      <c r="Q248" s="19" t="str">
        <f t="shared" si="63"/>
        <v/>
      </c>
      <c r="R248" s="19" t="str">
        <f>IF(M248&lt;&gt;"",toUTF16(HEX2DEC(M248)),"")</f>
        <v/>
      </c>
      <c r="S248" s="19" t="str">
        <f>IF(N248&lt;&gt;"",toUTF16(HEX2DEC(N248)),"")</f>
        <v/>
      </c>
      <c r="T248" s="19" t="str">
        <f>IF(O248&lt;&gt;"",toUTF16(HEX2DEC(O248)),"")</f>
        <v/>
      </c>
      <c r="U248" s="49" t="str">
        <f>IF(P248&lt;&gt;"",toUTF16(HEX2DEC(P248)),"")</f>
        <v/>
      </c>
      <c r="V248" s="26" t="s">
        <v>287</v>
      </c>
      <c r="W248" s="17"/>
      <c r="X248" s="17"/>
      <c r="Y248" s="9" t="str">
        <f t="shared" si="53"/>
        <v/>
      </c>
      <c r="Z248" s="9" t="str">
        <f t="shared" si="54"/>
        <v/>
      </c>
      <c r="AA248" s="10" t="str">
        <f t="shared" si="55"/>
        <v/>
      </c>
    </row>
    <row r="249" spans="7:27" ht="23.25">
      <c r="G249" s="18" t="str">
        <f t="shared" si="59"/>
        <v/>
      </c>
      <c r="H249" s="18" t="str">
        <f t="shared" si="60"/>
        <v/>
      </c>
      <c r="I249" s="18" t="str">
        <f t="shared" si="61"/>
        <v/>
      </c>
      <c r="J249" s="18" t="str">
        <f t="shared" si="62"/>
        <v/>
      </c>
      <c r="K249" s="21"/>
      <c r="N249" s="77" t="str">
        <f t="shared" si="56"/>
        <v/>
      </c>
      <c r="O249" s="77" t="str">
        <f t="shared" si="57"/>
        <v/>
      </c>
      <c r="P249" s="78" t="str">
        <f t="shared" si="58"/>
        <v/>
      </c>
      <c r="Q249" s="19" t="str">
        <f t="shared" si="63"/>
        <v/>
      </c>
      <c r="R249" s="19" t="str">
        <f>IF(M249&lt;&gt;"",toUTF16(HEX2DEC(M249)),"")</f>
        <v/>
      </c>
      <c r="S249" s="19" t="str">
        <f>IF(N249&lt;&gt;"",toUTF16(HEX2DEC(N249)),"")</f>
        <v/>
      </c>
      <c r="T249" s="19" t="str">
        <f>IF(O249&lt;&gt;"",toUTF16(HEX2DEC(O249)),"")</f>
        <v/>
      </c>
      <c r="U249" s="49" t="str">
        <f>IF(P249&lt;&gt;"",toUTF16(HEX2DEC(P249)),"")</f>
        <v/>
      </c>
      <c r="V249" s="26" t="s">
        <v>287</v>
      </c>
      <c r="W249" s="17"/>
      <c r="X249" s="17"/>
      <c r="Y249" s="9" t="str">
        <f t="shared" si="53"/>
        <v/>
      </c>
      <c r="Z249" s="9" t="str">
        <f t="shared" si="54"/>
        <v/>
      </c>
      <c r="AA249" s="10" t="str">
        <f t="shared" si="55"/>
        <v/>
      </c>
    </row>
    <row r="250" spans="7:27" ht="23.25">
      <c r="G250" s="18" t="str">
        <f t="shared" si="59"/>
        <v/>
      </c>
      <c r="H250" s="18" t="str">
        <f t="shared" si="60"/>
        <v/>
      </c>
      <c r="I250" s="18" t="str">
        <f t="shared" si="61"/>
        <v/>
      </c>
      <c r="J250" s="18" t="str">
        <f t="shared" si="62"/>
        <v/>
      </c>
      <c r="K250" s="21"/>
      <c r="N250" s="77" t="str">
        <f t="shared" si="56"/>
        <v/>
      </c>
      <c r="O250" s="77" t="str">
        <f t="shared" si="57"/>
        <v/>
      </c>
      <c r="P250" s="78" t="str">
        <f t="shared" si="58"/>
        <v/>
      </c>
      <c r="Q250" s="19" t="str">
        <f t="shared" si="63"/>
        <v/>
      </c>
      <c r="R250" s="19" t="str">
        <f>IF(M250&lt;&gt;"",toUTF16(HEX2DEC(M250)),"")</f>
        <v/>
      </c>
      <c r="S250" s="19" t="str">
        <f>IF(N250&lt;&gt;"",toUTF16(HEX2DEC(N250)),"")</f>
        <v/>
      </c>
      <c r="T250" s="19" t="str">
        <f>IF(O250&lt;&gt;"",toUTF16(HEX2DEC(O250)),"")</f>
        <v/>
      </c>
      <c r="U250" s="49" t="str">
        <f>IF(P250&lt;&gt;"",toUTF16(HEX2DEC(P250)),"")</f>
        <v/>
      </c>
      <c r="V250" s="26" t="s">
        <v>287</v>
      </c>
      <c r="W250" s="17"/>
      <c r="X250" s="17"/>
      <c r="Y250" s="9" t="str">
        <f t="shared" si="53"/>
        <v/>
      </c>
      <c r="Z250" s="9" t="str">
        <f t="shared" si="54"/>
        <v/>
      </c>
      <c r="AA250" s="10" t="str">
        <f t="shared" si="55"/>
        <v/>
      </c>
    </row>
    <row r="251" spans="7:27" ht="23.25">
      <c r="G251" s="18" t="str">
        <f t="shared" si="59"/>
        <v/>
      </c>
      <c r="H251" s="18" t="str">
        <f t="shared" si="60"/>
        <v/>
      </c>
      <c r="I251" s="18" t="str">
        <f t="shared" si="61"/>
        <v/>
      </c>
      <c r="J251" s="18" t="str">
        <f t="shared" si="62"/>
        <v/>
      </c>
      <c r="K251" s="21"/>
      <c r="N251" s="77" t="str">
        <f t="shared" si="56"/>
        <v/>
      </c>
      <c r="O251" s="77" t="str">
        <f t="shared" si="57"/>
        <v/>
      </c>
      <c r="P251" s="78" t="str">
        <f t="shared" si="58"/>
        <v/>
      </c>
      <c r="Q251" s="19" t="str">
        <f t="shared" si="63"/>
        <v/>
      </c>
      <c r="R251" s="19" t="str">
        <f>IF(M251&lt;&gt;"",toUTF16(HEX2DEC(M251)),"")</f>
        <v/>
      </c>
      <c r="S251" s="19" t="str">
        <f>IF(N251&lt;&gt;"",toUTF16(HEX2DEC(N251)),"")</f>
        <v/>
      </c>
      <c r="T251" s="19" t="str">
        <f>IF(O251&lt;&gt;"",toUTF16(HEX2DEC(O251)),"")</f>
        <v/>
      </c>
      <c r="U251" s="49" t="str">
        <f>IF(P251&lt;&gt;"",toUTF16(HEX2DEC(P251)),"")</f>
        <v/>
      </c>
      <c r="V251" s="26" t="s">
        <v>287</v>
      </c>
      <c r="W251" s="17"/>
      <c r="X251" s="17"/>
      <c r="Y251" s="9" t="str">
        <f t="shared" si="53"/>
        <v/>
      </c>
      <c r="Z251" s="9" t="str">
        <f t="shared" si="54"/>
        <v/>
      </c>
      <c r="AA251" s="10" t="str">
        <f t="shared" si="55"/>
        <v/>
      </c>
    </row>
    <row r="252" spans="7:27" ht="23.25">
      <c r="G252" s="18" t="str">
        <f t="shared" si="59"/>
        <v/>
      </c>
      <c r="H252" s="18" t="str">
        <f t="shared" si="60"/>
        <v/>
      </c>
      <c r="I252" s="18" t="str">
        <f t="shared" si="61"/>
        <v/>
      </c>
      <c r="J252" s="18" t="str">
        <f t="shared" si="62"/>
        <v/>
      </c>
      <c r="K252" s="21"/>
      <c r="N252" s="77" t="str">
        <f t="shared" si="56"/>
        <v/>
      </c>
      <c r="O252" s="77" t="str">
        <f t="shared" si="57"/>
        <v/>
      </c>
      <c r="P252" s="78" t="str">
        <f t="shared" si="58"/>
        <v/>
      </c>
      <c r="Q252" s="19" t="str">
        <f t="shared" si="63"/>
        <v/>
      </c>
      <c r="R252" s="19" t="str">
        <f>IF(M252&lt;&gt;"",toUTF16(HEX2DEC(M252)),"")</f>
        <v/>
      </c>
      <c r="S252" s="19" t="str">
        <f>IF(N252&lt;&gt;"",toUTF16(HEX2DEC(N252)),"")</f>
        <v/>
      </c>
      <c r="T252" s="19" t="str">
        <f>IF(O252&lt;&gt;"",toUTF16(HEX2DEC(O252)),"")</f>
        <v/>
      </c>
      <c r="U252" s="49" t="str">
        <f>IF(P252&lt;&gt;"",toUTF16(HEX2DEC(P252)),"")</f>
        <v/>
      </c>
      <c r="V252" s="26" t="s">
        <v>287</v>
      </c>
      <c r="W252" s="17"/>
      <c r="X252" s="17"/>
      <c r="Y252" s="9" t="str">
        <f t="shared" si="53"/>
        <v/>
      </c>
      <c r="Z252" s="9" t="str">
        <f t="shared" si="54"/>
        <v/>
      </c>
      <c r="AA252" s="10" t="str">
        <f t="shared" si="55"/>
        <v/>
      </c>
    </row>
    <row r="253" spans="7:27" ht="23.25">
      <c r="G253" s="18" t="str">
        <f t="shared" si="59"/>
        <v/>
      </c>
      <c r="H253" s="18" t="str">
        <f t="shared" si="60"/>
        <v/>
      </c>
      <c r="I253" s="18" t="str">
        <f t="shared" si="61"/>
        <v/>
      </c>
      <c r="J253" s="18" t="str">
        <f t="shared" si="62"/>
        <v/>
      </c>
      <c r="K253" s="21"/>
      <c r="N253" s="77" t="str">
        <f t="shared" si="56"/>
        <v/>
      </c>
      <c r="O253" s="77" t="str">
        <f t="shared" si="57"/>
        <v/>
      </c>
      <c r="P253" s="78" t="str">
        <f t="shared" si="58"/>
        <v/>
      </c>
      <c r="Q253" s="19" t="str">
        <f t="shared" si="63"/>
        <v/>
      </c>
      <c r="R253" s="19" t="str">
        <f>IF(M253&lt;&gt;"",toUTF16(HEX2DEC(M253)),"")</f>
        <v/>
      </c>
      <c r="S253" s="19" t="str">
        <f>IF(N253&lt;&gt;"",toUTF16(HEX2DEC(N253)),"")</f>
        <v/>
      </c>
      <c r="T253" s="19" t="str">
        <f>IF(O253&lt;&gt;"",toUTF16(HEX2DEC(O253)),"")</f>
        <v/>
      </c>
      <c r="U253" s="49" t="str">
        <f>IF(P253&lt;&gt;"",toUTF16(HEX2DEC(P253)),"")</f>
        <v/>
      </c>
      <c r="V253" s="26" t="s">
        <v>287</v>
      </c>
      <c r="W253" s="17"/>
      <c r="X253" s="17"/>
      <c r="Y253" s="9" t="str">
        <f t="shared" si="53"/>
        <v/>
      </c>
      <c r="Z253" s="9" t="str">
        <f t="shared" si="54"/>
        <v/>
      </c>
      <c r="AA253" s="10" t="str">
        <f t="shared" si="55"/>
        <v/>
      </c>
    </row>
    <row r="254" spans="7:27" ht="23.25">
      <c r="G254" s="18" t="str">
        <f t="shared" si="59"/>
        <v/>
      </c>
      <c r="H254" s="18" t="str">
        <f t="shared" si="60"/>
        <v/>
      </c>
      <c r="I254" s="18" t="str">
        <f t="shared" si="61"/>
        <v/>
      </c>
      <c r="J254" s="18" t="str">
        <f t="shared" si="62"/>
        <v/>
      </c>
      <c r="K254" s="21"/>
      <c r="N254" s="77" t="str">
        <f t="shared" si="56"/>
        <v/>
      </c>
      <c r="O254" s="77" t="str">
        <f t="shared" si="57"/>
        <v/>
      </c>
      <c r="P254" s="78" t="str">
        <f t="shared" si="58"/>
        <v/>
      </c>
      <c r="Q254" s="19" t="str">
        <f t="shared" si="63"/>
        <v/>
      </c>
      <c r="R254" s="19" t="str">
        <f>IF(M254&lt;&gt;"",toUTF16(HEX2DEC(M254)),"")</f>
        <v/>
      </c>
      <c r="S254" s="19" t="str">
        <f>IF(N254&lt;&gt;"",toUTF16(HEX2DEC(N254)),"")</f>
        <v/>
      </c>
      <c r="T254" s="19" t="str">
        <f>IF(O254&lt;&gt;"",toUTF16(HEX2DEC(O254)),"")</f>
        <v/>
      </c>
      <c r="U254" s="49" t="str">
        <f>IF(P254&lt;&gt;"",toUTF16(HEX2DEC(P254)),"")</f>
        <v/>
      </c>
      <c r="V254" s="26" t="s">
        <v>287</v>
      </c>
      <c r="W254" s="17"/>
      <c r="X254" s="17"/>
      <c r="Y254" s="9" t="str">
        <f t="shared" si="53"/>
        <v/>
      </c>
      <c r="Z254" s="9" t="str">
        <f t="shared" si="54"/>
        <v/>
      </c>
      <c r="AA254" s="10" t="str">
        <f t="shared" si="55"/>
        <v/>
      </c>
    </row>
    <row r="255" spans="7:27" ht="23.25">
      <c r="G255" s="18" t="str">
        <f t="shared" si="59"/>
        <v/>
      </c>
      <c r="H255" s="18" t="str">
        <f t="shared" si="60"/>
        <v/>
      </c>
      <c r="I255" s="18" t="str">
        <f t="shared" si="61"/>
        <v/>
      </c>
      <c r="J255" s="18" t="str">
        <f t="shared" si="62"/>
        <v/>
      </c>
      <c r="K255" s="21"/>
      <c r="N255" s="77" t="str">
        <f t="shared" si="56"/>
        <v/>
      </c>
      <c r="O255" s="77" t="str">
        <f t="shared" si="57"/>
        <v/>
      </c>
      <c r="P255" s="78" t="str">
        <f t="shared" si="58"/>
        <v/>
      </c>
      <c r="Q255" s="19" t="str">
        <f t="shared" si="63"/>
        <v/>
      </c>
      <c r="R255" s="19" t="str">
        <f>IF(M255&lt;&gt;"",toUTF16(HEX2DEC(M255)),"")</f>
        <v/>
      </c>
      <c r="S255" s="19" t="str">
        <f>IF(N255&lt;&gt;"",toUTF16(HEX2DEC(N255)),"")</f>
        <v/>
      </c>
      <c r="T255" s="19" t="str">
        <f>IF(O255&lt;&gt;"",toUTF16(HEX2DEC(O255)),"")</f>
        <v/>
      </c>
      <c r="U255" s="49" t="str">
        <f>IF(P255&lt;&gt;"",toUTF16(HEX2DEC(P255)),"")</f>
        <v/>
      </c>
      <c r="V255" s="26" t="s">
        <v>287</v>
      </c>
      <c r="W255" s="17"/>
      <c r="X255" s="17"/>
      <c r="Y255" s="9" t="str">
        <f t="shared" si="53"/>
        <v/>
      </c>
      <c r="Z255" s="9" t="str">
        <f t="shared" si="54"/>
        <v/>
      </c>
      <c r="AA255" s="10" t="str">
        <f t="shared" si="55"/>
        <v/>
      </c>
    </row>
    <row r="256" spans="7:27" ht="23.25">
      <c r="G256" s="18" t="str">
        <f t="shared" si="59"/>
        <v/>
      </c>
      <c r="H256" s="18" t="str">
        <f t="shared" si="60"/>
        <v/>
      </c>
      <c r="I256" s="18" t="str">
        <f t="shared" si="61"/>
        <v/>
      </c>
      <c r="J256" s="18" t="str">
        <f t="shared" si="62"/>
        <v/>
      </c>
      <c r="K256" s="21"/>
      <c r="N256" s="77" t="str">
        <f t="shared" si="56"/>
        <v/>
      </c>
      <c r="O256" s="77" t="str">
        <f t="shared" si="57"/>
        <v/>
      </c>
      <c r="P256" s="78" t="str">
        <f t="shared" si="58"/>
        <v/>
      </c>
      <c r="Q256" s="19" t="str">
        <f t="shared" si="63"/>
        <v/>
      </c>
      <c r="R256" s="19" t="str">
        <f>IF(M256&lt;&gt;"",toUTF16(HEX2DEC(M256)),"")</f>
        <v/>
      </c>
      <c r="S256" s="19" t="str">
        <f>IF(N256&lt;&gt;"",toUTF16(HEX2DEC(N256)),"")</f>
        <v/>
      </c>
      <c r="T256" s="19" t="str">
        <f>IF(O256&lt;&gt;"",toUTF16(HEX2DEC(O256)),"")</f>
        <v/>
      </c>
      <c r="U256" s="49" t="str">
        <f>IF(P256&lt;&gt;"",toUTF16(HEX2DEC(P256)),"")</f>
        <v/>
      </c>
      <c r="V256" s="26" t="s">
        <v>287</v>
      </c>
      <c r="W256" s="17"/>
      <c r="X256" s="17"/>
      <c r="Y256" s="9" t="str">
        <f t="shared" si="53"/>
        <v/>
      </c>
      <c r="Z256" s="9" t="str">
        <f t="shared" si="54"/>
        <v/>
      </c>
      <c r="AA256" s="10" t="str">
        <f t="shared" si="55"/>
        <v/>
      </c>
    </row>
    <row r="257" spans="7:27" ht="23.25">
      <c r="G257" s="18" t="str">
        <f t="shared" si="59"/>
        <v/>
      </c>
      <c r="H257" s="18" t="str">
        <f t="shared" si="60"/>
        <v/>
      </c>
      <c r="I257" s="18" t="str">
        <f t="shared" si="61"/>
        <v/>
      </c>
      <c r="J257" s="18" t="str">
        <f t="shared" si="62"/>
        <v/>
      </c>
      <c r="K257" s="21"/>
      <c r="N257" s="77" t="str">
        <f t="shared" si="56"/>
        <v/>
      </c>
      <c r="O257" s="77" t="str">
        <f t="shared" si="57"/>
        <v/>
      </c>
      <c r="P257" s="78" t="str">
        <f t="shared" si="58"/>
        <v/>
      </c>
      <c r="Q257" s="19" t="str">
        <f t="shared" si="63"/>
        <v/>
      </c>
      <c r="R257" s="19" t="str">
        <f>IF(M257&lt;&gt;"",toUTF16(HEX2DEC(M257)),"")</f>
        <v/>
      </c>
      <c r="S257" s="19" t="str">
        <f>IF(N257&lt;&gt;"",toUTF16(HEX2DEC(N257)),"")</f>
        <v/>
      </c>
      <c r="T257" s="19" t="str">
        <f>IF(O257&lt;&gt;"",toUTF16(HEX2DEC(O257)),"")</f>
        <v/>
      </c>
      <c r="U257" s="49" t="str">
        <f>IF(P257&lt;&gt;"",toUTF16(HEX2DEC(P257)),"")</f>
        <v/>
      </c>
      <c r="V257" s="26" t="s">
        <v>287</v>
      </c>
      <c r="W257" s="17"/>
      <c r="X257" s="17"/>
      <c r="Y257" s="9" t="str">
        <f t="shared" si="53"/>
        <v/>
      </c>
      <c r="Z257" s="9" t="str">
        <f t="shared" si="54"/>
        <v/>
      </c>
      <c r="AA257" s="10" t="str">
        <f t="shared" si="55"/>
        <v/>
      </c>
    </row>
    <row r="258" spans="7:27" ht="23.25">
      <c r="G258" s="18" t="str">
        <f t="shared" si="59"/>
        <v/>
      </c>
      <c r="H258" s="18" t="str">
        <f t="shared" si="60"/>
        <v/>
      </c>
      <c r="I258" s="18" t="str">
        <f t="shared" si="61"/>
        <v/>
      </c>
      <c r="J258" s="18" t="str">
        <f t="shared" si="62"/>
        <v/>
      </c>
      <c r="K258" s="21"/>
      <c r="N258" s="77" t="str">
        <f t="shared" si="56"/>
        <v/>
      </c>
      <c r="O258" s="77" t="str">
        <f t="shared" si="57"/>
        <v/>
      </c>
      <c r="P258" s="78" t="str">
        <f t="shared" si="58"/>
        <v/>
      </c>
      <c r="Q258" s="19" t="str">
        <f t="shared" si="63"/>
        <v/>
      </c>
      <c r="R258" s="19" t="str">
        <f>IF(M258&lt;&gt;"",toUTF16(HEX2DEC(M258)),"")</f>
        <v/>
      </c>
      <c r="S258" s="19" t="str">
        <f>IF(N258&lt;&gt;"",toUTF16(HEX2DEC(N258)),"")</f>
        <v/>
      </c>
      <c r="T258" s="19" t="str">
        <f>IF(O258&lt;&gt;"",toUTF16(HEX2DEC(O258)),"")</f>
        <v/>
      </c>
      <c r="U258" s="49" t="str">
        <f>IF(P258&lt;&gt;"",toUTF16(HEX2DEC(P258)),"")</f>
        <v/>
      </c>
      <c r="V258" s="26" t="s">
        <v>287</v>
      </c>
      <c r="W258" s="17"/>
      <c r="X258" s="17"/>
      <c r="Y258" s="9" t="str">
        <f t="shared" si="53"/>
        <v/>
      </c>
      <c r="Z258" s="9" t="str">
        <f t="shared" si="54"/>
        <v/>
      </c>
      <c r="AA258" s="10" t="str">
        <f t="shared" si="55"/>
        <v/>
      </c>
    </row>
    <row r="259" spans="7:27" ht="23.25">
      <c r="G259" s="18" t="str">
        <f t="shared" si="59"/>
        <v/>
      </c>
      <c r="H259" s="18" t="str">
        <f t="shared" si="60"/>
        <v/>
      </c>
      <c r="I259" s="18" t="str">
        <f t="shared" si="61"/>
        <v/>
      </c>
      <c r="J259" s="18" t="str">
        <f t="shared" si="62"/>
        <v/>
      </c>
      <c r="K259" s="21"/>
      <c r="N259" s="77" t="str">
        <f t="shared" si="56"/>
        <v/>
      </c>
      <c r="O259" s="77" t="str">
        <f t="shared" si="57"/>
        <v/>
      </c>
      <c r="P259" s="78" t="str">
        <f t="shared" si="58"/>
        <v/>
      </c>
      <c r="Q259" s="19" t="str">
        <f t="shared" si="63"/>
        <v/>
      </c>
      <c r="R259" s="19" t="str">
        <f>IF(M259&lt;&gt;"",toUTF16(HEX2DEC(M259)),"")</f>
        <v/>
      </c>
      <c r="S259" s="19" t="str">
        <f>IF(N259&lt;&gt;"",toUTF16(HEX2DEC(N259)),"")</f>
        <v/>
      </c>
      <c r="T259" s="19" t="str">
        <f>IF(O259&lt;&gt;"",toUTF16(HEX2DEC(O259)),"")</f>
        <v/>
      </c>
      <c r="U259" s="49" t="str">
        <f>IF(P259&lt;&gt;"",toUTF16(HEX2DEC(P259)),"")</f>
        <v/>
      </c>
      <c r="V259" s="26" t="s">
        <v>287</v>
      </c>
      <c r="W259" s="17"/>
      <c r="X259" s="17"/>
      <c r="Y259" s="9" t="str">
        <f t="shared" si="53"/>
        <v/>
      </c>
      <c r="Z259" s="9" t="str">
        <f t="shared" si="54"/>
        <v/>
      </c>
      <c r="AA259" s="10" t="str">
        <f t="shared" si="55"/>
        <v/>
      </c>
    </row>
    <row r="260" spans="7:27" ht="23.25">
      <c r="G260" s="18" t="str">
        <f t="shared" si="59"/>
        <v/>
      </c>
      <c r="H260" s="18" t="str">
        <f t="shared" si="60"/>
        <v/>
      </c>
      <c r="I260" s="18" t="str">
        <f t="shared" si="61"/>
        <v/>
      </c>
      <c r="J260" s="18" t="str">
        <f t="shared" si="62"/>
        <v/>
      </c>
      <c r="K260" s="21"/>
      <c r="N260" s="77" t="str">
        <f t="shared" si="56"/>
        <v/>
      </c>
      <c r="O260" s="77" t="str">
        <f t="shared" si="57"/>
        <v/>
      </c>
      <c r="P260" s="78" t="str">
        <f t="shared" si="58"/>
        <v/>
      </c>
      <c r="Q260" s="19" t="str">
        <f t="shared" si="63"/>
        <v/>
      </c>
      <c r="R260" s="19" t="str">
        <f>IF(M260&lt;&gt;"",toUTF16(HEX2DEC(M260)),"")</f>
        <v/>
      </c>
      <c r="S260" s="19" t="str">
        <f>IF(N260&lt;&gt;"",toUTF16(HEX2DEC(N260)),"")</f>
        <v/>
      </c>
      <c r="T260" s="19" t="str">
        <f>IF(O260&lt;&gt;"",toUTF16(HEX2DEC(O260)),"")</f>
        <v/>
      </c>
      <c r="U260" s="49" t="str">
        <f>IF(P260&lt;&gt;"",toUTF16(HEX2DEC(P260)),"")</f>
        <v/>
      </c>
      <c r="V260" s="26" t="s">
        <v>287</v>
      </c>
      <c r="W260" s="17"/>
      <c r="X260" s="17"/>
      <c r="Y260" s="9" t="str">
        <f t="shared" si="53"/>
        <v/>
      </c>
      <c r="Z260" s="9" t="str">
        <f t="shared" si="54"/>
        <v/>
      </c>
      <c r="AA260" s="10" t="str">
        <f t="shared" si="55"/>
        <v/>
      </c>
    </row>
    <row r="261" spans="7:27" ht="23.25">
      <c r="G261" s="18" t="str">
        <f t="shared" si="59"/>
        <v/>
      </c>
      <c r="H261" s="18" t="str">
        <f t="shared" si="60"/>
        <v/>
      </c>
      <c r="I261" s="18" t="str">
        <f t="shared" si="61"/>
        <v/>
      </c>
      <c r="J261" s="18" t="str">
        <f t="shared" si="62"/>
        <v/>
      </c>
      <c r="K261" s="21"/>
      <c r="N261" s="77" t="str">
        <f t="shared" si="56"/>
        <v/>
      </c>
      <c r="O261" s="77" t="str">
        <f t="shared" si="57"/>
        <v/>
      </c>
      <c r="P261" s="78" t="str">
        <f t="shared" si="58"/>
        <v/>
      </c>
      <c r="Q261" s="19" t="str">
        <f t="shared" si="63"/>
        <v/>
      </c>
      <c r="R261" s="19" t="str">
        <f>IF(M261&lt;&gt;"",toUTF16(HEX2DEC(M261)),"")</f>
        <v/>
      </c>
      <c r="S261" s="19" t="str">
        <f>IF(N261&lt;&gt;"",toUTF16(HEX2DEC(N261)),"")</f>
        <v/>
      </c>
      <c r="T261" s="19" t="str">
        <f>IF(O261&lt;&gt;"",toUTF16(HEX2DEC(O261)),"")</f>
        <v/>
      </c>
      <c r="U261" s="49" t="str">
        <f>IF(P261&lt;&gt;"",toUTF16(HEX2DEC(P261)),"")</f>
        <v/>
      </c>
      <c r="V261" s="26" t="s">
        <v>287</v>
      </c>
      <c r="W261" s="17"/>
      <c r="X261" s="17"/>
      <c r="Y261" s="9" t="str">
        <f t="shared" si="53"/>
        <v/>
      </c>
      <c r="Z261" s="9" t="str">
        <f t="shared" si="54"/>
        <v/>
      </c>
      <c r="AA261" s="10" t="str">
        <f t="shared" si="55"/>
        <v/>
      </c>
    </row>
    <row r="262" spans="7:27" ht="23.25">
      <c r="G262" s="18" t="str">
        <f t="shared" si="59"/>
        <v/>
      </c>
      <c r="H262" s="18" t="str">
        <f t="shared" si="60"/>
        <v/>
      </c>
      <c r="I262" s="18" t="str">
        <f t="shared" si="61"/>
        <v/>
      </c>
      <c r="J262" s="18" t="str">
        <f t="shared" si="62"/>
        <v/>
      </c>
      <c r="K262" s="21"/>
      <c r="N262" s="77" t="str">
        <f t="shared" si="56"/>
        <v/>
      </c>
      <c r="O262" s="77" t="str">
        <f t="shared" si="57"/>
        <v/>
      </c>
      <c r="P262" s="78" t="str">
        <f t="shared" si="58"/>
        <v/>
      </c>
      <c r="Q262" s="19" t="str">
        <f t="shared" si="63"/>
        <v/>
      </c>
      <c r="R262" s="19" t="str">
        <f>IF(M262&lt;&gt;"",toUTF16(HEX2DEC(M262)),"")</f>
        <v/>
      </c>
      <c r="S262" s="19" t="str">
        <f>IF(N262&lt;&gt;"",toUTF16(HEX2DEC(N262)),"")</f>
        <v/>
      </c>
      <c r="T262" s="19" t="str">
        <f>IF(O262&lt;&gt;"",toUTF16(HEX2DEC(O262)),"")</f>
        <v/>
      </c>
      <c r="U262" s="49" t="str">
        <f>IF(P262&lt;&gt;"",toUTF16(HEX2DEC(P262)),"")</f>
        <v/>
      </c>
      <c r="V262" s="26" t="s">
        <v>287</v>
      </c>
      <c r="W262" s="17"/>
      <c r="X262" s="17"/>
      <c r="Y262" s="9" t="str">
        <f t="shared" si="53"/>
        <v/>
      </c>
      <c r="Z262" s="9" t="str">
        <f t="shared" si="54"/>
        <v/>
      </c>
      <c r="AA262" s="10" t="str">
        <f t="shared" si="55"/>
        <v/>
      </c>
    </row>
    <row r="263" spans="7:27" ht="23.25">
      <c r="G263" s="18" t="str">
        <f t="shared" si="59"/>
        <v/>
      </c>
      <c r="H263" s="18" t="str">
        <f t="shared" si="60"/>
        <v/>
      </c>
      <c r="I263" s="18" t="str">
        <f t="shared" si="61"/>
        <v/>
      </c>
      <c r="J263" s="18" t="str">
        <f t="shared" si="62"/>
        <v/>
      </c>
      <c r="K263" s="21"/>
      <c r="N263" s="77" t="str">
        <f t="shared" si="56"/>
        <v/>
      </c>
      <c r="O263" s="77" t="str">
        <f t="shared" si="57"/>
        <v/>
      </c>
      <c r="P263" s="78" t="str">
        <f t="shared" si="58"/>
        <v/>
      </c>
      <c r="Q263" s="19" t="str">
        <f t="shared" si="63"/>
        <v/>
      </c>
      <c r="R263" s="19" t="str">
        <f>IF(M263&lt;&gt;"",toUTF16(HEX2DEC(M263)),"")</f>
        <v/>
      </c>
      <c r="S263" s="19" t="str">
        <f>IF(N263&lt;&gt;"",toUTF16(HEX2DEC(N263)),"")</f>
        <v/>
      </c>
      <c r="T263" s="19" t="str">
        <f>IF(O263&lt;&gt;"",toUTF16(HEX2DEC(O263)),"")</f>
        <v/>
      </c>
      <c r="U263" s="49" t="str">
        <f>IF(P263&lt;&gt;"",toUTF16(HEX2DEC(P263)),"")</f>
        <v/>
      </c>
      <c r="V263" s="26" t="s">
        <v>287</v>
      </c>
      <c r="W263" s="17"/>
      <c r="X263" s="17"/>
      <c r="Y263" s="9" t="str">
        <f t="shared" si="53"/>
        <v/>
      </c>
      <c r="Z263" s="9" t="str">
        <f t="shared" si="54"/>
        <v/>
      </c>
      <c r="AA263" s="10" t="str">
        <f t="shared" si="55"/>
        <v/>
      </c>
    </row>
    <row r="264" spans="7:27" ht="23.25">
      <c r="G264" s="18" t="str">
        <f t="shared" si="59"/>
        <v/>
      </c>
      <c r="H264" s="18" t="str">
        <f t="shared" si="60"/>
        <v/>
      </c>
      <c r="I264" s="18" t="str">
        <f t="shared" si="61"/>
        <v/>
      </c>
      <c r="J264" s="18" t="str">
        <f t="shared" si="62"/>
        <v/>
      </c>
      <c r="K264" s="21"/>
      <c r="N264" s="77" t="str">
        <f t="shared" si="56"/>
        <v/>
      </c>
      <c r="O264" s="77" t="str">
        <f t="shared" si="57"/>
        <v/>
      </c>
      <c r="P264" s="78" t="str">
        <f t="shared" si="58"/>
        <v/>
      </c>
      <c r="Q264" s="19" t="str">
        <f t="shared" si="63"/>
        <v/>
      </c>
      <c r="R264" s="19" t="str">
        <f>IF(M264&lt;&gt;"",toUTF16(HEX2DEC(M264)),"")</f>
        <v/>
      </c>
      <c r="S264" s="19" t="str">
        <f>IF(N264&lt;&gt;"",toUTF16(HEX2DEC(N264)),"")</f>
        <v/>
      </c>
      <c r="T264" s="19" t="str">
        <f>IF(O264&lt;&gt;"",toUTF16(HEX2DEC(O264)),"")</f>
        <v/>
      </c>
      <c r="U264" s="49" t="str">
        <f>IF(P264&lt;&gt;"",toUTF16(HEX2DEC(P264)),"")</f>
        <v/>
      </c>
      <c r="V264" s="26" t="s">
        <v>287</v>
      </c>
      <c r="W264" s="17"/>
      <c r="X264" s="17"/>
      <c r="Y264" s="9" t="str">
        <f t="shared" si="53"/>
        <v/>
      </c>
      <c r="Z264" s="9" t="str">
        <f t="shared" si="54"/>
        <v/>
      </c>
      <c r="AA264" s="10" t="str">
        <f t="shared" si="55"/>
        <v/>
      </c>
    </row>
    <row r="265" spans="7:27" ht="23.25">
      <c r="G265" s="18" t="str">
        <f t="shared" si="59"/>
        <v/>
      </c>
      <c r="H265" s="18" t="str">
        <f t="shared" si="60"/>
        <v/>
      </c>
      <c r="I265" s="18" t="str">
        <f t="shared" si="61"/>
        <v/>
      </c>
      <c r="J265" s="18" t="str">
        <f t="shared" si="62"/>
        <v/>
      </c>
      <c r="K265" s="21"/>
      <c r="N265" s="77" t="str">
        <f t="shared" si="56"/>
        <v/>
      </c>
      <c r="O265" s="77" t="str">
        <f t="shared" si="57"/>
        <v/>
      </c>
      <c r="P265" s="78" t="str">
        <f t="shared" si="58"/>
        <v/>
      </c>
      <c r="Q265" s="19" t="str">
        <f t="shared" si="63"/>
        <v/>
      </c>
      <c r="R265" s="19" t="str">
        <f>IF(M265&lt;&gt;"",toUTF16(HEX2DEC(M265)),"")</f>
        <v/>
      </c>
      <c r="S265" s="19" t="str">
        <f>IF(N265&lt;&gt;"",toUTF16(HEX2DEC(N265)),"")</f>
        <v/>
      </c>
      <c r="T265" s="19" t="str">
        <f>IF(O265&lt;&gt;"",toUTF16(HEX2DEC(O265)),"")</f>
        <v/>
      </c>
      <c r="U265" s="49" t="str">
        <f>IF(P265&lt;&gt;"",toUTF16(HEX2DEC(P265)),"")</f>
        <v/>
      </c>
      <c r="V265" s="26" t="s">
        <v>287</v>
      </c>
      <c r="W265" s="17"/>
      <c r="X265" s="17"/>
      <c r="Y265" s="9" t="str">
        <f t="shared" si="53"/>
        <v/>
      </c>
      <c r="Z265" s="9" t="str">
        <f t="shared" si="54"/>
        <v/>
      </c>
      <c r="AA265" s="10" t="str">
        <f t="shared" si="55"/>
        <v/>
      </c>
    </row>
    <row r="266" spans="7:27" ht="23.25">
      <c r="G266" s="18" t="str">
        <f t="shared" si="59"/>
        <v/>
      </c>
      <c r="H266" s="18" t="str">
        <f t="shared" si="60"/>
        <v/>
      </c>
      <c r="I266" s="18" t="str">
        <f t="shared" si="61"/>
        <v/>
      </c>
      <c r="J266" s="18" t="str">
        <f t="shared" si="62"/>
        <v/>
      </c>
      <c r="K266" s="21"/>
      <c r="N266" s="77" t="str">
        <f t="shared" si="56"/>
        <v/>
      </c>
      <c r="O266" s="77" t="str">
        <f t="shared" si="57"/>
        <v/>
      </c>
      <c r="P266" s="78" t="str">
        <f t="shared" si="58"/>
        <v/>
      </c>
      <c r="Q266" s="19" t="str">
        <f t="shared" si="63"/>
        <v/>
      </c>
      <c r="R266" s="19" t="str">
        <f>IF(M266&lt;&gt;"",toUTF16(HEX2DEC(M266)),"")</f>
        <v/>
      </c>
      <c r="S266" s="19" t="str">
        <f>IF(N266&lt;&gt;"",toUTF16(HEX2DEC(N266)),"")</f>
        <v/>
      </c>
      <c r="T266" s="19" t="str">
        <f>IF(O266&lt;&gt;"",toUTF16(HEX2DEC(O266)),"")</f>
        <v/>
      </c>
      <c r="U266" s="49" t="str">
        <f>IF(P266&lt;&gt;"",toUTF16(HEX2DEC(P266)),"")</f>
        <v/>
      </c>
      <c r="V266" s="26" t="s">
        <v>287</v>
      </c>
      <c r="W266" s="17"/>
      <c r="X266" s="17"/>
      <c r="Y266" s="9" t="str">
        <f t="shared" si="53"/>
        <v/>
      </c>
      <c r="Z266" s="9" t="str">
        <f t="shared" si="54"/>
        <v/>
      </c>
      <c r="AA266" s="10" t="str">
        <f t="shared" si="55"/>
        <v/>
      </c>
    </row>
    <row r="267" spans="7:27" ht="23.25">
      <c r="G267" s="18" t="str">
        <f t="shared" si="59"/>
        <v/>
      </c>
      <c r="H267" s="18" t="str">
        <f t="shared" si="60"/>
        <v/>
      </c>
      <c r="I267" s="18" t="str">
        <f t="shared" si="61"/>
        <v/>
      </c>
      <c r="J267" s="18" t="str">
        <f t="shared" si="62"/>
        <v/>
      </c>
      <c r="K267" s="21"/>
      <c r="N267" s="77" t="str">
        <f t="shared" si="56"/>
        <v/>
      </c>
      <c r="O267" s="77" t="str">
        <f t="shared" si="57"/>
        <v/>
      </c>
      <c r="P267" s="78" t="str">
        <f t="shared" si="58"/>
        <v/>
      </c>
      <c r="Q267" s="19" t="str">
        <f t="shared" si="63"/>
        <v/>
      </c>
      <c r="R267" s="19" t="str">
        <f>IF(M267&lt;&gt;"",toUTF16(HEX2DEC(M267)),"")</f>
        <v/>
      </c>
      <c r="S267" s="19" t="str">
        <f>IF(N267&lt;&gt;"",toUTF16(HEX2DEC(N267)),"")</f>
        <v/>
      </c>
      <c r="T267" s="19" t="str">
        <f>IF(O267&lt;&gt;"",toUTF16(HEX2DEC(O267)),"")</f>
        <v/>
      </c>
      <c r="U267" s="49" t="str">
        <f>IF(P267&lt;&gt;"",toUTF16(HEX2DEC(P267)),"")</f>
        <v/>
      </c>
      <c r="V267" s="26" t="s">
        <v>287</v>
      </c>
      <c r="W267" s="17"/>
      <c r="X267" s="17"/>
      <c r="Y267" s="9" t="str">
        <f t="shared" si="53"/>
        <v/>
      </c>
      <c r="Z267" s="9" t="str">
        <f t="shared" si="54"/>
        <v/>
      </c>
      <c r="AA267" s="10" t="str">
        <f t="shared" si="55"/>
        <v/>
      </c>
    </row>
    <row r="268" spans="7:27" ht="23.25">
      <c r="G268" s="18" t="str">
        <f t="shared" si="59"/>
        <v/>
      </c>
      <c r="H268" s="18" t="str">
        <f t="shared" si="60"/>
        <v/>
      </c>
      <c r="I268" s="18" t="str">
        <f t="shared" si="61"/>
        <v/>
      </c>
      <c r="J268" s="18" t="str">
        <f t="shared" si="62"/>
        <v/>
      </c>
      <c r="K268" s="21"/>
      <c r="N268" s="77" t="str">
        <f t="shared" si="56"/>
        <v/>
      </c>
      <c r="O268" s="77" t="str">
        <f t="shared" si="57"/>
        <v/>
      </c>
      <c r="P268" s="78" t="str">
        <f t="shared" si="58"/>
        <v/>
      </c>
      <c r="Q268" s="19" t="str">
        <f t="shared" si="63"/>
        <v/>
      </c>
      <c r="R268" s="19" t="str">
        <f>IF(M268&lt;&gt;"",toUTF16(HEX2DEC(M268)),"")</f>
        <v/>
      </c>
      <c r="S268" s="19" t="str">
        <f>IF(N268&lt;&gt;"",toUTF16(HEX2DEC(N268)),"")</f>
        <v/>
      </c>
      <c r="T268" s="19" t="str">
        <f>IF(O268&lt;&gt;"",toUTF16(HEX2DEC(O268)),"")</f>
        <v/>
      </c>
      <c r="U268" s="49" t="str">
        <f>IF(P268&lt;&gt;"",toUTF16(HEX2DEC(P268)),"")</f>
        <v/>
      </c>
      <c r="V268" s="26" t="s">
        <v>287</v>
      </c>
      <c r="W268" s="17"/>
      <c r="X268" s="17"/>
      <c r="Y268" s="9" t="str">
        <f t="shared" si="53"/>
        <v/>
      </c>
      <c r="Z268" s="9" t="str">
        <f t="shared" si="54"/>
        <v/>
      </c>
      <c r="AA268" s="10" t="str">
        <f t="shared" si="55"/>
        <v/>
      </c>
    </row>
    <row r="269" spans="7:27" ht="23.25">
      <c r="G269" s="18" t="str">
        <f t="shared" si="59"/>
        <v/>
      </c>
      <c r="H269" s="18" t="str">
        <f t="shared" si="60"/>
        <v/>
      </c>
      <c r="I269" s="18" t="str">
        <f t="shared" si="61"/>
        <v/>
      </c>
      <c r="J269" s="18" t="str">
        <f t="shared" si="62"/>
        <v/>
      </c>
      <c r="K269" s="21"/>
      <c r="N269" s="77" t="str">
        <f t="shared" si="56"/>
        <v/>
      </c>
      <c r="O269" s="77" t="str">
        <f t="shared" si="57"/>
        <v/>
      </c>
      <c r="P269" s="78" t="str">
        <f t="shared" si="58"/>
        <v/>
      </c>
      <c r="Q269" s="19" t="str">
        <f t="shared" si="63"/>
        <v/>
      </c>
      <c r="R269" s="19" t="str">
        <f>IF(M269&lt;&gt;"",toUTF16(HEX2DEC(M269)),"")</f>
        <v/>
      </c>
      <c r="S269" s="19" t="str">
        <f>IF(N269&lt;&gt;"",toUTF16(HEX2DEC(N269)),"")</f>
        <v/>
      </c>
      <c r="T269" s="19" t="str">
        <f>IF(O269&lt;&gt;"",toUTF16(HEX2DEC(O269)),"")</f>
        <v/>
      </c>
      <c r="U269" s="49" t="str">
        <f>IF(P269&lt;&gt;"",toUTF16(HEX2DEC(P269)),"")</f>
        <v/>
      </c>
      <c r="V269" s="26" t="s">
        <v>287</v>
      </c>
      <c r="W269" s="17"/>
      <c r="X269" s="17"/>
      <c r="Y269" s="9" t="str">
        <f t="shared" si="53"/>
        <v/>
      </c>
      <c r="Z269" s="9" t="str">
        <f t="shared" si="54"/>
        <v/>
      </c>
      <c r="AA269" s="10" t="str">
        <f t="shared" si="55"/>
        <v/>
      </c>
    </row>
    <row r="270" spans="7:27" ht="23.25">
      <c r="G270" s="18" t="str">
        <f t="shared" si="59"/>
        <v/>
      </c>
      <c r="H270" s="18" t="str">
        <f t="shared" si="60"/>
        <v/>
      </c>
      <c r="I270" s="18" t="str">
        <f t="shared" si="61"/>
        <v/>
      </c>
      <c r="J270" s="18" t="str">
        <f t="shared" si="62"/>
        <v/>
      </c>
      <c r="K270" s="21"/>
      <c r="N270" s="77" t="str">
        <f t="shared" si="56"/>
        <v/>
      </c>
      <c r="O270" s="77" t="str">
        <f t="shared" si="57"/>
        <v/>
      </c>
      <c r="P270" s="78" t="str">
        <f t="shared" si="58"/>
        <v/>
      </c>
      <c r="Q270" s="19" t="str">
        <f t="shared" si="63"/>
        <v/>
      </c>
      <c r="R270" s="19" t="str">
        <f>IF(M270&lt;&gt;"",toUTF16(HEX2DEC(M270)),"")</f>
        <v/>
      </c>
      <c r="S270" s="19" t="str">
        <f>IF(N270&lt;&gt;"",toUTF16(HEX2DEC(N270)),"")</f>
        <v/>
      </c>
      <c r="T270" s="19" t="str">
        <f>IF(O270&lt;&gt;"",toUTF16(HEX2DEC(O270)),"")</f>
        <v/>
      </c>
      <c r="U270" s="49" t="str">
        <f>IF(P270&lt;&gt;"",toUTF16(HEX2DEC(P270)),"")</f>
        <v/>
      </c>
      <c r="V270" s="26" t="s">
        <v>287</v>
      </c>
      <c r="W270" s="17"/>
      <c r="X270" s="17"/>
      <c r="Y270" s="9" t="str">
        <f t="shared" si="53"/>
        <v/>
      </c>
      <c r="Z270" s="9" t="str">
        <f t="shared" si="54"/>
        <v/>
      </c>
      <c r="AA270" s="10" t="str">
        <f t="shared" si="55"/>
        <v/>
      </c>
    </row>
    <row r="271" spans="7:27" ht="23.25">
      <c r="G271" s="18" t="str">
        <f t="shared" si="59"/>
        <v/>
      </c>
      <c r="H271" s="18" t="str">
        <f t="shared" si="60"/>
        <v/>
      </c>
      <c r="I271" s="18" t="str">
        <f t="shared" si="61"/>
        <v/>
      </c>
      <c r="J271" s="18" t="str">
        <f t="shared" si="62"/>
        <v/>
      </c>
      <c r="K271" s="21"/>
      <c r="N271" s="77" t="str">
        <f t="shared" si="56"/>
        <v/>
      </c>
      <c r="O271" s="77" t="str">
        <f t="shared" si="57"/>
        <v/>
      </c>
      <c r="P271" s="78" t="str">
        <f t="shared" si="58"/>
        <v/>
      </c>
      <c r="Q271" s="19" t="str">
        <f t="shared" si="63"/>
        <v/>
      </c>
      <c r="R271" s="19" t="str">
        <f>IF(M271&lt;&gt;"",toUTF16(HEX2DEC(M271)),"")</f>
        <v/>
      </c>
      <c r="S271" s="19" t="str">
        <f>IF(N271&lt;&gt;"",toUTF16(HEX2DEC(N271)),"")</f>
        <v/>
      </c>
      <c r="T271" s="19" t="str">
        <f>IF(O271&lt;&gt;"",toUTF16(HEX2DEC(O271)),"")</f>
        <v/>
      </c>
      <c r="U271" s="49" t="str">
        <f>IF(P271&lt;&gt;"",toUTF16(HEX2DEC(P271)),"")</f>
        <v/>
      </c>
      <c r="V271" s="26" t="s">
        <v>287</v>
      </c>
      <c r="W271" s="17"/>
      <c r="X271" s="17"/>
      <c r="Y271" s="9" t="str">
        <f t="shared" si="53"/>
        <v/>
      </c>
      <c r="Z271" s="9" t="str">
        <f t="shared" si="54"/>
        <v/>
      </c>
      <c r="AA271" s="10" t="str">
        <f t="shared" si="55"/>
        <v/>
      </c>
    </row>
    <row r="272" spans="7:27" ht="23.25">
      <c r="G272" s="18" t="str">
        <f t="shared" si="59"/>
        <v/>
      </c>
      <c r="H272" s="18" t="str">
        <f t="shared" si="60"/>
        <v/>
      </c>
      <c r="I272" s="18" t="str">
        <f t="shared" si="61"/>
        <v/>
      </c>
      <c r="J272" s="18" t="str">
        <f t="shared" si="62"/>
        <v/>
      </c>
      <c r="K272" s="21"/>
      <c r="N272" s="77" t="str">
        <f t="shared" si="56"/>
        <v/>
      </c>
      <c r="O272" s="77" t="str">
        <f t="shared" si="57"/>
        <v/>
      </c>
      <c r="P272" s="78" t="str">
        <f t="shared" si="58"/>
        <v/>
      </c>
      <c r="Q272" s="19" t="str">
        <f t="shared" si="63"/>
        <v/>
      </c>
      <c r="R272" s="19" t="str">
        <f>IF(M272&lt;&gt;"",toUTF16(HEX2DEC(M272)),"")</f>
        <v/>
      </c>
      <c r="S272" s="19" t="str">
        <f>IF(N272&lt;&gt;"",toUTF16(HEX2DEC(N272)),"")</f>
        <v/>
      </c>
      <c r="T272" s="19" t="str">
        <f>IF(O272&lt;&gt;"",toUTF16(HEX2DEC(O272)),"")</f>
        <v/>
      </c>
      <c r="U272" s="49" t="str">
        <f>IF(P272&lt;&gt;"",toUTF16(HEX2DEC(P272)),"")</f>
        <v/>
      </c>
      <c r="V272" s="26" t="s">
        <v>287</v>
      </c>
      <c r="W272" s="17"/>
      <c r="X272" s="17"/>
      <c r="Y272" s="9" t="str">
        <f t="shared" si="53"/>
        <v/>
      </c>
      <c r="Z272" s="9" t="str">
        <f t="shared" si="54"/>
        <v/>
      </c>
      <c r="AA272" s="10" t="str">
        <f t="shared" si="55"/>
        <v/>
      </c>
    </row>
    <row r="273" spans="7:27" ht="23.25">
      <c r="G273" s="18" t="str">
        <f t="shared" si="59"/>
        <v/>
      </c>
      <c r="H273" s="18" t="str">
        <f t="shared" si="60"/>
        <v/>
      </c>
      <c r="I273" s="18" t="str">
        <f t="shared" si="61"/>
        <v/>
      </c>
      <c r="J273" s="18" t="str">
        <f t="shared" si="62"/>
        <v/>
      </c>
      <c r="K273" s="21"/>
      <c r="N273" s="77" t="str">
        <f t="shared" si="56"/>
        <v/>
      </c>
      <c r="O273" s="77" t="str">
        <f t="shared" si="57"/>
        <v/>
      </c>
      <c r="P273" s="78" t="str">
        <f t="shared" si="58"/>
        <v/>
      </c>
      <c r="Q273" s="19" t="str">
        <f t="shared" si="63"/>
        <v/>
      </c>
      <c r="R273" s="19" t="str">
        <f>IF(M273&lt;&gt;"",toUTF16(HEX2DEC(M273)),"")</f>
        <v/>
      </c>
      <c r="S273" s="19" t="str">
        <f>IF(N273&lt;&gt;"",toUTF16(HEX2DEC(N273)),"")</f>
        <v/>
      </c>
      <c r="T273" s="19" t="str">
        <f>IF(O273&lt;&gt;"",toUTF16(HEX2DEC(O273)),"")</f>
        <v/>
      </c>
      <c r="U273" s="49" t="str">
        <f>IF(P273&lt;&gt;"",toUTF16(HEX2DEC(P273)),"")</f>
        <v/>
      </c>
      <c r="V273" s="26" t="s">
        <v>287</v>
      </c>
      <c r="W273" s="17"/>
      <c r="X273" s="17"/>
      <c r="Y273" s="9" t="str">
        <f t="shared" si="53"/>
        <v/>
      </c>
      <c r="Z273" s="9" t="str">
        <f t="shared" si="54"/>
        <v/>
      </c>
      <c r="AA273" s="10" t="str">
        <f t="shared" si="55"/>
        <v/>
      </c>
    </row>
    <row r="274" spans="7:27" ht="23.25">
      <c r="G274" s="18" t="str">
        <f t="shared" si="59"/>
        <v/>
      </c>
      <c r="H274" s="18" t="str">
        <f t="shared" si="60"/>
        <v/>
      </c>
      <c r="I274" s="18" t="str">
        <f t="shared" si="61"/>
        <v/>
      </c>
      <c r="J274" s="18" t="str">
        <f t="shared" si="62"/>
        <v/>
      </c>
      <c r="K274" s="21"/>
      <c r="N274" s="77" t="str">
        <f t="shared" si="56"/>
        <v/>
      </c>
      <c r="O274" s="77" t="str">
        <f t="shared" si="57"/>
        <v/>
      </c>
      <c r="P274" s="78" t="str">
        <f t="shared" si="58"/>
        <v/>
      </c>
      <c r="Q274" s="19" t="str">
        <f t="shared" si="63"/>
        <v/>
      </c>
      <c r="R274" s="19" t="str">
        <f>IF(M274&lt;&gt;"",toUTF16(HEX2DEC(M274)),"")</f>
        <v/>
      </c>
      <c r="S274" s="19" t="str">
        <f>IF(N274&lt;&gt;"",toUTF16(HEX2DEC(N274)),"")</f>
        <v/>
      </c>
      <c r="T274" s="19" t="str">
        <f>IF(O274&lt;&gt;"",toUTF16(HEX2DEC(O274)),"")</f>
        <v/>
      </c>
      <c r="U274" s="49" t="str">
        <f>IF(P274&lt;&gt;"",toUTF16(HEX2DEC(P274)),"")</f>
        <v/>
      </c>
      <c r="V274" s="26" t="s">
        <v>287</v>
      </c>
      <c r="W274" s="17"/>
      <c r="X274" s="17"/>
      <c r="Y274" s="9" t="str">
        <f t="shared" si="53"/>
        <v/>
      </c>
      <c r="Z274" s="9" t="str">
        <f t="shared" si="54"/>
        <v/>
      </c>
      <c r="AA274" s="10" t="str">
        <f t="shared" si="55"/>
        <v/>
      </c>
    </row>
    <row r="275" spans="7:27" ht="23.25">
      <c r="G275" s="18" t="str">
        <f t="shared" si="59"/>
        <v/>
      </c>
      <c r="H275" s="18" t="str">
        <f t="shared" si="60"/>
        <v/>
      </c>
      <c r="I275" s="18" t="str">
        <f t="shared" si="61"/>
        <v/>
      </c>
      <c r="J275" s="18" t="str">
        <f t="shared" si="62"/>
        <v/>
      </c>
      <c r="K275" s="21"/>
      <c r="N275" s="77" t="str">
        <f t="shared" si="56"/>
        <v/>
      </c>
      <c r="O275" s="77" t="str">
        <f t="shared" si="57"/>
        <v/>
      </c>
      <c r="P275" s="78" t="str">
        <f t="shared" si="58"/>
        <v/>
      </c>
      <c r="Q275" s="19" t="str">
        <f t="shared" si="63"/>
        <v/>
      </c>
      <c r="R275" s="19" t="str">
        <f>IF(M275&lt;&gt;"",toUTF16(HEX2DEC(M275)),"")</f>
        <v/>
      </c>
      <c r="S275" s="19" t="str">
        <f>IF(N275&lt;&gt;"",toUTF16(HEX2DEC(N275)),"")</f>
        <v/>
      </c>
      <c r="T275" s="19" t="str">
        <f>IF(O275&lt;&gt;"",toUTF16(HEX2DEC(O275)),"")</f>
        <v/>
      </c>
      <c r="U275" s="49" t="str">
        <f>IF(P275&lt;&gt;"",toUTF16(HEX2DEC(P275)),"")</f>
        <v/>
      </c>
      <c r="V275" s="26" t="s">
        <v>287</v>
      </c>
      <c r="W275" s="17"/>
      <c r="X275" s="17"/>
      <c r="Y275" s="9" t="str">
        <f t="shared" si="53"/>
        <v/>
      </c>
      <c r="Z275" s="9" t="str">
        <f t="shared" si="54"/>
        <v/>
      </c>
      <c r="AA275" s="10" t="str">
        <f t="shared" si="55"/>
        <v/>
      </c>
    </row>
    <row r="276" spans="7:27" ht="23.25">
      <c r="G276" s="18" t="str">
        <f t="shared" si="59"/>
        <v/>
      </c>
      <c r="H276" s="18" t="str">
        <f t="shared" si="60"/>
        <v/>
      </c>
      <c r="I276" s="18" t="str">
        <f t="shared" si="61"/>
        <v/>
      </c>
      <c r="J276" s="18" t="str">
        <f t="shared" si="62"/>
        <v/>
      </c>
      <c r="K276" s="21"/>
      <c r="N276" s="77" t="str">
        <f t="shared" si="56"/>
        <v/>
      </c>
      <c r="O276" s="77" t="str">
        <f t="shared" si="57"/>
        <v/>
      </c>
      <c r="P276" s="78" t="str">
        <f t="shared" si="58"/>
        <v/>
      </c>
      <c r="Q276" s="19" t="str">
        <f t="shared" si="63"/>
        <v/>
      </c>
      <c r="R276" s="19" t="str">
        <f>IF(M276&lt;&gt;"",toUTF16(HEX2DEC(M276)),"")</f>
        <v/>
      </c>
      <c r="S276" s="19" t="str">
        <f>IF(N276&lt;&gt;"",toUTF16(HEX2DEC(N276)),"")</f>
        <v/>
      </c>
      <c r="T276" s="19" t="str">
        <f>IF(O276&lt;&gt;"",toUTF16(HEX2DEC(O276)),"")</f>
        <v/>
      </c>
      <c r="U276" s="49" t="str">
        <f>IF(P276&lt;&gt;"",toUTF16(HEX2DEC(P276)),"")</f>
        <v/>
      </c>
      <c r="V276" s="26" t="s">
        <v>287</v>
      </c>
      <c r="W276" s="17"/>
      <c r="X276" s="17"/>
      <c r="Y276" s="9" t="str">
        <f t="shared" si="53"/>
        <v/>
      </c>
      <c r="Z276" s="9" t="str">
        <f t="shared" si="54"/>
        <v/>
      </c>
      <c r="AA276" s="10" t="str">
        <f t="shared" si="55"/>
        <v/>
      </c>
    </row>
    <row r="277" spans="7:27" ht="23.25">
      <c r="G277" s="18" t="str">
        <f t="shared" si="59"/>
        <v/>
      </c>
      <c r="H277" s="18" t="str">
        <f t="shared" si="60"/>
        <v/>
      </c>
      <c r="I277" s="18" t="str">
        <f t="shared" si="61"/>
        <v/>
      </c>
      <c r="J277" s="18" t="str">
        <f t="shared" si="62"/>
        <v/>
      </c>
      <c r="K277" s="21"/>
      <c r="N277" s="77" t="str">
        <f t="shared" si="56"/>
        <v/>
      </c>
      <c r="O277" s="77" t="str">
        <f t="shared" si="57"/>
        <v/>
      </c>
      <c r="P277" s="78" t="str">
        <f t="shared" si="58"/>
        <v/>
      </c>
      <c r="Q277" s="19" t="str">
        <f t="shared" si="63"/>
        <v/>
      </c>
      <c r="R277" s="19" t="str">
        <f>IF(M277&lt;&gt;"",toUTF16(HEX2DEC(M277)),"")</f>
        <v/>
      </c>
      <c r="S277" s="19" t="str">
        <f>IF(N277&lt;&gt;"",toUTF16(HEX2DEC(N277)),"")</f>
        <v/>
      </c>
      <c r="T277" s="19" t="str">
        <f>IF(O277&lt;&gt;"",toUTF16(HEX2DEC(O277)),"")</f>
        <v/>
      </c>
      <c r="U277" s="49" t="str">
        <f>IF(P277&lt;&gt;"",toUTF16(HEX2DEC(P277)),"")</f>
        <v/>
      </c>
      <c r="V277" s="26" t="s">
        <v>287</v>
      </c>
      <c r="W277" s="17"/>
      <c r="X277" s="17"/>
      <c r="Y277" s="9" t="str">
        <f t="shared" si="53"/>
        <v/>
      </c>
      <c r="Z277" s="9" t="str">
        <f t="shared" si="54"/>
        <v/>
      </c>
      <c r="AA277" s="10" t="str">
        <f t="shared" si="55"/>
        <v/>
      </c>
    </row>
    <row r="278" spans="7:27" ht="23.25">
      <c r="G278" s="18" t="str">
        <f t="shared" si="59"/>
        <v/>
      </c>
      <c r="H278" s="18" t="str">
        <f t="shared" si="60"/>
        <v/>
      </c>
      <c r="I278" s="18" t="str">
        <f t="shared" si="61"/>
        <v/>
      </c>
      <c r="J278" s="18" t="str">
        <f t="shared" si="62"/>
        <v/>
      </c>
      <c r="K278" s="21"/>
      <c r="N278" s="77" t="str">
        <f t="shared" si="56"/>
        <v/>
      </c>
      <c r="O278" s="77" t="str">
        <f t="shared" si="57"/>
        <v/>
      </c>
      <c r="P278" s="78" t="str">
        <f t="shared" si="58"/>
        <v/>
      </c>
      <c r="Q278" s="19" t="str">
        <f t="shared" si="63"/>
        <v/>
      </c>
      <c r="R278" s="19" t="str">
        <f>IF(M278&lt;&gt;"",toUTF16(HEX2DEC(M278)),"")</f>
        <v/>
      </c>
      <c r="S278" s="19" t="str">
        <f>IF(N278&lt;&gt;"",toUTF16(HEX2DEC(N278)),"")</f>
        <v/>
      </c>
      <c r="T278" s="19" t="str">
        <f>IF(O278&lt;&gt;"",toUTF16(HEX2DEC(O278)),"")</f>
        <v/>
      </c>
      <c r="U278" s="49" t="str">
        <f>IF(P278&lt;&gt;"",toUTF16(HEX2DEC(P278)),"")</f>
        <v/>
      </c>
      <c r="V278" s="26" t="s">
        <v>287</v>
      </c>
      <c r="W278" s="17"/>
      <c r="X278" s="17"/>
      <c r="Y278" s="9" t="str">
        <f t="shared" si="53"/>
        <v/>
      </c>
      <c r="Z278" s="9" t="str">
        <f t="shared" si="54"/>
        <v/>
      </c>
      <c r="AA278" s="10" t="str">
        <f t="shared" si="55"/>
        <v/>
      </c>
    </row>
    <row r="279" spans="7:27" ht="23.25">
      <c r="G279" s="18" t="str">
        <f t="shared" si="59"/>
        <v/>
      </c>
      <c r="H279" s="18" t="str">
        <f t="shared" si="60"/>
        <v/>
      </c>
      <c r="I279" s="18" t="str">
        <f t="shared" si="61"/>
        <v/>
      </c>
      <c r="J279" s="18" t="str">
        <f t="shared" si="62"/>
        <v/>
      </c>
      <c r="K279" s="21"/>
      <c r="N279" s="77" t="str">
        <f t="shared" si="56"/>
        <v/>
      </c>
      <c r="O279" s="77" t="str">
        <f t="shared" si="57"/>
        <v/>
      </c>
      <c r="P279" s="78" t="str">
        <f t="shared" si="58"/>
        <v/>
      </c>
      <c r="Q279" s="19" t="str">
        <f t="shared" si="63"/>
        <v/>
      </c>
      <c r="R279" s="19" t="str">
        <f>IF(M279&lt;&gt;"",toUTF16(HEX2DEC(M279)),"")</f>
        <v/>
      </c>
      <c r="S279" s="19" t="str">
        <f>IF(N279&lt;&gt;"",toUTF16(HEX2DEC(N279)),"")</f>
        <v/>
      </c>
      <c r="T279" s="19" t="str">
        <f>IF(O279&lt;&gt;"",toUTF16(HEX2DEC(O279)),"")</f>
        <v/>
      </c>
      <c r="U279" s="49" t="str">
        <f>IF(P279&lt;&gt;"",toUTF16(HEX2DEC(P279)),"")</f>
        <v/>
      </c>
      <c r="V279" s="26" t="s">
        <v>287</v>
      </c>
      <c r="W279" s="17"/>
      <c r="X279" s="17"/>
      <c r="Y279" s="9" t="str">
        <f t="shared" si="53"/>
        <v/>
      </c>
      <c r="Z279" s="9" t="str">
        <f t="shared" si="54"/>
        <v/>
      </c>
      <c r="AA279" s="10" t="str">
        <f t="shared" si="55"/>
        <v/>
      </c>
    </row>
    <row r="280" spans="7:27" ht="23.25">
      <c r="G280" s="18" t="str">
        <f t="shared" si="59"/>
        <v/>
      </c>
      <c r="H280" s="18" t="str">
        <f t="shared" si="60"/>
        <v/>
      </c>
      <c r="I280" s="18" t="str">
        <f t="shared" si="61"/>
        <v/>
      </c>
      <c r="J280" s="18" t="str">
        <f t="shared" si="62"/>
        <v/>
      </c>
      <c r="K280" s="21"/>
      <c r="N280" s="77" t="str">
        <f t="shared" si="56"/>
        <v/>
      </c>
      <c r="O280" s="77" t="str">
        <f t="shared" si="57"/>
        <v/>
      </c>
      <c r="P280" s="78" t="str">
        <f t="shared" si="58"/>
        <v/>
      </c>
      <c r="Q280" s="19" t="str">
        <f t="shared" si="63"/>
        <v/>
      </c>
      <c r="R280" s="19" t="str">
        <f>IF(M280&lt;&gt;"",toUTF16(HEX2DEC(M280)),"")</f>
        <v/>
      </c>
      <c r="S280" s="19" t="str">
        <f>IF(N280&lt;&gt;"",toUTF16(HEX2DEC(N280)),"")</f>
        <v/>
      </c>
      <c r="T280" s="19" t="str">
        <f>IF(O280&lt;&gt;"",toUTF16(HEX2DEC(O280)),"")</f>
        <v/>
      </c>
      <c r="U280" s="49" t="str">
        <f>IF(P280&lt;&gt;"",toUTF16(HEX2DEC(P280)),"")</f>
        <v/>
      </c>
      <c r="V280" s="26" t="s">
        <v>287</v>
      </c>
      <c r="W280" s="17"/>
      <c r="X280" s="17"/>
      <c r="Y280" s="9" t="str">
        <f t="shared" si="53"/>
        <v/>
      </c>
      <c r="Z280" s="9" t="str">
        <f t="shared" si="54"/>
        <v/>
      </c>
      <c r="AA280" s="10" t="str">
        <f t="shared" si="55"/>
        <v/>
      </c>
    </row>
    <row r="281" spans="7:27" ht="23.25">
      <c r="G281" s="18" t="str">
        <f t="shared" si="59"/>
        <v/>
      </c>
      <c r="H281" s="18" t="str">
        <f t="shared" si="60"/>
        <v/>
      </c>
      <c r="I281" s="18" t="str">
        <f t="shared" si="61"/>
        <v/>
      </c>
      <c r="J281" s="18" t="str">
        <f t="shared" si="62"/>
        <v/>
      </c>
      <c r="K281" s="21"/>
      <c r="N281" s="77" t="str">
        <f t="shared" si="56"/>
        <v/>
      </c>
      <c r="O281" s="77" t="str">
        <f t="shared" si="57"/>
        <v/>
      </c>
      <c r="P281" s="78" t="str">
        <f t="shared" si="58"/>
        <v/>
      </c>
      <c r="Q281" s="19" t="str">
        <f t="shared" si="63"/>
        <v/>
      </c>
      <c r="R281" s="19" t="str">
        <f>IF(M281&lt;&gt;"",toUTF16(HEX2DEC(M281)),"")</f>
        <v/>
      </c>
      <c r="S281" s="19" t="str">
        <f>IF(N281&lt;&gt;"",toUTF16(HEX2DEC(N281)),"")</f>
        <v/>
      </c>
      <c r="T281" s="19" t="str">
        <f>IF(O281&lt;&gt;"",toUTF16(HEX2DEC(O281)),"")</f>
        <v/>
      </c>
      <c r="U281" s="49" t="str">
        <f>IF(P281&lt;&gt;"",toUTF16(HEX2DEC(P281)),"")</f>
        <v/>
      </c>
      <c r="V281" s="26" t="s">
        <v>287</v>
      </c>
      <c r="W281" s="17"/>
      <c r="X281" s="17"/>
      <c r="Y281" s="9" t="str">
        <f t="shared" si="53"/>
        <v/>
      </c>
      <c r="Z281" s="9" t="str">
        <f t="shared" si="54"/>
        <v/>
      </c>
      <c r="AA281" s="10" t="str">
        <f t="shared" si="55"/>
        <v/>
      </c>
    </row>
    <row r="282" spans="7:27" ht="23.25">
      <c r="G282" s="18" t="str">
        <f t="shared" si="59"/>
        <v/>
      </c>
      <c r="H282" s="18" t="str">
        <f t="shared" si="60"/>
        <v/>
      </c>
      <c r="I282" s="18" t="str">
        <f t="shared" si="61"/>
        <v/>
      </c>
      <c r="J282" s="18" t="str">
        <f t="shared" si="62"/>
        <v/>
      </c>
      <c r="K282" s="21"/>
      <c r="N282" s="77" t="str">
        <f t="shared" si="56"/>
        <v/>
      </c>
      <c r="O282" s="77" t="str">
        <f t="shared" si="57"/>
        <v/>
      </c>
      <c r="P282" s="78" t="str">
        <f t="shared" si="58"/>
        <v/>
      </c>
      <c r="Q282" s="19" t="str">
        <f t="shared" si="63"/>
        <v/>
      </c>
      <c r="R282" s="19" t="str">
        <f>IF(M282&lt;&gt;"",toUTF16(HEX2DEC(M282)),"")</f>
        <v/>
      </c>
      <c r="S282" s="19" t="str">
        <f>IF(N282&lt;&gt;"",toUTF16(HEX2DEC(N282)),"")</f>
        <v/>
      </c>
      <c r="T282" s="19" t="str">
        <f>IF(O282&lt;&gt;"",toUTF16(HEX2DEC(O282)),"")</f>
        <v/>
      </c>
      <c r="U282" s="49" t="str">
        <f>IF(P282&lt;&gt;"",toUTF16(HEX2DEC(P282)),"")</f>
        <v/>
      </c>
      <c r="V282" s="26" t="s">
        <v>287</v>
      </c>
      <c r="W282" s="17"/>
      <c r="X282" s="17"/>
      <c r="Y282" s="9" t="str">
        <f t="shared" si="53"/>
        <v/>
      </c>
      <c r="Z282" s="9" t="str">
        <f t="shared" si="54"/>
        <v/>
      </c>
      <c r="AA282" s="10" t="str">
        <f t="shared" si="55"/>
        <v/>
      </c>
    </row>
    <row r="283" spans="7:27" ht="23.25">
      <c r="G283" s="18" t="str">
        <f t="shared" si="59"/>
        <v/>
      </c>
      <c r="H283" s="18" t="str">
        <f t="shared" si="60"/>
        <v/>
      </c>
      <c r="I283" s="18" t="str">
        <f t="shared" si="61"/>
        <v/>
      </c>
      <c r="J283" s="18" t="str">
        <f t="shared" si="62"/>
        <v/>
      </c>
      <c r="K283" s="21"/>
      <c r="N283" s="77" t="str">
        <f t="shared" si="56"/>
        <v/>
      </c>
      <c r="O283" s="77" t="str">
        <f t="shared" si="57"/>
        <v/>
      </c>
      <c r="P283" s="78" t="str">
        <f t="shared" si="58"/>
        <v/>
      </c>
      <c r="Q283" s="19" t="str">
        <f t="shared" si="63"/>
        <v/>
      </c>
      <c r="R283" s="19" t="str">
        <f>IF(M283&lt;&gt;"",toUTF16(HEX2DEC(M283)),"")</f>
        <v/>
      </c>
      <c r="S283" s="19" t="str">
        <f>IF(N283&lt;&gt;"",toUTF16(HEX2DEC(N283)),"")</f>
        <v/>
      </c>
      <c r="T283" s="19" t="str">
        <f>IF(O283&lt;&gt;"",toUTF16(HEX2DEC(O283)),"")</f>
        <v/>
      </c>
      <c r="U283" s="49" t="str">
        <f>IF(P283&lt;&gt;"",toUTF16(HEX2DEC(P283)),"")</f>
        <v/>
      </c>
      <c r="V283" s="26" t="s">
        <v>287</v>
      </c>
      <c r="W283" s="17"/>
      <c r="X283" s="17"/>
      <c r="Y283" s="9" t="str">
        <f t="shared" si="53"/>
        <v/>
      </c>
      <c r="Z283" s="9" t="str">
        <f t="shared" si="54"/>
        <v/>
      </c>
      <c r="AA283" s="10" t="str">
        <f t="shared" si="55"/>
        <v/>
      </c>
    </row>
    <row r="284" spans="7:27" ht="23.25">
      <c r="G284" s="18" t="str">
        <f t="shared" si="59"/>
        <v/>
      </c>
      <c r="H284" s="18" t="str">
        <f t="shared" si="60"/>
        <v/>
      </c>
      <c r="I284" s="18" t="str">
        <f t="shared" si="61"/>
        <v/>
      </c>
      <c r="J284" s="18" t="str">
        <f t="shared" si="62"/>
        <v/>
      </c>
      <c r="K284" s="21"/>
      <c r="N284" s="77" t="str">
        <f t="shared" si="56"/>
        <v/>
      </c>
      <c r="O284" s="77" t="str">
        <f t="shared" si="57"/>
        <v/>
      </c>
      <c r="P284" s="78" t="str">
        <f t="shared" si="58"/>
        <v/>
      </c>
      <c r="Q284" s="19" t="str">
        <f t="shared" si="63"/>
        <v/>
      </c>
      <c r="R284" s="19" t="str">
        <f>IF(M284&lt;&gt;"",toUTF16(HEX2DEC(M284)),"")</f>
        <v/>
      </c>
      <c r="S284" s="19" t="str">
        <f>IF(N284&lt;&gt;"",toUTF16(HEX2DEC(N284)),"")</f>
        <v/>
      </c>
      <c r="T284" s="19" t="str">
        <f>IF(O284&lt;&gt;"",toUTF16(HEX2DEC(O284)),"")</f>
        <v/>
      </c>
      <c r="U284" s="49" t="str">
        <f>IF(P284&lt;&gt;"",toUTF16(HEX2DEC(P284)),"")</f>
        <v/>
      </c>
      <c r="V284" s="26" t="s">
        <v>287</v>
      </c>
      <c r="W284" s="17"/>
      <c r="X284" s="17"/>
      <c r="Y284" s="9" t="str">
        <f t="shared" si="53"/>
        <v/>
      </c>
      <c r="Z284" s="9" t="str">
        <f t="shared" si="54"/>
        <v/>
      </c>
      <c r="AA284" s="10" t="str">
        <f t="shared" si="55"/>
        <v/>
      </c>
    </row>
    <row r="285" spans="7:27" ht="23.25">
      <c r="G285" s="18" t="str">
        <f t="shared" si="59"/>
        <v/>
      </c>
      <c r="H285" s="18" t="str">
        <f t="shared" si="60"/>
        <v/>
      </c>
      <c r="I285" s="18" t="str">
        <f t="shared" si="61"/>
        <v/>
      </c>
      <c r="J285" s="18" t="str">
        <f t="shared" si="62"/>
        <v/>
      </c>
      <c r="K285" s="21"/>
      <c r="N285" s="77" t="str">
        <f t="shared" si="56"/>
        <v/>
      </c>
      <c r="O285" s="77" t="str">
        <f t="shared" si="57"/>
        <v/>
      </c>
      <c r="P285" s="78" t="str">
        <f t="shared" si="58"/>
        <v/>
      </c>
      <c r="Q285" s="19" t="str">
        <f t="shared" si="63"/>
        <v/>
      </c>
      <c r="R285" s="19" t="str">
        <f>IF(M285&lt;&gt;"",toUTF16(HEX2DEC(M285)),"")</f>
        <v/>
      </c>
      <c r="S285" s="19" t="str">
        <f>IF(N285&lt;&gt;"",toUTF16(HEX2DEC(N285)),"")</f>
        <v/>
      </c>
      <c r="T285" s="19" t="str">
        <f>IF(O285&lt;&gt;"",toUTF16(HEX2DEC(O285)),"")</f>
        <v/>
      </c>
      <c r="U285" s="49" t="str">
        <f>IF(P285&lt;&gt;"",toUTF16(HEX2DEC(P285)),"")</f>
        <v/>
      </c>
      <c r="V285" s="26" t="s">
        <v>287</v>
      </c>
      <c r="W285" s="17"/>
      <c r="X285" s="17"/>
      <c r="Y285" s="9" t="str">
        <f t="shared" si="53"/>
        <v/>
      </c>
      <c r="Z285" s="9" t="str">
        <f t="shared" si="54"/>
        <v/>
      </c>
      <c r="AA285" s="10" t="str">
        <f t="shared" si="55"/>
        <v/>
      </c>
    </row>
    <row r="286" spans="7:27" ht="23.25">
      <c r="G286" s="18" t="str">
        <f t="shared" si="59"/>
        <v/>
      </c>
      <c r="H286" s="18" t="str">
        <f t="shared" si="60"/>
        <v/>
      </c>
      <c r="I286" s="18" t="str">
        <f t="shared" si="61"/>
        <v/>
      </c>
      <c r="J286" s="18" t="str">
        <f t="shared" si="62"/>
        <v/>
      </c>
      <c r="K286" s="21"/>
      <c r="N286" s="77" t="str">
        <f t="shared" si="56"/>
        <v/>
      </c>
      <c r="O286" s="77" t="str">
        <f t="shared" si="57"/>
        <v/>
      </c>
      <c r="P286" s="78" t="str">
        <f t="shared" si="58"/>
        <v/>
      </c>
      <c r="Q286" s="19" t="str">
        <f t="shared" si="63"/>
        <v/>
      </c>
      <c r="R286" s="19" t="str">
        <f>IF(M286&lt;&gt;"",toUTF16(HEX2DEC(M286)),"")</f>
        <v/>
      </c>
      <c r="S286" s="19" t="str">
        <f>IF(N286&lt;&gt;"",toUTF16(HEX2DEC(N286)),"")</f>
        <v/>
      </c>
      <c r="T286" s="19" t="str">
        <f>IF(O286&lt;&gt;"",toUTF16(HEX2DEC(O286)),"")</f>
        <v/>
      </c>
      <c r="U286" s="49" t="str">
        <f>IF(P286&lt;&gt;"",toUTF16(HEX2DEC(P286)),"")</f>
        <v/>
      </c>
      <c r="V286" s="26" t="s">
        <v>287</v>
      </c>
      <c r="W286" s="17"/>
      <c r="X286" s="17"/>
      <c r="Y286" s="9" t="str">
        <f t="shared" si="53"/>
        <v/>
      </c>
      <c r="Z286" s="9" t="str">
        <f t="shared" si="54"/>
        <v/>
      </c>
      <c r="AA286" s="10" t="str">
        <f t="shared" si="55"/>
        <v/>
      </c>
    </row>
    <row r="287" spans="7:27" ht="23.25">
      <c r="G287" s="18" t="str">
        <f t="shared" si="59"/>
        <v/>
      </c>
      <c r="H287" s="18" t="str">
        <f t="shared" si="60"/>
        <v/>
      </c>
      <c r="I287" s="18" t="str">
        <f t="shared" si="61"/>
        <v/>
      </c>
      <c r="J287" s="18" t="str">
        <f t="shared" si="62"/>
        <v/>
      </c>
      <c r="K287" s="21"/>
      <c r="N287" s="77" t="str">
        <f t="shared" si="56"/>
        <v/>
      </c>
      <c r="O287" s="77" t="str">
        <f t="shared" si="57"/>
        <v/>
      </c>
      <c r="P287" s="78" t="str">
        <f t="shared" si="58"/>
        <v/>
      </c>
      <c r="Q287" s="19" t="str">
        <f t="shared" si="63"/>
        <v/>
      </c>
      <c r="R287" s="19" t="str">
        <f>IF(M287&lt;&gt;"",toUTF16(HEX2DEC(M287)),"")</f>
        <v/>
      </c>
      <c r="S287" s="19" t="str">
        <f>IF(N287&lt;&gt;"",toUTF16(HEX2DEC(N287)),"")</f>
        <v/>
      </c>
      <c r="T287" s="19" t="str">
        <f>IF(O287&lt;&gt;"",toUTF16(HEX2DEC(O287)),"")</f>
        <v/>
      </c>
      <c r="U287" s="49" t="str">
        <f>IF(P287&lt;&gt;"",toUTF16(HEX2DEC(P287)),"")</f>
        <v/>
      </c>
      <c r="V287" s="26" t="s">
        <v>287</v>
      </c>
      <c r="W287" s="17"/>
      <c r="X287" s="17"/>
      <c r="Y287" s="9" t="str">
        <f t="shared" si="53"/>
        <v/>
      </c>
      <c r="Z287" s="9" t="str">
        <f t="shared" si="54"/>
        <v/>
      </c>
      <c r="AA287" s="10" t="str">
        <f t="shared" si="55"/>
        <v/>
      </c>
    </row>
    <row r="288" spans="7:27" ht="23.25">
      <c r="G288" s="18" t="str">
        <f t="shared" si="59"/>
        <v/>
      </c>
      <c r="H288" s="18" t="str">
        <f t="shared" si="60"/>
        <v/>
      </c>
      <c r="I288" s="18" t="str">
        <f t="shared" si="61"/>
        <v/>
      </c>
      <c r="J288" s="18" t="str">
        <f t="shared" si="62"/>
        <v/>
      </c>
      <c r="K288" s="21"/>
      <c r="N288" s="77" t="str">
        <f t="shared" si="56"/>
        <v/>
      </c>
      <c r="O288" s="77" t="str">
        <f t="shared" si="57"/>
        <v/>
      </c>
      <c r="P288" s="78" t="str">
        <f t="shared" si="58"/>
        <v/>
      </c>
      <c r="Q288" s="19" t="str">
        <f t="shared" si="63"/>
        <v/>
      </c>
      <c r="R288" s="19" t="str">
        <f>IF(M288&lt;&gt;"",toUTF16(HEX2DEC(M288)),"")</f>
        <v/>
      </c>
      <c r="S288" s="19" t="str">
        <f>IF(N288&lt;&gt;"",toUTF16(HEX2DEC(N288)),"")</f>
        <v/>
      </c>
      <c r="T288" s="19" t="str">
        <f>IF(O288&lt;&gt;"",toUTF16(HEX2DEC(O288)),"")</f>
        <v/>
      </c>
      <c r="U288" s="49" t="str">
        <f>IF(P288&lt;&gt;"",toUTF16(HEX2DEC(P288)),"")</f>
        <v/>
      </c>
      <c r="V288" s="26" t="s">
        <v>287</v>
      </c>
      <c r="W288" s="17"/>
      <c r="X288" s="17"/>
      <c r="Y288" s="9" t="str">
        <f t="shared" si="53"/>
        <v/>
      </c>
      <c r="Z288" s="9" t="str">
        <f t="shared" si="54"/>
        <v/>
      </c>
      <c r="AA288" s="10" t="str">
        <f t="shared" si="55"/>
        <v/>
      </c>
    </row>
    <row r="289" spans="7:27" ht="23.25">
      <c r="G289" s="18" t="str">
        <f t="shared" si="59"/>
        <v/>
      </c>
      <c r="H289" s="18" t="str">
        <f t="shared" si="60"/>
        <v/>
      </c>
      <c r="I289" s="18" t="str">
        <f t="shared" si="61"/>
        <v/>
      </c>
      <c r="J289" s="18" t="str">
        <f t="shared" si="62"/>
        <v/>
      </c>
      <c r="K289" s="21"/>
      <c r="N289" s="77" t="str">
        <f t="shared" si="56"/>
        <v/>
      </c>
      <c r="O289" s="77" t="str">
        <f t="shared" si="57"/>
        <v/>
      </c>
      <c r="P289" s="78" t="str">
        <f t="shared" si="58"/>
        <v/>
      </c>
      <c r="Q289" s="19" t="str">
        <f t="shared" si="63"/>
        <v/>
      </c>
      <c r="R289" s="19" t="str">
        <f>IF(M289&lt;&gt;"",toUTF16(HEX2DEC(M289)),"")</f>
        <v/>
      </c>
      <c r="S289" s="19" t="str">
        <f>IF(N289&lt;&gt;"",toUTF16(HEX2DEC(N289)),"")</f>
        <v/>
      </c>
      <c r="T289" s="19" t="str">
        <f>IF(O289&lt;&gt;"",toUTF16(HEX2DEC(O289)),"")</f>
        <v/>
      </c>
      <c r="U289" s="49" t="str">
        <f>IF(P289&lt;&gt;"",toUTF16(HEX2DEC(P289)),"")</f>
        <v/>
      </c>
      <c r="V289" s="26" t="s">
        <v>287</v>
      </c>
      <c r="W289" s="17"/>
      <c r="X289" s="17"/>
      <c r="Y289" s="9" t="str">
        <f t="shared" si="53"/>
        <v/>
      </c>
      <c r="Z289" s="9" t="str">
        <f t="shared" si="54"/>
        <v/>
      </c>
      <c r="AA289" s="10" t="str">
        <f t="shared" si="55"/>
        <v/>
      </c>
    </row>
    <row r="290" spans="7:27" ht="23.25">
      <c r="G290" s="18" t="str">
        <f t="shared" si="59"/>
        <v/>
      </c>
      <c r="H290" s="18" t="str">
        <f t="shared" si="60"/>
        <v/>
      </c>
      <c r="I290" s="18" t="str">
        <f t="shared" si="61"/>
        <v/>
      </c>
      <c r="J290" s="18" t="str">
        <f t="shared" si="62"/>
        <v/>
      </c>
      <c r="K290" s="21"/>
      <c r="N290" s="77" t="str">
        <f t="shared" si="56"/>
        <v/>
      </c>
      <c r="O290" s="77" t="str">
        <f t="shared" si="57"/>
        <v/>
      </c>
      <c r="P290" s="78" t="str">
        <f t="shared" si="58"/>
        <v/>
      </c>
      <c r="Q290" s="19" t="str">
        <f t="shared" si="63"/>
        <v/>
      </c>
      <c r="R290" s="19" t="str">
        <f>IF(M290&lt;&gt;"",toUTF16(HEX2DEC(M290)),"")</f>
        <v/>
      </c>
      <c r="S290" s="19" t="str">
        <f>IF(N290&lt;&gt;"",toUTF16(HEX2DEC(N290)),"")</f>
        <v/>
      </c>
      <c r="T290" s="19" t="str">
        <f>IF(O290&lt;&gt;"",toUTF16(HEX2DEC(O290)),"")</f>
        <v/>
      </c>
      <c r="U290" s="49" t="str">
        <f>IF(P290&lt;&gt;"",toUTF16(HEX2DEC(P290)),"")</f>
        <v/>
      </c>
      <c r="V290" s="26" t="s">
        <v>287</v>
      </c>
      <c r="W290" s="17"/>
      <c r="X290" s="17"/>
      <c r="Y290" s="9" t="str">
        <f t="shared" si="53"/>
        <v/>
      </c>
      <c r="Z290" s="9" t="str">
        <f t="shared" si="54"/>
        <v/>
      </c>
      <c r="AA290" s="10" t="str">
        <f t="shared" si="55"/>
        <v/>
      </c>
    </row>
    <row r="291" spans="7:27" ht="23.25">
      <c r="G291" s="18" t="str">
        <f t="shared" si="59"/>
        <v/>
      </c>
      <c r="H291" s="18" t="str">
        <f t="shared" si="60"/>
        <v/>
      </c>
      <c r="I291" s="18" t="str">
        <f t="shared" si="61"/>
        <v/>
      </c>
      <c r="J291" s="18" t="str">
        <f t="shared" si="62"/>
        <v/>
      </c>
      <c r="K291" s="21"/>
      <c r="N291" s="77" t="str">
        <f t="shared" si="56"/>
        <v/>
      </c>
      <c r="O291" s="77" t="str">
        <f t="shared" si="57"/>
        <v/>
      </c>
      <c r="P291" s="78" t="str">
        <f t="shared" si="58"/>
        <v/>
      </c>
      <c r="Q291" s="19" t="str">
        <f t="shared" si="63"/>
        <v/>
      </c>
      <c r="R291" s="19" t="str">
        <f>IF(M291&lt;&gt;"",toUTF16(HEX2DEC(M291)),"")</f>
        <v/>
      </c>
      <c r="S291" s="19" t="str">
        <f>IF(N291&lt;&gt;"",toUTF16(HEX2DEC(N291)),"")</f>
        <v/>
      </c>
      <c r="T291" s="19" t="str">
        <f>IF(O291&lt;&gt;"",toUTF16(HEX2DEC(O291)),"")</f>
        <v/>
      </c>
      <c r="U291" s="49" t="str">
        <f>IF(P291&lt;&gt;"",toUTF16(HEX2DEC(P291)),"")</f>
        <v/>
      </c>
      <c r="V291" s="26" t="s">
        <v>287</v>
      </c>
      <c r="W291" s="17"/>
      <c r="X291" s="17"/>
      <c r="Y291" s="9" t="str">
        <f t="shared" si="53"/>
        <v/>
      </c>
      <c r="Z291" s="9" t="str">
        <f t="shared" si="54"/>
        <v/>
      </c>
      <c r="AA291" s="10" t="str">
        <f t="shared" si="55"/>
        <v/>
      </c>
    </row>
    <row r="292" spans="7:27" ht="23.25">
      <c r="G292" s="18" t="str">
        <f t="shared" si="59"/>
        <v/>
      </c>
      <c r="H292" s="18" t="str">
        <f t="shared" si="60"/>
        <v/>
      </c>
      <c r="I292" s="18" t="str">
        <f t="shared" si="61"/>
        <v/>
      </c>
      <c r="J292" s="18" t="str">
        <f t="shared" si="62"/>
        <v/>
      </c>
      <c r="K292" s="21"/>
      <c r="N292" s="77" t="str">
        <f t="shared" si="56"/>
        <v/>
      </c>
      <c r="O292" s="77" t="str">
        <f t="shared" si="57"/>
        <v/>
      </c>
      <c r="P292" s="78" t="str">
        <f t="shared" si="58"/>
        <v/>
      </c>
      <c r="Q292" s="19" t="str">
        <f t="shared" si="63"/>
        <v/>
      </c>
      <c r="R292" s="19" t="str">
        <f>IF(M292&lt;&gt;"",toUTF16(HEX2DEC(M292)),"")</f>
        <v/>
      </c>
      <c r="S292" s="19" t="str">
        <f>IF(N292&lt;&gt;"",toUTF16(HEX2DEC(N292)),"")</f>
        <v/>
      </c>
      <c r="T292" s="19" t="str">
        <f>IF(O292&lt;&gt;"",toUTF16(HEX2DEC(O292)),"")</f>
        <v/>
      </c>
      <c r="U292" s="49" t="str">
        <f>IF(P292&lt;&gt;"",toUTF16(HEX2DEC(P292)),"")</f>
        <v/>
      </c>
      <c r="V292" s="26" t="s">
        <v>287</v>
      </c>
      <c r="W292" s="17"/>
      <c r="X292" s="17"/>
      <c r="Y292" s="9" t="str">
        <f t="shared" si="53"/>
        <v/>
      </c>
      <c r="Z292" s="9" t="str">
        <f t="shared" si="54"/>
        <v/>
      </c>
      <c r="AA292" s="10" t="str">
        <f t="shared" si="55"/>
        <v/>
      </c>
    </row>
    <row r="293" spans="7:27" ht="23.25">
      <c r="G293" s="18" t="str">
        <f t="shared" si="59"/>
        <v/>
      </c>
      <c r="H293" s="18" t="str">
        <f t="shared" si="60"/>
        <v/>
      </c>
      <c r="I293" s="18" t="str">
        <f t="shared" si="61"/>
        <v/>
      </c>
      <c r="J293" s="18" t="str">
        <f t="shared" si="62"/>
        <v/>
      </c>
      <c r="K293" s="21"/>
      <c r="N293" s="77" t="str">
        <f t="shared" si="56"/>
        <v/>
      </c>
      <c r="O293" s="77" t="str">
        <f t="shared" si="57"/>
        <v/>
      </c>
      <c r="P293" s="78" t="str">
        <f t="shared" si="58"/>
        <v/>
      </c>
      <c r="Q293" s="19" t="str">
        <f t="shared" si="63"/>
        <v/>
      </c>
      <c r="R293" s="19" t="str">
        <f>IF(M293&lt;&gt;"",toUTF16(HEX2DEC(M293)),"")</f>
        <v/>
      </c>
      <c r="S293" s="19" t="str">
        <f>IF(N293&lt;&gt;"",toUTF16(HEX2DEC(N293)),"")</f>
        <v/>
      </c>
      <c r="T293" s="19" t="str">
        <f>IF(O293&lt;&gt;"",toUTF16(HEX2DEC(O293)),"")</f>
        <v/>
      </c>
      <c r="U293" s="49" t="str">
        <f>IF(P293&lt;&gt;"",toUTF16(HEX2DEC(P293)),"")</f>
        <v/>
      </c>
      <c r="V293" s="26" t="s">
        <v>287</v>
      </c>
      <c r="W293" s="17"/>
      <c r="X293" s="17"/>
      <c r="Y293" s="9" t="str">
        <f t="shared" si="53"/>
        <v/>
      </c>
      <c r="Z293" s="9" t="str">
        <f t="shared" si="54"/>
        <v/>
      </c>
      <c r="AA293" s="10" t="str">
        <f t="shared" si="55"/>
        <v/>
      </c>
    </row>
    <row r="294" spans="7:27" ht="23.25">
      <c r="G294" s="18" t="str">
        <f t="shared" si="59"/>
        <v/>
      </c>
      <c r="H294" s="18" t="str">
        <f t="shared" si="60"/>
        <v/>
      </c>
      <c r="I294" s="18" t="str">
        <f t="shared" si="61"/>
        <v/>
      </c>
      <c r="J294" s="18" t="str">
        <f t="shared" si="62"/>
        <v/>
      </c>
      <c r="K294" s="21"/>
      <c r="N294" s="77" t="str">
        <f t="shared" si="56"/>
        <v/>
      </c>
      <c r="O294" s="77" t="str">
        <f t="shared" si="57"/>
        <v/>
      </c>
      <c r="P294" s="78" t="str">
        <f t="shared" si="58"/>
        <v/>
      </c>
      <c r="Q294" s="19" t="str">
        <f t="shared" si="63"/>
        <v/>
      </c>
      <c r="R294" s="19" t="str">
        <f>IF(M294&lt;&gt;"",toUTF16(HEX2DEC(M294)),"")</f>
        <v/>
      </c>
      <c r="S294" s="19" t="str">
        <f>IF(N294&lt;&gt;"",toUTF16(HEX2DEC(N294)),"")</f>
        <v/>
      </c>
      <c r="T294" s="19" t="str">
        <f>IF(O294&lt;&gt;"",toUTF16(HEX2DEC(O294)),"")</f>
        <v/>
      </c>
      <c r="U294" s="49" t="str">
        <f>IF(P294&lt;&gt;"",toUTF16(HEX2DEC(P294)),"")</f>
        <v/>
      </c>
      <c r="V294" s="26" t="s">
        <v>287</v>
      </c>
      <c r="W294" s="17"/>
      <c r="X294" s="17"/>
      <c r="Y294" s="9" t="str">
        <f t="shared" si="53"/>
        <v/>
      </c>
      <c r="Z294" s="9" t="str">
        <f t="shared" si="54"/>
        <v/>
      </c>
      <c r="AA294" s="10" t="str">
        <f t="shared" si="55"/>
        <v/>
      </c>
    </row>
    <row r="295" spans="7:27" ht="23.25">
      <c r="G295" s="18" t="str">
        <f t="shared" si="59"/>
        <v/>
      </c>
      <c r="H295" s="18" t="str">
        <f t="shared" si="60"/>
        <v/>
      </c>
      <c r="I295" s="18" t="str">
        <f t="shared" si="61"/>
        <v/>
      </c>
      <c r="J295" s="18" t="str">
        <f t="shared" si="62"/>
        <v/>
      </c>
      <c r="K295" s="21"/>
      <c r="N295" s="77" t="str">
        <f t="shared" si="56"/>
        <v/>
      </c>
      <c r="O295" s="77" t="str">
        <f t="shared" si="57"/>
        <v/>
      </c>
      <c r="P295" s="78" t="str">
        <f t="shared" si="58"/>
        <v/>
      </c>
      <c r="Q295" s="19" t="str">
        <f t="shared" si="63"/>
        <v/>
      </c>
      <c r="R295" s="19" t="str">
        <f>IF(M295&lt;&gt;"",toUTF16(HEX2DEC(M295)),"")</f>
        <v/>
      </c>
      <c r="S295" s="19" t="str">
        <f>IF(N295&lt;&gt;"",toUTF16(HEX2DEC(N295)),"")</f>
        <v/>
      </c>
      <c r="T295" s="19" t="str">
        <f>IF(O295&lt;&gt;"",toUTF16(HEX2DEC(O295)),"")</f>
        <v/>
      </c>
      <c r="U295" s="49" t="str">
        <f>IF(P295&lt;&gt;"",toUTF16(HEX2DEC(P295)),"")</f>
        <v/>
      </c>
      <c r="V295" s="26" t="s">
        <v>287</v>
      </c>
      <c r="W295" s="17"/>
      <c r="X295" s="17"/>
      <c r="Y295" s="9" t="str">
        <f t="shared" si="53"/>
        <v/>
      </c>
      <c r="Z295" s="9" t="str">
        <f t="shared" si="54"/>
        <v/>
      </c>
      <c r="AA295" s="10" t="str">
        <f t="shared" si="55"/>
        <v/>
      </c>
    </row>
    <row r="296" spans="7:27" ht="23.25">
      <c r="G296" s="18" t="str">
        <f t="shared" si="59"/>
        <v/>
      </c>
      <c r="H296" s="18" t="str">
        <f t="shared" si="60"/>
        <v/>
      </c>
      <c r="I296" s="18" t="str">
        <f t="shared" si="61"/>
        <v/>
      </c>
      <c r="J296" s="18" t="str">
        <f t="shared" si="62"/>
        <v/>
      </c>
      <c r="K296" s="21"/>
      <c r="N296" s="77" t="str">
        <f t="shared" si="56"/>
        <v/>
      </c>
      <c r="O296" s="77" t="str">
        <f t="shared" si="57"/>
        <v/>
      </c>
      <c r="P296" s="78" t="str">
        <f t="shared" si="58"/>
        <v/>
      </c>
      <c r="Q296" s="19" t="str">
        <f t="shared" si="63"/>
        <v/>
      </c>
      <c r="R296" s="19" t="str">
        <f>IF(M296&lt;&gt;"",toUTF16(HEX2DEC(M296)),"")</f>
        <v/>
      </c>
      <c r="S296" s="19" t="str">
        <f>IF(N296&lt;&gt;"",toUTF16(HEX2DEC(N296)),"")</f>
        <v/>
      </c>
      <c r="T296" s="19" t="str">
        <f>IF(O296&lt;&gt;"",toUTF16(HEX2DEC(O296)),"")</f>
        <v/>
      </c>
      <c r="U296" s="49" t="str">
        <f>IF(P296&lt;&gt;"",toUTF16(HEX2DEC(P296)),"")</f>
        <v/>
      </c>
      <c r="V296" s="26" t="s">
        <v>287</v>
      </c>
      <c r="W296" s="17"/>
      <c r="X296" s="17"/>
      <c r="Y296" s="9" t="str">
        <f t="shared" si="53"/>
        <v/>
      </c>
      <c r="Z296" s="9" t="str">
        <f t="shared" si="54"/>
        <v/>
      </c>
      <c r="AA296" s="10" t="str">
        <f t="shared" si="55"/>
        <v/>
      </c>
    </row>
    <row r="297" spans="7:27" ht="23.25">
      <c r="G297" s="18" t="str">
        <f t="shared" si="59"/>
        <v/>
      </c>
      <c r="H297" s="18" t="str">
        <f t="shared" si="60"/>
        <v/>
      </c>
      <c r="I297" s="18" t="str">
        <f t="shared" si="61"/>
        <v/>
      </c>
      <c r="J297" s="18" t="str">
        <f t="shared" si="62"/>
        <v/>
      </c>
      <c r="K297" s="21"/>
      <c r="N297" s="77" t="str">
        <f t="shared" si="56"/>
        <v/>
      </c>
      <c r="O297" s="77" t="str">
        <f t="shared" si="57"/>
        <v/>
      </c>
      <c r="P297" s="78" t="str">
        <f t="shared" si="58"/>
        <v/>
      </c>
      <c r="Q297" s="19" t="str">
        <f t="shared" si="63"/>
        <v/>
      </c>
      <c r="R297" s="19" t="str">
        <f>IF(M297&lt;&gt;"",toUTF16(HEX2DEC(M297)),"")</f>
        <v/>
      </c>
      <c r="S297" s="19" t="str">
        <f>IF(N297&lt;&gt;"",toUTF16(HEX2DEC(N297)),"")</f>
        <v/>
      </c>
      <c r="T297" s="19" t="str">
        <f>IF(O297&lt;&gt;"",toUTF16(HEX2DEC(O297)),"")</f>
        <v/>
      </c>
      <c r="U297" s="49" t="str">
        <f>IF(P297&lt;&gt;"",toUTF16(HEX2DEC(P297)),"")</f>
        <v/>
      </c>
      <c r="V297" s="26" t="s">
        <v>287</v>
      </c>
      <c r="W297" s="17"/>
      <c r="X297" s="17"/>
      <c r="Y297" s="9" t="str">
        <f t="shared" ref="Y297:Y317" si="64">IF($X297&lt;&gt;"",DEC2HEX(HEX2DEC($X297)+2,4),"")</f>
        <v/>
      </c>
      <c r="Z297" s="9" t="str">
        <f t="shared" ref="Z297:Z317" si="65">IF($X297&lt;&gt;"",DEC2HEX(HEX2DEC($X297)+3,4),"")</f>
        <v/>
      </c>
      <c r="AA297" s="10" t="str">
        <f t="shared" ref="AA297:AA317" si="66">IF($X297&lt;&gt;"",DEC2HEX(HEX2DEC($X297)+1,4),"")</f>
        <v/>
      </c>
    </row>
    <row r="298" spans="7:27" ht="23.25">
      <c r="G298" s="18" t="str">
        <f t="shared" si="59"/>
        <v/>
      </c>
      <c r="H298" s="18" t="str">
        <f t="shared" si="60"/>
        <v/>
      </c>
      <c r="I298" s="18" t="str">
        <f t="shared" si="61"/>
        <v/>
      </c>
      <c r="J298" s="18" t="str">
        <f t="shared" si="62"/>
        <v/>
      </c>
      <c r="K298" s="21"/>
      <c r="N298" s="77" t="str">
        <f t="shared" ref="N298:N317" si="67">IF($M298&lt;&gt;"",DEC2HEX(HEX2DEC($M298)+2,4),"")</f>
        <v/>
      </c>
      <c r="O298" s="77" t="str">
        <f t="shared" ref="O298:O317" si="68">IF($M298&lt;&gt;"",DEC2HEX(HEX2DEC($M298)+3,4),"")</f>
        <v/>
      </c>
      <c r="P298" s="78" t="str">
        <f t="shared" ref="P298:P317" si="69">IF($M298&lt;&gt;"",DEC2HEX(HEX2DEC($M298)+1,4),"")</f>
        <v/>
      </c>
      <c r="Q298" s="19" t="str">
        <f t="shared" si="63"/>
        <v/>
      </c>
      <c r="R298" s="19" t="str">
        <f>IF(M298&lt;&gt;"",toUTF16(HEX2DEC(M298)),"")</f>
        <v/>
      </c>
      <c r="S298" s="19" t="str">
        <f>IF(N298&lt;&gt;"",toUTF16(HEX2DEC(N298)),"")</f>
        <v/>
      </c>
      <c r="T298" s="19" t="str">
        <f>IF(O298&lt;&gt;"",toUTF16(HEX2DEC(O298)),"")</f>
        <v/>
      </c>
      <c r="U298" s="49" t="str">
        <f>IF(P298&lt;&gt;"",toUTF16(HEX2DEC(P298)),"")</f>
        <v/>
      </c>
      <c r="V298" s="26" t="s">
        <v>287</v>
      </c>
      <c r="W298" s="17"/>
      <c r="X298" s="17"/>
      <c r="Y298" s="9" t="str">
        <f t="shared" si="64"/>
        <v/>
      </c>
      <c r="Z298" s="9" t="str">
        <f t="shared" si="65"/>
        <v/>
      </c>
      <c r="AA298" s="10" t="str">
        <f t="shared" si="66"/>
        <v/>
      </c>
    </row>
    <row r="299" spans="7:27" ht="23.25">
      <c r="G299" s="18" t="str">
        <f t="shared" ref="G299:G317" si="70">IF(R299&lt;&gt;"",R299,"")</f>
        <v/>
      </c>
      <c r="H299" s="18" t="str">
        <f t="shared" ref="H299:H317" si="71">IF(S299&lt;&gt;"",S299,"")</f>
        <v/>
      </c>
      <c r="I299" s="18" t="str">
        <f t="shared" ref="I299:I317" si="72">IF(T299&lt;&gt;"",T299,"")</f>
        <v/>
      </c>
      <c r="J299" s="18" t="str">
        <f t="shared" ref="J299:J317" si="73">IF(U299&lt;&gt;"",U299,"")</f>
        <v/>
      </c>
      <c r="K299" s="21"/>
      <c r="N299" s="77" t="str">
        <f t="shared" si="67"/>
        <v/>
      </c>
      <c r="O299" s="77" t="str">
        <f t="shared" si="68"/>
        <v/>
      </c>
      <c r="P299" s="78" t="str">
        <f t="shared" si="69"/>
        <v/>
      </c>
      <c r="Q299" s="19" t="str">
        <f t="shared" ref="Q299:Q317" si="74">IF(L299&lt;&gt;"",toUTF16(HEX2DEC(L299)),"")</f>
        <v/>
      </c>
      <c r="R299" s="19" t="str">
        <f>IF(M299&lt;&gt;"",toUTF16(HEX2DEC(M299)),"")</f>
        <v/>
      </c>
      <c r="S299" s="19" t="str">
        <f>IF(N299&lt;&gt;"",toUTF16(HEX2DEC(N299)),"")</f>
        <v/>
      </c>
      <c r="T299" s="19" t="str">
        <f>IF(O299&lt;&gt;"",toUTF16(HEX2DEC(O299)),"")</f>
        <v/>
      </c>
      <c r="U299" s="49" t="str">
        <f>IF(P299&lt;&gt;"",toUTF16(HEX2DEC(P299)),"")</f>
        <v/>
      </c>
      <c r="V299" s="26" t="s">
        <v>287</v>
      </c>
      <c r="W299" s="17"/>
      <c r="X299" s="17"/>
      <c r="Y299" s="9" t="str">
        <f t="shared" si="64"/>
        <v/>
      </c>
      <c r="Z299" s="9" t="str">
        <f t="shared" si="65"/>
        <v/>
      </c>
      <c r="AA299" s="10" t="str">
        <f t="shared" si="66"/>
        <v/>
      </c>
    </row>
    <row r="300" spans="7:27" ht="23.25">
      <c r="G300" s="18" t="str">
        <f t="shared" si="70"/>
        <v/>
      </c>
      <c r="H300" s="18" t="str">
        <f t="shared" si="71"/>
        <v/>
      </c>
      <c r="I300" s="18" t="str">
        <f t="shared" si="72"/>
        <v/>
      </c>
      <c r="J300" s="18" t="str">
        <f t="shared" si="73"/>
        <v/>
      </c>
      <c r="K300" s="21"/>
      <c r="N300" s="77" t="str">
        <f t="shared" si="67"/>
        <v/>
      </c>
      <c r="O300" s="77" t="str">
        <f t="shared" si="68"/>
        <v/>
      </c>
      <c r="P300" s="78" t="str">
        <f t="shared" si="69"/>
        <v/>
      </c>
      <c r="Q300" s="19" t="str">
        <f t="shared" si="74"/>
        <v/>
      </c>
      <c r="R300" s="19" t="str">
        <f>IF(M300&lt;&gt;"",toUTF16(HEX2DEC(M300)),"")</f>
        <v/>
      </c>
      <c r="S300" s="19" t="str">
        <f>IF(N300&lt;&gt;"",toUTF16(HEX2DEC(N300)),"")</f>
        <v/>
      </c>
      <c r="T300" s="19" t="str">
        <f>IF(O300&lt;&gt;"",toUTF16(HEX2DEC(O300)),"")</f>
        <v/>
      </c>
      <c r="U300" s="49" t="str">
        <f>IF(P300&lt;&gt;"",toUTF16(HEX2DEC(P300)),"")</f>
        <v/>
      </c>
      <c r="V300" s="26" t="s">
        <v>287</v>
      </c>
      <c r="W300" s="17"/>
      <c r="X300" s="17"/>
      <c r="Y300" s="9" t="str">
        <f t="shared" si="64"/>
        <v/>
      </c>
      <c r="Z300" s="9" t="str">
        <f t="shared" si="65"/>
        <v/>
      </c>
      <c r="AA300" s="10" t="str">
        <f t="shared" si="66"/>
        <v/>
      </c>
    </row>
    <row r="301" spans="7:27" ht="23.25">
      <c r="G301" s="18" t="str">
        <f t="shared" si="70"/>
        <v/>
      </c>
      <c r="H301" s="18" t="str">
        <f t="shared" si="71"/>
        <v/>
      </c>
      <c r="I301" s="18" t="str">
        <f t="shared" si="72"/>
        <v/>
      </c>
      <c r="J301" s="18" t="str">
        <f t="shared" si="73"/>
        <v/>
      </c>
      <c r="K301" s="21"/>
      <c r="N301" s="77" t="str">
        <f t="shared" si="67"/>
        <v/>
      </c>
      <c r="O301" s="77" t="str">
        <f t="shared" si="68"/>
        <v/>
      </c>
      <c r="P301" s="78" t="str">
        <f t="shared" si="69"/>
        <v/>
      </c>
      <c r="Q301" s="19" t="str">
        <f t="shared" si="74"/>
        <v/>
      </c>
      <c r="R301" s="19" t="str">
        <f>IF(M301&lt;&gt;"",toUTF16(HEX2DEC(M301)),"")</f>
        <v/>
      </c>
      <c r="S301" s="19" t="str">
        <f>IF(N301&lt;&gt;"",toUTF16(HEX2DEC(N301)),"")</f>
        <v/>
      </c>
      <c r="T301" s="19" t="str">
        <f>IF(O301&lt;&gt;"",toUTF16(HEX2DEC(O301)),"")</f>
        <v/>
      </c>
      <c r="U301" s="49" t="str">
        <f>IF(P301&lt;&gt;"",toUTF16(HEX2DEC(P301)),"")</f>
        <v/>
      </c>
      <c r="V301" s="26" t="s">
        <v>287</v>
      </c>
      <c r="W301" s="17"/>
      <c r="X301" s="17"/>
      <c r="Y301" s="9" t="str">
        <f t="shared" si="64"/>
        <v/>
      </c>
      <c r="Z301" s="9" t="str">
        <f t="shared" si="65"/>
        <v/>
      </c>
      <c r="AA301" s="10" t="str">
        <f t="shared" si="66"/>
        <v/>
      </c>
    </row>
    <row r="302" spans="7:27" ht="23.25">
      <c r="G302" s="18" t="str">
        <f t="shared" si="70"/>
        <v/>
      </c>
      <c r="H302" s="18" t="str">
        <f t="shared" si="71"/>
        <v/>
      </c>
      <c r="I302" s="18" t="str">
        <f t="shared" si="72"/>
        <v/>
      </c>
      <c r="J302" s="18" t="str">
        <f t="shared" si="73"/>
        <v/>
      </c>
      <c r="K302" s="21"/>
      <c r="N302" s="77" t="str">
        <f t="shared" si="67"/>
        <v/>
      </c>
      <c r="O302" s="77" t="str">
        <f t="shared" si="68"/>
        <v/>
      </c>
      <c r="P302" s="78" t="str">
        <f t="shared" si="69"/>
        <v/>
      </c>
      <c r="Q302" s="19" t="str">
        <f t="shared" si="74"/>
        <v/>
      </c>
      <c r="R302" s="19" t="str">
        <f>IF(M302&lt;&gt;"",toUTF16(HEX2DEC(M302)),"")</f>
        <v/>
      </c>
      <c r="S302" s="19" t="str">
        <f>IF(N302&lt;&gt;"",toUTF16(HEX2DEC(N302)),"")</f>
        <v/>
      </c>
      <c r="T302" s="19" t="str">
        <f>IF(O302&lt;&gt;"",toUTF16(HEX2DEC(O302)),"")</f>
        <v/>
      </c>
      <c r="U302" s="49" t="str">
        <f>IF(P302&lt;&gt;"",toUTF16(HEX2DEC(P302)),"")</f>
        <v/>
      </c>
      <c r="V302" s="26" t="s">
        <v>287</v>
      </c>
      <c r="W302" s="17"/>
      <c r="X302" s="17"/>
      <c r="Y302" s="9" t="str">
        <f t="shared" si="64"/>
        <v/>
      </c>
      <c r="Z302" s="9" t="str">
        <f t="shared" si="65"/>
        <v/>
      </c>
      <c r="AA302" s="10" t="str">
        <f t="shared" si="66"/>
        <v/>
      </c>
    </row>
    <row r="303" spans="7:27" ht="23.25">
      <c r="G303" s="18" t="str">
        <f t="shared" si="70"/>
        <v/>
      </c>
      <c r="H303" s="18" t="str">
        <f t="shared" si="71"/>
        <v/>
      </c>
      <c r="I303" s="18" t="str">
        <f t="shared" si="72"/>
        <v/>
      </c>
      <c r="J303" s="18" t="str">
        <f t="shared" si="73"/>
        <v/>
      </c>
      <c r="K303" s="21"/>
      <c r="N303" s="77" t="str">
        <f t="shared" si="67"/>
        <v/>
      </c>
      <c r="O303" s="77" t="str">
        <f t="shared" si="68"/>
        <v/>
      </c>
      <c r="P303" s="78" t="str">
        <f t="shared" si="69"/>
        <v/>
      </c>
      <c r="Q303" s="19" t="str">
        <f t="shared" si="74"/>
        <v/>
      </c>
      <c r="R303" s="19" t="str">
        <f>IF(M303&lt;&gt;"",toUTF16(HEX2DEC(M303)),"")</f>
        <v/>
      </c>
      <c r="S303" s="19" t="str">
        <f>IF(N303&lt;&gt;"",toUTF16(HEX2DEC(N303)),"")</f>
        <v/>
      </c>
      <c r="T303" s="19" t="str">
        <f>IF(O303&lt;&gt;"",toUTF16(HEX2DEC(O303)),"")</f>
        <v/>
      </c>
      <c r="U303" s="49" t="str">
        <f>IF(P303&lt;&gt;"",toUTF16(HEX2DEC(P303)),"")</f>
        <v/>
      </c>
      <c r="V303" s="26" t="s">
        <v>287</v>
      </c>
      <c r="W303" s="17"/>
      <c r="X303" s="17"/>
      <c r="Y303" s="9" t="str">
        <f t="shared" si="64"/>
        <v/>
      </c>
      <c r="Z303" s="9" t="str">
        <f t="shared" si="65"/>
        <v/>
      </c>
      <c r="AA303" s="10" t="str">
        <f t="shared" si="66"/>
        <v/>
      </c>
    </row>
    <row r="304" spans="7:27" ht="23.25">
      <c r="G304" s="18" t="str">
        <f t="shared" si="70"/>
        <v/>
      </c>
      <c r="H304" s="18" t="str">
        <f t="shared" si="71"/>
        <v/>
      </c>
      <c r="I304" s="18" t="str">
        <f t="shared" si="72"/>
        <v/>
      </c>
      <c r="J304" s="18" t="str">
        <f t="shared" si="73"/>
        <v/>
      </c>
      <c r="K304" s="21"/>
      <c r="N304" s="77" t="str">
        <f t="shared" si="67"/>
        <v/>
      </c>
      <c r="O304" s="77" t="str">
        <f t="shared" si="68"/>
        <v/>
      </c>
      <c r="P304" s="78" t="str">
        <f t="shared" si="69"/>
        <v/>
      </c>
      <c r="Q304" s="19" t="str">
        <f t="shared" si="74"/>
        <v/>
      </c>
      <c r="R304" s="19" t="str">
        <f>IF(M304&lt;&gt;"",toUTF16(HEX2DEC(M304)),"")</f>
        <v/>
      </c>
      <c r="S304" s="19" t="str">
        <f>IF(N304&lt;&gt;"",toUTF16(HEX2DEC(N304)),"")</f>
        <v/>
      </c>
      <c r="T304" s="19" t="str">
        <f>IF(O304&lt;&gt;"",toUTF16(HEX2DEC(O304)),"")</f>
        <v/>
      </c>
      <c r="U304" s="49" t="str">
        <f>IF(P304&lt;&gt;"",toUTF16(HEX2DEC(P304)),"")</f>
        <v/>
      </c>
      <c r="V304" s="26" t="s">
        <v>287</v>
      </c>
      <c r="W304" s="17"/>
      <c r="X304" s="17"/>
      <c r="Y304" s="9" t="str">
        <f t="shared" si="64"/>
        <v/>
      </c>
      <c r="Z304" s="9" t="str">
        <f t="shared" si="65"/>
        <v/>
      </c>
      <c r="AA304" s="10" t="str">
        <f t="shared" si="66"/>
        <v/>
      </c>
    </row>
    <row r="305" spans="7:27" ht="23.25">
      <c r="G305" s="18" t="str">
        <f t="shared" si="70"/>
        <v/>
      </c>
      <c r="H305" s="18" t="str">
        <f t="shared" si="71"/>
        <v/>
      </c>
      <c r="I305" s="18" t="str">
        <f t="shared" si="72"/>
        <v/>
      </c>
      <c r="J305" s="18" t="str">
        <f t="shared" si="73"/>
        <v/>
      </c>
      <c r="K305" s="21"/>
      <c r="N305" s="77" t="str">
        <f t="shared" si="67"/>
        <v/>
      </c>
      <c r="O305" s="77" t="str">
        <f t="shared" si="68"/>
        <v/>
      </c>
      <c r="P305" s="78" t="str">
        <f t="shared" si="69"/>
        <v/>
      </c>
      <c r="Q305" s="19" t="str">
        <f t="shared" si="74"/>
        <v/>
      </c>
      <c r="R305" s="19" t="str">
        <f>IF(M305&lt;&gt;"",toUTF16(HEX2DEC(M305)),"")</f>
        <v/>
      </c>
      <c r="S305" s="19" t="str">
        <f>IF(N305&lt;&gt;"",toUTF16(HEX2DEC(N305)),"")</f>
        <v/>
      </c>
      <c r="T305" s="19" t="str">
        <f>IF(O305&lt;&gt;"",toUTF16(HEX2DEC(O305)),"")</f>
        <v/>
      </c>
      <c r="U305" s="49" t="str">
        <f>IF(P305&lt;&gt;"",toUTF16(HEX2DEC(P305)),"")</f>
        <v/>
      </c>
      <c r="V305" s="26" t="s">
        <v>287</v>
      </c>
      <c r="W305" s="17"/>
      <c r="X305" s="17"/>
      <c r="Y305" s="9" t="str">
        <f t="shared" si="64"/>
        <v/>
      </c>
      <c r="Z305" s="9" t="str">
        <f t="shared" si="65"/>
        <v/>
      </c>
      <c r="AA305" s="10" t="str">
        <f t="shared" si="66"/>
        <v/>
      </c>
    </row>
    <row r="306" spans="7:27" ht="23.25">
      <c r="G306" s="18" t="str">
        <f t="shared" si="70"/>
        <v/>
      </c>
      <c r="H306" s="18" t="str">
        <f t="shared" si="71"/>
        <v/>
      </c>
      <c r="I306" s="18" t="str">
        <f t="shared" si="72"/>
        <v/>
      </c>
      <c r="J306" s="18" t="str">
        <f t="shared" si="73"/>
        <v/>
      </c>
      <c r="K306" s="21"/>
      <c r="N306" s="77" t="str">
        <f t="shared" si="67"/>
        <v/>
      </c>
      <c r="O306" s="77" t="str">
        <f t="shared" si="68"/>
        <v/>
      </c>
      <c r="P306" s="78" t="str">
        <f t="shared" si="69"/>
        <v/>
      </c>
      <c r="Q306" s="19" t="str">
        <f t="shared" si="74"/>
        <v/>
      </c>
      <c r="R306" s="19" t="str">
        <f>IF(M306&lt;&gt;"",toUTF16(HEX2DEC(M306)),"")</f>
        <v/>
      </c>
      <c r="S306" s="19" t="str">
        <f>IF(N306&lt;&gt;"",toUTF16(HEX2DEC(N306)),"")</f>
        <v/>
      </c>
      <c r="T306" s="19" t="str">
        <f>IF(O306&lt;&gt;"",toUTF16(HEX2DEC(O306)),"")</f>
        <v/>
      </c>
      <c r="U306" s="49" t="str">
        <f>IF(P306&lt;&gt;"",toUTF16(HEX2DEC(P306)),"")</f>
        <v/>
      </c>
      <c r="V306" s="26" t="s">
        <v>287</v>
      </c>
      <c r="W306" s="17"/>
      <c r="X306" s="17"/>
      <c r="Y306" s="9" t="str">
        <f t="shared" si="64"/>
        <v/>
      </c>
      <c r="Z306" s="9" t="str">
        <f t="shared" si="65"/>
        <v/>
      </c>
      <c r="AA306" s="10" t="str">
        <f t="shared" si="66"/>
        <v/>
      </c>
    </row>
    <row r="307" spans="7:27" ht="23.25">
      <c r="G307" s="18" t="str">
        <f t="shared" si="70"/>
        <v/>
      </c>
      <c r="H307" s="18" t="str">
        <f t="shared" si="71"/>
        <v/>
      </c>
      <c r="I307" s="18" t="str">
        <f t="shared" si="72"/>
        <v/>
      </c>
      <c r="J307" s="18" t="str">
        <f t="shared" si="73"/>
        <v/>
      </c>
      <c r="K307" s="21"/>
      <c r="N307" s="77" t="str">
        <f t="shared" si="67"/>
        <v/>
      </c>
      <c r="O307" s="77" t="str">
        <f t="shared" si="68"/>
        <v/>
      </c>
      <c r="P307" s="78" t="str">
        <f t="shared" si="69"/>
        <v/>
      </c>
      <c r="Q307" s="19" t="str">
        <f t="shared" si="74"/>
        <v/>
      </c>
      <c r="R307" s="19" t="str">
        <f>IF(M307&lt;&gt;"",toUTF16(HEX2DEC(M307)),"")</f>
        <v/>
      </c>
      <c r="S307" s="19" t="str">
        <f>IF(N307&lt;&gt;"",toUTF16(HEX2DEC(N307)),"")</f>
        <v/>
      </c>
      <c r="T307" s="19" t="str">
        <f>IF(O307&lt;&gt;"",toUTF16(HEX2DEC(O307)),"")</f>
        <v/>
      </c>
      <c r="U307" s="49" t="str">
        <f>IF(P307&lt;&gt;"",toUTF16(HEX2DEC(P307)),"")</f>
        <v/>
      </c>
      <c r="V307" s="26" t="s">
        <v>287</v>
      </c>
      <c r="W307" s="17"/>
      <c r="X307" s="17"/>
      <c r="Y307" s="9" t="str">
        <f t="shared" si="64"/>
        <v/>
      </c>
      <c r="Z307" s="9" t="str">
        <f t="shared" si="65"/>
        <v/>
      </c>
      <c r="AA307" s="10" t="str">
        <f t="shared" si="66"/>
        <v/>
      </c>
    </row>
    <row r="308" spans="7:27" ht="23.25">
      <c r="G308" s="18" t="str">
        <f t="shared" si="70"/>
        <v/>
      </c>
      <c r="H308" s="18" t="str">
        <f t="shared" si="71"/>
        <v/>
      </c>
      <c r="I308" s="18" t="str">
        <f t="shared" si="72"/>
        <v/>
      </c>
      <c r="J308" s="18" t="str">
        <f t="shared" si="73"/>
        <v/>
      </c>
      <c r="K308" s="21"/>
      <c r="N308" s="77" t="str">
        <f t="shared" si="67"/>
        <v/>
      </c>
      <c r="O308" s="77" t="str">
        <f t="shared" si="68"/>
        <v/>
      </c>
      <c r="P308" s="78" t="str">
        <f t="shared" si="69"/>
        <v/>
      </c>
      <c r="Q308" s="19" t="str">
        <f t="shared" si="74"/>
        <v/>
      </c>
      <c r="R308" s="19" t="str">
        <f>IF(M308&lt;&gt;"",toUTF16(HEX2DEC(M308)),"")</f>
        <v/>
      </c>
      <c r="S308" s="19" t="str">
        <f>IF(N308&lt;&gt;"",toUTF16(HEX2DEC(N308)),"")</f>
        <v/>
      </c>
      <c r="T308" s="19" t="str">
        <f>IF(O308&lt;&gt;"",toUTF16(HEX2DEC(O308)),"")</f>
        <v/>
      </c>
      <c r="U308" s="49" t="str">
        <f>IF(P308&lt;&gt;"",toUTF16(HEX2DEC(P308)),"")</f>
        <v/>
      </c>
      <c r="V308" s="26" t="s">
        <v>287</v>
      </c>
      <c r="W308" s="17"/>
      <c r="X308" s="17"/>
      <c r="Y308" s="9" t="str">
        <f t="shared" si="64"/>
        <v/>
      </c>
      <c r="Z308" s="9" t="str">
        <f t="shared" si="65"/>
        <v/>
      </c>
      <c r="AA308" s="10" t="str">
        <f t="shared" si="66"/>
        <v/>
      </c>
    </row>
    <row r="309" spans="7:27" ht="23.25">
      <c r="G309" s="18" t="str">
        <f t="shared" si="70"/>
        <v/>
      </c>
      <c r="H309" s="18" t="str">
        <f t="shared" si="71"/>
        <v/>
      </c>
      <c r="I309" s="18" t="str">
        <f t="shared" si="72"/>
        <v/>
      </c>
      <c r="J309" s="18" t="str">
        <f t="shared" si="73"/>
        <v/>
      </c>
      <c r="K309" s="21"/>
      <c r="N309" s="77" t="str">
        <f t="shared" si="67"/>
        <v/>
      </c>
      <c r="O309" s="77" t="str">
        <f t="shared" si="68"/>
        <v/>
      </c>
      <c r="P309" s="78" t="str">
        <f t="shared" si="69"/>
        <v/>
      </c>
      <c r="Q309" s="19" t="str">
        <f t="shared" si="74"/>
        <v/>
      </c>
      <c r="R309" s="19" t="str">
        <f>IF(M309&lt;&gt;"",toUTF16(HEX2DEC(M309)),"")</f>
        <v/>
      </c>
      <c r="S309" s="19" t="str">
        <f>IF(N309&lt;&gt;"",toUTF16(HEX2DEC(N309)),"")</f>
        <v/>
      </c>
      <c r="T309" s="19" t="str">
        <f>IF(O309&lt;&gt;"",toUTF16(HEX2DEC(O309)),"")</f>
        <v/>
      </c>
      <c r="U309" s="49" t="str">
        <f>IF(P309&lt;&gt;"",toUTF16(HEX2DEC(P309)),"")</f>
        <v/>
      </c>
      <c r="V309" s="26" t="s">
        <v>287</v>
      </c>
      <c r="W309" s="17"/>
      <c r="X309" s="17"/>
      <c r="Y309" s="9" t="str">
        <f t="shared" si="64"/>
        <v/>
      </c>
      <c r="Z309" s="9" t="str">
        <f t="shared" si="65"/>
        <v/>
      </c>
      <c r="AA309" s="10" t="str">
        <f t="shared" si="66"/>
        <v/>
      </c>
    </row>
    <row r="310" spans="7:27" ht="23.25">
      <c r="G310" s="18" t="str">
        <f t="shared" si="70"/>
        <v/>
      </c>
      <c r="H310" s="18" t="str">
        <f t="shared" si="71"/>
        <v/>
      </c>
      <c r="I310" s="18" t="str">
        <f t="shared" si="72"/>
        <v/>
      </c>
      <c r="J310" s="18" t="str">
        <f t="shared" si="73"/>
        <v/>
      </c>
      <c r="K310" s="21"/>
      <c r="N310" s="77" t="str">
        <f t="shared" si="67"/>
        <v/>
      </c>
      <c r="O310" s="77" t="str">
        <f t="shared" si="68"/>
        <v/>
      </c>
      <c r="P310" s="78" t="str">
        <f t="shared" si="69"/>
        <v/>
      </c>
      <c r="Q310" s="19" t="str">
        <f t="shared" si="74"/>
        <v/>
      </c>
      <c r="R310" s="19" t="str">
        <f>IF(M310&lt;&gt;"",toUTF16(HEX2DEC(M310)),"")</f>
        <v/>
      </c>
      <c r="S310" s="19" t="str">
        <f>IF(N310&lt;&gt;"",toUTF16(HEX2DEC(N310)),"")</f>
        <v/>
      </c>
      <c r="T310" s="19" t="str">
        <f>IF(O310&lt;&gt;"",toUTF16(HEX2DEC(O310)),"")</f>
        <v/>
      </c>
      <c r="U310" s="49" t="str">
        <f>IF(P310&lt;&gt;"",toUTF16(HEX2DEC(P310)),"")</f>
        <v/>
      </c>
      <c r="V310" s="26" t="s">
        <v>287</v>
      </c>
      <c r="W310" s="17"/>
      <c r="X310" s="17"/>
      <c r="Y310" s="9" t="str">
        <f t="shared" si="64"/>
        <v/>
      </c>
      <c r="Z310" s="9" t="str">
        <f t="shared" si="65"/>
        <v/>
      </c>
      <c r="AA310" s="10" t="str">
        <f t="shared" si="66"/>
        <v/>
      </c>
    </row>
    <row r="311" spans="7:27" ht="23.25">
      <c r="G311" s="18" t="str">
        <f t="shared" si="70"/>
        <v/>
      </c>
      <c r="H311" s="18" t="str">
        <f t="shared" si="71"/>
        <v/>
      </c>
      <c r="I311" s="18" t="str">
        <f t="shared" si="72"/>
        <v/>
      </c>
      <c r="J311" s="18" t="str">
        <f t="shared" si="73"/>
        <v/>
      </c>
      <c r="K311" s="21"/>
      <c r="N311" s="77" t="str">
        <f t="shared" si="67"/>
        <v/>
      </c>
      <c r="O311" s="77" t="str">
        <f t="shared" si="68"/>
        <v/>
      </c>
      <c r="P311" s="78" t="str">
        <f t="shared" si="69"/>
        <v/>
      </c>
      <c r="Q311" s="19" t="str">
        <f t="shared" si="74"/>
        <v/>
      </c>
      <c r="R311" s="19" t="str">
        <f>IF(M311&lt;&gt;"",toUTF16(HEX2DEC(M311)),"")</f>
        <v/>
      </c>
      <c r="S311" s="19" t="str">
        <f>IF(N311&lt;&gt;"",toUTF16(HEX2DEC(N311)),"")</f>
        <v/>
      </c>
      <c r="T311" s="19" t="str">
        <f>IF(O311&lt;&gt;"",toUTF16(HEX2DEC(O311)),"")</f>
        <v/>
      </c>
      <c r="U311" s="49" t="str">
        <f>IF(P311&lt;&gt;"",toUTF16(HEX2DEC(P311)),"")</f>
        <v/>
      </c>
      <c r="V311" s="26" t="s">
        <v>287</v>
      </c>
      <c r="W311" s="17"/>
      <c r="X311" s="17"/>
      <c r="Y311" s="9" t="str">
        <f t="shared" si="64"/>
        <v/>
      </c>
      <c r="Z311" s="9" t="str">
        <f t="shared" si="65"/>
        <v/>
      </c>
      <c r="AA311" s="10" t="str">
        <f t="shared" si="66"/>
        <v/>
      </c>
    </row>
    <row r="312" spans="7:27" ht="23.25">
      <c r="G312" s="18" t="str">
        <f t="shared" si="70"/>
        <v/>
      </c>
      <c r="H312" s="18" t="str">
        <f t="shared" si="71"/>
        <v/>
      </c>
      <c r="I312" s="18" t="str">
        <f t="shared" si="72"/>
        <v/>
      </c>
      <c r="J312" s="18" t="str">
        <f t="shared" si="73"/>
        <v/>
      </c>
      <c r="K312" s="21"/>
      <c r="N312" s="77" t="str">
        <f t="shared" si="67"/>
        <v/>
      </c>
      <c r="O312" s="77" t="str">
        <f t="shared" si="68"/>
        <v/>
      </c>
      <c r="P312" s="78" t="str">
        <f t="shared" si="69"/>
        <v/>
      </c>
      <c r="Q312" s="19" t="str">
        <f t="shared" si="74"/>
        <v/>
      </c>
      <c r="R312" s="19" t="str">
        <f>IF(M312&lt;&gt;"",toUTF16(HEX2DEC(M312)),"")</f>
        <v/>
      </c>
      <c r="S312" s="19" t="str">
        <f>IF(N312&lt;&gt;"",toUTF16(HEX2DEC(N312)),"")</f>
        <v/>
      </c>
      <c r="T312" s="19" t="str">
        <f>IF(O312&lt;&gt;"",toUTF16(HEX2DEC(O312)),"")</f>
        <v/>
      </c>
      <c r="U312" s="49" t="str">
        <f>IF(P312&lt;&gt;"",toUTF16(HEX2DEC(P312)),"")</f>
        <v/>
      </c>
      <c r="V312" s="26" t="s">
        <v>287</v>
      </c>
      <c r="W312" s="17"/>
      <c r="X312" s="17"/>
      <c r="Y312" s="9" t="str">
        <f t="shared" si="64"/>
        <v/>
      </c>
      <c r="Z312" s="9" t="str">
        <f t="shared" si="65"/>
        <v/>
      </c>
      <c r="AA312" s="10" t="str">
        <f t="shared" si="66"/>
        <v/>
      </c>
    </row>
    <row r="313" spans="7:27" ht="23.25">
      <c r="G313" s="18" t="str">
        <f t="shared" si="70"/>
        <v/>
      </c>
      <c r="H313" s="18" t="str">
        <f t="shared" si="71"/>
        <v/>
      </c>
      <c r="I313" s="18" t="str">
        <f t="shared" si="72"/>
        <v/>
      </c>
      <c r="J313" s="18" t="str">
        <f t="shared" si="73"/>
        <v/>
      </c>
      <c r="K313" s="21"/>
      <c r="N313" s="77" t="str">
        <f t="shared" si="67"/>
        <v/>
      </c>
      <c r="O313" s="77" t="str">
        <f t="shared" si="68"/>
        <v/>
      </c>
      <c r="P313" s="78" t="str">
        <f t="shared" si="69"/>
        <v/>
      </c>
      <c r="Q313" s="19" t="str">
        <f t="shared" si="74"/>
        <v/>
      </c>
      <c r="R313" s="19" t="str">
        <f>IF(M313&lt;&gt;"",toUTF16(HEX2DEC(M313)),"")</f>
        <v/>
      </c>
      <c r="S313" s="19" t="str">
        <f>IF(N313&lt;&gt;"",toUTF16(HEX2DEC(N313)),"")</f>
        <v/>
      </c>
      <c r="T313" s="19" t="str">
        <f>IF(O313&lt;&gt;"",toUTF16(HEX2DEC(O313)),"")</f>
        <v/>
      </c>
      <c r="U313" s="49" t="str">
        <f>IF(P313&lt;&gt;"",toUTF16(HEX2DEC(P313)),"")</f>
        <v/>
      </c>
      <c r="V313" s="26" t="s">
        <v>287</v>
      </c>
      <c r="W313" s="17"/>
      <c r="X313" s="17"/>
      <c r="Y313" s="9" t="str">
        <f t="shared" si="64"/>
        <v/>
      </c>
      <c r="Z313" s="9" t="str">
        <f t="shared" si="65"/>
        <v/>
      </c>
      <c r="AA313" s="10" t="str">
        <f t="shared" si="66"/>
        <v/>
      </c>
    </row>
    <row r="314" spans="7:27" ht="23.25">
      <c r="G314" s="18" t="str">
        <f t="shared" si="70"/>
        <v/>
      </c>
      <c r="H314" s="18" t="str">
        <f t="shared" si="71"/>
        <v/>
      </c>
      <c r="I314" s="18" t="str">
        <f t="shared" si="72"/>
        <v/>
      </c>
      <c r="J314" s="18" t="str">
        <f t="shared" si="73"/>
        <v/>
      </c>
      <c r="K314" s="21"/>
      <c r="N314" s="77" t="str">
        <f t="shared" si="67"/>
        <v/>
      </c>
      <c r="O314" s="77" t="str">
        <f t="shared" si="68"/>
        <v/>
      </c>
      <c r="P314" s="78" t="str">
        <f t="shared" si="69"/>
        <v/>
      </c>
      <c r="Q314" s="19" t="str">
        <f t="shared" si="74"/>
        <v/>
      </c>
      <c r="R314" s="19" t="str">
        <f>IF(M314&lt;&gt;"",toUTF16(HEX2DEC(M314)),"")</f>
        <v/>
      </c>
      <c r="S314" s="19" t="str">
        <f>IF(N314&lt;&gt;"",toUTF16(HEX2DEC(N314)),"")</f>
        <v/>
      </c>
      <c r="T314" s="19" t="str">
        <f>IF(O314&lt;&gt;"",toUTF16(HEX2DEC(O314)),"")</f>
        <v/>
      </c>
      <c r="U314" s="49" t="str">
        <f>IF(P314&lt;&gt;"",toUTF16(HEX2DEC(P314)),"")</f>
        <v/>
      </c>
      <c r="V314" s="26" t="s">
        <v>287</v>
      </c>
      <c r="W314" s="17"/>
      <c r="X314" s="17"/>
      <c r="Y314" s="9" t="str">
        <f t="shared" si="64"/>
        <v/>
      </c>
      <c r="Z314" s="9" t="str">
        <f t="shared" si="65"/>
        <v/>
      </c>
      <c r="AA314" s="10" t="str">
        <f t="shared" si="66"/>
        <v/>
      </c>
    </row>
    <row r="315" spans="7:27" ht="23.25">
      <c r="G315" s="18" t="str">
        <f t="shared" si="70"/>
        <v/>
      </c>
      <c r="H315" s="18" t="str">
        <f t="shared" si="71"/>
        <v/>
      </c>
      <c r="I315" s="18" t="str">
        <f t="shared" si="72"/>
        <v/>
      </c>
      <c r="J315" s="18" t="str">
        <f t="shared" si="73"/>
        <v/>
      </c>
      <c r="K315" s="21"/>
      <c r="N315" s="77" t="str">
        <f t="shared" si="67"/>
        <v/>
      </c>
      <c r="O315" s="77" t="str">
        <f t="shared" si="68"/>
        <v/>
      </c>
      <c r="P315" s="78" t="str">
        <f t="shared" si="69"/>
        <v/>
      </c>
      <c r="Q315" s="19" t="str">
        <f t="shared" si="74"/>
        <v/>
      </c>
      <c r="R315" s="19" t="str">
        <f>IF(M315&lt;&gt;"",toUTF16(HEX2DEC(M315)),"")</f>
        <v/>
      </c>
      <c r="S315" s="19" t="str">
        <f>IF(N315&lt;&gt;"",toUTF16(HEX2DEC(N315)),"")</f>
        <v/>
      </c>
      <c r="T315" s="19" t="str">
        <f>IF(O315&lt;&gt;"",toUTF16(HEX2DEC(O315)),"")</f>
        <v/>
      </c>
      <c r="U315" s="49" t="str">
        <f>IF(P315&lt;&gt;"",toUTF16(HEX2DEC(P315)),"")</f>
        <v/>
      </c>
      <c r="V315" s="26" t="s">
        <v>287</v>
      </c>
      <c r="W315" s="17"/>
      <c r="X315" s="17"/>
      <c r="Y315" s="9" t="str">
        <f t="shared" si="64"/>
        <v/>
      </c>
      <c r="Z315" s="9" t="str">
        <f t="shared" si="65"/>
        <v/>
      </c>
      <c r="AA315" s="10" t="str">
        <f t="shared" si="66"/>
        <v/>
      </c>
    </row>
    <row r="316" spans="7:27" ht="23.25">
      <c r="G316" s="18" t="str">
        <f t="shared" si="70"/>
        <v/>
      </c>
      <c r="H316" s="18" t="str">
        <f t="shared" si="71"/>
        <v/>
      </c>
      <c r="I316" s="18" t="str">
        <f t="shared" si="72"/>
        <v/>
      </c>
      <c r="J316" s="18" t="str">
        <f t="shared" si="73"/>
        <v/>
      </c>
      <c r="K316" s="21"/>
      <c r="N316" s="77" t="str">
        <f t="shared" si="67"/>
        <v/>
      </c>
      <c r="O316" s="77" t="str">
        <f t="shared" si="68"/>
        <v/>
      </c>
      <c r="P316" s="78" t="str">
        <f t="shared" si="69"/>
        <v/>
      </c>
      <c r="Q316" s="19" t="str">
        <f t="shared" si="74"/>
        <v/>
      </c>
      <c r="R316" s="19" t="str">
        <f>IF(M316&lt;&gt;"",toUTF16(HEX2DEC(M316)),"")</f>
        <v/>
      </c>
      <c r="S316" s="19" t="str">
        <f>IF(N316&lt;&gt;"",toUTF16(HEX2DEC(N316)),"")</f>
        <v/>
      </c>
      <c r="T316" s="19" t="str">
        <f>IF(O316&lt;&gt;"",toUTF16(HEX2DEC(O316)),"")</f>
        <v/>
      </c>
      <c r="U316" s="49" t="str">
        <f>IF(P316&lt;&gt;"",toUTF16(HEX2DEC(P316)),"")</f>
        <v/>
      </c>
      <c r="V316" s="26" t="s">
        <v>287</v>
      </c>
      <c r="W316" s="17"/>
      <c r="X316" s="17"/>
      <c r="Y316" s="9" t="str">
        <f t="shared" si="64"/>
        <v/>
      </c>
      <c r="Z316" s="9" t="str">
        <f t="shared" si="65"/>
        <v/>
      </c>
      <c r="AA316" s="10" t="str">
        <f t="shared" si="66"/>
        <v/>
      </c>
    </row>
    <row r="317" spans="7:27" ht="23.25">
      <c r="G317" s="18" t="str">
        <f t="shared" si="70"/>
        <v/>
      </c>
      <c r="H317" s="18" t="str">
        <f t="shared" si="71"/>
        <v/>
      </c>
      <c r="I317" s="18" t="str">
        <f t="shared" si="72"/>
        <v/>
      </c>
      <c r="J317" s="18" t="str">
        <f t="shared" si="73"/>
        <v/>
      </c>
      <c r="K317" s="21"/>
      <c r="N317" s="77" t="str">
        <f t="shared" si="67"/>
        <v/>
      </c>
      <c r="O317" s="77" t="str">
        <f t="shared" si="68"/>
        <v/>
      </c>
      <c r="P317" s="78" t="str">
        <f t="shared" si="69"/>
        <v/>
      </c>
      <c r="Q317" s="19" t="str">
        <f t="shared" si="74"/>
        <v/>
      </c>
      <c r="R317" s="19" t="str">
        <f>IF(M317&lt;&gt;"",toUTF16(HEX2DEC(M317)),"")</f>
        <v/>
      </c>
      <c r="S317" s="19" t="str">
        <f>IF(N317&lt;&gt;"",toUTF16(HEX2DEC(N317)),"")</f>
        <v/>
      </c>
      <c r="T317" s="19" t="str">
        <f>IF(O317&lt;&gt;"",toUTF16(HEX2DEC(O317)),"")</f>
        <v/>
      </c>
      <c r="U317" s="49" t="str">
        <f>IF(P317&lt;&gt;"",toUTF16(HEX2DEC(P317)),"")</f>
        <v/>
      </c>
      <c r="V317" s="26" t="s">
        <v>287</v>
      </c>
      <c r="W317" s="17"/>
      <c r="X317" s="17"/>
      <c r="Y317" s="9" t="str">
        <f t="shared" si="64"/>
        <v/>
      </c>
      <c r="Z317" s="9" t="str">
        <f t="shared" si="65"/>
        <v/>
      </c>
      <c r="AA317" s="10" t="str">
        <f t="shared" si="66"/>
        <v/>
      </c>
    </row>
  </sheetData>
  <mergeCells count="49">
    <mergeCell ref="Q38:U38"/>
    <mergeCell ref="Q39:U39"/>
    <mergeCell ref="Q40:U40"/>
    <mergeCell ref="Q41:U41"/>
    <mergeCell ref="L1:P1"/>
    <mergeCell ref="G38:J38"/>
    <mergeCell ref="G39:J39"/>
    <mergeCell ref="G40:J40"/>
    <mergeCell ref="G41:J41"/>
    <mergeCell ref="L32:P32"/>
    <mergeCell ref="L33:P33"/>
    <mergeCell ref="L34:P34"/>
    <mergeCell ref="L35:P35"/>
    <mergeCell ref="L36:P36"/>
    <mergeCell ref="L37:P37"/>
    <mergeCell ref="L38:P38"/>
    <mergeCell ref="L39:P39"/>
    <mergeCell ref="L40:P40"/>
    <mergeCell ref="L41:P41"/>
    <mergeCell ref="G33:J33"/>
    <mergeCell ref="G34:J34"/>
    <mergeCell ref="A1:C1"/>
    <mergeCell ref="D1:F1"/>
    <mergeCell ref="D32:E32"/>
    <mergeCell ref="G1:J1"/>
    <mergeCell ref="G32:J32"/>
    <mergeCell ref="D39:E39"/>
    <mergeCell ref="D40:E40"/>
    <mergeCell ref="D41:E41"/>
    <mergeCell ref="D33:E33"/>
    <mergeCell ref="D34:E34"/>
    <mergeCell ref="D35:E35"/>
    <mergeCell ref="D36:E36"/>
    <mergeCell ref="D37:E37"/>
    <mergeCell ref="D38:E38"/>
    <mergeCell ref="G35:J35"/>
    <mergeCell ref="G36:J36"/>
    <mergeCell ref="G37:J37"/>
    <mergeCell ref="AB1:AB2"/>
    <mergeCell ref="AC1:AC2"/>
    <mergeCell ref="V1:V2"/>
    <mergeCell ref="W1:Z1"/>
    <mergeCell ref="Q1:U1"/>
    <mergeCell ref="Q32:U32"/>
    <mergeCell ref="Q33:U33"/>
    <mergeCell ref="Q34:U34"/>
    <mergeCell ref="Q35:U35"/>
    <mergeCell ref="Q36:U36"/>
    <mergeCell ref="Q37:U37"/>
  </mergeCells>
  <pageMargins left="0.7" right="0.7" top="0.78740157499999996" bottom="0.78740157499999996" header="0.3" footer="0.3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List2"/>
  <dimension ref="A1:AD22"/>
  <sheetViews>
    <sheetView workbookViewId="0">
      <selection sqref="A1:B1"/>
    </sheetView>
  </sheetViews>
  <sheetFormatPr defaultRowHeight="15"/>
  <cols>
    <col min="1" max="2" width="5" style="19" customWidth="1"/>
    <col min="3" max="16384" width="9.140625" style="19"/>
  </cols>
  <sheetData>
    <row r="1" spans="1:30" ht="27" thickTop="1">
      <c r="A1" s="165" t="s">
        <v>299</v>
      </c>
      <c r="B1" s="166"/>
      <c r="C1" s="162" t="s">
        <v>384</v>
      </c>
      <c r="D1" s="162"/>
      <c r="E1" s="163" t="s">
        <v>385</v>
      </c>
      <c r="F1" s="163"/>
      <c r="G1" s="162" t="s">
        <v>386</v>
      </c>
      <c r="H1" s="162"/>
      <c r="I1" s="163" t="s">
        <v>387</v>
      </c>
      <c r="J1" s="163"/>
      <c r="K1" s="163" t="s">
        <v>388</v>
      </c>
      <c r="L1" s="163"/>
      <c r="M1" s="162" t="s">
        <v>389</v>
      </c>
      <c r="N1" s="162"/>
      <c r="O1" s="163" t="s">
        <v>390</v>
      </c>
      <c r="P1" s="163"/>
      <c r="Q1" s="163" t="s">
        <v>391</v>
      </c>
      <c r="R1" s="163"/>
      <c r="S1" s="163" t="s">
        <v>392</v>
      </c>
      <c r="T1" s="163"/>
      <c r="U1" s="163" t="s">
        <v>393</v>
      </c>
      <c r="V1" s="163"/>
      <c r="W1" s="161" t="s">
        <v>301</v>
      </c>
      <c r="X1" s="161"/>
      <c r="Y1" s="155" t="s">
        <v>302</v>
      </c>
      <c r="Z1" s="155"/>
      <c r="AA1" s="191" t="s">
        <v>303</v>
      </c>
      <c r="AB1" s="191"/>
      <c r="AC1" s="191"/>
      <c r="AD1" s="192"/>
    </row>
    <row r="2" spans="1:30" ht="27" thickBot="1">
      <c r="A2" s="27" t="s">
        <v>299</v>
      </c>
      <c r="B2" s="28" t="s">
        <v>372</v>
      </c>
      <c r="C2" s="29" t="s">
        <v>300</v>
      </c>
      <c r="D2" s="30" t="s">
        <v>373</v>
      </c>
      <c r="E2" s="31" t="s">
        <v>357</v>
      </c>
      <c r="F2" s="30" t="s">
        <v>374</v>
      </c>
      <c r="G2" s="32" t="s">
        <v>358</v>
      </c>
      <c r="H2" s="30" t="s">
        <v>375</v>
      </c>
      <c r="I2" s="31" t="s">
        <v>359</v>
      </c>
      <c r="J2" s="30" t="s">
        <v>376</v>
      </c>
      <c r="K2" s="31" t="s">
        <v>360</v>
      </c>
      <c r="L2" s="30" t="s">
        <v>377</v>
      </c>
      <c r="M2" s="32" t="s">
        <v>361</v>
      </c>
      <c r="N2" s="30" t="s">
        <v>378</v>
      </c>
      <c r="O2" s="31" t="s">
        <v>362</v>
      </c>
      <c r="P2" s="30" t="s">
        <v>379</v>
      </c>
      <c r="Q2" s="31" t="s">
        <v>363</v>
      </c>
      <c r="R2" s="30" t="s">
        <v>380</v>
      </c>
      <c r="S2" s="31" t="s">
        <v>364</v>
      </c>
      <c r="T2" s="30" t="s">
        <v>381</v>
      </c>
      <c r="U2" s="31" t="s">
        <v>308</v>
      </c>
      <c r="V2" s="30" t="s">
        <v>382</v>
      </c>
      <c r="W2" s="33" t="s">
        <v>301</v>
      </c>
      <c r="X2" s="28" t="s">
        <v>360</v>
      </c>
      <c r="Y2" s="189" t="s">
        <v>358</v>
      </c>
      <c r="Z2" s="190"/>
      <c r="AA2" s="147"/>
      <c r="AB2" s="147"/>
      <c r="AC2" s="147"/>
      <c r="AD2" s="148"/>
    </row>
    <row r="3" spans="1:30" ht="26.25">
      <c r="A3" s="167" t="s">
        <v>304</v>
      </c>
      <c r="B3" s="168"/>
      <c r="C3" s="169"/>
      <c r="D3" s="151" t="s">
        <v>290</v>
      </c>
      <c r="E3" s="151"/>
      <c r="F3" s="151" t="s">
        <v>288</v>
      </c>
      <c r="G3" s="151"/>
      <c r="H3" s="152" t="s">
        <v>305</v>
      </c>
      <c r="I3" s="152"/>
      <c r="J3" s="151" t="s">
        <v>280</v>
      </c>
      <c r="K3" s="151"/>
      <c r="L3" s="151" t="s">
        <v>277</v>
      </c>
      <c r="M3" s="151"/>
      <c r="N3" s="151" t="s">
        <v>281</v>
      </c>
      <c r="O3" s="151"/>
      <c r="P3" s="152" t="s">
        <v>306</v>
      </c>
      <c r="Q3" s="152"/>
      <c r="R3" s="152" t="s">
        <v>296</v>
      </c>
      <c r="S3" s="152"/>
      <c r="T3" s="152" t="s">
        <v>297</v>
      </c>
      <c r="U3" s="152"/>
      <c r="V3" s="152" t="s">
        <v>295</v>
      </c>
      <c r="W3" s="152"/>
      <c r="X3" s="151" t="s">
        <v>307</v>
      </c>
      <c r="Y3" s="151"/>
      <c r="Z3" s="156" t="s">
        <v>308</v>
      </c>
      <c r="AA3" s="156"/>
      <c r="AB3" s="193"/>
      <c r="AC3" s="195" t="s">
        <v>309</v>
      </c>
      <c r="AD3" s="146"/>
    </row>
    <row r="4" spans="1:30" ht="27" thickBot="1">
      <c r="A4" s="170"/>
      <c r="B4" s="171"/>
      <c r="C4" s="172"/>
      <c r="D4" s="150" t="s">
        <v>310</v>
      </c>
      <c r="E4" s="150"/>
      <c r="F4" s="150" t="s">
        <v>311</v>
      </c>
      <c r="G4" s="150"/>
      <c r="H4" s="149" t="s">
        <v>312</v>
      </c>
      <c r="I4" s="149"/>
      <c r="J4" s="150" t="s">
        <v>313</v>
      </c>
      <c r="K4" s="150"/>
      <c r="L4" s="150" t="s">
        <v>314</v>
      </c>
      <c r="M4" s="150"/>
      <c r="N4" s="150" t="s">
        <v>315</v>
      </c>
      <c r="O4" s="150"/>
      <c r="P4" s="149" t="s">
        <v>316</v>
      </c>
      <c r="Q4" s="149"/>
      <c r="R4" s="149" t="s">
        <v>317</v>
      </c>
      <c r="S4" s="149"/>
      <c r="T4" s="149" t="s">
        <v>318</v>
      </c>
      <c r="U4" s="149"/>
      <c r="V4" s="153" t="s">
        <v>319</v>
      </c>
      <c r="W4" s="154"/>
      <c r="X4" s="189" t="s">
        <v>361</v>
      </c>
      <c r="Y4" s="190"/>
      <c r="Z4" s="33" t="s">
        <v>308</v>
      </c>
      <c r="AA4" s="28" t="s">
        <v>364</v>
      </c>
      <c r="AB4" s="194"/>
      <c r="AC4" s="169"/>
      <c r="AD4" s="196"/>
    </row>
    <row r="5" spans="1:30" ht="26.25">
      <c r="A5" s="167" t="s">
        <v>320</v>
      </c>
      <c r="B5" s="168"/>
      <c r="C5" s="168"/>
      <c r="D5" s="169"/>
      <c r="E5" s="151" t="s">
        <v>292</v>
      </c>
      <c r="F5" s="151"/>
      <c r="G5" s="151" t="s">
        <v>282</v>
      </c>
      <c r="H5" s="151"/>
      <c r="I5" s="151" t="s">
        <v>279</v>
      </c>
      <c r="J5" s="151"/>
      <c r="K5" s="151" t="s">
        <v>283</v>
      </c>
      <c r="L5" s="151"/>
      <c r="M5" s="151" t="s">
        <v>293</v>
      </c>
      <c r="N5" s="151"/>
      <c r="O5" s="151" t="s">
        <v>287</v>
      </c>
      <c r="P5" s="151"/>
      <c r="Q5" s="151" t="s">
        <v>289</v>
      </c>
      <c r="R5" s="151"/>
      <c r="S5" s="151" t="s">
        <v>284</v>
      </c>
      <c r="T5" s="151"/>
      <c r="U5" s="151" t="s">
        <v>285</v>
      </c>
      <c r="V5" s="151"/>
      <c r="W5" s="157" t="s">
        <v>321</v>
      </c>
      <c r="X5" s="157"/>
      <c r="Y5" s="156" t="s">
        <v>322</v>
      </c>
      <c r="Z5" s="156"/>
      <c r="AA5" s="157" t="s">
        <v>323</v>
      </c>
      <c r="AB5" s="157"/>
      <c r="AC5" s="197"/>
      <c r="AD5" s="196"/>
    </row>
    <row r="6" spans="1:30" ht="27" thickBot="1">
      <c r="A6" s="170"/>
      <c r="B6" s="171"/>
      <c r="C6" s="171"/>
      <c r="D6" s="172"/>
      <c r="E6" s="150" t="s">
        <v>324</v>
      </c>
      <c r="F6" s="150"/>
      <c r="G6" s="150" t="s">
        <v>325</v>
      </c>
      <c r="H6" s="150"/>
      <c r="I6" s="150" t="s">
        <v>326</v>
      </c>
      <c r="J6" s="150"/>
      <c r="K6" s="150" t="s">
        <v>327</v>
      </c>
      <c r="L6" s="150"/>
      <c r="M6" s="150" t="s">
        <v>328</v>
      </c>
      <c r="N6" s="150"/>
      <c r="O6" s="150" t="s">
        <v>329</v>
      </c>
      <c r="P6" s="150"/>
      <c r="Q6" s="150" t="s">
        <v>330</v>
      </c>
      <c r="R6" s="150"/>
      <c r="S6" s="150" t="s">
        <v>331</v>
      </c>
      <c r="T6" s="150"/>
      <c r="U6" s="150" t="s">
        <v>332</v>
      </c>
      <c r="V6" s="150"/>
      <c r="W6" s="35" t="s">
        <v>97</v>
      </c>
      <c r="X6" s="34" t="s">
        <v>365</v>
      </c>
      <c r="Y6" s="33" t="s">
        <v>322</v>
      </c>
      <c r="Z6" s="28" t="s">
        <v>366</v>
      </c>
      <c r="AA6" s="29" t="s">
        <v>334</v>
      </c>
      <c r="AB6" s="30" t="s">
        <v>367</v>
      </c>
      <c r="AC6" s="147"/>
      <c r="AD6" s="148"/>
    </row>
    <row r="7" spans="1:30" ht="26.25">
      <c r="A7" s="167" t="s">
        <v>333</v>
      </c>
      <c r="B7" s="168"/>
      <c r="C7" s="169"/>
      <c r="D7" s="160" t="s">
        <v>334</v>
      </c>
      <c r="E7" s="156"/>
      <c r="F7" s="152" t="s">
        <v>335</v>
      </c>
      <c r="G7" s="152"/>
      <c r="H7" s="151" t="s">
        <v>278</v>
      </c>
      <c r="I7" s="151"/>
      <c r="J7" s="151" t="s">
        <v>294</v>
      </c>
      <c r="K7" s="151"/>
      <c r="L7" s="152" t="s">
        <v>336</v>
      </c>
      <c r="M7" s="152"/>
      <c r="N7" s="151" t="s">
        <v>276</v>
      </c>
      <c r="O7" s="151"/>
      <c r="P7" s="151" t="s">
        <v>286</v>
      </c>
      <c r="Q7" s="151"/>
      <c r="R7" s="151" t="s">
        <v>275</v>
      </c>
      <c r="S7" s="151"/>
      <c r="T7" s="156" t="s">
        <v>337</v>
      </c>
      <c r="U7" s="156"/>
      <c r="V7" s="156" t="s">
        <v>338</v>
      </c>
      <c r="W7" s="156"/>
      <c r="X7" s="156" t="s">
        <v>339</v>
      </c>
      <c r="Y7" s="156"/>
      <c r="Z7" s="145" t="s">
        <v>333</v>
      </c>
      <c r="AA7" s="145"/>
      <c r="AB7" s="145"/>
      <c r="AC7" s="145"/>
      <c r="AD7" s="146"/>
    </row>
    <row r="8" spans="1:30" ht="27" thickBot="1">
      <c r="A8" s="170"/>
      <c r="B8" s="171"/>
      <c r="C8" s="172"/>
      <c r="D8" s="33" t="s">
        <v>334</v>
      </c>
      <c r="E8" s="28" t="s">
        <v>371</v>
      </c>
      <c r="F8" s="149" t="s">
        <v>340</v>
      </c>
      <c r="G8" s="149"/>
      <c r="H8" s="164" t="s">
        <v>341</v>
      </c>
      <c r="I8" s="150"/>
      <c r="J8" s="150" t="s">
        <v>342</v>
      </c>
      <c r="K8" s="150"/>
      <c r="L8" s="149" t="s">
        <v>343</v>
      </c>
      <c r="M8" s="149"/>
      <c r="N8" s="150" t="s">
        <v>344</v>
      </c>
      <c r="O8" s="150"/>
      <c r="P8" s="150" t="s">
        <v>345</v>
      </c>
      <c r="Q8" s="150"/>
      <c r="R8" s="150" t="s">
        <v>346</v>
      </c>
      <c r="S8" s="150"/>
      <c r="T8" s="33" t="s">
        <v>337</v>
      </c>
      <c r="U8" s="28" t="s">
        <v>368</v>
      </c>
      <c r="V8" s="33" t="s">
        <v>338</v>
      </c>
      <c r="W8" s="28" t="s">
        <v>369</v>
      </c>
      <c r="X8" s="33" t="s">
        <v>339</v>
      </c>
      <c r="Y8" s="28" t="s">
        <v>370</v>
      </c>
      <c r="Z8" s="147"/>
      <c r="AA8" s="147"/>
      <c r="AB8" s="147"/>
      <c r="AC8" s="147"/>
      <c r="AD8" s="148"/>
    </row>
    <row r="9" spans="1:30" ht="27" thickBot="1">
      <c r="A9" s="167" t="s">
        <v>347</v>
      </c>
      <c r="B9" s="168"/>
      <c r="C9" s="169"/>
      <c r="D9" s="158" t="s">
        <v>348</v>
      </c>
      <c r="E9" s="158"/>
      <c r="F9" s="158" t="s">
        <v>349</v>
      </c>
      <c r="G9" s="158"/>
      <c r="H9" s="158" t="s">
        <v>350</v>
      </c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 t="s">
        <v>351</v>
      </c>
      <c r="T9" s="158"/>
      <c r="U9" s="158" t="s">
        <v>352</v>
      </c>
      <c r="V9" s="158"/>
      <c r="W9" s="158" t="s">
        <v>347</v>
      </c>
      <c r="X9" s="158"/>
      <c r="Y9" s="186"/>
      <c r="Z9" s="186"/>
      <c r="AA9" s="158" t="s">
        <v>353</v>
      </c>
      <c r="AB9" s="158"/>
      <c r="AC9" s="186"/>
      <c r="AD9" s="187"/>
    </row>
    <row r="10" spans="1:30" ht="27" thickBot="1">
      <c r="A10" s="173"/>
      <c r="B10" s="174"/>
      <c r="C10" s="175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 t="s">
        <v>354</v>
      </c>
      <c r="Z10" s="159"/>
      <c r="AA10" s="159" t="s">
        <v>355</v>
      </c>
      <c r="AB10" s="159"/>
      <c r="AC10" s="159" t="s">
        <v>356</v>
      </c>
      <c r="AD10" s="188"/>
    </row>
    <row r="11" spans="1:30" ht="16.5" thickTop="1" thickBot="1"/>
    <row r="12" spans="1:30" ht="27" thickTop="1">
      <c r="A12" s="165" t="s">
        <v>299</v>
      </c>
      <c r="B12" s="166"/>
      <c r="C12" s="176" t="s">
        <v>384</v>
      </c>
      <c r="D12" s="177"/>
      <c r="E12" s="178" t="s">
        <v>385</v>
      </c>
      <c r="F12" s="179"/>
      <c r="G12" s="176" t="s">
        <v>386</v>
      </c>
      <c r="H12" s="177"/>
      <c r="I12" s="178" t="s">
        <v>387</v>
      </c>
      <c r="J12" s="179"/>
      <c r="K12" s="178" t="s">
        <v>388</v>
      </c>
      <c r="L12" s="179"/>
      <c r="M12" s="176" t="s">
        <v>389</v>
      </c>
      <c r="N12" s="177"/>
      <c r="O12" s="178" t="s">
        <v>390</v>
      </c>
      <c r="P12" s="179"/>
      <c r="Q12" s="178" t="s">
        <v>391</v>
      </c>
      <c r="R12" s="179"/>
      <c r="S12" s="178" t="s">
        <v>392</v>
      </c>
      <c r="T12" s="179"/>
      <c r="U12" s="178" t="s">
        <v>393</v>
      </c>
      <c r="V12" s="179"/>
      <c r="W12" s="161" t="s">
        <v>301</v>
      </c>
      <c r="X12" s="161"/>
      <c r="Y12" s="155" t="s">
        <v>302</v>
      </c>
      <c r="Z12" s="155"/>
      <c r="AA12" s="191" t="s">
        <v>303</v>
      </c>
      <c r="AB12" s="191"/>
      <c r="AC12" s="191"/>
      <c r="AD12" s="192"/>
    </row>
    <row r="13" spans="1:30" s="43" customFormat="1" ht="27" customHeight="1" thickBot="1">
      <c r="A13" s="36" t="str">
        <f t="shared" ref="A13:F13" si="0">DEC2HEX(fromutf16(A2),4)</f>
        <v>003B</v>
      </c>
      <c r="B13" s="37" t="str">
        <f t="shared" si="0"/>
        <v>00B0</v>
      </c>
      <c r="C13" s="38" t="str">
        <f t="shared" si="0"/>
        <v>002B</v>
      </c>
      <c r="D13" s="39" t="str">
        <f t="shared" si="0"/>
        <v>0661</v>
      </c>
      <c r="E13" s="40" t="str">
        <f t="shared" si="0"/>
        <v>0040</v>
      </c>
      <c r="F13" s="39" t="str">
        <f t="shared" si="0"/>
        <v>0662</v>
      </c>
      <c r="G13" s="41" t="s">
        <v>162</v>
      </c>
      <c r="H13" s="39" t="str">
        <f>DEC2HEX(fromutf16(H2),4)</f>
        <v>0663</v>
      </c>
      <c r="I13" s="40" t="str">
        <f>DEC2HEX(fromutf16(I2),4)</f>
        <v>0024</v>
      </c>
      <c r="J13" s="39" t="str">
        <f>DEC2HEX(fromutf16(J2),4)</f>
        <v>0664</v>
      </c>
      <c r="K13" s="40" t="str">
        <f>DEC2HEX(fromutf16(K2),4)</f>
        <v>0025</v>
      </c>
      <c r="L13" s="39" t="str">
        <f>DEC2HEX(fromutf16(L2),4)</f>
        <v>0665</v>
      </c>
      <c r="M13" s="41" t="s">
        <v>154</v>
      </c>
      <c r="N13" s="39" t="str">
        <f t="shared" ref="N13:X13" si="1">DEC2HEX(fromutf16(N2),4)</f>
        <v>0666</v>
      </c>
      <c r="O13" s="40" t="str">
        <f t="shared" si="1"/>
        <v>0026</v>
      </c>
      <c r="P13" s="39" t="str">
        <f t="shared" si="1"/>
        <v>0667</v>
      </c>
      <c r="Q13" s="40" t="str">
        <f t="shared" si="1"/>
        <v>002A</v>
      </c>
      <c r="R13" s="39" t="str">
        <f t="shared" si="1"/>
        <v>0668</v>
      </c>
      <c r="S13" s="40" t="str">
        <f t="shared" si="1"/>
        <v>0028</v>
      </c>
      <c r="T13" s="39" t="str">
        <f t="shared" si="1"/>
        <v>0669</v>
      </c>
      <c r="U13" s="40" t="str">
        <f t="shared" si="1"/>
        <v>0029</v>
      </c>
      <c r="V13" s="39" t="str">
        <f t="shared" si="1"/>
        <v>0660</v>
      </c>
      <c r="W13" s="42" t="str">
        <f t="shared" si="1"/>
        <v>003D</v>
      </c>
      <c r="X13" s="37" t="str">
        <f t="shared" si="1"/>
        <v>0025</v>
      </c>
      <c r="Y13" s="180" t="s">
        <v>162</v>
      </c>
      <c r="Z13" s="181"/>
      <c r="AA13" s="147"/>
      <c r="AB13" s="147"/>
      <c r="AC13" s="147"/>
      <c r="AD13" s="148"/>
    </row>
    <row r="14" spans="1:30" ht="26.25">
      <c r="A14" s="167" t="s">
        <v>304</v>
      </c>
      <c r="B14" s="168"/>
      <c r="C14" s="169"/>
      <c r="D14" s="151" t="s">
        <v>290</v>
      </c>
      <c r="E14" s="151"/>
      <c r="F14" s="151" t="s">
        <v>288</v>
      </c>
      <c r="G14" s="151"/>
      <c r="H14" s="152" t="s">
        <v>305</v>
      </c>
      <c r="I14" s="152"/>
      <c r="J14" s="151" t="s">
        <v>280</v>
      </c>
      <c r="K14" s="151"/>
      <c r="L14" s="151" t="s">
        <v>277</v>
      </c>
      <c r="M14" s="151"/>
      <c r="N14" s="151" t="s">
        <v>281</v>
      </c>
      <c r="O14" s="151"/>
      <c r="P14" s="152" t="s">
        <v>306</v>
      </c>
      <c r="Q14" s="152"/>
      <c r="R14" s="152" t="s">
        <v>296</v>
      </c>
      <c r="S14" s="152"/>
      <c r="T14" s="152" t="s">
        <v>297</v>
      </c>
      <c r="U14" s="152"/>
      <c r="V14" s="152" t="s">
        <v>295</v>
      </c>
      <c r="W14" s="152"/>
      <c r="X14" s="151" t="s">
        <v>307</v>
      </c>
      <c r="Y14" s="151"/>
      <c r="Z14" s="156" t="s">
        <v>308</v>
      </c>
      <c r="AA14" s="156"/>
      <c r="AB14" s="193"/>
      <c r="AC14" s="195" t="s">
        <v>309</v>
      </c>
      <c r="AD14" s="146"/>
    </row>
    <row r="15" spans="1:30" s="43" customFormat="1" ht="27" customHeight="1" thickBot="1">
      <c r="A15" s="170"/>
      <c r="B15" s="171"/>
      <c r="C15" s="172"/>
      <c r="D15" s="180" t="s">
        <v>170</v>
      </c>
      <c r="E15" s="181"/>
      <c r="F15" s="180" t="s">
        <v>176</v>
      </c>
      <c r="G15" s="181"/>
      <c r="H15" s="182" t="s">
        <v>164</v>
      </c>
      <c r="I15" s="183"/>
      <c r="J15" s="180" t="s">
        <v>160</v>
      </c>
      <c r="K15" s="181"/>
      <c r="L15" s="180" t="s">
        <v>152</v>
      </c>
      <c r="M15" s="181"/>
      <c r="N15" s="180" t="s">
        <v>161</v>
      </c>
      <c r="O15" s="181"/>
      <c r="P15" s="182" t="s">
        <v>166</v>
      </c>
      <c r="Q15" s="183"/>
      <c r="R15" s="182" t="s">
        <v>155</v>
      </c>
      <c r="S15" s="183"/>
      <c r="T15" s="182" t="s">
        <v>159</v>
      </c>
      <c r="U15" s="183"/>
      <c r="V15" s="182" t="s">
        <v>153</v>
      </c>
      <c r="W15" s="183"/>
      <c r="X15" s="180" t="s">
        <v>154</v>
      </c>
      <c r="Y15" s="181"/>
      <c r="Z15" s="42" t="str">
        <f>DEC2HEX(fromutf16(Z4),4)</f>
        <v>0029</v>
      </c>
      <c r="AA15" s="37" t="str">
        <f>DEC2HEX(fromutf16(AA4),4)</f>
        <v>0028</v>
      </c>
      <c r="AB15" s="194"/>
      <c r="AC15" s="169"/>
      <c r="AD15" s="196"/>
    </row>
    <row r="16" spans="1:30" ht="26.25">
      <c r="A16" s="167" t="s">
        <v>320</v>
      </c>
      <c r="B16" s="168"/>
      <c r="C16" s="168"/>
      <c r="D16" s="169"/>
      <c r="E16" s="151" t="s">
        <v>292</v>
      </c>
      <c r="F16" s="151"/>
      <c r="G16" s="151" t="s">
        <v>282</v>
      </c>
      <c r="H16" s="151"/>
      <c r="I16" s="151" t="s">
        <v>279</v>
      </c>
      <c r="J16" s="151"/>
      <c r="K16" s="151" t="s">
        <v>283</v>
      </c>
      <c r="L16" s="151"/>
      <c r="M16" s="151" t="s">
        <v>293</v>
      </c>
      <c r="N16" s="151"/>
      <c r="O16" s="151" t="s">
        <v>287</v>
      </c>
      <c r="P16" s="151"/>
      <c r="Q16" s="151" t="s">
        <v>289</v>
      </c>
      <c r="R16" s="151"/>
      <c r="S16" s="151" t="s">
        <v>284</v>
      </c>
      <c r="T16" s="151"/>
      <c r="U16" s="151" t="s">
        <v>285</v>
      </c>
      <c r="V16" s="151"/>
      <c r="W16" s="157" t="s">
        <v>321</v>
      </c>
      <c r="X16" s="157"/>
      <c r="Y16" s="156" t="s">
        <v>322</v>
      </c>
      <c r="Z16" s="156"/>
      <c r="AA16" s="157" t="s">
        <v>323</v>
      </c>
      <c r="AB16" s="157"/>
      <c r="AC16" s="197"/>
      <c r="AD16" s="196"/>
    </row>
    <row r="17" spans="1:30" s="43" customFormat="1" ht="27" customHeight="1" thickBot="1">
      <c r="A17" s="170"/>
      <c r="B17" s="171"/>
      <c r="C17" s="171"/>
      <c r="D17" s="172"/>
      <c r="E17" s="180" t="s">
        <v>150</v>
      </c>
      <c r="F17" s="181"/>
      <c r="G17" s="180" t="s">
        <v>163</v>
      </c>
      <c r="H17" s="181"/>
      <c r="I17" s="180" t="s">
        <v>158</v>
      </c>
      <c r="J17" s="181"/>
      <c r="K17" s="180" t="s">
        <v>169</v>
      </c>
      <c r="L17" s="181"/>
      <c r="M17" s="180" t="s">
        <v>168</v>
      </c>
      <c r="N17" s="181"/>
      <c r="O17" s="180" t="s">
        <v>175</v>
      </c>
      <c r="P17" s="181"/>
      <c r="Q17" s="180" t="s">
        <v>406</v>
      </c>
      <c r="R17" s="181"/>
      <c r="S17" s="180" t="s">
        <v>171</v>
      </c>
      <c r="T17" s="181"/>
      <c r="U17" s="180" t="s">
        <v>172</v>
      </c>
      <c r="V17" s="181"/>
      <c r="W17" s="45" t="str">
        <f>DEC2HEX(fromutf16(W6),4)</f>
        <v>0027</v>
      </c>
      <c r="X17" s="44" t="str">
        <f>DEC2HEX(fromutf16(X6),4)</f>
        <v>0022</v>
      </c>
      <c r="Y17" s="42" t="str">
        <f>DEC2HEX(fromutf16(Y6),4)</f>
        <v>00A7</v>
      </c>
      <c r="Z17" s="37" t="str">
        <f>DEC2HEX(fromutf16(Z6),4)</f>
        <v>0021</v>
      </c>
      <c r="AA17" s="38" t="str">
        <f>DEC2HEX(fromutf16(AA6),4)</f>
        <v>005C</v>
      </c>
      <c r="AB17" s="39" t="s">
        <v>149</v>
      </c>
      <c r="AC17" s="147"/>
      <c r="AD17" s="148"/>
    </row>
    <row r="18" spans="1:30" ht="26.25">
      <c r="A18" s="167" t="s">
        <v>333</v>
      </c>
      <c r="B18" s="168"/>
      <c r="C18" s="169"/>
      <c r="D18" s="160" t="s">
        <v>334</v>
      </c>
      <c r="E18" s="156"/>
      <c r="F18" s="152" t="s">
        <v>335</v>
      </c>
      <c r="G18" s="152"/>
      <c r="H18" s="151" t="s">
        <v>278</v>
      </c>
      <c r="I18" s="151"/>
      <c r="J18" s="151" t="s">
        <v>294</v>
      </c>
      <c r="K18" s="151"/>
      <c r="L18" s="152" t="s">
        <v>336</v>
      </c>
      <c r="M18" s="152"/>
      <c r="N18" s="151" t="s">
        <v>276</v>
      </c>
      <c r="O18" s="151"/>
      <c r="P18" s="151" t="s">
        <v>286</v>
      </c>
      <c r="Q18" s="151"/>
      <c r="R18" s="151" t="s">
        <v>275</v>
      </c>
      <c r="S18" s="151"/>
      <c r="T18" s="156" t="s">
        <v>337</v>
      </c>
      <c r="U18" s="156"/>
      <c r="V18" s="156" t="s">
        <v>338</v>
      </c>
      <c r="W18" s="156"/>
      <c r="X18" s="156" t="s">
        <v>339</v>
      </c>
      <c r="Y18" s="156"/>
      <c r="Z18" s="145" t="s">
        <v>333</v>
      </c>
      <c r="AA18" s="145"/>
      <c r="AB18" s="145"/>
      <c r="AC18" s="145"/>
      <c r="AD18" s="146"/>
    </row>
    <row r="19" spans="1:30" s="43" customFormat="1" ht="27" customHeight="1" thickBot="1">
      <c r="A19" s="170"/>
      <c r="B19" s="171"/>
      <c r="C19" s="172"/>
      <c r="D19" s="42" t="str">
        <f>DEC2HEX(fromutf16(D8),4)</f>
        <v>005C</v>
      </c>
      <c r="E19" s="37" t="str">
        <f>DEC2HEX(fromutf16(E8),4)</f>
        <v>007C</v>
      </c>
      <c r="F19" s="182" t="s">
        <v>383</v>
      </c>
      <c r="G19" s="183"/>
      <c r="H19" s="184" t="s">
        <v>157</v>
      </c>
      <c r="I19" s="185"/>
      <c r="J19" s="180" t="s">
        <v>167</v>
      </c>
      <c r="K19" s="181"/>
      <c r="L19" s="182" t="s">
        <v>165</v>
      </c>
      <c r="M19" s="183"/>
      <c r="N19" s="180" t="s">
        <v>151</v>
      </c>
      <c r="O19" s="181"/>
      <c r="P19" s="180" t="s">
        <v>174</v>
      </c>
      <c r="Q19" s="181"/>
      <c r="R19" s="180" t="s">
        <v>173</v>
      </c>
      <c r="S19" s="181"/>
      <c r="T19" s="42" t="str">
        <f t="shared" ref="T19:Y19" si="2">DEC2HEX(fromutf16(T8),4)</f>
        <v>002C</v>
      </c>
      <c r="U19" s="37" t="str">
        <f t="shared" si="2"/>
        <v>003F</v>
      </c>
      <c r="V19" s="42" t="str">
        <f t="shared" si="2"/>
        <v>002E</v>
      </c>
      <c r="W19" s="37" t="str">
        <f t="shared" si="2"/>
        <v>003A</v>
      </c>
      <c r="X19" s="42" t="str">
        <f t="shared" si="2"/>
        <v>002D</v>
      </c>
      <c r="Y19" s="37" t="str">
        <f t="shared" si="2"/>
        <v>005F</v>
      </c>
      <c r="Z19" s="147"/>
      <c r="AA19" s="147"/>
      <c r="AB19" s="147"/>
      <c r="AC19" s="147"/>
      <c r="AD19" s="148"/>
    </row>
    <row r="20" spans="1:30" ht="27" thickBot="1">
      <c r="A20" s="167" t="s">
        <v>347</v>
      </c>
      <c r="B20" s="168"/>
      <c r="C20" s="169"/>
      <c r="D20" s="158" t="s">
        <v>348</v>
      </c>
      <c r="E20" s="158"/>
      <c r="F20" s="158" t="s">
        <v>349</v>
      </c>
      <c r="G20" s="158"/>
      <c r="H20" s="158" t="s">
        <v>350</v>
      </c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 t="s">
        <v>351</v>
      </c>
      <c r="T20" s="158"/>
      <c r="U20" s="158" t="s">
        <v>352</v>
      </c>
      <c r="V20" s="158"/>
      <c r="W20" s="158" t="s">
        <v>347</v>
      </c>
      <c r="X20" s="158"/>
      <c r="Y20" s="186"/>
      <c r="Z20" s="186"/>
      <c r="AA20" s="158" t="s">
        <v>353</v>
      </c>
      <c r="AB20" s="158"/>
      <c r="AC20" s="186"/>
      <c r="AD20" s="187"/>
    </row>
    <row r="21" spans="1:30" ht="27" thickBot="1">
      <c r="A21" s="173"/>
      <c r="B21" s="174"/>
      <c r="C21" s="175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 t="s">
        <v>354</v>
      </c>
      <c r="Z21" s="159"/>
      <c r="AA21" s="159" t="s">
        <v>355</v>
      </c>
      <c r="AB21" s="159"/>
      <c r="AC21" s="159" t="s">
        <v>356</v>
      </c>
      <c r="AD21" s="188"/>
    </row>
    <row r="22" spans="1:30" ht="15.75" thickTop="1"/>
  </sheetData>
  <mergeCells count="194">
    <mergeCell ref="AA20:AB20"/>
    <mergeCell ref="AC20:AD20"/>
    <mergeCell ref="Y21:Z21"/>
    <mergeCell ref="AA21:AB21"/>
    <mergeCell ref="AC21:AD21"/>
    <mergeCell ref="Y2:Z2"/>
    <mergeCell ref="X4:Y4"/>
    <mergeCell ref="Y13:Z13"/>
    <mergeCell ref="X15:Y15"/>
    <mergeCell ref="Y16:Z16"/>
    <mergeCell ref="AA16:AB16"/>
    <mergeCell ref="Y12:Z12"/>
    <mergeCell ref="AA12:AD13"/>
    <mergeCell ref="AC9:AD9"/>
    <mergeCell ref="AC10:AD10"/>
    <mergeCell ref="W9:X10"/>
    <mergeCell ref="Y10:Z10"/>
    <mergeCell ref="Y9:Z9"/>
    <mergeCell ref="Z14:AA14"/>
    <mergeCell ref="AB14:AB15"/>
    <mergeCell ref="AC14:AD17"/>
    <mergeCell ref="AA1:AD2"/>
    <mergeCell ref="AB3:AB4"/>
    <mergeCell ref="AC3:AD6"/>
    <mergeCell ref="A20:C21"/>
    <mergeCell ref="D20:E21"/>
    <mergeCell ref="F20:G21"/>
    <mergeCell ref="H20:I21"/>
    <mergeCell ref="J20:R21"/>
    <mergeCell ref="S20:T21"/>
    <mergeCell ref="U20:V21"/>
    <mergeCell ref="W20:X21"/>
    <mergeCell ref="Y20:Z20"/>
    <mergeCell ref="T18:U18"/>
    <mergeCell ref="V18:W18"/>
    <mergeCell ref="X18:Y18"/>
    <mergeCell ref="Z18:AD19"/>
    <mergeCell ref="F19:G19"/>
    <mergeCell ref="H19:I19"/>
    <mergeCell ref="J19:K19"/>
    <mergeCell ref="L19:M19"/>
    <mergeCell ref="N19:O19"/>
    <mergeCell ref="P19:Q19"/>
    <mergeCell ref="R19:S19"/>
    <mergeCell ref="A18:C19"/>
    <mergeCell ref="D18:E18"/>
    <mergeCell ref="F18:G18"/>
    <mergeCell ref="H18:I18"/>
    <mergeCell ref="J18:K18"/>
    <mergeCell ref="L18:M18"/>
    <mergeCell ref="N18:O18"/>
    <mergeCell ref="P18:Q18"/>
    <mergeCell ref="R18:S18"/>
    <mergeCell ref="E17:F17"/>
    <mergeCell ref="G17:H17"/>
    <mergeCell ref="I17:J17"/>
    <mergeCell ref="K17:L17"/>
    <mergeCell ref="M17:N17"/>
    <mergeCell ref="O17:P17"/>
    <mergeCell ref="Q17:R17"/>
    <mergeCell ref="S17:T17"/>
    <mergeCell ref="U17:V17"/>
    <mergeCell ref="N14:O14"/>
    <mergeCell ref="P14:Q14"/>
    <mergeCell ref="R14:S14"/>
    <mergeCell ref="T14:U14"/>
    <mergeCell ref="V14:W14"/>
    <mergeCell ref="X14:Y14"/>
    <mergeCell ref="D15:E15"/>
    <mergeCell ref="F15:G15"/>
    <mergeCell ref="H15:I15"/>
    <mergeCell ref="J15:K15"/>
    <mergeCell ref="L15:M15"/>
    <mergeCell ref="N15:O15"/>
    <mergeCell ref="P15:Q15"/>
    <mergeCell ref="R15:S15"/>
    <mergeCell ref="T15:U15"/>
    <mergeCell ref="V15:W15"/>
    <mergeCell ref="K12:L12"/>
    <mergeCell ref="M12:N12"/>
    <mergeCell ref="O12:P12"/>
    <mergeCell ref="Q12:R12"/>
    <mergeCell ref="S12:T12"/>
    <mergeCell ref="U12:V12"/>
    <mergeCell ref="W12:X12"/>
    <mergeCell ref="A16:D17"/>
    <mergeCell ref="E16:F16"/>
    <mergeCell ref="G16:H16"/>
    <mergeCell ref="I16:J16"/>
    <mergeCell ref="K16:L16"/>
    <mergeCell ref="M16:N16"/>
    <mergeCell ref="O16:P16"/>
    <mergeCell ref="Q16:R16"/>
    <mergeCell ref="S16:T16"/>
    <mergeCell ref="U16:V16"/>
    <mergeCell ref="W16:X16"/>
    <mergeCell ref="A14:C15"/>
    <mergeCell ref="D14:E14"/>
    <mergeCell ref="F14:G14"/>
    <mergeCell ref="H14:I14"/>
    <mergeCell ref="J14:K14"/>
    <mergeCell ref="L14:M14"/>
    <mergeCell ref="A9:C10"/>
    <mergeCell ref="A12:B12"/>
    <mergeCell ref="C12:D12"/>
    <mergeCell ref="E12:F12"/>
    <mergeCell ref="E5:F5"/>
    <mergeCell ref="D3:E3"/>
    <mergeCell ref="F3:G3"/>
    <mergeCell ref="G12:H12"/>
    <mergeCell ref="I12:J12"/>
    <mergeCell ref="G1:H1"/>
    <mergeCell ref="I1:J1"/>
    <mergeCell ref="K1:L1"/>
    <mergeCell ref="M1:N1"/>
    <mergeCell ref="O1:P1"/>
    <mergeCell ref="A1:B1"/>
    <mergeCell ref="A3:C4"/>
    <mergeCell ref="A5:D6"/>
    <mergeCell ref="A7:C8"/>
    <mergeCell ref="S9:T10"/>
    <mergeCell ref="U9:V10"/>
    <mergeCell ref="G5:H5"/>
    <mergeCell ref="I5:J5"/>
    <mergeCell ref="K5:L5"/>
    <mergeCell ref="M5:N5"/>
    <mergeCell ref="O5:P5"/>
    <mergeCell ref="Q1:R1"/>
    <mergeCell ref="S1:T1"/>
    <mergeCell ref="U1:V1"/>
    <mergeCell ref="M6:N6"/>
    <mergeCell ref="K6:L6"/>
    <mergeCell ref="V3:W3"/>
    <mergeCell ref="J8:K8"/>
    <mergeCell ref="H8:I8"/>
    <mergeCell ref="F8:G8"/>
    <mergeCell ref="E6:F6"/>
    <mergeCell ref="D4:E4"/>
    <mergeCell ref="H3:I3"/>
    <mergeCell ref="J3:K3"/>
    <mergeCell ref="L3:M3"/>
    <mergeCell ref="N3:O3"/>
    <mergeCell ref="P3:Q3"/>
    <mergeCell ref="E1:F1"/>
    <mergeCell ref="Y1:Z1"/>
    <mergeCell ref="Y5:Z5"/>
    <mergeCell ref="AA5:AB5"/>
    <mergeCell ref="Z3:AA3"/>
    <mergeCell ref="AA9:AB9"/>
    <mergeCell ref="D9:E10"/>
    <mergeCell ref="F9:G10"/>
    <mergeCell ref="R7:S7"/>
    <mergeCell ref="T7:U7"/>
    <mergeCell ref="V7:W7"/>
    <mergeCell ref="X7:Y7"/>
    <mergeCell ref="D7:E7"/>
    <mergeCell ref="W1:X1"/>
    <mergeCell ref="C1:D1"/>
    <mergeCell ref="Q5:R5"/>
    <mergeCell ref="S5:T5"/>
    <mergeCell ref="U5:V5"/>
    <mergeCell ref="W5:X5"/>
    <mergeCell ref="F7:G7"/>
    <mergeCell ref="AA10:AB10"/>
    <mergeCell ref="H9:I10"/>
    <mergeCell ref="J9:R10"/>
    <mergeCell ref="R3:S3"/>
    <mergeCell ref="T3:U3"/>
    <mergeCell ref="X3:Y3"/>
    <mergeCell ref="V4:W4"/>
    <mergeCell ref="T4:U4"/>
    <mergeCell ref="R4:S4"/>
    <mergeCell ref="U6:V6"/>
    <mergeCell ref="S6:T6"/>
    <mergeCell ref="Q6:R6"/>
    <mergeCell ref="N8:O8"/>
    <mergeCell ref="L8:M8"/>
    <mergeCell ref="Z7:AD8"/>
    <mergeCell ref="P4:Q4"/>
    <mergeCell ref="N4:O4"/>
    <mergeCell ref="L4:M4"/>
    <mergeCell ref="J4:K4"/>
    <mergeCell ref="H4:I4"/>
    <mergeCell ref="R8:S8"/>
    <mergeCell ref="P8:Q8"/>
    <mergeCell ref="I6:J6"/>
    <mergeCell ref="G6:H6"/>
    <mergeCell ref="F4:G4"/>
    <mergeCell ref="H7:I7"/>
    <mergeCell ref="J7:K7"/>
    <mergeCell ref="L7:M7"/>
    <mergeCell ref="N7:O7"/>
    <mergeCell ref="P7:Q7"/>
    <mergeCell ref="O6:P6"/>
  </mergeCells>
  <pageMargins left="0.7" right="0.7" top="0.78740157499999996" bottom="0.78740157499999996" header="0.3" footer="0.3"/>
  <pageSetup paperSize="9"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List3"/>
  <dimension ref="A1:AV44"/>
  <sheetViews>
    <sheetView workbookViewId="0"/>
  </sheetViews>
  <sheetFormatPr defaultColWidth="8.7109375" defaultRowHeight="15"/>
  <cols>
    <col min="1" max="1" width="3" style="19" customWidth="1"/>
    <col min="2" max="14" width="8.7109375" style="19"/>
    <col min="15" max="15" width="8.7109375" style="19" customWidth="1"/>
    <col min="16" max="47" width="8.7109375" style="19"/>
    <col min="48" max="48" width="3" style="19" customWidth="1"/>
    <col min="49" max="16384" width="8.7109375" style="19"/>
  </cols>
  <sheetData>
    <row r="1" spans="1:48" ht="16.5" thickTop="1" thickBot="1">
      <c r="A1" s="50"/>
      <c r="B1" s="245" t="s">
        <v>462</v>
      </c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  <c r="U1" s="245"/>
      <c r="V1" s="245"/>
      <c r="W1" s="245"/>
      <c r="X1" s="245"/>
      <c r="Y1" s="245"/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5"/>
      <c r="AP1" s="245"/>
      <c r="AQ1" s="245"/>
      <c r="AR1" s="245"/>
      <c r="AS1" s="245"/>
      <c r="AT1" s="245"/>
      <c r="AU1" s="245"/>
      <c r="AV1" s="51"/>
    </row>
    <row r="2" spans="1:48">
      <c r="A2" s="246"/>
      <c r="B2" s="199" t="s">
        <v>412</v>
      </c>
      <c r="C2" s="200"/>
      <c r="D2" s="239"/>
      <c r="E2" s="247"/>
      <c r="F2" s="241" t="s">
        <v>413</v>
      </c>
      <c r="G2" s="241"/>
      <c r="H2" s="241" t="s">
        <v>414</v>
      </c>
      <c r="I2" s="241"/>
      <c r="J2" s="241" t="s">
        <v>415</v>
      </c>
      <c r="K2" s="241"/>
      <c r="L2" s="241" t="s">
        <v>416</v>
      </c>
      <c r="M2" s="241"/>
      <c r="N2" s="240"/>
      <c r="O2" s="199" t="s">
        <v>417</v>
      </c>
      <c r="P2" s="220"/>
      <c r="Q2" s="220" t="s">
        <v>418</v>
      </c>
      <c r="R2" s="220"/>
      <c r="S2" s="220" t="s">
        <v>419</v>
      </c>
      <c r="T2" s="220"/>
      <c r="U2" s="220" t="s">
        <v>420</v>
      </c>
      <c r="V2" s="200"/>
      <c r="W2" s="240"/>
      <c r="X2" s="199" t="s">
        <v>421</v>
      </c>
      <c r="Y2" s="200"/>
      <c r="Z2" s="199" t="s">
        <v>422</v>
      </c>
      <c r="AA2" s="200"/>
      <c r="AB2" s="199" t="s">
        <v>423</v>
      </c>
      <c r="AC2" s="200"/>
      <c r="AD2" s="199" t="s">
        <v>424</v>
      </c>
      <c r="AE2" s="200"/>
      <c r="AF2" s="240"/>
      <c r="AG2" s="199" t="s">
        <v>425</v>
      </c>
      <c r="AH2" s="200"/>
      <c r="AI2" s="199" t="s">
        <v>426</v>
      </c>
      <c r="AJ2" s="200"/>
      <c r="AK2" s="199" t="s">
        <v>427</v>
      </c>
      <c r="AL2" s="200"/>
      <c r="AM2" s="239"/>
      <c r="AN2" s="124"/>
      <c r="AO2" s="124"/>
      <c r="AP2" s="124"/>
      <c r="AQ2" s="124"/>
      <c r="AR2" s="124"/>
      <c r="AS2" s="124"/>
      <c r="AT2" s="124"/>
      <c r="AU2" s="124"/>
      <c r="AV2" s="236"/>
    </row>
    <row r="3" spans="1:48" s="52" customFormat="1" ht="26.25">
      <c r="A3" s="246"/>
      <c r="B3" s="201"/>
      <c r="C3" s="202"/>
      <c r="D3" s="239"/>
      <c r="E3" s="247"/>
      <c r="F3" s="242"/>
      <c r="G3" s="242"/>
      <c r="H3" s="242"/>
      <c r="I3" s="242"/>
      <c r="J3" s="242"/>
      <c r="K3" s="242"/>
      <c r="L3" s="242"/>
      <c r="M3" s="242"/>
      <c r="N3" s="240"/>
      <c r="O3" s="201"/>
      <c r="P3" s="221"/>
      <c r="Q3" s="221"/>
      <c r="R3" s="221"/>
      <c r="S3" s="221"/>
      <c r="T3" s="221"/>
      <c r="U3" s="221"/>
      <c r="V3" s="202"/>
      <c r="W3" s="240"/>
      <c r="X3" s="201"/>
      <c r="Y3" s="202"/>
      <c r="Z3" s="201"/>
      <c r="AA3" s="202"/>
      <c r="AB3" s="201"/>
      <c r="AC3" s="202"/>
      <c r="AD3" s="201"/>
      <c r="AE3" s="202"/>
      <c r="AF3" s="240"/>
      <c r="AG3" s="201"/>
      <c r="AH3" s="202"/>
      <c r="AI3" s="201"/>
      <c r="AJ3" s="202"/>
      <c r="AK3" s="201"/>
      <c r="AL3" s="202"/>
      <c r="AM3" s="239"/>
      <c r="AN3" s="124"/>
      <c r="AO3" s="124"/>
      <c r="AP3" s="237" t="s">
        <v>428</v>
      </c>
      <c r="AQ3" s="237"/>
      <c r="AR3" s="237" t="s">
        <v>428</v>
      </c>
      <c r="AS3" s="237"/>
      <c r="AT3" s="237" t="s">
        <v>428</v>
      </c>
      <c r="AU3" s="237"/>
      <c r="AV3" s="236"/>
    </row>
    <row r="4" spans="1:48" s="53" customFormat="1" ht="15.75" thickBot="1">
      <c r="A4" s="246"/>
      <c r="B4" s="203"/>
      <c r="C4" s="204"/>
      <c r="D4" s="239"/>
      <c r="E4" s="247"/>
      <c r="F4" s="243"/>
      <c r="G4" s="243"/>
      <c r="H4" s="243"/>
      <c r="I4" s="243"/>
      <c r="J4" s="243"/>
      <c r="K4" s="243"/>
      <c r="L4" s="243"/>
      <c r="M4" s="243"/>
      <c r="N4" s="240"/>
      <c r="O4" s="203"/>
      <c r="P4" s="222"/>
      <c r="Q4" s="222"/>
      <c r="R4" s="222"/>
      <c r="S4" s="222"/>
      <c r="T4" s="222"/>
      <c r="U4" s="222"/>
      <c r="V4" s="204"/>
      <c r="W4" s="240"/>
      <c r="X4" s="203"/>
      <c r="Y4" s="204"/>
      <c r="Z4" s="203"/>
      <c r="AA4" s="204"/>
      <c r="AB4" s="203"/>
      <c r="AC4" s="204"/>
      <c r="AD4" s="203"/>
      <c r="AE4" s="204"/>
      <c r="AF4" s="240"/>
      <c r="AG4" s="203"/>
      <c r="AH4" s="204"/>
      <c r="AI4" s="203"/>
      <c r="AJ4" s="204"/>
      <c r="AK4" s="203"/>
      <c r="AL4" s="204"/>
      <c r="AM4" s="239"/>
      <c r="AN4" s="124"/>
      <c r="AO4" s="124"/>
      <c r="AP4" s="238" t="s">
        <v>429</v>
      </c>
      <c r="AQ4" s="238"/>
      <c r="AR4" s="238" t="s">
        <v>320</v>
      </c>
      <c r="AS4" s="238"/>
      <c r="AT4" s="238" t="s">
        <v>430</v>
      </c>
      <c r="AU4" s="238"/>
      <c r="AV4" s="236"/>
    </row>
    <row r="5" spans="1:48" ht="15.75" thickBot="1">
      <c r="A5" s="246"/>
      <c r="B5" s="233"/>
      <c r="C5" s="233"/>
      <c r="D5" s="234"/>
      <c r="E5" s="234"/>
      <c r="F5" s="233"/>
      <c r="G5" s="233"/>
      <c r="H5" s="233"/>
      <c r="I5" s="233"/>
      <c r="J5" s="233"/>
      <c r="K5" s="233"/>
      <c r="L5" s="233"/>
      <c r="M5" s="233"/>
      <c r="N5" s="54"/>
      <c r="O5" s="233"/>
      <c r="P5" s="233"/>
      <c r="Q5" s="233"/>
      <c r="R5" s="233"/>
      <c r="S5" s="233"/>
      <c r="T5" s="233"/>
      <c r="U5" s="233"/>
      <c r="V5" s="233"/>
      <c r="W5" s="54"/>
      <c r="X5" s="233"/>
      <c r="Y5" s="233"/>
      <c r="Z5" s="233"/>
      <c r="AA5" s="233"/>
      <c r="AB5" s="233"/>
      <c r="AC5" s="233"/>
      <c r="AD5" s="233"/>
      <c r="AE5" s="233"/>
      <c r="AF5" s="48"/>
      <c r="AG5" s="235"/>
      <c r="AH5" s="235"/>
      <c r="AI5" s="235"/>
      <c r="AJ5" s="235"/>
      <c r="AK5" s="235"/>
      <c r="AL5" s="235"/>
      <c r="AM5" s="48"/>
      <c r="AN5" s="234"/>
      <c r="AO5" s="234"/>
      <c r="AP5" s="234"/>
      <c r="AQ5" s="234"/>
      <c r="AR5" s="234"/>
      <c r="AS5" s="234"/>
      <c r="AT5" s="234"/>
      <c r="AU5" s="234"/>
      <c r="AV5" s="236"/>
    </row>
    <row r="6" spans="1:48" s="55" customFormat="1" ht="15.75">
      <c r="A6" s="246"/>
      <c r="B6" s="205" t="s">
        <v>431</v>
      </c>
      <c r="C6" s="207"/>
      <c r="D6" s="205">
        <v>1</v>
      </c>
      <c r="E6" s="207"/>
      <c r="F6" s="205">
        <v>2</v>
      </c>
      <c r="G6" s="207"/>
      <c r="H6" s="205">
        <v>3</v>
      </c>
      <c r="I6" s="207"/>
      <c r="J6" s="205">
        <v>4</v>
      </c>
      <c r="K6" s="207"/>
      <c r="L6" s="205">
        <v>5</v>
      </c>
      <c r="M6" s="207"/>
      <c r="N6" s="205">
        <v>6</v>
      </c>
      <c r="O6" s="207"/>
      <c r="P6" s="205">
        <v>7</v>
      </c>
      <c r="Q6" s="207"/>
      <c r="R6" s="205">
        <v>8</v>
      </c>
      <c r="S6" s="207"/>
      <c r="T6" s="205">
        <v>9</v>
      </c>
      <c r="U6" s="207"/>
      <c r="V6" s="205">
        <v>0</v>
      </c>
      <c r="W6" s="207"/>
      <c r="X6" s="205" t="s">
        <v>432</v>
      </c>
      <c r="Y6" s="207"/>
      <c r="Z6" s="205" t="s">
        <v>433</v>
      </c>
      <c r="AA6" s="207"/>
      <c r="AB6" s="205" t="s">
        <v>434</v>
      </c>
      <c r="AC6" s="207"/>
      <c r="AD6" s="199" t="s">
        <v>435</v>
      </c>
      <c r="AE6" s="200"/>
      <c r="AF6" s="232"/>
      <c r="AG6" s="199" t="s">
        <v>436</v>
      </c>
      <c r="AH6" s="200"/>
      <c r="AI6" s="199" t="s">
        <v>437</v>
      </c>
      <c r="AJ6" s="200"/>
      <c r="AK6" s="199" t="s">
        <v>438</v>
      </c>
      <c r="AL6" s="200"/>
      <c r="AM6" s="232"/>
      <c r="AN6" s="199" t="s">
        <v>429</v>
      </c>
      <c r="AO6" s="220"/>
      <c r="AP6" s="205" t="s">
        <v>439</v>
      </c>
      <c r="AQ6" s="207"/>
      <c r="AR6" s="205" t="s">
        <v>363</v>
      </c>
      <c r="AS6" s="207"/>
      <c r="AT6" s="205" t="s">
        <v>339</v>
      </c>
      <c r="AU6" s="207"/>
      <c r="AV6" s="236"/>
    </row>
    <row r="7" spans="1:48" s="52" customFormat="1" ht="26.25">
      <c r="A7" s="246"/>
      <c r="B7" s="56" t="str">
        <f>IF(B8&lt;&gt;"",toUTF16(HEX2DEC(B8)),"")</f>
        <v>&gt;</v>
      </c>
      <c r="C7" s="57" t="str">
        <f>IF(C8&lt;&gt;"",toUTF16(HEX2DEC(C8)),"")</f>
        <v>&lt;</v>
      </c>
      <c r="D7" s="56" t="str">
        <f>IF(D8&lt;&gt;"",toUTF16(HEX2DEC(D8)),"")</f>
        <v>1</v>
      </c>
      <c r="E7" s="57" t="str">
        <f>IF(E8&lt;&gt;"",toUTF16(HEX2DEC(E8)),"")</f>
        <v>!</v>
      </c>
      <c r="F7" s="56" t="str">
        <f>IF(F8&lt;&gt;"",toUTF16(HEX2DEC(F8)),"")</f>
        <v>2</v>
      </c>
      <c r="G7" s="57" t="str">
        <f>IF(G8&lt;&gt;"",toUTF16(HEX2DEC(G8)),"")</f>
        <v>@</v>
      </c>
      <c r="H7" s="56" t="str">
        <f>IF(H8&lt;&gt;"",toUTF16(HEX2DEC(H8)),"")</f>
        <v>3</v>
      </c>
      <c r="I7" s="57" t="str">
        <f>IF(I8&lt;&gt;"",toUTF16(HEX2DEC(I8)),"")</f>
        <v>#</v>
      </c>
      <c r="J7" s="56" t="str">
        <f>IF(J8&lt;&gt;"",toUTF16(HEX2DEC(J8)),"")</f>
        <v>4</v>
      </c>
      <c r="K7" s="57" t="str">
        <f>IF(K8&lt;&gt;"",toUTF16(HEX2DEC(K8)),"")</f>
        <v>$</v>
      </c>
      <c r="L7" s="56" t="str">
        <f>IF(L8&lt;&gt;"",toUTF16(HEX2DEC(L8)),"")</f>
        <v>5</v>
      </c>
      <c r="M7" s="57" t="str">
        <f>IF(M8&lt;&gt;"",toUTF16(HEX2DEC(M8)),"")</f>
        <v>%</v>
      </c>
      <c r="N7" s="56" t="str">
        <f>IF(N8&lt;&gt;"",toUTF16(HEX2DEC(N8)),"")</f>
        <v>6</v>
      </c>
      <c r="O7" s="57" t="str">
        <f>IF(O8&lt;&gt;"",toUTF16(HEX2DEC(O8)),"")</f>
        <v>^</v>
      </c>
      <c r="P7" s="56" t="str">
        <f>IF(P8&lt;&gt;"",toUTF16(HEX2DEC(P8)),"")</f>
        <v>7</v>
      </c>
      <c r="Q7" s="57" t="str">
        <f>IF(Q8&lt;&gt;"",toUTF16(HEX2DEC(Q8)),"")</f>
        <v>&amp;</v>
      </c>
      <c r="R7" s="56" t="str">
        <f>IF(R8&lt;&gt;"",toUTF16(HEX2DEC(R8)),"")</f>
        <v>8</v>
      </c>
      <c r="S7" s="57" t="str">
        <f>IF(S8&lt;&gt;"",toUTF16(HEX2DEC(S8)),"")</f>
        <v>*</v>
      </c>
      <c r="T7" s="56" t="str">
        <f>IF(T8&lt;&gt;"",toUTF16(HEX2DEC(T8)),"")</f>
        <v>9</v>
      </c>
      <c r="U7" s="57" t="str">
        <f>IF(U8&lt;&gt;"",toUTF16(HEX2DEC(U8)),"")</f>
        <v>)</v>
      </c>
      <c r="V7" s="56" t="str">
        <f>IF(V8&lt;&gt;"",toUTF16(HEX2DEC(V8)),"")</f>
        <v>0</v>
      </c>
      <c r="W7" s="57" t="str">
        <f>IF(W8&lt;&gt;"",toUTF16(HEX2DEC(W8)),"")</f>
        <v>(</v>
      </c>
      <c r="X7" s="56" t="str">
        <f>IF(X8&lt;&gt;"",toUTF16(HEX2DEC(X8)),"")</f>
        <v>-</v>
      </c>
      <c r="Y7" s="57" t="str">
        <f>IF(Y8&lt;&gt;"",toUTF16(HEX2DEC(Y8)),"")</f>
        <v>_</v>
      </c>
      <c r="Z7" s="56" t="str">
        <f>IF(Z8&lt;&gt;"",toUTF16(HEX2DEC(Z8)),"")</f>
        <v>=</v>
      </c>
      <c r="AA7" s="57" t="str">
        <f>IF(AA8&lt;&gt;"",toUTF16(HEX2DEC(AA8)),"")</f>
        <v>+</v>
      </c>
      <c r="AB7" s="56" t="str">
        <f>IF(AB8&lt;&gt;"",toUTF16(HEX2DEC(AB8)),"")</f>
        <v>ذ</v>
      </c>
      <c r="AC7" s="58" t="str">
        <f>IF(AC8&lt;&gt;"",toUTF16(HEX2DEC(AC8)),"")</f>
        <v>ّ</v>
      </c>
      <c r="AD7" s="201"/>
      <c r="AE7" s="202"/>
      <c r="AF7" s="232"/>
      <c r="AG7" s="201"/>
      <c r="AH7" s="202"/>
      <c r="AI7" s="201"/>
      <c r="AJ7" s="202"/>
      <c r="AK7" s="201"/>
      <c r="AL7" s="202"/>
      <c r="AM7" s="232"/>
      <c r="AN7" s="201"/>
      <c r="AO7" s="221"/>
      <c r="AP7" s="56" t="str">
        <f>IF(AP8&lt;&gt;"",toUTF16(HEX2DEC(AP8)),"")</f>
        <v/>
      </c>
      <c r="AQ7" s="57" t="str">
        <f>IF(AQ8&lt;&gt;"",toUTF16(HEX2DEC(AQ8)),"")</f>
        <v/>
      </c>
      <c r="AR7" s="56" t="str">
        <f>IF(AR8&lt;&gt;"",toUTF16(HEX2DEC(AR8)),"")</f>
        <v/>
      </c>
      <c r="AS7" s="57" t="str">
        <f>IF(AS8&lt;&gt;"",toUTF16(HEX2DEC(AS8)),"")</f>
        <v/>
      </c>
      <c r="AT7" s="56" t="str">
        <f>IF(AT8&lt;&gt;"",toUTF16(HEX2DEC(AT8)),"")</f>
        <v/>
      </c>
      <c r="AU7" s="57" t="str">
        <f>IF(AU8&lt;&gt;"",toUTF16(HEX2DEC(AU8)),"")</f>
        <v/>
      </c>
      <c r="AV7" s="236"/>
    </row>
    <row r="8" spans="1:48" s="53" customFormat="1" ht="15.75" thickBot="1">
      <c r="A8" s="246"/>
      <c r="B8" s="59" t="s">
        <v>463</v>
      </c>
      <c r="C8" s="60" t="s">
        <v>481</v>
      </c>
      <c r="D8" s="61" t="s">
        <v>464</v>
      </c>
      <c r="E8" s="62" t="s">
        <v>482</v>
      </c>
      <c r="F8" s="61" t="s">
        <v>465</v>
      </c>
      <c r="G8" s="62" t="s">
        <v>483</v>
      </c>
      <c r="H8" s="61" t="s">
        <v>466</v>
      </c>
      <c r="I8" s="62" t="s">
        <v>484</v>
      </c>
      <c r="J8" s="61" t="s">
        <v>467</v>
      </c>
      <c r="K8" s="62" t="s">
        <v>485</v>
      </c>
      <c r="L8" s="61" t="s">
        <v>468</v>
      </c>
      <c r="M8" s="62" t="s">
        <v>486</v>
      </c>
      <c r="N8" s="61" t="s">
        <v>469</v>
      </c>
      <c r="O8" s="62" t="s">
        <v>487</v>
      </c>
      <c r="P8" s="61" t="s">
        <v>470</v>
      </c>
      <c r="Q8" s="62" t="s">
        <v>488</v>
      </c>
      <c r="R8" s="61" t="s">
        <v>471</v>
      </c>
      <c r="S8" s="62" t="s">
        <v>489</v>
      </c>
      <c r="T8" s="61" t="s">
        <v>472</v>
      </c>
      <c r="U8" s="62" t="s">
        <v>490</v>
      </c>
      <c r="V8" s="61" t="s">
        <v>473</v>
      </c>
      <c r="W8" s="62" t="s">
        <v>491</v>
      </c>
      <c r="X8" s="61" t="s">
        <v>474</v>
      </c>
      <c r="Y8" s="62" t="s">
        <v>492</v>
      </c>
      <c r="Z8" s="61" t="s">
        <v>475</v>
      </c>
      <c r="AA8" s="62" t="s">
        <v>493</v>
      </c>
      <c r="AB8" s="61" t="s">
        <v>159</v>
      </c>
      <c r="AC8" s="62" t="s">
        <v>494</v>
      </c>
      <c r="AD8" s="203"/>
      <c r="AE8" s="204"/>
      <c r="AF8" s="232"/>
      <c r="AG8" s="203"/>
      <c r="AH8" s="204"/>
      <c r="AI8" s="203"/>
      <c r="AJ8" s="204"/>
      <c r="AK8" s="203"/>
      <c r="AL8" s="204"/>
      <c r="AM8" s="232"/>
      <c r="AN8" s="201"/>
      <c r="AO8" s="221"/>
      <c r="AP8" s="61"/>
      <c r="AQ8" s="62"/>
      <c r="AR8" s="61"/>
      <c r="AS8" s="62"/>
      <c r="AT8" s="61"/>
      <c r="AU8" s="62"/>
      <c r="AV8" s="236"/>
    </row>
    <row r="9" spans="1:48" s="55" customFormat="1" ht="15.75">
      <c r="A9" s="246"/>
      <c r="B9" s="199" t="s">
        <v>440</v>
      </c>
      <c r="C9" s="220"/>
      <c r="D9" s="221"/>
      <c r="E9" s="205" t="s">
        <v>290</v>
      </c>
      <c r="F9" s="207"/>
      <c r="G9" s="205" t="s">
        <v>288</v>
      </c>
      <c r="H9" s="207"/>
      <c r="I9" s="205" t="s">
        <v>305</v>
      </c>
      <c r="J9" s="207"/>
      <c r="K9" s="205" t="s">
        <v>280</v>
      </c>
      <c r="L9" s="207"/>
      <c r="M9" s="205" t="s">
        <v>277</v>
      </c>
      <c r="N9" s="207"/>
      <c r="O9" s="205" t="s">
        <v>335</v>
      </c>
      <c r="P9" s="207"/>
      <c r="Q9" s="205" t="s">
        <v>306</v>
      </c>
      <c r="R9" s="207"/>
      <c r="S9" s="205" t="s">
        <v>296</v>
      </c>
      <c r="T9" s="207"/>
      <c r="U9" s="205" t="s">
        <v>297</v>
      </c>
      <c r="V9" s="207"/>
      <c r="W9" s="205" t="s">
        <v>295</v>
      </c>
      <c r="X9" s="207"/>
      <c r="Y9" s="205" t="s">
        <v>441</v>
      </c>
      <c r="Z9" s="207"/>
      <c r="AA9" s="205" t="s">
        <v>442</v>
      </c>
      <c r="AB9" s="206"/>
      <c r="AC9" s="199" t="s">
        <v>443</v>
      </c>
      <c r="AD9" s="220"/>
      <c r="AE9" s="200"/>
      <c r="AF9" s="232"/>
      <c r="AG9" s="199" t="s">
        <v>444</v>
      </c>
      <c r="AH9" s="200"/>
      <c r="AI9" s="199" t="s">
        <v>445</v>
      </c>
      <c r="AJ9" s="200"/>
      <c r="AK9" s="199" t="s">
        <v>446</v>
      </c>
      <c r="AL9" s="200"/>
      <c r="AM9" s="232"/>
      <c r="AN9" s="205">
        <v>7</v>
      </c>
      <c r="AO9" s="207"/>
      <c r="AP9" s="205">
        <v>8</v>
      </c>
      <c r="AQ9" s="207"/>
      <c r="AR9" s="205">
        <v>9</v>
      </c>
      <c r="AS9" s="207"/>
      <c r="AT9" s="205" t="s">
        <v>300</v>
      </c>
      <c r="AU9" s="207"/>
      <c r="AV9" s="236"/>
    </row>
    <row r="10" spans="1:48" s="52" customFormat="1" ht="26.25">
      <c r="A10" s="246"/>
      <c r="B10" s="201"/>
      <c r="C10" s="221"/>
      <c r="D10" s="221"/>
      <c r="E10" s="56" t="str">
        <f>IF(E11&lt;&gt;"",toUTF16(HEX2DEC(E11)),"")</f>
        <v>ض</v>
      </c>
      <c r="F10" s="57" t="str">
        <f>IF(F11&lt;&gt;"",toUTF16(HEX2DEC(F11)),"")</f>
        <v>َ</v>
      </c>
      <c r="G10" s="56" t="str">
        <f>IF(G11&lt;&gt;"",toUTF16(HEX2DEC(G11)),"")</f>
        <v>ص</v>
      </c>
      <c r="H10" s="57" t="str">
        <f>IF(H11&lt;&gt;"",toUTF16(HEX2DEC(H11)),"")</f>
        <v>ً</v>
      </c>
      <c r="I10" s="56" t="str">
        <f>IF(I11&lt;&gt;"",toUTF16(HEX2DEC(I11)),"")</f>
        <v>ث</v>
      </c>
      <c r="J10" s="57" t="str">
        <f>IF(J11&lt;&gt;"",toUTF16(HEX2DEC(J11)),"")</f>
        <v>ُ</v>
      </c>
      <c r="K10" s="56" t="str">
        <f>IF(K11&lt;&gt;"",toUTF16(HEX2DEC(K11)),"")</f>
        <v>ق</v>
      </c>
      <c r="L10" s="57" t="str">
        <f>IF(L11&lt;&gt;"",toUTF16(HEX2DEC(L11)),"")</f>
        <v>ٌ</v>
      </c>
      <c r="M10" s="56" t="str">
        <f>IF(M11&lt;&gt;"",toUTF16(HEX2DEC(M11)),"")</f>
        <v>ف</v>
      </c>
      <c r="N10" s="57" t="str">
        <f>IF(N11&lt;&gt;"",toUTF16(HEX2DEC(MID(N11,1,4)))&amp;toUTF16(HEX2DEC(MID(N11,6,4))),"")</f>
        <v>لإ</v>
      </c>
      <c r="O10" s="56" t="str">
        <f>IF(O11&lt;&gt;"",toUTF16(HEX2DEC(O11)),"")</f>
        <v>غ</v>
      </c>
      <c r="P10" s="57" t="str">
        <f>IF(P11&lt;&gt;"",toUTF16(HEX2DEC(P11)),"")</f>
        <v>إ</v>
      </c>
      <c r="Q10" s="56" t="str">
        <f>IF(Q11&lt;&gt;"",toUTF16(HEX2DEC(Q11)),"")</f>
        <v>ع</v>
      </c>
      <c r="R10" s="57" t="str">
        <f>IF(R11&lt;&gt;"",toUTF16(HEX2DEC(R11)),"")</f>
        <v>‘</v>
      </c>
      <c r="S10" s="56" t="str">
        <f>IF(S11&lt;&gt;"",toUTF16(HEX2DEC(S11)),"")</f>
        <v>ه</v>
      </c>
      <c r="T10" s="57" t="str">
        <f>IF(T11&lt;&gt;"",toUTF16(HEX2DEC(T11)),"")</f>
        <v>÷</v>
      </c>
      <c r="U10" s="56" t="str">
        <f>IF(U11&lt;&gt;"",toUTF16(HEX2DEC(U11)),"")</f>
        <v>خ</v>
      </c>
      <c r="V10" s="57" t="str">
        <f>IF(V11&lt;&gt;"",toUTF16(HEX2DEC(V11)),"")</f>
        <v>×</v>
      </c>
      <c r="W10" s="56" t="str">
        <f>IF(W11&lt;&gt;"",toUTF16(HEX2DEC(W11)),"")</f>
        <v>ح</v>
      </c>
      <c r="X10" s="57" t="str">
        <f>IF(X11&lt;&gt;"",toUTF16(HEX2DEC(X11)),"")</f>
        <v>؛</v>
      </c>
      <c r="Y10" s="56" t="str">
        <f>IF(Y11&lt;&gt;"",toUTF16(HEX2DEC(Y11)),"")</f>
        <v>ج</v>
      </c>
      <c r="Z10" s="57" t="str">
        <f>IF(Z11&lt;&gt;"",toUTF16(HEX2DEC(Z11)),"")</f>
        <v>}</v>
      </c>
      <c r="AA10" s="56" t="str">
        <f>IF(AA11&lt;&gt;"",toUTF16(HEX2DEC(AA11)),"")</f>
        <v>د</v>
      </c>
      <c r="AB10" s="63" t="str">
        <f>IF(AB11&lt;&gt;"",toUTF16(HEX2DEC(AB11)),"")</f>
        <v>{</v>
      </c>
      <c r="AC10" s="201"/>
      <c r="AD10" s="221"/>
      <c r="AE10" s="202"/>
      <c r="AF10" s="232"/>
      <c r="AG10" s="201"/>
      <c r="AH10" s="202"/>
      <c r="AI10" s="201"/>
      <c r="AJ10" s="202"/>
      <c r="AK10" s="201"/>
      <c r="AL10" s="202"/>
      <c r="AM10" s="232"/>
      <c r="AN10" s="56" t="str">
        <f>IF(AN11&lt;&gt;"",toUTF16(HEX2DEC(AN11)),"")</f>
        <v/>
      </c>
      <c r="AO10" s="57" t="str">
        <f>IF(AO11&lt;&gt;"",toUTF16(HEX2DEC(AO11)),"")</f>
        <v/>
      </c>
      <c r="AP10" s="56" t="str">
        <f>IF(AP11&lt;&gt;"",toUTF16(HEX2DEC(AP11)),"")</f>
        <v/>
      </c>
      <c r="AQ10" s="57" t="str">
        <f>IF(AQ11&lt;&gt;"",toUTF16(HEX2DEC(AQ11)),"")</f>
        <v/>
      </c>
      <c r="AR10" s="56" t="str">
        <f>IF(AR11&lt;&gt;"",toUTF16(HEX2DEC(AR11)),"")</f>
        <v/>
      </c>
      <c r="AS10" s="57" t="str">
        <f>IF(AS11&lt;&gt;"",toUTF16(HEX2DEC(AS11)),"")</f>
        <v/>
      </c>
      <c r="AT10" s="227"/>
      <c r="AU10" s="224"/>
      <c r="AV10" s="236"/>
    </row>
    <row r="11" spans="1:48" s="53" customFormat="1" ht="15.75" thickBot="1">
      <c r="A11" s="246"/>
      <c r="B11" s="203"/>
      <c r="C11" s="222"/>
      <c r="D11" s="222"/>
      <c r="E11" s="61" t="s">
        <v>164</v>
      </c>
      <c r="F11" s="62" t="s">
        <v>495</v>
      </c>
      <c r="G11" s="61" t="s">
        <v>383</v>
      </c>
      <c r="H11" s="62" t="s">
        <v>496</v>
      </c>
      <c r="I11" s="61" t="s">
        <v>153</v>
      </c>
      <c r="J11" s="62" t="s">
        <v>497</v>
      </c>
      <c r="K11" s="61" t="s">
        <v>170</v>
      </c>
      <c r="L11" s="62" t="s">
        <v>498</v>
      </c>
      <c r="M11" s="61" t="s">
        <v>169</v>
      </c>
      <c r="N11" s="62" t="s">
        <v>499</v>
      </c>
      <c r="O11" s="61" t="s">
        <v>168</v>
      </c>
      <c r="P11" s="62" t="s">
        <v>500</v>
      </c>
      <c r="Q11" s="61" t="s">
        <v>167</v>
      </c>
      <c r="R11" s="62" t="s">
        <v>501</v>
      </c>
      <c r="S11" s="61" t="s">
        <v>175</v>
      </c>
      <c r="T11" s="62" t="s">
        <v>502</v>
      </c>
      <c r="U11" s="61" t="s">
        <v>157</v>
      </c>
      <c r="V11" s="62" t="s">
        <v>503</v>
      </c>
      <c r="W11" s="61" t="s">
        <v>155</v>
      </c>
      <c r="X11" s="62" t="s">
        <v>504</v>
      </c>
      <c r="Y11" s="61" t="s">
        <v>154</v>
      </c>
      <c r="Z11" s="62" t="s">
        <v>505</v>
      </c>
      <c r="AA11" s="61" t="s">
        <v>158</v>
      </c>
      <c r="AB11" s="64" t="s">
        <v>506</v>
      </c>
      <c r="AC11" s="201"/>
      <c r="AD11" s="221"/>
      <c r="AE11" s="202"/>
      <c r="AF11" s="232"/>
      <c r="AG11" s="203"/>
      <c r="AH11" s="204"/>
      <c r="AI11" s="203"/>
      <c r="AJ11" s="204"/>
      <c r="AK11" s="203"/>
      <c r="AL11" s="204"/>
      <c r="AM11" s="232"/>
      <c r="AN11" s="61"/>
      <c r="AO11" s="62"/>
      <c r="AP11" s="61"/>
      <c r="AQ11" s="62"/>
      <c r="AR11" s="61"/>
      <c r="AS11" s="62"/>
      <c r="AT11" s="227"/>
      <c r="AU11" s="224"/>
      <c r="AV11" s="236"/>
    </row>
    <row r="12" spans="1:48" s="55" customFormat="1" ht="15.75">
      <c r="A12" s="246"/>
      <c r="B12" s="199" t="s">
        <v>320</v>
      </c>
      <c r="C12" s="220"/>
      <c r="D12" s="220"/>
      <c r="E12" s="202"/>
      <c r="F12" s="205" t="s">
        <v>292</v>
      </c>
      <c r="G12" s="207"/>
      <c r="H12" s="205" t="s">
        <v>282</v>
      </c>
      <c r="I12" s="207"/>
      <c r="J12" s="205" t="s">
        <v>279</v>
      </c>
      <c r="K12" s="206"/>
      <c r="L12" s="205" t="s">
        <v>283</v>
      </c>
      <c r="M12" s="207"/>
      <c r="N12" s="205" t="s">
        <v>293</v>
      </c>
      <c r="O12" s="207"/>
      <c r="P12" s="205" t="s">
        <v>287</v>
      </c>
      <c r="Q12" s="207"/>
      <c r="R12" s="205" t="s">
        <v>289</v>
      </c>
      <c r="S12" s="207"/>
      <c r="T12" s="205" t="s">
        <v>284</v>
      </c>
      <c r="U12" s="207"/>
      <c r="V12" s="205" t="s">
        <v>285</v>
      </c>
      <c r="W12" s="207"/>
      <c r="X12" s="205" t="s">
        <v>447</v>
      </c>
      <c r="Y12" s="207"/>
      <c r="Z12" s="205" t="s">
        <v>448</v>
      </c>
      <c r="AA12" s="207"/>
      <c r="AB12" s="228"/>
      <c r="AC12" s="221"/>
      <c r="AD12" s="221"/>
      <c r="AE12" s="202"/>
      <c r="AF12" s="227"/>
      <c r="AG12" s="206"/>
      <c r="AH12" s="206"/>
      <c r="AI12" s="206"/>
      <c r="AJ12" s="206"/>
      <c r="AK12" s="206"/>
      <c r="AL12" s="206"/>
      <c r="AM12" s="224"/>
      <c r="AN12" s="205">
        <v>4</v>
      </c>
      <c r="AO12" s="207"/>
      <c r="AP12" s="205">
        <v>5</v>
      </c>
      <c r="AQ12" s="207"/>
      <c r="AR12" s="205">
        <v>6</v>
      </c>
      <c r="AS12" s="207"/>
      <c r="AT12" s="227" t="str">
        <f>IF(AT14&lt;&gt;"",toUTF16(HEX2DEC(AT14)),"")</f>
        <v/>
      </c>
      <c r="AU12" s="224" t="str">
        <f>IF(AU14&lt;&gt;"",toUTF16(HEX2DEC(AU14)),"")</f>
        <v/>
      </c>
      <c r="AV12" s="236"/>
    </row>
    <row r="13" spans="1:48" s="52" customFormat="1" ht="26.25">
      <c r="A13" s="246"/>
      <c r="B13" s="201"/>
      <c r="C13" s="221"/>
      <c r="D13" s="221"/>
      <c r="E13" s="202"/>
      <c r="F13" s="56" t="str">
        <f>IF(F14&lt;&gt;"",toUTF16(HEX2DEC(F14)),"")</f>
        <v>ش</v>
      </c>
      <c r="G13" s="57" t="str">
        <f>IF(G14&lt;&gt;"",toUTF16(HEX2DEC(G14)),"")</f>
        <v>\</v>
      </c>
      <c r="H13" s="56" t="str">
        <f>IF(H14&lt;&gt;"",toUTF16(HEX2DEC(H14)),"")</f>
        <v>س</v>
      </c>
      <c r="I13" s="57" t="str">
        <f>IF(I14&lt;&gt;"",toUTF16(HEX2DEC(I14)),"")</f>
        <v/>
      </c>
      <c r="J13" s="56" t="str">
        <f>IF(J14&lt;&gt;"",toUTF16(HEX2DEC(J14)),"")</f>
        <v>ي</v>
      </c>
      <c r="K13" s="63" t="str">
        <f>IF(K14&lt;&gt;"",toUTF16(HEX2DEC(K14)),"")</f>
        <v>]</v>
      </c>
      <c r="L13" s="56" t="str">
        <f>IF(L14&lt;&gt;"",toUTF16(HEX2DEC(L14)),"")</f>
        <v>ب</v>
      </c>
      <c r="M13" s="57" t="str">
        <f>IF(M14&lt;&gt;"",toUTF16(HEX2DEC(M14)),"")</f>
        <v>[</v>
      </c>
      <c r="N13" s="56" t="str">
        <f>IF(N14&lt;&gt;"",toUTF16(HEX2DEC(N14)),"")</f>
        <v>ل</v>
      </c>
      <c r="O13" s="57" t="str">
        <f>IF(O14&lt;&gt;"",toUTF16(HEX2DEC(MID(O14,1,4)))&amp;toUTF16(HEX2DEC(MID(O14,6,4))),"")</f>
        <v>لأ</v>
      </c>
      <c r="P13" s="56" t="str">
        <f>IF(P14&lt;&gt;"",toUTF16(HEX2DEC(P14)),"")</f>
        <v>ا</v>
      </c>
      <c r="Q13" s="57" t="str">
        <f>IF(Q14&lt;&gt;"",toUTF16(HEX2DEC(Q14)),"")</f>
        <v>أ</v>
      </c>
      <c r="R13" s="56" t="str">
        <f>IF(R14&lt;&gt;"",toUTF16(HEX2DEC(R14)),"")</f>
        <v>ت</v>
      </c>
      <c r="S13" s="57" t="str">
        <f>IF(S14&lt;&gt;"",toUTF16(HEX2DEC(S14)),"")</f>
        <v>ـ</v>
      </c>
      <c r="T13" s="56" t="str">
        <f>IF(T14&lt;&gt;"",toUTF16(HEX2DEC(T14)),"")</f>
        <v>ن</v>
      </c>
      <c r="U13" s="57" t="str">
        <f>IF(U14&lt;&gt;"",toUTF16(HEX2DEC(U14)),"")</f>
        <v>،</v>
      </c>
      <c r="V13" s="56" t="str">
        <f>IF(V14&lt;&gt;"",toUTF16(HEX2DEC(V14)),"")</f>
        <v>م</v>
      </c>
      <c r="W13" s="57" t="str">
        <f>IF(W14&lt;&gt;"",toUTF16(HEX2DEC(W14)),"")</f>
        <v>/</v>
      </c>
      <c r="X13" s="56" t="str">
        <f>IF(X14&lt;&gt;"",toUTF16(HEX2DEC(X14)),"")</f>
        <v>ك</v>
      </c>
      <c r="Y13" s="57" t="str">
        <f>IF(Y14&lt;&gt;"",toUTF16(HEX2DEC(Y14)),"")</f>
        <v>:</v>
      </c>
      <c r="Z13" s="56" t="str">
        <f>IF(Z14&lt;&gt;"",toUTF16(HEX2DEC(Z14)),"")</f>
        <v>ط</v>
      </c>
      <c r="AA13" s="57" t="str">
        <f>IF(AA14&lt;&gt;"",toUTF16(HEX2DEC(AA14)),"")</f>
        <v>"</v>
      </c>
      <c r="AB13" s="229"/>
      <c r="AC13" s="221"/>
      <c r="AD13" s="221"/>
      <c r="AE13" s="202"/>
      <c r="AF13" s="227"/>
      <c r="AG13" s="223"/>
      <c r="AH13" s="223"/>
      <c r="AI13" s="223"/>
      <c r="AJ13" s="223"/>
      <c r="AK13" s="223"/>
      <c r="AL13" s="223"/>
      <c r="AM13" s="224"/>
      <c r="AN13" s="56" t="str">
        <f>IF(AN14&lt;&gt;"",toUTF16(HEX2DEC(AN14)),"")</f>
        <v/>
      </c>
      <c r="AO13" s="57" t="str">
        <f>IF(AO14&lt;&gt;"",toUTF16(HEX2DEC(AO14)),"")</f>
        <v/>
      </c>
      <c r="AP13" s="56" t="str">
        <f>IF(AP14&lt;&gt;"",toUTF16(HEX2DEC(AP14)),"")</f>
        <v/>
      </c>
      <c r="AQ13" s="57" t="str">
        <f>IF(AQ14&lt;&gt;"",toUTF16(HEX2DEC(AQ14)),"")</f>
        <v/>
      </c>
      <c r="AR13" s="56" t="str">
        <f>IF(AR14&lt;&gt;"",toUTF16(HEX2DEC(AR14)),"")</f>
        <v/>
      </c>
      <c r="AS13" s="57" t="str">
        <f>IF(AS14&lt;&gt;"",toUTF16(HEX2DEC(AS14)),"")</f>
        <v/>
      </c>
      <c r="AT13" s="227" t="str">
        <f>IF(AT14&lt;&gt;"",toUTF16(HEX2DEC(AT14)),"")</f>
        <v/>
      </c>
      <c r="AU13" s="224" t="str">
        <f>IF(AU14&lt;&gt;"",toUTF16(HEX2DEC(AU14)),"")</f>
        <v/>
      </c>
      <c r="AV13" s="236"/>
    </row>
    <row r="14" spans="1:48" s="53" customFormat="1" ht="15.75" thickBot="1">
      <c r="A14" s="246"/>
      <c r="B14" s="203"/>
      <c r="C14" s="222"/>
      <c r="D14" s="222"/>
      <c r="E14" s="204"/>
      <c r="F14" s="61" t="s">
        <v>162</v>
      </c>
      <c r="G14" s="62" t="s">
        <v>507</v>
      </c>
      <c r="H14" s="61" t="s">
        <v>163</v>
      </c>
      <c r="I14" s="62"/>
      <c r="J14" s="61" t="s">
        <v>406</v>
      </c>
      <c r="K14" s="64" t="s">
        <v>508</v>
      </c>
      <c r="L14" s="61" t="s">
        <v>151</v>
      </c>
      <c r="M14" s="62" t="s">
        <v>509</v>
      </c>
      <c r="N14" s="61" t="s">
        <v>172</v>
      </c>
      <c r="O14" s="62" t="s">
        <v>510</v>
      </c>
      <c r="P14" s="61" t="s">
        <v>150</v>
      </c>
      <c r="Q14" s="62" t="s">
        <v>404</v>
      </c>
      <c r="R14" s="61" t="s">
        <v>152</v>
      </c>
      <c r="S14" s="62" t="s">
        <v>477</v>
      </c>
      <c r="T14" s="61" t="s">
        <v>174</v>
      </c>
      <c r="U14" s="62" t="s">
        <v>511</v>
      </c>
      <c r="V14" s="61" t="s">
        <v>173</v>
      </c>
      <c r="W14" s="62" t="s">
        <v>512</v>
      </c>
      <c r="X14" s="61" t="s">
        <v>171</v>
      </c>
      <c r="Y14" s="62" t="s">
        <v>513</v>
      </c>
      <c r="Z14" s="61" t="s">
        <v>165</v>
      </c>
      <c r="AA14" s="62" t="s">
        <v>514</v>
      </c>
      <c r="AB14" s="230"/>
      <c r="AC14" s="222"/>
      <c r="AD14" s="222"/>
      <c r="AE14" s="204"/>
      <c r="AF14" s="227"/>
      <c r="AG14" s="223"/>
      <c r="AH14" s="223"/>
      <c r="AI14" s="223"/>
      <c r="AJ14" s="223"/>
      <c r="AK14" s="223"/>
      <c r="AL14" s="223"/>
      <c r="AM14" s="224"/>
      <c r="AN14" s="61"/>
      <c r="AO14" s="62"/>
      <c r="AP14" s="61"/>
      <c r="AQ14" s="62"/>
      <c r="AR14" s="61"/>
      <c r="AS14" s="62"/>
      <c r="AT14" s="61"/>
      <c r="AU14" s="62"/>
      <c r="AV14" s="236"/>
    </row>
    <row r="15" spans="1:48" s="55" customFormat="1" ht="15.75" customHeight="1">
      <c r="A15" s="246"/>
      <c r="B15" s="199" t="s">
        <v>449</v>
      </c>
      <c r="C15" s="220"/>
      <c r="D15" s="220"/>
      <c r="E15" s="205" t="s">
        <v>476</v>
      </c>
      <c r="F15" s="207"/>
      <c r="G15" s="205" t="s">
        <v>281</v>
      </c>
      <c r="H15" s="207"/>
      <c r="I15" s="205" t="s">
        <v>278</v>
      </c>
      <c r="J15" s="207"/>
      <c r="K15" s="205" t="s">
        <v>294</v>
      </c>
      <c r="L15" s="207"/>
      <c r="M15" s="205" t="s">
        <v>336</v>
      </c>
      <c r="N15" s="207"/>
      <c r="O15" s="205" t="s">
        <v>276</v>
      </c>
      <c r="P15" s="207"/>
      <c r="Q15" s="205" t="s">
        <v>286</v>
      </c>
      <c r="R15" s="207"/>
      <c r="S15" s="205" t="s">
        <v>275</v>
      </c>
      <c r="T15" s="207"/>
      <c r="U15" s="205" t="s">
        <v>450</v>
      </c>
      <c r="V15" s="207"/>
      <c r="W15" s="205" t="s">
        <v>451</v>
      </c>
      <c r="X15" s="207"/>
      <c r="Y15" s="205" t="s">
        <v>452</v>
      </c>
      <c r="Z15" s="207"/>
      <c r="AA15" s="199" t="s">
        <v>453</v>
      </c>
      <c r="AB15" s="220"/>
      <c r="AC15" s="220"/>
      <c r="AD15" s="220"/>
      <c r="AE15" s="200"/>
      <c r="AF15" s="227"/>
      <c r="AG15" s="223"/>
      <c r="AH15" s="224"/>
      <c r="AI15" s="199" t="s">
        <v>353</v>
      </c>
      <c r="AJ15" s="200"/>
      <c r="AK15" s="227"/>
      <c r="AL15" s="223"/>
      <c r="AM15" s="224"/>
      <c r="AN15" s="205">
        <v>1</v>
      </c>
      <c r="AO15" s="207"/>
      <c r="AP15" s="205">
        <v>2</v>
      </c>
      <c r="AQ15" s="207"/>
      <c r="AR15" s="205">
        <v>3</v>
      </c>
      <c r="AS15" s="207"/>
      <c r="AT15" s="214" t="s">
        <v>454</v>
      </c>
      <c r="AU15" s="215"/>
      <c r="AV15" s="236"/>
    </row>
    <row r="16" spans="1:48" s="52" customFormat="1" ht="26.25" customHeight="1">
      <c r="A16" s="246"/>
      <c r="B16" s="201"/>
      <c r="C16" s="221"/>
      <c r="D16" s="221"/>
      <c r="E16" s="56" t="str">
        <f>IF(E17&lt;&gt;"",toUTF16(HEX2DEC(E17)),"")</f>
        <v>ـ</v>
      </c>
      <c r="F16" s="57" t="str">
        <f>IF(F17&lt;&gt;"",toUTF16(HEX2DEC(F17)),"")</f>
        <v>|</v>
      </c>
      <c r="G16" s="56" t="str">
        <f>IF(G17&lt;&gt;"",toUTF16(HEX2DEC(G17)),"")</f>
        <v>ئ</v>
      </c>
      <c r="H16" s="57" t="str">
        <f>IF(H17&lt;&gt;"",toUTF16(HEX2DEC(H17)),"")</f>
        <v>~</v>
      </c>
      <c r="I16" s="56" t="str">
        <f>IF(I17&lt;&gt;"",toUTF16(HEX2DEC(I17)),"")</f>
        <v>ء</v>
      </c>
      <c r="J16" s="57" t="str">
        <f>IF(J17&lt;&gt;"",toUTF16(HEX2DEC(J17)),"")</f>
        <v>ْ</v>
      </c>
      <c r="K16" s="56" t="str">
        <f>IF(K17&lt;&gt;"",toUTF16(HEX2DEC(K17)),"")</f>
        <v>ؤ</v>
      </c>
      <c r="L16" s="57" t="str">
        <f>IF(L17&lt;&gt;"",toUTF16(HEX2DEC(L17)),"")</f>
        <v>ِ</v>
      </c>
      <c r="M16" s="56" t="str">
        <f>IF(M17&lt;&gt;"",toUTF16(HEX2DEC(M17)),"")</f>
        <v>ر</v>
      </c>
      <c r="N16" s="57" t="str">
        <f>IF(N17&lt;&gt;"",toUTF16(HEX2DEC(N17)),"")</f>
        <v>ٍ</v>
      </c>
      <c r="O16" s="56" t="str">
        <f>IF(O17&lt;&gt;"",toUTF16(HEX2DEC(MID(O17,1,4)))&amp;toUTF16(HEX2DEC(MID(O17,6,4))),"")</f>
        <v>لا</v>
      </c>
      <c r="P16" s="57" t="str">
        <f>IF(P17&lt;&gt;"",toUTF16(HEX2DEC(MID(P17,1,4)))&amp;toUTF16(HEX2DEC(MID(P17,6,4))),"")</f>
        <v>لآ</v>
      </c>
      <c r="Q16" s="56" t="str">
        <f>IF(Q17&lt;&gt;"",toUTF16(HEX2DEC(Q17)),"")</f>
        <v>ى</v>
      </c>
      <c r="R16" s="57" t="str">
        <f>IF(R17&lt;&gt;"",toUTF16(HEX2DEC(R17)),"")</f>
        <v>آ</v>
      </c>
      <c r="S16" s="56" t="str">
        <f>IF(S17&lt;&gt;"",toUTF16(HEX2DEC(S17)),"")</f>
        <v>ة</v>
      </c>
      <c r="T16" s="57" t="str">
        <f>IF(T17&lt;&gt;"",toUTF16(HEX2DEC(T17)),"")</f>
        <v>’</v>
      </c>
      <c r="U16" s="56" t="str">
        <f>IF(U17&lt;&gt;"",toUTF16(HEX2DEC(U17)),"")</f>
        <v>و</v>
      </c>
      <c r="V16" s="57" t="str">
        <f>IF(V17&lt;&gt;"",toUTF16(HEX2DEC(V17)),"")</f>
        <v>,</v>
      </c>
      <c r="W16" s="56" t="str">
        <f>IF(W17&lt;&gt;"",toUTF16(HEX2DEC(W17)),"")</f>
        <v>ز</v>
      </c>
      <c r="X16" s="57" t="str">
        <f>IF(X17&lt;&gt;"",toUTF16(HEX2DEC(X17)),"")</f>
        <v>.</v>
      </c>
      <c r="Y16" s="56" t="str">
        <f>IF(Y17&lt;&gt;"",toUTF16(HEX2DEC(Y17)),"")</f>
        <v>ظ</v>
      </c>
      <c r="Z16" s="57" t="str">
        <f>IF(Z17&lt;&gt;"",toUTF16(HEX2DEC(Z17)),"")</f>
        <v>؟</v>
      </c>
      <c r="AA16" s="201"/>
      <c r="AB16" s="221"/>
      <c r="AC16" s="221"/>
      <c r="AD16" s="221"/>
      <c r="AE16" s="202"/>
      <c r="AF16" s="227"/>
      <c r="AG16" s="223"/>
      <c r="AH16" s="224"/>
      <c r="AI16" s="201"/>
      <c r="AJ16" s="202"/>
      <c r="AK16" s="227"/>
      <c r="AL16" s="223"/>
      <c r="AM16" s="224"/>
      <c r="AN16" s="56" t="str">
        <f>IF(AN17&lt;&gt;"",toUTF16(HEX2DEC(AN17)),"")</f>
        <v/>
      </c>
      <c r="AO16" s="57" t="str">
        <f>IF(AO17&lt;&gt;"",toUTF16(HEX2DEC(AO17)),"")</f>
        <v/>
      </c>
      <c r="AP16" s="56" t="str">
        <f>IF(AP17&lt;&gt;"",toUTF16(HEX2DEC(AP17)),"")</f>
        <v/>
      </c>
      <c r="AQ16" s="57" t="str">
        <f>IF(AQ17&lt;&gt;"",toUTF16(HEX2DEC(AQ17)),"")</f>
        <v/>
      </c>
      <c r="AR16" s="56" t="str">
        <f>IF(AR17&lt;&gt;"",toUTF16(HEX2DEC(AR17)),"")</f>
        <v/>
      </c>
      <c r="AS16" s="57" t="str">
        <f>IF(AS17&lt;&gt;"",toUTF16(HEX2DEC(AS17)),"")</f>
        <v/>
      </c>
      <c r="AT16" s="216"/>
      <c r="AU16" s="217"/>
      <c r="AV16" s="236"/>
    </row>
    <row r="17" spans="1:48" s="53" customFormat="1" ht="15.75" customHeight="1" thickBot="1">
      <c r="A17" s="246"/>
      <c r="B17" s="203"/>
      <c r="C17" s="222"/>
      <c r="D17" s="222"/>
      <c r="E17" s="61" t="s">
        <v>477</v>
      </c>
      <c r="F17" s="62" t="s">
        <v>515</v>
      </c>
      <c r="G17" s="61" t="s">
        <v>407</v>
      </c>
      <c r="H17" s="62" t="s">
        <v>516</v>
      </c>
      <c r="I17" s="61" t="s">
        <v>149</v>
      </c>
      <c r="J17" s="62" t="s">
        <v>517</v>
      </c>
      <c r="K17" s="61" t="s">
        <v>405</v>
      </c>
      <c r="L17" s="62" t="s">
        <v>518</v>
      </c>
      <c r="M17" s="61" t="s">
        <v>160</v>
      </c>
      <c r="N17" s="62" t="s">
        <v>519</v>
      </c>
      <c r="O17" s="61" t="s">
        <v>478</v>
      </c>
      <c r="P17" s="62" t="s">
        <v>520</v>
      </c>
      <c r="Q17" s="61" t="s">
        <v>479</v>
      </c>
      <c r="R17" s="62" t="s">
        <v>521</v>
      </c>
      <c r="S17" s="61" t="s">
        <v>480</v>
      </c>
      <c r="T17" s="62" t="s">
        <v>522</v>
      </c>
      <c r="U17" s="61" t="s">
        <v>176</v>
      </c>
      <c r="V17" s="62" t="s">
        <v>523</v>
      </c>
      <c r="W17" s="61" t="s">
        <v>161</v>
      </c>
      <c r="X17" s="62" t="s">
        <v>524</v>
      </c>
      <c r="Y17" s="61" t="s">
        <v>166</v>
      </c>
      <c r="Z17" s="62" t="s">
        <v>525</v>
      </c>
      <c r="AA17" s="203"/>
      <c r="AB17" s="222"/>
      <c r="AC17" s="222"/>
      <c r="AD17" s="222"/>
      <c r="AE17" s="204"/>
      <c r="AF17" s="227"/>
      <c r="AG17" s="225"/>
      <c r="AH17" s="226"/>
      <c r="AI17" s="203"/>
      <c r="AJ17" s="204"/>
      <c r="AK17" s="231"/>
      <c r="AL17" s="225"/>
      <c r="AM17" s="224"/>
      <c r="AN17" s="61"/>
      <c r="AO17" s="62"/>
      <c r="AP17" s="61"/>
      <c r="AQ17" s="62"/>
      <c r="AR17" s="61"/>
      <c r="AS17" s="62"/>
      <c r="AT17" s="216"/>
      <c r="AU17" s="217"/>
      <c r="AV17" s="236"/>
    </row>
    <row r="18" spans="1:48" ht="15.75">
      <c r="A18" s="246"/>
      <c r="B18" s="199" t="s">
        <v>455</v>
      </c>
      <c r="C18" s="220"/>
      <c r="D18" s="200"/>
      <c r="E18" s="199" t="s">
        <v>456</v>
      </c>
      <c r="F18" s="220"/>
      <c r="G18" s="200"/>
      <c r="H18" s="199" t="s">
        <v>350</v>
      </c>
      <c r="I18" s="220"/>
      <c r="J18" s="200"/>
      <c r="K18" s="199" t="s">
        <v>457</v>
      </c>
      <c r="L18" s="220"/>
      <c r="M18" s="220"/>
      <c r="N18" s="220"/>
      <c r="O18" s="220"/>
      <c r="P18" s="220"/>
      <c r="Q18" s="220"/>
      <c r="R18" s="220"/>
      <c r="S18" s="220"/>
      <c r="T18" s="200"/>
      <c r="U18" s="199" t="s">
        <v>458</v>
      </c>
      <c r="V18" s="220"/>
      <c r="W18" s="200"/>
      <c r="X18" s="199" t="s">
        <v>459</v>
      </c>
      <c r="Y18" s="220"/>
      <c r="Z18" s="200"/>
      <c r="AA18" s="199" t="s">
        <v>460</v>
      </c>
      <c r="AB18" s="200"/>
      <c r="AC18" s="199" t="s">
        <v>461</v>
      </c>
      <c r="AD18" s="220"/>
      <c r="AE18" s="200"/>
      <c r="AF18" s="227"/>
      <c r="AG18" s="199" t="s">
        <v>354</v>
      </c>
      <c r="AH18" s="200"/>
      <c r="AI18" s="199" t="s">
        <v>355</v>
      </c>
      <c r="AJ18" s="200"/>
      <c r="AK18" s="199" t="s">
        <v>356</v>
      </c>
      <c r="AL18" s="200"/>
      <c r="AM18" s="224"/>
      <c r="AN18" s="205">
        <v>0</v>
      </c>
      <c r="AO18" s="206"/>
      <c r="AP18" s="206"/>
      <c r="AQ18" s="207"/>
      <c r="AR18" s="205" t="s">
        <v>338</v>
      </c>
      <c r="AS18" s="207"/>
      <c r="AT18" s="216"/>
      <c r="AU18" s="217"/>
      <c r="AV18" s="236"/>
    </row>
    <row r="19" spans="1:48" s="52" customFormat="1" ht="26.25">
      <c r="A19" s="246"/>
      <c r="B19" s="201"/>
      <c r="C19" s="221"/>
      <c r="D19" s="202"/>
      <c r="E19" s="201"/>
      <c r="F19" s="221"/>
      <c r="G19" s="202"/>
      <c r="H19" s="201"/>
      <c r="I19" s="221"/>
      <c r="J19" s="202"/>
      <c r="K19" s="201"/>
      <c r="L19" s="221"/>
      <c r="M19" s="221"/>
      <c r="N19" s="221"/>
      <c r="O19" s="221"/>
      <c r="P19" s="221"/>
      <c r="Q19" s="221"/>
      <c r="R19" s="221"/>
      <c r="S19" s="221"/>
      <c r="T19" s="202"/>
      <c r="U19" s="201"/>
      <c r="V19" s="221"/>
      <c r="W19" s="202"/>
      <c r="X19" s="201"/>
      <c r="Y19" s="221"/>
      <c r="Z19" s="202"/>
      <c r="AA19" s="201"/>
      <c r="AB19" s="202"/>
      <c r="AC19" s="201"/>
      <c r="AD19" s="221"/>
      <c r="AE19" s="202"/>
      <c r="AF19" s="227"/>
      <c r="AG19" s="201"/>
      <c r="AH19" s="202"/>
      <c r="AI19" s="201"/>
      <c r="AJ19" s="202"/>
      <c r="AK19" s="201"/>
      <c r="AL19" s="202"/>
      <c r="AM19" s="224"/>
      <c r="AN19" s="208" t="str">
        <f>IF(AN20&lt;&gt;"",toUTF16(HEX2DEC(AN20)),"")</f>
        <v/>
      </c>
      <c r="AO19" s="209" t="str">
        <f>IF(AO20&lt;&gt;"",toUTF16(AO20),"")</f>
        <v/>
      </c>
      <c r="AP19" s="209" t="str">
        <f>IF(AP20&lt;&gt;"",toUTF16(HEX2DEC(AP20)),"")</f>
        <v/>
      </c>
      <c r="AQ19" s="210" t="str">
        <f>IF(AQ20&lt;&gt;"",toUTF16(AQ20),"")</f>
        <v/>
      </c>
      <c r="AR19" s="56" t="str">
        <f>IF(AR20&lt;&gt;"",toUTF16(HEX2DEC(AR20)),"")</f>
        <v/>
      </c>
      <c r="AS19" s="57" t="str">
        <f>IF(AS20&lt;&gt;"",toUTF16(HEX2DEC(AS20)),"")</f>
        <v/>
      </c>
      <c r="AT19" s="216"/>
      <c r="AU19" s="217"/>
      <c r="AV19" s="236"/>
    </row>
    <row r="20" spans="1:48" s="53" customFormat="1" ht="15.75" thickBot="1">
      <c r="A20" s="246"/>
      <c r="B20" s="203"/>
      <c r="C20" s="222"/>
      <c r="D20" s="204"/>
      <c r="E20" s="203"/>
      <c r="F20" s="222"/>
      <c r="G20" s="204"/>
      <c r="H20" s="203"/>
      <c r="I20" s="222"/>
      <c r="J20" s="204"/>
      <c r="K20" s="203"/>
      <c r="L20" s="222"/>
      <c r="M20" s="222"/>
      <c r="N20" s="222"/>
      <c r="O20" s="222"/>
      <c r="P20" s="222"/>
      <c r="Q20" s="222"/>
      <c r="R20" s="222"/>
      <c r="S20" s="222"/>
      <c r="T20" s="204"/>
      <c r="U20" s="203"/>
      <c r="V20" s="222"/>
      <c r="W20" s="204"/>
      <c r="X20" s="203"/>
      <c r="Y20" s="222"/>
      <c r="Z20" s="204"/>
      <c r="AA20" s="203"/>
      <c r="AB20" s="204"/>
      <c r="AC20" s="203"/>
      <c r="AD20" s="222"/>
      <c r="AE20" s="204"/>
      <c r="AF20" s="227"/>
      <c r="AG20" s="203"/>
      <c r="AH20" s="204"/>
      <c r="AI20" s="203"/>
      <c r="AJ20" s="204"/>
      <c r="AK20" s="203"/>
      <c r="AL20" s="204"/>
      <c r="AM20" s="224"/>
      <c r="AN20" s="211"/>
      <c r="AO20" s="212"/>
      <c r="AP20" s="212"/>
      <c r="AQ20" s="213"/>
      <c r="AR20" s="61"/>
      <c r="AS20" s="62"/>
      <c r="AT20" s="218"/>
      <c r="AU20" s="219"/>
      <c r="AV20" s="236"/>
    </row>
    <row r="21" spans="1:48" ht="15.75" thickBot="1">
      <c r="A21" s="68"/>
      <c r="B21" s="244"/>
      <c r="C21" s="244"/>
      <c r="D21" s="244"/>
      <c r="E21" s="244"/>
      <c r="F21" s="244"/>
      <c r="G21" s="244"/>
      <c r="H21" s="244"/>
      <c r="I21" s="244"/>
      <c r="J21" s="244"/>
      <c r="K21" s="244"/>
      <c r="L21" s="244"/>
      <c r="M21" s="244"/>
      <c r="N21" s="244"/>
      <c r="O21" s="244"/>
      <c r="P21" s="244"/>
      <c r="Q21" s="244"/>
      <c r="R21" s="244"/>
      <c r="S21" s="244"/>
      <c r="T21" s="244"/>
      <c r="U21" s="244"/>
      <c r="V21" s="244"/>
      <c r="W21" s="244"/>
      <c r="X21" s="244"/>
      <c r="Y21" s="244"/>
      <c r="Z21" s="244"/>
      <c r="AA21" s="244"/>
      <c r="AB21" s="244"/>
      <c r="AC21" s="244"/>
      <c r="AD21" s="244"/>
      <c r="AE21" s="244"/>
      <c r="AF21" s="244"/>
      <c r="AG21" s="244"/>
      <c r="AH21" s="244"/>
      <c r="AI21" s="244"/>
      <c r="AJ21" s="244"/>
      <c r="AK21" s="244"/>
      <c r="AL21" s="244"/>
      <c r="AM21" s="244"/>
      <c r="AN21" s="244"/>
      <c r="AO21" s="244"/>
      <c r="AP21" s="244"/>
      <c r="AQ21" s="244"/>
      <c r="AR21" s="244"/>
      <c r="AS21" s="244"/>
      <c r="AT21" s="244"/>
      <c r="AU21" s="244"/>
      <c r="AV21" s="69"/>
    </row>
    <row r="22" spans="1:48" ht="16.5" thickTop="1" thickBot="1"/>
    <row r="23" spans="1:48" ht="16.5" thickTop="1" thickBot="1">
      <c r="A23" s="50"/>
      <c r="B23" s="245" t="s">
        <v>533</v>
      </c>
      <c r="C23" s="245"/>
      <c r="D23" s="245"/>
      <c r="E23" s="245"/>
      <c r="F23" s="245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  <c r="U23" s="245"/>
      <c r="V23" s="245"/>
      <c r="W23" s="245"/>
      <c r="X23" s="245"/>
      <c r="Y23" s="245"/>
      <c r="Z23" s="245"/>
      <c r="AA23" s="245"/>
      <c r="AB23" s="245"/>
      <c r="AC23" s="245"/>
      <c r="AD23" s="245"/>
      <c r="AE23" s="245"/>
      <c r="AF23" s="245"/>
      <c r="AG23" s="245"/>
      <c r="AH23" s="245"/>
      <c r="AI23" s="245"/>
      <c r="AJ23" s="245"/>
      <c r="AK23" s="245"/>
      <c r="AL23" s="245"/>
      <c r="AM23" s="245"/>
      <c r="AN23" s="245"/>
      <c r="AO23" s="245"/>
      <c r="AP23" s="245"/>
      <c r="AQ23" s="245"/>
      <c r="AR23" s="245"/>
      <c r="AS23" s="245"/>
      <c r="AT23" s="245"/>
      <c r="AU23" s="245"/>
      <c r="AV23" s="51"/>
    </row>
    <row r="24" spans="1:48">
      <c r="A24" s="246"/>
      <c r="B24" s="199" t="s">
        <v>412</v>
      </c>
      <c r="C24" s="200"/>
      <c r="D24" s="239"/>
      <c r="E24" s="247"/>
      <c r="F24" s="241" t="s">
        <v>413</v>
      </c>
      <c r="G24" s="241"/>
      <c r="H24" s="241" t="s">
        <v>414</v>
      </c>
      <c r="I24" s="241"/>
      <c r="J24" s="241" t="s">
        <v>415</v>
      </c>
      <c r="K24" s="241"/>
      <c r="L24" s="241" t="s">
        <v>416</v>
      </c>
      <c r="M24" s="241"/>
      <c r="N24" s="240"/>
      <c r="O24" s="199" t="s">
        <v>417</v>
      </c>
      <c r="P24" s="220"/>
      <c r="Q24" s="220" t="s">
        <v>418</v>
      </c>
      <c r="R24" s="220"/>
      <c r="S24" s="220" t="s">
        <v>419</v>
      </c>
      <c r="T24" s="220"/>
      <c r="U24" s="220" t="s">
        <v>420</v>
      </c>
      <c r="V24" s="200"/>
      <c r="W24" s="240"/>
      <c r="X24" s="199" t="s">
        <v>421</v>
      </c>
      <c r="Y24" s="200"/>
      <c r="Z24" s="199" t="s">
        <v>422</v>
      </c>
      <c r="AA24" s="200"/>
      <c r="AB24" s="199" t="s">
        <v>423</v>
      </c>
      <c r="AC24" s="200"/>
      <c r="AD24" s="199" t="s">
        <v>424</v>
      </c>
      <c r="AE24" s="200"/>
      <c r="AF24" s="240"/>
      <c r="AG24" s="199" t="s">
        <v>425</v>
      </c>
      <c r="AH24" s="200"/>
      <c r="AI24" s="199" t="s">
        <v>426</v>
      </c>
      <c r="AJ24" s="200"/>
      <c r="AK24" s="199" t="s">
        <v>427</v>
      </c>
      <c r="AL24" s="200"/>
      <c r="AM24" s="239"/>
      <c r="AN24" s="124"/>
      <c r="AO24" s="124"/>
      <c r="AP24" s="124"/>
      <c r="AQ24" s="124"/>
      <c r="AR24" s="124"/>
      <c r="AS24" s="124"/>
      <c r="AT24" s="124"/>
      <c r="AU24" s="124"/>
      <c r="AV24" s="236"/>
    </row>
    <row r="25" spans="1:48" ht="26.25">
      <c r="A25" s="246"/>
      <c r="B25" s="201"/>
      <c r="C25" s="202"/>
      <c r="D25" s="239"/>
      <c r="E25" s="247"/>
      <c r="F25" s="242"/>
      <c r="G25" s="242"/>
      <c r="H25" s="242"/>
      <c r="I25" s="242"/>
      <c r="J25" s="242"/>
      <c r="K25" s="242"/>
      <c r="L25" s="242"/>
      <c r="M25" s="242"/>
      <c r="N25" s="240"/>
      <c r="O25" s="201"/>
      <c r="P25" s="221"/>
      <c r="Q25" s="221"/>
      <c r="R25" s="221"/>
      <c r="S25" s="221"/>
      <c r="T25" s="221"/>
      <c r="U25" s="221"/>
      <c r="V25" s="202"/>
      <c r="W25" s="240"/>
      <c r="X25" s="201"/>
      <c r="Y25" s="202"/>
      <c r="Z25" s="201"/>
      <c r="AA25" s="202"/>
      <c r="AB25" s="201"/>
      <c r="AC25" s="202"/>
      <c r="AD25" s="201"/>
      <c r="AE25" s="202"/>
      <c r="AF25" s="240"/>
      <c r="AG25" s="201"/>
      <c r="AH25" s="202"/>
      <c r="AI25" s="201"/>
      <c r="AJ25" s="202"/>
      <c r="AK25" s="201"/>
      <c r="AL25" s="202"/>
      <c r="AM25" s="239"/>
      <c r="AN25" s="124"/>
      <c r="AO25" s="124"/>
      <c r="AP25" s="237" t="s">
        <v>428</v>
      </c>
      <c r="AQ25" s="237"/>
      <c r="AR25" s="237" t="s">
        <v>428</v>
      </c>
      <c r="AS25" s="237"/>
      <c r="AT25" s="237" t="s">
        <v>428</v>
      </c>
      <c r="AU25" s="237"/>
      <c r="AV25" s="236"/>
    </row>
    <row r="26" spans="1:48" ht="15.75" thickBot="1">
      <c r="A26" s="246"/>
      <c r="B26" s="203"/>
      <c r="C26" s="204"/>
      <c r="D26" s="239"/>
      <c r="E26" s="247"/>
      <c r="F26" s="243"/>
      <c r="G26" s="243"/>
      <c r="H26" s="243"/>
      <c r="I26" s="243"/>
      <c r="J26" s="243"/>
      <c r="K26" s="243"/>
      <c r="L26" s="243"/>
      <c r="M26" s="243"/>
      <c r="N26" s="240"/>
      <c r="O26" s="203"/>
      <c r="P26" s="222"/>
      <c r="Q26" s="222"/>
      <c r="R26" s="222"/>
      <c r="S26" s="222"/>
      <c r="T26" s="222"/>
      <c r="U26" s="222"/>
      <c r="V26" s="204"/>
      <c r="W26" s="240"/>
      <c r="X26" s="203"/>
      <c r="Y26" s="204"/>
      <c r="Z26" s="203"/>
      <c r="AA26" s="204"/>
      <c r="AB26" s="203"/>
      <c r="AC26" s="204"/>
      <c r="AD26" s="203"/>
      <c r="AE26" s="204"/>
      <c r="AF26" s="240"/>
      <c r="AG26" s="203"/>
      <c r="AH26" s="204"/>
      <c r="AI26" s="203"/>
      <c r="AJ26" s="204"/>
      <c r="AK26" s="203"/>
      <c r="AL26" s="204"/>
      <c r="AM26" s="239"/>
      <c r="AN26" s="124"/>
      <c r="AO26" s="124"/>
      <c r="AP26" s="238" t="s">
        <v>429</v>
      </c>
      <c r="AQ26" s="238"/>
      <c r="AR26" s="238" t="s">
        <v>320</v>
      </c>
      <c r="AS26" s="238"/>
      <c r="AT26" s="238" t="s">
        <v>430</v>
      </c>
      <c r="AU26" s="238"/>
      <c r="AV26" s="236"/>
    </row>
    <row r="27" spans="1:48" ht="15.75" thickBot="1">
      <c r="A27" s="246"/>
      <c r="B27" s="233"/>
      <c r="C27" s="233"/>
      <c r="D27" s="234"/>
      <c r="E27" s="234"/>
      <c r="F27" s="233"/>
      <c r="G27" s="233"/>
      <c r="H27" s="233"/>
      <c r="I27" s="233"/>
      <c r="J27" s="233"/>
      <c r="K27" s="233"/>
      <c r="L27" s="233"/>
      <c r="M27" s="233"/>
      <c r="N27" s="70"/>
      <c r="O27" s="233"/>
      <c r="P27" s="233"/>
      <c r="Q27" s="233"/>
      <c r="R27" s="233"/>
      <c r="S27" s="233"/>
      <c r="T27" s="233"/>
      <c r="U27" s="233"/>
      <c r="V27" s="233"/>
      <c r="W27" s="70"/>
      <c r="X27" s="233"/>
      <c r="Y27" s="233"/>
      <c r="Z27" s="233"/>
      <c r="AA27" s="233"/>
      <c r="AB27" s="233"/>
      <c r="AC27" s="233"/>
      <c r="AD27" s="233"/>
      <c r="AE27" s="233"/>
      <c r="AF27" s="48"/>
      <c r="AG27" s="235"/>
      <c r="AH27" s="235"/>
      <c r="AI27" s="235"/>
      <c r="AJ27" s="235"/>
      <c r="AK27" s="235"/>
      <c r="AL27" s="235"/>
      <c r="AM27" s="48"/>
      <c r="AN27" s="234"/>
      <c r="AO27" s="234"/>
      <c r="AP27" s="234"/>
      <c r="AQ27" s="234"/>
      <c r="AR27" s="234"/>
      <c r="AS27" s="234"/>
      <c r="AT27" s="234"/>
      <c r="AU27" s="234"/>
      <c r="AV27" s="236"/>
    </row>
    <row r="28" spans="1:48" ht="15.75">
      <c r="A28" s="246"/>
      <c r="B28" s="205" t="s">
        <v>431</v>
      </c>
      <c r="C28" s="207"/>
      <c r="D28" s="205">
        <v>1</v>
      </c>
      <c r="E28" s="207"/>
      <c r="F28" s="205">
        <v>2</v>
      </c>
      <c r="G28" s="207"/>
      <c r="H28" s="205">
        <v>3</v>
      </c>
      <c r="I28" s="207"/>
      <c r="J28" s="205">
        <v>4</v>
      </c>
      <c r="K28" s="207"/>
      <c r="L28" s="205">
        <v>5</v>
      </c>
      <c r="M28" s="207"/>
      <c r="N28" s="205">
        <v>6</v>
      </c>
      <c r="O28" s="207"/>
      <c r="P28" s="205">
        <v>7</v>
      </c>
      <c r="Q28" s="207"/>
      <c r="R28" s="205">
        <v>8</v>
      </c>
      <c r="S28" s="207"/>
      <c r="T28" s="205">
        <v>9</v>
      </c>
      <c r="U28" s="207"/>
      <c r="V28" s="205">
        <v>0</v>
      </c>
      <c r="W28" s="207"/>
      <c r="X28" s="205" t="s">
        <v>432</v>
      </c>
      <c r="Y28" s="207"/>
      <c r="Z28" s="205" t="s">
        <v>433</v>
      </c>
      <c r="AA28" s="207"/>
      <c r="AB28" s="205" t="s">
        <v>434</v>
      </c>
      <c r="AC28" s="207"/>
      <c r="AD28" s="199" t="s">
        <v>435</v>
      </c>
      <c r="AE28" s="200"/>
      <c r="AF28" s="232"/>
      <c r="AG28" s="199" t="s">
        <v>436</v>
      </c>
      <c r="AH28" s="200"/>
      <c r="AI28" s="199" t="s">
        <v>437</v>
      </c>
      <c r="AJ28" s="200"/>
      <c r="AK28" s="199" t="s">
        <v>438</v>
      </c>
      <c r="AL28" s="200"/>
      <c r="AM28" s="232"/>
      <c r="AN28" s="199" t="s">
        <v>429</v>
      </c>
      <c r="AO28" s="220"/>
      <c r="AP28" s="205" t="s">
        <v>439</v>
      </c>
      <c r="AQ28" s="207"/>
      <c r="AR28" s="205" t="s">
        <v>363</v>
      </c>
      <c r="AS28" s="207"/>
      <c r="AT28" s="205" t="s">
        <v>339</v>
      </c>
      <c r="AU28" s="207"/>
      <c r="AV28" s="236"/>
    </row>
    <row r="29" spans="1:48" ht="26.25">
      <c r="A29" s="246"/>
      <c r="B29" s="56" t="str">
        <f>IF(B30&lt;&gt;"",toUTF16(HEX2DEC(B30)),"")</f>
        <v/>
      </c>
      <c r="C29" s="57" t="str">
        <f>IF(C30&lt;&gt;"",toUTF16(HEX2DEC(C30)),"")</f>
        <v/>
      </c>
      <c r="D29" s="56" t="str">
        <f>IF(D30&lt;&gt;"",toUTF16(HEX2DEC(D30)),"")</f>
        <v/>
      </c>
      <c r="E29" s="57" t="str">
        <f>IF(E30&lt;&gt;"",toUTF16(HEX2DEC(E30)),"")</f>
        <v/>
      </c>
      <c r="F29" s="56" t="str">
        <f>IF(F30&lt;&gt;"",toUTF16(HEX2DEC(F30)),"")</f>
        <v/>
      </c>
      <c r="G29" s="57" t="str">
        <f>IF(G30&lt;&gt;"",toUTF16(HEX2DEC(G30)),"")</f>
        <v/>
      </c>
      <c r="H29" s="56" t="str">
        <f>IF(H30&lt;&gt;"",toUTF16(HEX2DEC(H30)),"")</f>
        <v/>
      </c>
      <c r="I29" s="57" t="str">
        <f>IF(I30&lt;&gt;"",toUTF16(HEX2DEC(I30)),"")</f>
        <v/>
      </c>
      <c r="J29" s="56" t="str">
        <f>IF(J30&lt;&gt;"",toUTF16(HEX2DEC(J30)),"")</f>
        <v>¤</v>
      </c>
      <c r="K29" s="57" t="str">
        <f>IF(K30&lt;&gt;"",toUTF16(HEX2DEC(K30)),"")</f>
        <v/>
      </c>
      <c r="L29" s="56" t="str">
        <f>IF(L30&lt;&gt;"",toUTF16(HEX2DEC(L30)),"")</f>
        <v/>
      </c>
      <c r="M29" s="57" t="str">
        <f>IF(M30&lt;&gt;"",toUTF16(HEX2DEC(M30)),"")</f>
        <v/>
      </c>
      <c r="N29" s="56" t="str">
        <f>IF(N30&lt;&gt;"",toUTF16(HEX2DEC(N30)),"")</f>
        <v/>
      </c>
      <c r="O29" s="57" t="str">
        <f>IF(O30&lt;&gt;"",toUTF16(HEX2DEC(O30)),"")</f>
        <v/>
      </c>
      <c r="P29" s="56" t="str">
        <f>IF(P30&lt;&gt;"",toUTF16(HEX2DEC(P30)),"")</f>
        <v/>
      </c>
      <c r="Q29" s="57" t="str">
        <f>IF(Q30&lt;&gt;"",toUTF16(HEX2DEC(Q30)),"")</f>
        <v/>
      </c>
      <c r="R29" s="56" t="str">
        <f>IF(R30&lt;&gt;"",toUTF16(HEX2DEC(R30)),"")</f>
        <v/>
      </c>
      <c r="S29" s="57" t="str">
        <f>IF(S30&lt;&gt;"",toUTF16(HEX2DEC(S30)),"")</f>
        <v/>
      </c>
      <c r="T29" s="56" t="str">
        <f>IF(T30&lt;&gt;"",toUTF16(HEX2DEC(T30)),"")</f>
        <v/>
      </c>
      <c r="U29" s="57" t="str">
        <f>IF(U30&lt;&gt;"",toUTF16(HEX2DEC(U30)),"")</f>
        <v/>
      </c>
      <c r="V29" s="56" t="str">
        <f>IF(V30&lt;&gt;"",toUTF16(HEX2DEC(V30)),"")</f>
        <v/>
      </c>
      <c r="W29" s="57" t="str">
        <f>IF(W30&lt;&gt;"",toUTF16(HEX2DEC(W30)),"")</f>
        <v/>
      </c>
      <c r="X29" s="56" t="str">
        <f>IF(X30&lt;&gt;"",toUTF16(HEX2DEC(X30)),"")</f>
        <v/>
      </c>
      <c r="Y29" s="57" t="str">
        <f>IF(Y30&lt;&gt;"",toUTF16(HEX2DEC(Y30)),"")</f>
        <v/>
      </c>
      <c r="Z29" s="56" t="str">
        <f>IF(Z30&lt;&gt;"",toUTF16(HEX2DEC(Z30)),"")</f>
        <v/>
      </c>
      <c r="AA29" s="57" t="str">
        <f>IF(AA30&lt;&gt;"",toUTF16(HEX2DEC(AA30)),"")</f>
        <v/>
      </c>
      <c r="AB29" s="56" t="str">
        <f>IF(AB30&lt;&gt;"",toUTF16(HEX2DEC(AB30)),"")</f>
        <v/>
      </c>
      <c r="AC29" s="57" t="str">
        <f>IF(AC30&lt;&gt;"",toUTF16(HEX2DEC(AC30)),"")</f>
        <v/>
      </c>
      <c r="AD29" s="201"/>
      <c r="AE29" s="202"/>
      <c r="AF29" s="232"/>
      <c r="AG29" s="201"/>
      <c r="AH29" s="202"/>
      <c r="AI29" s="201"/>
      <c r="AJ29" s="202"/>
      <c r="AK29" s="201"/>
      <c r="AL29" s="202"/>
      <c r="AM29" s="232"/>
      <c r="AN29" s="201"/>
      <c r="AO29" s="221"/>
      <c r="AP29" s="56" t="str">
        <f>IF(AP30&lt;&gt;"",toUTF16(HEX2DEC(AP30)),"")</f>
        <v/>
      </c>
      <c r="AQ29" s="57" t="str">
        <f>IF(AQ30&lt;&gt;"",toUTF16(HEX2DEC(AQ30)),"")</f>
        <v/>
      </c>
      <c r="AR29" s="56" t="str">
        <f>IF(AR30&lt;&gt;"",toUTF16(HEX2DEC(AR30)),"")</f>
        <v/>
      </c>
      <c r="AS29" s="57" t="str">
        <f>IF(AS30&lt;&gt;"",toUTF16(HEX2DEC(AS30)),"")</f>
        <v/>
      </c>
      <c r="AT29" s="56" t="str">
        <f>IF(AT30&lt;&gt;"",toUTF16(HEX2DEC(AT30)),"")</f>
        <v/>
      </c>
      <c r="AU29" s="57" t="str">
        <f>IF(AU30&lt;&gt;"",toUTF16(HEX2DEC(AU30)),"")</f>
        <v/>
      </c>
      <c r="AV29" s="236"/>
    </row>
    <row r="30" spans="1:48" ht="15.75" thickBot="1">
      <c r="A30" s="246"/>
      <c r="B30" s="59"/>
      <c r="C30" s="60"/>
      <c r="D30" s="61"/>
      <c r="E30" s="62"/>
      <c r="F30" s="61"/>
      <c r="G30" s="62"/>
      <c r="H30" s="61"/>
      <c r="I30" s="62"/>
      <c r="J30" s="61" t="s">
        <v>526</v>
      </c>
      <c r="K30" s="62"/>
      <c r="L30" s="61"/>
      <c r="M30" s="62"/>
      <c r="N30" s="61"/>
      <c r="O30" s="62"/>
      <c r="P30" s="61"/>
      <c r="Q30" s="62"/>
      <c r="R30" s="61"/>
      <c r="S30" s="62"/>
      <c r="T30" s="61"/>
      <c r="U30" s="62"/>
      <c r="V30" s="61"/>
      <c r="W30" s="62"/>
      <c r="X30" s="61"/>
      <c r="Y30" s="62"/>
      <c r="Z30" s="61"/>
      <c r="AA30" s="62"/>
      <c r="AB30" s="61"/>
      <c r="AC30" s="62"/>
      <c r="AD30" s="203"/>
      <c r="AE30" s="204"/>
      <c r="AF30" s="232"/>
      <c r="AG30" s="203"/>
      <c r="AH30" s="204"/>
      <c r="AI30" s="203"/>
      <c r="AJ30" s="204"/>
      <c r="AK30" s="203"/>
      <c r="AL30" s="204"/>
      <c r="AM30" s="232"/>
      <c r="AN30" s="201"/>
      <c r="AO30" s="221"/>
      <c r="AP30" s="61"/>
      <c r="AQ30" s="62"/>
      <c r="AR30" s="61"/>
      <c r="AS30" s="62"/>
      <c r="AT30" s="61"/>
      <c r="AU30" s="62"/>
      <c r="AV30" s="236"/>
    </row>
    <row r="31" spans="1:48" ht="15.75">
      <c r="A31" s="246"/>
      <c r="B31" s="199" t="s">
        <v>440</v>
      </c>
      <c r="C31" s="220"/>
      <c r="D31" s="221"/>
      <c r="E31" s="205" t="s">
        <v>290</v>
      </c>
      <c r="F31" s="207"/>
      <c r="G31" s="205" t="s">
        <v>288</v>
      </c>
      <c r="H31" s="207"/>
      <c r="I31" s="205" t="s">
        <v>305</v>
      </c>
      <c r="J31" s="207"/>
      <c r="K31" s="205" t="s">
        <v>280</v>
      </c>
      <c r="L31" s="207"/>
      <c r="M31" s="205" t="s">
        <v>277</v>
      </c>
      <c r="N31" s="207"/>
      <c r="O31" s="205" t="s">
        <v>281</v>
      </c>
      <c r="P31" s="207"/>
      <c r="Q31" s="205" t="s">
        <v>306</v>
      </c>
      <c r="R31" s="207"/>
      <c r="S31" s="205" t="s">
        <v>296</v>
      </c>
      <c r="T31" s="207"/>
      <c r="U31" s="205" t="s">
        <v>297</v>
      </c>
      <c r="V31" s="207"/>
      <c r="W31" s="205" t="s">
        <v>295</v>
      </c>
      <c r="X31" s="207"/>
      <c r="Y31" s="205" t="s">
        <v>441</v>
      </c>
      <c r="Z31" s="207"/>
      <c r="AA31" s="205" t="s">
        <v>442</v>
      </c>
      <c r="AB31" s="206"/>
      <c r="AC31" s="199" t="s">
        <v>443</v>
      </c>
      <c r="AD31" s="220"/>
      <c r="AE31" s="200"/>
      <c r="AF31" s="232"/>
      <c r="AG31" s="199" t="s">
        <v>444</v>
      </c>
      <c r="AH31" s="200"/>
      <c r="AI31" s="199" t="s">
        <v>445</v>
      </c>
      <c r="AJ31" s="200"/>
      <c r="AK31" s="199" t="s">
        <v>446</v>
      </c>
      <c r="AL31" s="200"/>
      <c r="AM31" s="232"/>
      <c r="AN31" s="205">
        <v>7</v>
      </c>
      <c r="AO31" s="207"/>
      <c r="AP31" s="205">
        <v>8</v>
      </c>
      <c r="AQ31" s="207"/>
      <c r="AR31" s="205">
        <v>9</v>
      </c>
      <c r="AS31" s="207"/>
      <c r="AT31" s="205" t="s">
        <v>300</v>
      </c>
      <c r="AU31" s="207"/>
      <c r="AV31" s="236"/>
    </row>
    <row r="32" spans="1:48" ht="26.25">
      <c r="A32" s="246"/>
      <c r="B32" s="201"/>
      <c r="C32" s="221"/>
      <c r="D32" s="221"/>
      <c r="E32" s="56" t="str">
        <f>IF(E33&lt;&gt;"",toUTF16(HEX2DEC(MID(E33,1,4)))&amp;toUTF16(HEX2DEC(MID(E33,6,4))),"")</f>
        <v>َّ</v>
      </c>
      <c r="F32" s="57" t="str">
        <f>IF(F33&lt;&gt;"",toUTF16(HEX2DEC(F33)),"")</f>
        <v/>
      </c>
      <c r="G32" s="56" t="str">
        <f>IF(G33&lt;&gt;"",toUTF16(HEX2DEC(MID(G33,1,4)))&amp;toUTF16(HEX2DEC(MID(G33,6,4))),"")</f>
        <v>ًّ</v>
      </c>
      <c r="H32" s="57" t="str">
        <f>IF(H33&lt;&gt;"",toUTF16(HEX2DEC(H33)),"")</f>
        <v/>
      </c>
      <c r="I32" s="56" t="str">
        <f>IF(I33&lt;&gt;"",toUTF16(HEX2DEC(MID(I33,1,4)))&amp;toUTF16(HEX2DEC(MID(I33,6,4))),"")</f>
        <v>ُّ</v>
      </c>
      <c r="J32" s="57" t="str">
        <f>IF(J33&lt;&gt;"",toUTF16(HEX2DEC(J33)),"")</f>
        <v/>
      </c>
      <c r="K32" s="56" t="str">
        <f>IF(K33&lt;&gt;"",toUTF16(HEX2DEC(MID(K33,1,4)))&amp;toUTF16(HEX2DEC(MID(K33,6,4))),"")</f>
        <v>ٌّ</v>
      </c>
      <c r="L32" s="57" t="str">
        <f>IF(L33&lt;&gt;"",toUTF16(HEX2DEC(L33)),"")</f>
        <v/>
      </c>
      <c r="M32" s="56" t="str">
        <f>IF(M33&lt;&gt;"",toUTF16(HEX2DEC(M33)),"")</f>
        <v/>
      </c>
      <c r="N32" s="57" t="str">
        <f>IF(N33&lt;&gt;"",toUTF16(HEX2DEC(N33)),"")</f>
        <v/>
      </c>
      <c r="O32" s="56" t="str">
        <f>IF(O33&lt;&gt;"",toUTF16(HEX2DEC(O33)),"")</f>
        <v/>
      </c>
      <c r="P32" s="57" t="str">
        <f>IF(P33&lt;&gt;"",toUTF16(HEX2DEC(P33)),"")</f>
        <v/>
      </c>
      <c r="Q32" s="56" t="str">
        <f>IF(Q33&lt;&gt;"",toUTF16(HEX2DEC(Q33)),"")</f>
        <v/>
      </c>
      <c r="R32" s="57" t="str">
        <f>IF(R33&lt;&gt;"",toUTF16(HEX2DEC(R33)),"")</f>
        <v/>
      </c>
      <c r="S32" s="56" t="str">
        <f>IF(S33&lt;&gt;"",toUTF16(HEX2DEC(S33)),"")</f>
        <v/>
      </c>
      <c r="T32" s="57" t="str">
        <f>IF(T33&lt;&gt;"",toUTF16(HEX2DEC(T33)),"")</f>
        <v/>
      </c>
      <c r="U32" s="56" t="str">
        <f>IF(U33&lt;&gt;"",toUTF16(HEX2DEC(U33)),"")</f>
        <v/>
      </c>
      <c r="V32" s="57" t="str">
        <f>IF(V33&lt;&gt;"",toUTF16(HEX2DEC(V33)),"")</f>
        <v/>
      </c>
      <c r="W32" s="56" t="str">
        <f>IF(W33&lt;&gt;"",toUTF16(HEX2DEC(W33)),"")</f>
        <v/>
      </c>
      <c r="X32" s="57" t="str">
        <f>IF(X33&lt;&gt;"",toUTF16(HEX2DEC(X33)),"")</f>
        <v/>
      </c>
      <c r="Y32" s="56" t="str">
        <f>IF(Y33&lt;&gt;"",toUTF16(HEX2DEC(Y33)),"")</f>
        <v/>
      </c>
      <c r="Z32" s="57" t="str">
        <f>IF(Z33&lt;&gt;"",toUTF16(HEX2DEC(Z33)),"")</f>
        <v/>
      </c>
      <c r="AA32" s="56" t="str">
        <f>IF(AA33&lt;&gt;"",toUTF16(HEX2DEC(AA33)),"")</f>
        <v/>
      </c>
      <c r="AB32" s="63" t="str">
        <f>IF(AB33&lt;&gt;"",toUTF16(HEX2DEC(AB33)),"")</f>
        <v/>
      </c>
      <c r="AC32" s="201"/>
      <c r="AD32" s="221"/>
      <c r="AE32" s="202"/>
      <c r="AF32" s="232"/>
      <c r="AG32" s="201"/>
      <c r="AH32" s="202"/>
      <c r="AI32" s="201"/>
      <c r="AJ32" s="202"/>
      <c r="AK32" s="201"/>
      <c r="AL32" s="202"/>
      <c r="AM32" s="232"/>
      <c r="AN32" s="56" t="str">
        <f>IF(AN33&lt;&gt;"",toUTF16(HEX2DEC(AN33)),"")</f>
        <v/>
      </c>
      <c r="AO32" s="57" t="str">
        <f>IF(AO33&lt;&gt;"",toUTF16(HEX2DEC(AO33)),"")</f>
        <v/>
      </c>
      <c r="AP32" s="56" t="str">
        <f>IF(AP33&lt;&gt;"",toUTF16(HEX2DEC(AP33)),"")</f>
        <v/>
      </c>
      <c r="AQ32" s="57" t="str">
        <f>IF(AQ33&lt;&gt;"",toUTF16(HEX2DEC(AQ33)),"")</f>
        <v/>
      </c>
      <c r="AR32" s="56" t="str">
        <f>IF(AR33&lt;&gt;"",toUTF16(HEX2DEC(AR33)),"")</f>
        <v/>
      </c>
      <c r="AS32" s="57" t="str">
        <f>IF(AS33&lt;&gt;"",toUTF16(HEX2DEC(AS33)),"")</f>
        <v/>
      </c>
      <c r="AT32" s="227"/>
      <c r="AU32" s="224"/>
      <c r="AV32" s="236"/>
    </row>
    <row r="33" spans="1:48" ht="15.75" thickBot="1">
      <c r="A33" s="246"/>
      <c r="B33" s="203"/>
      <c r="C33" s="222"/>
      <c r="D33" s="222"/>
      <c r="E33" s="61" t="s">
        <v>527</v>
      </c>
      <c r="F33" s="62"/>
      <c r="G33" s="61" t="s">
        <v>528</v>
      </c>
      <c r="H33" s="62"/>
      <c r="I33" s="61" t="s">
        <v>529</v>
      </c>
      <c r="J33" s="62"/>
      <c r="K33" s="61" t="s">
        <v>530</v>
      </c>
      <c r="L33" s="62"/>
      <c r="M33" s="61"/>
      <c r="N33" s="62"/>
      <c r="O33" s="61"/>
      <c r="P33" s="62"/>
      <c r="Q33" s="61"/>
      <c r="R33" s="62"/>
      <c r="S33" s="61"/>
      <c r="T33" s="62"/>
      <c r="U33" s="61"/>
      <c r="V33" s="62"/>
      <c r="W33" s="61"/>
      <c r="X33" s="62"/>
      <c r="Y33" s="61"/>
      <c r="Z33" s="62"/>
      <c r="AA33" s="61"/>
      <c r="AB33" s="64"/>
      <c r="AC33" s="201"/>
      <c r="AD33" s="221"/>
      <c r="AE33" s="202"/>
      <c r="AF33" s="232"/>
      <c r="AG33" s="203"/>
      <c r="AH33" s="204"/>
      <c r="AI33" s="203"/>
      <c r="AJ33" s="204"/>
      <c r="AK33" s="203"/>
      <c r="AL33" s="204"/>
      <c r="AM33" s="232"/>
      <c r="AN33" s="61"/>
      <c r="AO33" s="62"/>
      <c r="AP33" s="61"/>
      <c r="AQ33" s="62"/>
      <c r="AR33" s="61"/>
      <c r="AS33" s="62"/>
      <c r="AT33" s="227"/>
      <c r="AU33" s="224"/>
      <c r="AV33" s="236"/>
    </row>
    <row r="34" spans="1:48" ht="15.75">
      <c r="A34" s="246"/>
      <c r="B34" s="199" t="s">
        <v>320</v>
      </c>
      <c r="C34" s="220"/>
      <c r="D34" s="220"/>
      <c r="E34" s="202"/>
      <c r="F34" s="205" t="s">
        <v>292</v>
      </c>
      <c r="G34" s="207"/>
      <c r="H34" s="205" t="s">
        <v>282</v>
      </c>
      <c r="I34" s="207"/>
      <c r="J34" s="205" t="s">
        <v>279</v>
      </c>
      <c r="K34" s="206"/>
      <c r="L34" s="205" t="s">
        <v>283</v>
      </c>
      <c r="M34" s="207"/>
      <c r="N34" s="205" t="s">
        <v>293</v>
      </c>
      <c r="O34" s="207"/>
      <c r="P34" s="205" t="s">
        <v>287</v>
      </c>
      <c r="Q34" s="207"/>
      <c r="R34" s="205" t="s">
        <v>289</v>
      </c>
      <c r="S34" s="207"/>
      <c r="T34" s="205" t="s">
        <v>284</v>
      </c>
      <c r="U34" s="207"/>
      <c r="V34" s="205" t="s">
        <v>285</v>
      </c>
      <c r="W34" s="207"/>
      <c r="X34" s="205" t="s">
        <v>447</v>
      </c>
      <c r="Y34" s="207"/>
      <c r="Z34" s="205" t="s">
        <v>448</v>
      </c>
      <c r="AA34" s="207"/>
      <c r="AB34" s="228"/>
      <c r="AC34" s="221"/>
      <c r="AD34" s="221"/>
      <c r="AE34" s="202"/>
      <c r="AF34" s="227"/>
      <c r="AG34" s="206"/>
      <c r="AH34" s="206"/>
      <c r="AI34" s="206"/>
      <c r="AJ34" s="206"/>
      <c r="AK34" s="206"/>
      <c r="AL34" s="206"/>
      <c r="AM34" s="224"/>
      <c r="AN34" s="205">
        <v>4</v>
      </c>
      <c r="AO34" s="207"/>
      <c r="AP34" s="205">
        <v>5</v>
      </c>
      <c r="AQ34" s="207"/>
      <c r="AR34" s="205">
        <v>6</v>
      </c>
      <c r="AS34" s="207"/>
      <c r="AT34" s="227" t="str">
        <f>IF(AT36&lt;&gt;"",toUTF16(HEX2DEC(AT36)),"")</f>
        <v/>
      </c>
      <c r="AU34" s="224" t="str">
        <f>IF(AU36&lt;&gt;"",toUTF16(HEX2DEC(AU36)),"")</f>
        <v/>
      </c>
      <c r="AV34" s="236"/>
    </row>
    <row r="35" spans="1:48" ht="26.25">
      <c r="A35" s="246"/>
      <c r="B35" s="201"/>
      <c r="C35" s="221"/>
      <c r="D35" s="221"/>
      <c r="E35" s="202"/>
      <c r="F35" s="56" t="str">
        <f>IF(F36&lt;&gt;"",toUTF16(HEX2DEC(F36)),"")</f>
        <v/>
      </c>
      <c r="G35" s="57" t="str">
        <f>IF(G36&lt;&gt;"",toUTF16(HEX2DEC(G36)),"")</f>
        <v/>
      </c>
      <c r="H35" s="56" t="str">
        <f>IF(H36&lt;&gt;"",toUTF16(HEX2DEC(H36)),"")</f>
        <v/>
      </c>
      <c r="I35" s="57" t="str">
        <f>IF(I36&lt;&gt;"",toUTF16(HEX2DEC(I36)),"")</f>
        <v/>
      </c>
      <c r="J35" s="56" t="str">
        <f>IF(J36&lt;&gt;"",toUTF16(HEX2DEC(J36)),"")</f>
        <v/>
      </c>
      <c r="K35" s="63" t="str">
        <f>IF(K36&lt;&gt;"",toUTF16(HEX2DEC(K36)),"")</f>
        <v/>
      </c>
      <c r="L35" s="56" t="str">
        <f>IF(L36&lt;&gt;"",toUTF16(HEX2DEC(L36)),"")</f>
        <v/>
      </c>
      <c r="M35" s="57" t="str">
        <f>IF(M36&lt;&gt;"",toUTF16(HEX2DEC(M36)),"")</f>
        <v/>
      </c>
      <c r="N35" s="56" t="str">
        <f>IF(N36&lt;&gt;"",toUTF16(HEX2DEC(N36)),"")</f>
        <v/>
      </c>
      <c r="O35" s="57" t="str">
        <f>IF(O36&lt;&gt;"",toUTF16(HEX2DEC(O36)),"")</f>
        <v/>
      </c>
      <c r="P35" s="56" t="str">
        <f>IF(P36&lt;&gt;"",toUTF16(HEX2DEC(P36)),"")</f>
        <v/>
      </c>
      <c r="Q35" s="57" t="str">
        <f>IF(Q36&lt;&gt;"",toUTF16(HEX2DEC(Q36)),"")</f>
        <v/>
      </c>
      <c r="R35" s="56" t="str">
        <f>IF(R36&lt;&gt;"",toUTF16(HEX2DEC(R36)),"")</f>
        <v/>
      </c>
      <c r="S35" s="57" t="str">
        <f>IF(S36&lt;&gt;"",toUTF16(HEX2DEC(S36)),"")</f>
        <v/>
      </c>
      <c r="T35" s="56" t="str">
        <f>IF(T36&lt;&gt;"",toUTF16(HEX2DEC(T36)),"")</f>
        <v/>
      </c>
      <c r="U35" s="57" t="str">
        <f>IF(U36&lt;&gt;"",toUTF16(HEX2DEC(U36)),"")</f>
        <v/>
      </c>
      <c r="V35" s="56" t="str">
        <f>IF(V36&lt;&gt;"",toUTF16(HEX2DEC(V36)),"")</f>
        <v/>
      </c>
      <c r="W35" s="57" t="str">
        <f>IF(W36&lt;&gt;"",toUTF16(HEX2DEC(W36)),"")</f>
        <v/>
      </c>
      <c r="X35" s="56" t="str">
        <f>IF(X36&lt;&gt;"",toUTF16(HEX2DEC(X36)),"")</f>
        <v/>
      </c>
      <c r="Y35" s="57" t="str">
        <f>IF(Y36&lt;&gt;"",toUTF16(HEX2DEC(Y36)),"")</f>
        <v/>
      </c>
      <c r="Z35" s="56" t="str">
        <f>IF(Z36&lt;&gt;"",toUTF16(HEX2DEC(Z36)),"")</f>
        <v/>
      </c>
      <c r="AA35" s="57" t="str">
        <f>IF(AA36&lt;&gt;"",toUTF16(HEX2DEC(AA36)),"")</f>
        <v/>
      </c>
      <c r="AB35" s="229"/>
      <c r="AC35" s="221"/>
      <c r="AD35" s="221"/>
      <c r="AE35" s="202"/>
      <c r="AF35" s="227"/>
      <c r="AG35" s="223"/>
      <c r="AH35" s="223"/>
      <c r="AI35" s="223"/>
      <c r="AJ35" s="223"/>
      <c r="AK35" s="223"/>
      <c r="AL35" s="223"/>
      <c r="AM35" s="224"/>
      <c r="AN35" s="56" t="str">
        <f>IF(AN36&lt;&gt;"",toUTF16(HEX2DEC(AN36)),"")</f>
        <v/>
      </c>
      <c r="AO35" s="57" t="str">
        <f>IF(AO36&lt;&gt;"",toUTF16(HEX2DEC(AO36)),"")</f>
        <v/>
      </c>
      <c r="AP35" s="56" t="str">
        <f>IF(AP36&lt;&gt;"",toUTF16(HEX2DEC(AP36)),"")</f>
        <v/>
      </c>
      <c r="AQ35" s="57" t="str">
        <f>IF(AQ36&lt;&gt;"",toUTF16(HEX2DEC(AQ36)),"")</f>
        <v/>
      </c>
      <c r="AR35" s="56" t="str">
        <f>IF(AR36&lt;&gt;"",toUTF16(HEX2DEC(AR36)),"")</f>
        <v/>
      </c>
      <c r="AS35" s="57" t="str">
        <f>IF(AS36&lt;&gt;"",toUTF16(HEX2DEC(AS36)),"")</f>
        <v/>
      </c>
      <c r="AT35" s="227" t="str">
        <f>IF(AT36&lt;&gt;"",toUTF16(HEX2DEC(AT36)),"")</f>
        <v/>
      </c>
      <c r="AU35" s="224" t="str">
        <f>IF(AU36&lt;&gt;"",toUTF16(HEX2DEC(AU36)),"")</f>
        <v/>
      </c>
      <c r="AV35" s="236"/>
    </row>
    <row r="36" spans="1:48" ht="15.75" thickBot="1">
      <c r="A36" s="246"/>
      <c r="B36" s="203"/>
      <c r="C36" s="222"/>
      <c r="D36" s="222"/>
      <c r="E36" s="204"/>
      <c r="F36" s="61"/>
      <c r="G36" s="62"/>
      <c r="H36" s="61"/>
      <c r="I36" s="62"/>
      <c r="J36" s="61"/>
      <c r="K36" s="64"/>
      <c r="L36" s="61"/>
      <c r="M36" s="62"/>
      <c r="N36" s="61"/>
      <c r="O36" s="62"/>
      <c r="P36" s="61"/>
      <c r="Q36" s="62"/>
      <c r="R36" s="61"/>
      <c r="S36" s="62"/>
      <c r="T36" s="61"/>
      <c r="U36" s="62"/>
      <c r="V36" s="61"/>
      <c r="W36" s="62"/>
      <c r="X36" s="61"/>
      <c r="Y36" s="62"/>
      <c r="Z36" s="61"/>
      <c r="AA36" s="62"/>
      <c r="AB36" s="230"/>
      <c r="AC36" s="222"/>
      <c r="AD36" s="222"/>
      <c r="AE36" s="204"/>
      <c r="AF36" s="227"/>
      <c r="AG36" s="223"/>
      <c r="AH36" s="223"/>
      <c r="AI36" s="223"/>
      <c r="AJ36" s="223"/>
      <c r="AK36" s="223"/>
      <c r="AL36" s="223"/>
      <c r="AM36" s="224"/>
      <c r="AN36" s="61"/>
      <c r="AO36" s="62"/>
      <c r="AP36" s="61"/>
      <c r="AQ36" s="62"/>
      <c r="AR36" s="61"/>
      <c r="AS36" s="62"/>
      <c r="AT36" s="61"/>
      <c r="AU36" s="62"/>
      <c r="AV36" s="236"/>
    </row>
    <row r="37" spans="1:48" ht="15.75">
      <c r="A37" s="246"/>
      <c r="B37" s="199" t="s">
        <v>449</v>
      </c>
      <c r="C37" s="220"/>
      <c r="D37" s="220"/>
      <c r="E37" s="205" t="s">
        <v>476</v>
      </c>
      <c r="F37" s="207"/>
      <c r="G37" s="205" t="s">
        <v>335</v>
      </c>
      <c r="H37" s="207"/>
      <c r="I37" s="205" t="s">
        <v>278</v>
      </c>
      <c r="J37" s="207"/>
      <c r="K37" s="205" t="s">
        <v>294</v>
      </c>
      <c r="L37" s="207"/>
      <c r="M37" s="205" t="s">
        <v>336</v>
      </c>
      <c r="N37" s="207"/>
      <c r="O37" s="205" t="s">
        <v>276</v>
      </c>
      <c r="P37" s="207"/>
      <c r="Q37" s="205" t="s">
        <v>286</v>
      </c>
      <c r="R37" s="207"/>
      <c r="S37" s="205" t="s">
        <v>275</v>
      </c>
      <c r="T37" s="207"/>
      <c r="U37" s="205" t="s">
        <v>450</v>
      </c>
      <c r="V37" s="207"/>
      <c r="W37" s="205" t="s">
        <v>451</v>
      </c>
      <c r="X37" s="207"/>
      <c r="Y37" s="205" t="s">
        <v>452</v>
      </c>
      <c r="Z37" s="207"/>
      <c r="AA37" s="199" t="s">
        <v>453</v>
      </c>
      <c r="AB37" s="220"/>
      <c r="AC37" s="220"/>
      <c r="AD37" s="220"/>
      <c r="AE37" s="200"/>
      <c r="AF37" s="227"/>
      <c r="AG37" s="223"/>
      <c r="AH37" s="224"/>
      <c r="AI37" s="199" t="s">
        <v>353</v>
      </c>
      <c r="AJ37" s="200"/>
      <c r="AK37" s="227"/>
      <c r="AL37" s="223"/>
      <c r="AM37" s="224"/>
      <c r="AN37" s="205">
        <v>1</v>
      </c>
      <c r="AO37" s="207"/>
      <c r="AP37" s="205">
        <v>2</v>
      </c>
      <c r="AQ37" s="207"/>
      <c r="AR37" s="205">
        <v>3</v>
      </c>
      <c r="AS37" s="207"/>
      <c r="AT37" s="214" t="s">
        <v>454</v>
      </c>
      <c r="AU37" s="215"/>
      <c r="AV37" s="236"/>
    </row>
    <row r="38" spans="1:48" ht="26.25">
      <c r="A38" s="246"/>
      <c r="B38" s="201"/>
      <c r="C38" s="221"/>
      <c r="D38" s="221"/>
      <c r="E38" s="56" t="str">
        <f>IF(E39&lt;&gt;"",toUTF16(HEX2DEC(E39)),"")</f>
        <v/>
      </c>
      <c r="F38" s="57" t="str">
        <f>IF(F39&lt;&gt;"",toUTF16(HEX2DEC(F39)),"")</f>
        <v/>
      </c>
      <c r="G38" s="56" t="str">
        <f>IF(G39&lt;&gt;"",toUTF16(HEX2DEC(G39)),"")</f>
        <v/>
      </c>
      <c r="H38" s="57" t="str">
        <f>IF(H39&lt;&gt;"",toUTF16(HEX2DEC(H39)),"")</f>
        <v/>
      </c>
      <c r="I38" s="56" t="str">
        <f>IF(I39&lt;&gt;"",toUTF16(HEX2DEC(I39)),"")</f>
        <v/>
      </c>
      <c r="J38" s="57" t="str">
        <f>IF(J39&lt;&gt;"",toUTF16(HEX2DEC(J39)),"")</f>
        <v/>
      </c>
      <c r="K38" s="56" t="str">
        <f>IF(K39&lt;&gt;"",toUTF16(HEX2DEC(MID(K39,1,4)))&amp;toUTF16(HEX2DEC(MID(K39,6,4))),"")</f>
        <v>ِّ</v>
      </c>
      <c r="L38" s="57" t="str">
        <f>IF(L39&lt;&gt;"",toUTF16(HEX2DEC(L39)),"")</f>
        <v/>
      </c>
      <c r="M38" s="56" t="str">
        <f>IF(M39&lt;&gt;"",toUTF16(HEX2DEC(MID(M39,1,4)))&amp;toUTF16(HEX2DEC(MID(M39,6,4))),"")</f>
        <v>ٍّ</v>
      </c>
      <c r="N38" s="57" t="str">
        <f>IF(N39&lt;&gt;"",toUTF16(HEX2DEC(N39)),"")</f>
        <v/>
      </c>
      <c r="O38" s="56" t="str">
        <f>IF(O39&lt;&gt;"",toUTF16(HEX2DEC(O39)),"")</f>
        <v/>
      </c>
      <c r="P38" s="57" t="str">
        <f>IF(P39&lt;&gt;"",toUTF16(HEX2DEC(P39)),"")</f>
        <v/>
      </c>
      <c r="Q38" s="56" t="str">
        <f>IF(Q39&lt;&gt;"",toUTF16(HEX2DEC(Q39)),"")</f>
        <v/>
      </c>
      <c r="R38" s="57" t="str">
        <f>IF(R39&lt;&gt;"",toUTF16(HEX2DEC(R39)),"")</f>
        <v/>
      </c>
      <c r="S38" s="56" t="str">
        <f>IF(S39&lt;&gt;"",toUTF16(HEX2DEC(S39)),"")</f>
        <v/>
      </c>
      <c r="T38" s="57" t="str">
        <f>IF(T39&lt;&gt;"",toUTF16(HEX2DEC(T39)),"")</f>
        <v/>
      </c>
      <c r="U38" s="56" t="str">
        <f>IF(U39&lt;&gt;"",toUTF16(HEX2DEC(U39)),"")</f>
        <v/>
      </c>
      <c r="V38" s="57" t="str">
        <f>IF(V39&lt;&gt;"",toUTF16(HEX2DEC(V39)),"")</f>
        <v/>
      </c>
      <c r="W38" s="56" t="str">
        <f>IF(W39&lt;&gt;"",toUTF16(HEX2DEC(W39)),"")</f>
        <v/>
      </c>
      <c r="X38" s="57" t="str">
        <f>IF(X39&lt;&gt;"",toUTF16(HEX2DEC(X39)),"")</f>
        <v/>
      </c>
      <c r="Y38" s="56" t="str">
        <f>IF(Y39&lt;&gt;"",toUTF16(HEX2DEC(Y39)),"")</f>
        <v/>
      </c>
      <c r="Z38" s="57" t="str">
        <f>IF(Z39&lt;&gt;"",toUTF16(HEX2DEC(Z39)),"")</f>
        <v/>
      </c>
      <c r="AA38" s="201"/>
      <c r="AB38" s="221"/>
      <c r="AC38" s="221"/>
      <c r="AD38" s="221"/>
      <c r="AE38" s="202"/>
      <c r="AF38" s="227"/>
      <c r="AG38" s="223"/>
      <c r="AH38" s="224"/>
      <c r="AI38" s="201"/>
      <c r="AJ38" s="202"/>
      <c r="AK38" s="227"/>
      <c r="AL38" s="223"/>
      <c r="AM38" s="224"/>
      <c r="AN38" s="56" t="str">
        <f>IF(AN39&lt;&gt;"",toUTF16(HEX2DEC(AN39)),"")</f>
        <v/>
      </c>
      <c r="AO38" s="57" t="str">
        <f>IF(AO39&lt;&gt;"",toUTF16(AO39),"")</f>
        <v/>
      </c>
      <c r="AP38" s="56" t="str">
        <f>IF(AP39&lt;&gt;"",toUTF16(HEX2DEC(AP39)),"")</f>
        <v/>
      </c>
      <c r="AQ38" s="57" t="str">
        <f>IF(AQ39&lt;&gt;"",toUTF16(AQ39),"")</f>
        <v/>
      </c>
      <c r="AR38" s="56" t="str">
        <f>IF(AR39&lt;&gt;"",toUTF16(HEX2DEC(AR39)),"")</f>
        <v/>
      </c>
      <c r="AS38" s="57" t="str">
        <f>IF(AS39&lt;&gt;"",toUTF16(AS39),"")</f>
        <v/>
      </c>
      <c r="AT38" s="216"/>
      <c r="AU38" s="217"/>
      <c r="AV38" s="236"/>
    </row>
    <row r="39" spans="1:48" ht="15.75" thickBot="1">
      <c r="A39" s="246"/>
      <c r="B39" s="203"/>
      <c r="C39" s="222"/>
      <c r="D39" s="222"/>
      <c r="E39" s="61"/>
      <c r="F39" s="62"/>
      <c r="G39" s="61"/>
      <c r="H39" s="62"/>
      <c r="I39" s="61"/>
      <c r="J39" s="62"/>
      <c r="K39" s="61" t="s">
        <v>531</v>
      </c>
      <c r="L39" s="62"/>
      <c r="M39" s="61" t="s">
        <v>532</v>
      </c>
      <c r="N39" s="62"/>
      <c r="O39" s="61"/>
      <c r="P39" s="62"/>
      <c r="Q39" s="61"/>
      <c r="R39" s="62"/>
      <c r="S39" s="61"/>
      <c r="T39" s="62"/>
      <c r="U39" s="61"/>
      <c r="V39" s="62"/>
      <c r="W39" s="61"/>
      <c r="X39" s="62"/>
      <c r="Y39" s="61"/>
      <c r="Z39" s="62"/>
      <c r="AA39" s="203"/>
      <c r="AB39" s="222"/>
      <c r="AC39" s="222"/>
      <c r="AD39" s="222"/>
      <c r="AE39" s="204"/>
      <c r="AF39" s="227"/>
      <c r="AG39" s="225"/>
      <c r="AH39" s="226"/>
      <c r="AI39" s="203"/>
      <c r="AJ39" s="204"/>
      <c r="AK39" s="231"/>
      <c r="AL39" s="225"/>
      <c r="AM39" s="224"/>
      <c r="AN39" s="61"/>
      <c r="AO39" s="62"/>
      <c r="AP39" s="61"/>
      <c r="AQ39" s="62"/>
      <c r="AR39" s="61"/>
      <c r="AS39" s="62"/>
      <c r="AT39" s="216"/>
      <c r="AU39" s="217"/>
      <c r="AV39" s="236"/>
    </row>
    <row r="40" spans="1:48" ht="15.75">
      <c r="A40" s="246"/>
      <c r="B40" s="199" t="s">
        <v>455</v>
      </c>
      <c r="C40" s="220"/>
      <c r="D40" s="200"/>
      <c r="E40" s="199" t="s">
        <v>456</v>
      </c>
      <c r="F40" s="220"/>
      <c r="G40" s="200"/>
      <c r="H40" s="199" t="s">
        <v>350</v>
      </c>
      <c r="I40" s="220"/>
      <c r="J40" s="200"/>
      <c r="K40" s="199" t="s">
        <v>457</v>
      </c>
      <c r="L40" s="220"/>
      <c r="M40" s="220"/>
      <c r="N40" s="220"/>
      <c r="O40" s="220"/>
      <c r="P40" s="220"/>
      <c r="Q40" s="220"/>
      <c r="R40" s="220"/>
      <c r="S40" s="220"/>
      <c r="T40" s="200"/>
      <c r="U40" s="199" t="s">
        <v>458</v>
      </c>
      <c r="V40" s="220"/>
      <c r="W40" s="200"/>
      <c r="X40" s="199" t="s">
        <v>459</v>
      </c>
      <c r="Y40" s="220"/>
      <c r="Z40" s="200"/>
      <c r="AA40" s="199" t="s">
        <v>460</v>
      </c>
      <c r="AB40" s="200"/>
      <c r="AC40" s="199" t="s">
        <v>461</v>
      </c>
      <c r="AD40" s="220"/>
      <c r="AE40" s="200"/>
      <c r="AF40" s="227"/>
      <c r="AG40" s="199" t="s">
        <v>354</v>
      </c>
      <c r="AH40" s="200"/>
      <c r="AI40" s="199" t="s">
        <v>355</v>
      </c>
      <c r="AJ40" s="200"/>
      <c r="AK40" s="199" t="s">
        <v>356</v>
      </c>
      <c r="AL40" s="200"/>
      <c r="AM40" s="224"/>
      <c r="AN40" s="205">
        <v>0</v>
      </c>
      <c r="AO40" s="206"/>
      <c r="AP40" s="206"/>
      <c r="AQ40" s="207"/>
      <c r="AR40" s="205" t="s">
        <v>338</v>
      </c>
      <c r="AS40" s="207"/>
      <c r="AT40" s="216"/>
      <c r="AU40" s="217"/>
      <c r="AV40" s="236"/>
    </row>
    <row r="41" spans="1:48" ht="26.25">
      <c r="A41" s="246"/>
      <c r="B41" s="201"/>
      <c r="C41" s="221"/>
      <c r="D41" s="202"/>
      <c r="E41" s="201"/>
      <c r="F41" s="221"/>
      <c r="G41" s="202"/>
      <c r="H41" s="201"/>
      <c r="I41" s="221"/>
      <c r="J41" s="202"/>
      <c r="K41" s="201"/>
      <c r="L41" s="221"/>
      <c r="M41" s="221"/>
      <c r="N41" s="221"/>
      <c r="O41" s="221"/>
      <c r="P41" s="221"/>
      <c r="Q41" s="221"/>
      <c r="R41" s="221"/>
      <c r="S41" s="221"/>
      <c r="T41" s="202"/>
      <c r="U41" s="201"/>
      <c r="V41" s="221"/>
      <c r="W41" s="202"/>
      <c r="X41" s="201"/>
      <c r="Y41" s="221"/>
      <c r="Z41" s="202"/>
      <c r="AA41" s="201"/>
      <c r="AB41" s="202"/>
      <c r="AC41" s="201"/>
      <c r="AD41" s="221"/>
      <c r="AE41" s="202"/>
      <c r="AF41" s="227"/>
      <c r="AG41" s="201"/>
      <c r="AH41" s="202"/>
      <c r="AI41" s="201"/>
      <c r="AJ41" s="202"/>
      <c r="AK41" s="201"/>
      <c r="AL41" s="202"/>
      <c r="AM41" s="224"/>
      <c r="AN41" s="208" t="str">
        <f>IF(AN42&lt;&gt;"",toUTF16(HEX2DEC(AN42)),"")</f>
        <v/>
      </c>
      <c r="AO41" s="209" t="str">
        <f>IF(AO42&lt;&gt;"",toUTF16(AO42),"")</f>
        <v/>
      </c>
      <c r="AP41" s="209" t="str">
        <f>IF(AP42&lt;&gt;"",toUTF16(HEX2DEC(AP42)),"")</f>
        <v/>
      </c>
      <c r="AQ41" s="210" t="str">
        <f>IF(AQ42&lt;&gt;"",toUTF16(AQ42),"")</f>
        <v/>
      </c>
      <c r="AR41" s="56" t="str">
        <f>IF(AR42&lt;&gt;"",toUTF16(HEX2DEC(AR42)),"")</f>
        <v/>
      </c>
      <c r="AS41" s="57" t="str">
        <f>IF(AS42&lt;&gt;"",toUTF16(HEX2DEC(AS42)),"")</f>
        <v/>
      </c>
      <c r="AT41" s="216"/>
      <c r="AU41" s="217"/>
      <c r="AV41" s="236"/>
    </row>
    <row r="42" spans="1:48" ht="15.75" thickBot="1">
      <c r="A42" s="246"/>
      <c r="B42" s="203"/>
      <c r="C42" s="222"/>
      <c r="D42" s="204"/>
      <c r="E42" s="203"/>
      <c r="F42" s="222"/>
      <c r="G42" s="204"/>
      <c r="H42" s="203"/>
      <c r="I42" s="222"/>
      <c r="J42" s="204"/>
      <c r="K42" s="203"/>
      <c r="L42" s="222"/>
      <c r="M42" s="222"/>
      <c r="N42" s="222"/>
      <c r="O42" s="222"/>
      <c r="P42" s="222"/>
      <c r="Q42" s="222"/>
      <c r="R42" s="222"/>
      <c r="S42" s="222"/>
      <c r="T42" s="204"/>
      <c r="U42" s="203"/>
      <c r="V42" s="222"/>
      <c r="W42" s="204"/>
      <c r="X42" s="203"/>
      <c r="Y42" s="222"/>
      <c r="Z42" s="204"/>
      <c r="AA42" s="203"/>
      <c r="AB42" s="204"/>
      <c r="AC42" s="203"/>
      <c r="AD42" s="222"/>
      <c r="AE42" s="204"/>
      <c r="AF42" s="227"/>
      <c r="AG42" s="203"/>
      <c r="AH42" s="204"/>
      <c r="AI42" s="203"/>
      <c r="AJ42" s="204"/>
      <c r="AK42" s="203"/>
      <c r="AL42" s="204"/>
      <c r="AM42" s="224"/>
      <c r="AN42" s="211"/>
      <c r="AO42" s="212"/>
      <c r="AP42" s="212"/>
      <c r="AQ42" s="213"/>
      <c r="AR42" s="61"/>
      <c r="AS42" s="62"/>
      <c r="AT42" s="218"/>
      <c r="AU42" s="219"/>
      <c r="AV42" s="236"/>
    </row>
    <row r="43" spans="1:48" ht="15.75" thickBot="1">
      <c r="A43" s="68"/>
      <c r="B43" s="198" t="s">
        <v>534</v>
      </c>
      <c r="C43" s="198"/>
      <c r="D43" s="198"/>
      <c r="E43" s="198"/>
      <c r="F43" s="198"/>
      <c r="G43" s="198"/>
      <c r="H43" s="198"/>
      <c r="I43" s="198"/>
      <c r="J43" s="198"/>
      <c r="K43" s="198"/>
      <c r="L43" s="198"/>
      <c r="M43" s="198"/>
      <c r="N43" s="198"/>
      <c r="O43" s="198"/>
      <c r="P43" s="198"/>
      <c r="Q43" s="198"/>
      <c r="R43" s="198"/>
      <c r="S43" s="198"/>
      <c r="T43" s="198"/>
      <c r="U43" s="198"/>
      <c r="V43" s="198"/>
      <c r="W43" s="198"/>
      <c r="X43" s="198"/>
      <c r="Y43" s="198"/>
      <c r="Z43" s="198"/>
      <c r="AA43" s="198"/>
      <c r="AB43" s="198"/>
      <c r="AC43" s="198"/>
      <c r="AD43" s="198"/>
      <c r="AE43" s="198"/>
      <c r="AF43" s="198"/>
      <c r="AG43" s="198"/>
      <c r="AH43" s="198"/>
      <c r="AI43" s="198"/>
      <c r="AJ43" s="198"/>
      <c r="AK43" s="198"/>
      <c r="AL43" s="198"/>
      <c r="AM43" s="198"/>
      <c r="AN43" s="198"/>
      <c r="AO43" s="198"/>
      <c r="AP43" s="198"/>
      <c r="AQ43" s="198"/>
      <c r="AR43" s="198"/>
      <c r="AS43" s="198"/>
      <c r="AT43" s="198"/>
      <c r="AU43" s="198"/>
      <c r="AV43" s="69"/>
    </row>
    <row r="44" spans="1:48" ht="15.75" thickTop="1"/>
  </sheetData>
  <mergeCells count="286">
    <mergeCell ref="B1:AU1"/>
    <mergeCell ref="A2:A20"/>
    <mergeCell ref="B2:C4"/>
    <mergeCell ref="D2:E4"/>
    <mergeCell ref="F2:G4"/>
    <mergeCell ref="H2:I4"/>
    <mergeCell ref="J2:K4"/>
    <mergeCell ref="L2:M4"/>
    <mergeCell ref="N2:N4"/>
    <mergeCell ref="O2:P4"/>
    <mergeCell ref="AB2:AC4"/>
    <mergeCell ref="AD2:AE4"/>
    <mergeCell ref="AF2:AF4"/>
    <mergeCell ref="AG2:AH4"/>
    <mergeCell ref="AI2:AJ4"/>
    <mergeCell ref="AK2:AL4"/>
    <mergeCell ref="Q2:R4"/>
    <mergeCell ref="S2:T4"/>
    <mergeCell ref="U2:V4"/>
    <mergeCell ref="W2:W4"/>
    <mergeCell ref="X2:Y4"/>
    <mergeCell ref="Z2:AA4"/>
    <mergeCell ref="AM2:AM4"/>
    <mergeCell ref="AN2:AO4"/>
    <mergeCell ref="AP2:AU2"/>
    <mergeCell ref="AV2:AV20"/>
    <mergeCell ref="AP3:AQ3"/>
    <mergeCell ref="AR3:AS3"/>
    <mergeCell ref="AT3:AU3"/>
    <mergeCell ref="AP4:AQ4"/>
    <mergeCell ref="AR4:AS4"/>
    <mergeCell ref="AT4:AU4"/>
    <mergeCell ref="AN5:AU5"/>
    <mergeCell ref="AR6:AS6"/>
    <mergeCell ref="AT6:AU6"/>
    <mergeCell ref="B6:C6"/>
    <mergeCell ref="D6:E6"/>
    <mergeCell ref="F6:G6"/>
    <mergeCell ref="H6:I6"/>
    <mergeCell ref="J6:K6"/>
    <mergeCell ref="L6:M6"/>
    <mergeCell ref="N6:O6"/>
    <mergeCell ref="P6:Q6"/>
    <mergeCell ref="R6:S6"/>
    <mergeCell ref="B5:C5"/>
    <mergeCell ref="D5:E5"/>
    <mergeCell ref="F5:M5"/>
    <mergeCell ref="O5:V5"/>
    <mergeCell ref="X5:AE5"/>
    <mergeCell ref="AG5:AL5"/>
    <mergeCell ref="Y9:Z9"/>
    <mergeCell ref="AA9:AB9"/>
    <mergeCell ref="AP6:AQ6"/>
    <mergeCell ref="B9:D11"/>
    <mergeCell ref="E9:F9"/>
    <mergeCell ref="G9:H9"/>
    <mergeCell ref="I9:J9"/>
    <mergeCell ref="K9:L9"/>
    <mergeCell ref="M9:N9"/>
    <mergeCell ref="O9:P9"/>
    <mergeCell ref="AF6:AF11"/>
    <mergeCell ref="AG6:AH8"/>
    <mergeCell ref="AI6:AJ8"/>
    <mergeCell ref="AK6:AL8"/>
    <mergeCell ref="AM6:AM11"/>
    <mergeCell ref="AN6:AO8"/>
    <mergeCell ref="T6:U6"/>
    <mergeCell ref="V6:W6"/>
    <mergeCell ref="X6:Y6"/>
    <mergeCell ref="Z6:AA6"/>
    <mergeCell ref="AB6:AC6"/>
    <mergeCell ref="AD6:AE8"/>
    <mergeCell ref="AR9:AS9"/>
    <mergeCell ref="AT9:AU11"/>
    <mergeCell ref="B12:E14"/>
    <mergeCell ref="F12:G12"/>
    <mergeCell ref="H12:I12"/>
    <mergeCell ref="J12:K12"/>
    <mergeCell ref="L12:M12"/>
    <mergeCell ref="N12:O12"/>
    <mergeCell ref="P12:Q12"/>
    <mergeCell ref="R12:S12"/>
    <mergeCell ref="AC9:AE14"/>
    <mergeCell ref="AG9:AH11"/>
    <mergeCell ref="AI9:AJ11"/>
    <mergeCell ref="AK9:AL11"/>
    <mergeCell ref="AN9:AO9"/>
    <mergeCell ref="AP9:AQ9"/>
    <mergeCell ref="AG12:AL14"/>
    <mergeCell ref="AM12:AM20"/>
    <mergeCell ref="AN12:AO12"/>
    <mergeCell ref="AP12:AQ12"/>
    <mergeCell ref="Q9:R9"/>
    <mergeCell ref="S9:T9"/>
    <mergeCell ref="U9:V9"/>
    <mergeCell ref="W9:X9"/>
    <mergeCell ref="AN15:AO15"/>
    <mergeCell ref="AP15:AQ15"/>
    <mergeCell ref="AR12:AS12"/>
    <mergeCell ref="AT12:AT13"/>
    <mergeCell ref="AU12:AU13"/>
    <mergeCell ref="Z12:AA12"/>
    <mergeCell ref="AB12:AB14"/>
    <mergeCell ref="AF12:AF20"/>
    <mergeCell ref="K18:T20"/>
    <mergeCell ref="U18:W20"/>
    <mergeCell ref="X18:Z20"/>
    <mergeCell ref="AA18:AB20"/>
    <mergeCell ref="AC18:AE20"/>
    <mergeCell ref="AA15:AE17"/>
    <mergeCell ref="AG15:AH17"/>
    <mergeCell ref="AI15:AJ17"/>
    <mergeCell ref="AK15:AL17"/>
    <mergeCell ref="G15:H15"/>
    <mergeCell ref="I15:J15"/>
    <mergeCell ref="K15:L15"/>
    <mergeCell ref="M15:N15"/>
    <mergeCell ref="O15:P15"/>
    <mergeCell ref="Q15:R15"/>
    <mergeCell ref="T12:U12"/>
    <mergeCell ref="V12:W12"/>
    <mergeCell ref="X12:Y12"/>
    <mergeCell ref="S15:T15"/>
    <mergeCell ref="U15:V15"/>
    <mergeCell ref="W15:X15"/>
    <mergeCell ref="Y15:Z15"/>
    <mergeCell ref="B21:AU21"/>
    <mergeCell ref="B15:D17"/>
    <mergeCell ref="E15:F15"/>
    <mergeCell ref="B23:AU23"/>
    <mergeCell ref="A24:A42"/>
    <mergeCell ref="B24:C26"/>
    <mergeCell ref="D24:E26"/>
    <mergeCell ref="F24:G26"/>
    <mergeCell ref="H24:I26"/>
    <mergeCell ref="J24:K26"/>
    <mergeCell ref="AG18:AH20"/>
    <mergeCell ref="AI18:AJ20"/>
    <mergeCell ref="AK18:AL20"/>
    <mergeCell ref="AN18:AQ18"/>
    <mergeCell ref="AR18:AS18"/>
    <mergeCell ref="AN19:AO19"/>
    <mergeCell ref="AP19:AQ19"/>
    <mergeCell ref="AN20:AO20"/>
    <mergeCell ref="AP20:AQ20"/>
    <mergeCell ref="AR15:AS15"/>
    <mergeCell ref="AT15:AU20"/>
    <mergeCell ref="B18:D20"/>
    <mergeCell ref="E18:G20"/>
    <mergeCell ref="H18:J20"/>
    <mergeCell ref="Z24:AA26"/>
    <mergeCell ref="AB24:AC26"/>
    <mergeCell ref="AD24:AE26"/>
    <mergeCell ref="AF24:AF26"/>
    <mergeCell ref="L24:M26"/>
    <mergeCell ref="N24:N26"/>
    <mergeCell ref="O24:P26"/>
    <mergeCell ref="Q24:R26"/>
    <mergeCell ref="S24:T26"/>
    <mergeCell ref="U24:V26"/>
    <mergeCell ref="B27:C27"/>
    <mergeCell ref="D27:E27"/>
    <mergeCell ref="F27:M27"/>
    <mergeCell ref="O27:V27"/>
    <mergeCell ref="X27:AE27"/>
    <mergeCell ref="AG27:AL27"/>
    <mergeCell ref="AV24:AV42"/>
    <mergeCell ref="AP25:AQ25"/>
    <mergeCell ref="AR25:AS25"/>
    <mergeCell ref="AT25:AU25"/>
    <mergeCell ref="AP26:AQ26"/>
    <mergeCell ref="AR26:AS26"/>
    <mergeCell ref="AT26:AU26"/>
    <mergeCell ref="AN27:AU27"/>
    <mergeCell ref="AT31:AU33"/>
    <mergeCell ref="AR34:AS34"/>
    <mergeCell ref="AG24:AH26"/>
    <mergeCell ref="AI24:AJ26"/>
    <mergeCell ref="AK24:AL26"/>
    <mergeCell ref="AM24:AM26"/>
    <mergeCell ref="AN24:AO26"/>
    <mergeCell ref="AP24:AU24"/>
    <mergeCell ref="W24:W26"/>
    <mergeCell ref="X24:Y26"/>
    <mergeCell ref="N28:O28"/>
    <mergeCell ref="P28:Q28"/>
    <mergeCell ref="R28:S28"/>
    <mergeCell ref="T28:U28"/>
    <mergeCell ref="V28:W28"/>
    <mergeCell ref="X28:Y28"/>
    <mergeCell ref="B28:C28"/>
    <mergeCell ref="D28:E28"/>
    <mergeCell ref="F28:G28"/>
    <mergeCell ref="H28:I28"/>
    <mergeCell ref="J28:K28"/>
    <mergeCell ref="L28:M28"/>
    <mergeCell ref="Z28:AA28"/>
    <mergeCell ref="AB28:AC28"/>
    <mergeCell ref="AD28:AE30"/>
    <mergeCell ref="AF28:AF33"/>
    <mergeCell ref="AG28:AH30"/>
    <mergeCell ref="AI28:AJ30"/>
    <mergeCell ref="AA31:AB31"/>
    <mergeCell ref="AC31:AE36"/>
    <mergeCell ref="AG31:AH33"/>
    <mergeCell ref="AI31:AJ33"/>
    <mergeCell ref="AK28:AL30"/>
    <mergeCell ref="AM28:AM33"/>
    <mergeCell ref="AN28:AO30"/>
    <mergeCell ref="AP28:AQ28"/>
    <mergeCell ref="AR28:AS28"/>
    <mergeCell ref="AT28:AU28"/>
    <mergeCell ref="AK31:AL33"/>
    <mergeCell ref="AN31:AO31"/>
    <mergeCell ref="AP31:AQ31"/>
    <mergeCell ref="AR31:AS31"/>
    <mergeCell ref="X34:Y34"/>
    <mergeCell ref="Z34:AA34"/>
    <mergeCell ref="B34:E36"/>
    <mergeCell ref="F34:G34"/>
    <mergeCell ref="H34:I34"/>
    <mergeCell ref="J34:K34"/>
    <mergeCell ref="L34:M34"/>
    <mergeCell ref="N34:O34"/>
    <mergeCell ref="O31:P31"/>
    <mergeCell ref="Q31:R31"/>
    <mergeCell ref="S31:T31"/>
    <mergeCell ref="U31:V31"/>
    <mergeCell ref="W31:X31"/>
    <mergeCell ref="Y31:Z31"/>
    <mergeCell ref="B31:D33"/>
    <mergeCell ref="E31:F31"/>
    <mergeCell ref="G31:H31"/>
    <mergeCell ref="I31:J31"/>
    <mergeCell ref="K31:L31"/>
    <mergeCell ref="M31:N31"/>
    <mergeCell ref="AT34:AT35"/>
    <mergeCell ref="AU34:AU35"/>
    <mergeCell ref="B37:D39"/>
    <mergeCell ref="E37:F37"/>
    <mergeCell ref="G37:H37"/>
    <mergeCell ref="I37:J37"/>
    <mergeCell ref="K37:L37"/>
    <mergeCell ref="M37:N37"/>
    <mergeCell ref="O37:P37"/>
    <mergeCell ref="Q37:R37"/>
    <mergeCell ref="AB34:AB36"/>
    <mergeCell ref="AF34:AF42"/>
    <mergeCell ref="AG34:AL36"/>
    <mergeCell ref="AM34:AM42"/>
    <mergeCell ref="AN34:AO34"/>
    <mergeCell ref="AP34:AQ34"/>
    <mergeCell ref="AI37:AJ39"/>
    <mergeCell ref="AK37:AL39"/>
    <mergeCell ref="AN37:AO37"/>
    <mergeCell ref="AP37:AQ37"/>
    <mergeCell ref="P34:Q34"/>
    <mergeCell ref="R34:S34"/>
    <mergeCell ref="T34:U34"/>
    <mergeCell ref="V34:W34"/>
    <mergeCell ref="AR37:AS37"/>
    <mergeCell ref="AT37:AU42"/>
    <mergeCell ref="B40:D42"/>
    <mergeCell ref="E40:G42"/>
    <mergeCell ref="H40:J42"/>
    <mergeCell ref="K40:T42"/>
    <mergeCell ref="U40:W42"/>
    <mergeCell ref="X40:Z42"/>
    <mergeCell ref="AA40:AB42"/>
    <mergeCell ref="AC40:AE42"/>
    <mergeCell ref="S37:T37"/>
    <mergeCell ref="U37:V37"/>
    <mergeCell ref="W37:X37"/>
    <mergeCell ref="Y37:Z37"/>
    <mergeCell ref="AA37:AE39"/>
    <mergeCell ref="AG37:AH39"/>
    <mergeCell ref="B43:AU43"/>
    <mergeCell ref="AG40:AH42"/>
    <mergeCell ref="AI40:AJ42"/>
    <mergeCell ref="AK40:AL42"/>
    <mergeCell ref="AN40:AQ40"/>
    <mergeCell ref="AR40:AS40"/>
    <mergeCell ref="AN41:AO41"/>
    <mergeCell ref="AP41:AQ41"/>
    <mergeCell ref="AN42:AO42"/>
    <mergeCell ref="AP42:AQ42"/>
  </mergeCells>
  <pageMargins left="0.7" right="0.7" top="0.78740157499999996" bottom="0.78740157499999996" header="0.3" footer="0.3"/>
  <pageSetup paperSize="9" orientation="portrait" horizontalDpi="4294967294" verticalDpi="4294967294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List4">
    <pageSetUpPr fitToPage="1"/>
  </sheetPr>
  <dimension ref="A1:AV66"/>
  <sheetViews>
    <sheetView tabSelected="1" view="pageLayout" topLeftCell="A10" zoomScale="85" zoomScaleNormal="100" zoomScalePageLayoutView="85" workbookViewId="0">
      <selection activeCell="J29" sqref="J29"/>
    </sheetView>
  </sheetViews>
  <sheetFormatPr defaultRowHeight="15"/>
  <cols>
    <col min="1" max="1" width="3" customWidth="1"/>
    <col min="2" max="47" width="8.7109375"/>
    <col min="48" max="48" width="3" customWidth="1"/>
  </cols>
  <sheetData>
    <row r="1" spans="1:48" ht="16.5" thickTop="1" thickBot="1">
      <c r="A1" s="50"/>
      <c r="B1" s="110" t="s">
        <v>559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51"/>
    </row>
    <row r="2" spans="1:48">
      <c r="A2" s="246"/>
      <c r="B2" s="199" t="s">
        <v>412</v>
      </c>
      <c r="C2" s="200"/>
      <c r="D2" s="239"/>
      <c r="E2" s="247"/>
      <c r="F2" s="241" t="s">
        <v>413</v>
      </c>
      <c r="G2" s="241"/>
      <c r="H2" s="241" t="s">
        <v>414</v>
      </c>
      <c r="I2" s="241"/>
      <c r="J2" s="241" t="s">
        <v>415</v>
      </c>
      <c r="K2" s="241"/>
      <c r="L2" s="241" t="s">
        <v>416</v>
      </c>
      <c r="M2" s="241"/>
      <c r="N2" s="240"/>
      <c r="O2" s="199" t="s">
        <v>417</v>
      </c>
      <c r="P2" s="220"/>
      <c r="Q2" s="220" t="s">
        <v>418</v>
      </c>
      <c r="R2" s="220"/>
      <c r="S2" s="220" t="s">
        <v>419</v>
      </c>
      <c r="T2" s="220"/>
      <c r="U2" s="220" t="s">
        <v>420</v>
      </c>
      <c r="V2" s="200"/>
      <c r="W2" s="240"/>
      <c r="X2" s="199" t="s">
        <v>421</v>
      </c>
      <c r="Y2" s="200"/>
      <c r="Z2" s="199" t="s">
        <v>422</v>
      </c>
      <c r="AA2" s="200"/>
      <c r="AB2" s="199" t="s">
        <v>423</v>
      </c>
      <c r="AC2" s="200"/>
      <c r="AD2" s="199" t="s">
        <v>424</v>
      </c>
      <c r="AE2" s="200"/>
      <c r="AF2" s="240"/>
      <c r="AG2" s="199" t="s">
        <v>425</v>
      </c>
      <c r="AH2" s="200"/>
      <c r="AI2" s="199" t="s">
        <v>426</v>
      </c>
      <c r="AJ2" s="200"/>
      <c r="AK2" s="199" t="s">
        <v>427</v>
      </c>
      <c r="AL2" s="200"/>
      <c r="AM2" s="239"/>
      <c r="AN2" s="124"/>
      <c r="AO2" s="124"/>
      <c r="AP2" s="124"/>
      <c r="AQ2" s="124"/>
      <c r="AR2" s="124"/>
      <c r="AS2" s="124"/>
      <c r="AT2" s="124"/>
      <c r="AU2" s="124"/>
      <c r="AV2" s="236"/>
    </row>
    <row r="3" spans="1:48" ht="26.25">
      <c r="A3" s="246"/>
      <c r="B3" s="201"/>
      <c r="C3" s="202"/>
      <c r="D3" s="239"/>
      <c r="E3" s="247"/>
      <c r="F3" s="242"/>
      <c r="G3" s="242"/>
      <c r="H3" s="242"/>
      <c r="I3" s="242"/>
      <c r="J3" s="242"/>
      <c r="K3" s="242"/>
      <c r="L3" s="242"/>
      <c r="M3" s="242"/>
      <c r="N3" s="240"/>
      <c r="O3" s="201"/>
      <c r="P3" s="221"/>
      <c r="Q3" s="221"/>
      <c r="R3" s="221"/>
      <c r="S3" s="221"/>
      <c r="T3" s="221"/>
      <c r="U3" s="221"/>
      <c r="V3" s="202"/>
      <c r="W3" s="240"/>
      <c r="X3" s="201"/>
      <c r="Y3" s="202"/>
      <c r="Z3" s="201"/>
      <c r="AA3" s="202"/>
      <c r="AB3" s="201"/>
      <c r="AC3" s="202"/>
      <c r="AD3" s="201"/>
      <c r="AE3" s="202"/>
      <c r="AF3" s="240"/>
      <c r="AG3" s="201"/>
      <c r="AH3" s="202"/>
      <c r="AI3" s="201"/>
      <c r="AJ3" s="202"/>
      <c r="AK3" s="201"/>
      <c r="AL3" s="202"/>
      <c r="AM3" s="239"/>
      <c r="AN3" s="124"/>
      <c r="AO3" s="124"/>
      <c r="AP3" s="237" t="s">
        <v>428</v>
      </c>
      <c r="AQ3" s="237"/>
      <c r="AR3" s="237" t="s">
        <v>428</v>
      </c>
      <c r="AS3" s="237"/>
      <c r="AT3" s="237" t="s">
        <v>428</v>
      </c>
      <c r="AU3" s="237"/>
      <c r="AV3" s="236"/>
    </row>
    <row r="4" spans="1:48" ht="15.75" thickBot="1">
      <c r="A4" s="246"/>
      <c r="B4" s="203"/>
      <c r="C4" s="204"/>
      <c r="D4" s="239"/>
      <c r="E4" s="247"/>
      <c r="F4" s="243"/>
      <c r="G4" s="243"/>
      <c r="H4" s="243"/>
      <c r="I4" s="243"/>
      <c r="J4" s="243"/>
      <c r="K4" s="243"/>
      <c r="L4" s="243"/>
      <c r="M4" s="243"/>
      <c r="N4" s="240"/>
      <c r="O4" s="203"/>
      <c r="P4" s="222"/>
      <c r="Q4" s="222"/>
      <c r="R4" s="222"/>
      <c r="S4" s="222"/>
      <c r="T4" s="222"/>
      <c r="U4" s="222"/>
      <c r="V4" s="204"/>
      <c r="W4" s="240"/>
      <c r="X4" s="203"/>
      <c r="Y4" s="204"/>
      <c r="Z4" s="203"/>
      <c r="AA4" s="204"/>
      <c r="AB4" s="203"/>
      <c r="AC4" s="204"/>
      <c r="AD4" s="203"/>
      <c r="AE4" s="204"/>
      <c r="AF4" s="240"/>
      <c r="AG4" s="203"/>
      <c r="AH4" s="204"/>
      <c r="AI4" s="203"/>
      <c r="AJ4" s="204"/>
      <c r="AK4" s="203"/>
      <c r="AL4" s="204"/>
      <c r="AM4" s="239"/>
      <c r="AN4" s="124"/>
      <c r="AO4" s="124"/>
      <c r="AP4" s="238" t="s">
        <v>429</v>
      </c>
      <c r="AQ4" s="238"/>
      <c r="AR4" s="238" t="s">
        <v>320</v>
      </c>
      <c r="AS4" s="238"/>
      <c r="AT4" s="238" t="s">
        <v>430</v>
      </c>
      <c r="AU4" s="238"/>
      <c r="AV4" s="236"/>
    </row>
    <row r="5" spans="1:48" ht="15.75" thickBot="1">
      <c r="A5" s="246"/>
      <c r="B5" s="233"/>
      <c r="C5" s="233"/>
      <c r="D5" s="234"/>
      <c r="E5" s="234"/>
      <c r="F5" s="233"/>
      <c r="G5" s="233"/>
      <c r="H5" s="233"/>
      <c r="I5" s="233"/>
      <c r="J5" s="233"/>
      <c r="K5" s="233"/>
      <c r="L5" s="233"/>
      <c r="M5" s="233"/>
      <c r="N5" s="70"/>
      <c r="O5" s="233"/>
      <c r="P5" s="233"/>
      <c r="Q5" s="233"/>
      <c r="R5" s="233"/>
      <c r="S5" s="233"/>
      <c r="T5" s="233"/>
      <c r="U5" s="233"/>
      <c r="V5" s="233"/>
      <c r="W5" s="70"/>
      <c r="X5" s="233"/>
      <c r="Y5" s="233"/>
      <c r="Z5" s="233"/>
      <c r="AA5" s="233"/>
      <c r="AB5" s="233"/>
      <c r="AC5" s="233"/>
      <c r="AD5" s="233"/>
      <c r="AE5" s="233"/>
      <c r="AF5" s="48"/>
      <c r="AG5" s="235"/>
      <c r="AH5" s="235"/>
      <c r="AI5" s="235"/>
      <c r="AJ5" s="235"/>
      <c r="AK5" s="235"/>
      <c r="AL5" s="235"/>
      <c r="AM5" s="48"/>
      <c r="AN5" s="234"/>
      <c r="AO5" s="234"/>
      <c r="AP5" s="234"/>
      <c r="AQ5" s="234"/>
      <c r="AR5" s="234"/>
      <c r="AS5" s="234"/>
      <c r="AT5" s="234"/>
      <c r="AU5" s="234"/>
      <c r="AV5" s="236"/>
    </row>
    <row r="6" spans="1:48" ht="15.75">
      <c r="A6" s="246"/>
      <c r="B6" s="205" t="s">
        <v>431</v>
      </c>
      <c r="C6" s="207"/>
      <c r="D6" s="205">
        <v>1</v>
      </c>
      <c r="E6" s="207"/>
      <c r="F6" s="205">
        <v>2</v>
      </c>
      <c r="G6" s="207"/>
      <c r="H6" s="205">
        <v>3</v>
      </c>
      <c r="I6" s="207"/>
      <c r="J6" s="205">
        <v>4</v>
      </c>
      <c r="K6" s="207"/>
      <c r="L6" s="205">
        <v>5</v>
      </c>
      <c r="M6" s="207"/>
      <c r="N6" s="205">
        <v>6</v>
      </c>
      <c r="O6" s="207"/>
      <c r="P6" s="205">
        <v>7</v>
      </c>
      <c r="Q6" s="207"/>
      <c r="R6" s="205">
        <v>8</v>
      </c>
      <c r="S6" s="207"/>
      <c r="T6" s="205">
        <v>9</v>
      </c>
      <c r="U6" s="207"/>
      <c r="V6" s="205">
        <v>0</v>
      </c>
      <c r="W6" s="207"/>
      <c r="X6" s="205" t="s">
        <v>432</v>
      </c>
      <c r="Y6" s="207"/>
      <c r="Z6" s="205" t="s">
        <v>433</v>
      </c>
      <c r="AA6" s="207"/>
      <c r="AB6" s="205" t="s">
        <v>434</v>
      </c>
      <c r="AC6" s="207"/>
      <c r="AD6" s="199" t="s">
        <v>435</v>
      </c>
      <c r="AE6" s="200"/>
      <c r="AF6" s="232"/>
      <c r="AG6" s="199" t="s">
        <v>436</v>
      </c>
      <c r="AH6" s="200"/>
      <c r="AI6" s="199" t="s">
        <v>437</v>
      </c>
      <c r="AJ6" s="200"/>
      <c r="AK6" s="199" t="s">
        <v>438</v>
      </c>
      <c r="AL6" s="200"/>
      <c r="AM6" s="232"/>
      <c r="AN6" s="199" t="s">
        <v>429</v>
      </c>
      <c r="AO6" s="220"/>
      <c r="AP6" s="205" t="s">
        <v>439</v>
      </c>
      <c r="AQ6" s="207"/>
      <c r="AR6" s="205" t="s">
        <v>363</v>
      </c>
      <c r="AS6" s="207"/>
      <c r="AT6" s="205" t="s">
        <v>339</v>
      </c>
      <c r="AU6" s="207"/>
      <c r="AV6" s="236"/>
    </row>
    <row r="7" spans="1:48" ht="26.25">
      <c r="A7" s="246"/>
      <c r="B7" s="56" t="str">
        <f>IF(B8&lt;&gt;"",toUTF16(HEX2DEC(B8)),"")</f>
        <v>؛</v>
      </c>
      <c r="C7" s="57" t="str">
        <f>IF(C8&lt;&gt;"",toUTF16(HEX2DEC(C8)),"")</f>
        <v>ْ</v>
      </c>
      <c r="D7" s="56" t="str">
        <f>IF(D8&lt;&gt;"",toUTF16(HEX2DEC(D8)),"")</f>
        <v>+</v>
      </c>
      <c r="E7" s="57" t="str">
        <f>IF(E8&lt;&gt;"",toUTF16(HEX2DEC(E8)),"")</f>
        <v>١</v>
      </c>
      <c r="F7" s="88" t="str">
        <f>IF(F8&lt;&gt;"",toUTF16(HEX2DEC(F8)),"")</f>
        <v>ٓ</v>
      </c>
      <c r="G7" s="57" t="str">
        <f>IF(G8&lt;&gt;"",toUTF16(HEX2DEC(G8)),"")</f>
        <v>٢</v>
      </c>
      <c r="H7" s="56" t="str">
        <f>IF(H8&lt;&gt;"",toUTF16(HEX2DEC(H8)),"")</f>
        <v>ش</v>
      </c>
      <c r="I7" s="57" t="str">
        <f>IF(I8&lt;&gt;"",toUTF16(HEX2DEC(I8)),"")</f>
        <v>٣</v>
      </c>
      <c r="J7" s="56" t="str">
        <f>IF(J8&lt;&gt;"",toUTF16(HEX2DEC(J8)),"")</f>
        <v>؍</v>
      </c>
      <c r="K7" s="57" t="str">
        <f>IF(K8&lt;&gt;"",toUTF16(HEX2DEC(K8)),"")</f>
        <v>٤</v>
      </c>
      <c r="L7" s="56" t="str">
        <f>IF(L8&lt;&gt;"",toUTF16(HEX2DEC(L8)),"")</f>
        <v>ؐ</v>
      </c>
      <c r="M7" s="57" t="str">
        <f>IF(M8&lt;&gt;"",toUTF16(HEX2DEC(M8)),"")</f>
        <v>٥</v>
      </c>
      <c r="N7" s="56" t="str">
        <f>IF(N8&lt;&gt;"",toUTF16(HEX2DEC(N8)),"")</f>
        <v>ج</v>
      </c>
      <c r="O7" s="57" t="str">
        <f>IF(O8&lt;&gt;"",toUTF16(HEX2DEC(O8)),"")</f>
        <v>٦</v>
      </c>
      <c r="P7" s="56" t="str">
        <f>IF(P8&lt;&gt;"",toUTF16(HEX2DEC(P8)),"")</f>
        <v>ؑ</v>
      </c>
      <c r="Q7" s="57" t="str">
        <f>IF(Q8&lt;&gt;"",toUTF16(HEX2DEC(Q8)),"")</f>
        <v>٧</v>
      </c>
      <c r="R7" s="56" t="str">
        <f>IF(R8&lt;&gt;"",toUTF16(HEX2DEC(R8)),"")</f>
        <v>ؒ</v>
      </c>
      <c r="S7" s="57" t="str">
        <f>IF(S8&lt;&gt;"",toUTF16(HEX2DEC(S8)),"")</f>
        <v>٨</v>
      </c>
      <c r="T7" s="56" t="str">
        <f>IF(T8&lt;&gt;"",toUTF16(HEX2DEC(T8)),"")</f>
        <v>ؓ</v>
      </c>
      <c r="U7" s="57" t="str">
        <f>IF(U8&lt;&gt;"",toUTF16(HEX2DEC(U8)),"")</f>
        <v>٩</v>
      </c>
      <c r="V7" s="56" t="str">
        <f>IF(V8&lt;&gt;"",toUTF16(HEX2DEC(V8)),"")</f>
        <v>ً</v>
      </c>
      <c r="W7" s="57" t="str">
        <f>IF(W8&lt;&gt;"",toUTF16(HEX2DEC(W8)),"")</f>
        <v>٠</v>
      </c>
      <c r="X7" s="56" t="str">
        <f>IF(X8&lt;&gt;"",toUTF16(HEX2DEC(X8)),"")</f>
        <v>=</v>
      </c>
      <c r="Y7" s="57" t="str">
        <f>IF(Y8&lt;&gt;"",toUTF16(HEX2DEC(Y8)),"")</f>
        <v>%</v>
      </c>
      <c r="Z7" s="56" t="str">
        <f>IF(Z8&lt;&gt;"",toUTF16(HEX2DEC(Z8)),"")</f>
        <v>َ</v>
      </c>
      <c r="AA7" s="57" t="str">
        <f>IF(AA8&lt;&gt;"",toUTF16(HEX2DEC(AA8)),"")</f>
        <v>ٌ</v>
      </c>
      <c r="AB7" s="56" t="str">
        <f>IF(AB8&lt;&gt;"",toUTF16(HEX2DEC(AB8)),"")</f>
        <v>‘</v>
      </c>
      <c r="AC7" s="57" t="str">
        <f>IF(AC8&lt;&gt;"",toUTF16(HEX2DEC(AC8)),"")</f>
        <v>ء</v>
      </c>
      <c r="AD7" s="201"/>
      <c r="AE7" s="202"/>
      <c r="AF7" s="232"/>
      <c r="AG7" s="201"/>
      <c r="AH7" s="202"/>
      <c r="AI7" s="201"/>
      <c r="AJ7" s="202"/>
      <c r="AK7" s="201"/>
      <c r="AL7" s="202"/>
      <c r="AM7" s="232"/>
      <c r="AN7" s="201"/>
      <c r="AO7" s="221"/>
      <c r="AP7" s="56" t="str">
        <f>IF(AP8&lt;&gt;"",toUTF16(HEX2DEC(AP8)),"")</f>
        <v/>
      </c>
      <c r="AQ7" s="57" t="str">
        <f>IF(AQ8&lt;&gt;"",toUTF16(HEX2DEC(AQ8)),"")</f>
        <v/>
      </c>
      <c r="AR7" s="56" t="str">
        <f>IF(AR8&lt;&gt;"",toUTF16(HEX2DEC(AR8)),"")</f>
        <v/>
      </c>
      <c r="AS7" s="57" t="str">
        <f>IF(AS8&lt;&gt;"",toUTF16(HEX2DEC(AS8)),"")</f>
        <v/>
      </c>
      <c r="AT7" s="56" t="str">
        <f>IF(AT8&lt;&gt;"",toUTF16(HEX2DEC(AT8)),"")</f>
        <v/>
      </c>
      <c r="AU7" s="57" t="str">
        <f>IF(AU8&lt;&gt;"",toUTF16(HEX2DEC(AU8)),"")</f>
        <v/>
      </c>
      <c r="AV7" s="236"/>
    </row>
    <row r="8" spans="1:48" ht="15.75" thickBot="1">
      <c r="A8" s="246"/>
      <c r="B8" s="59" t="s">
        <v>504</v>
      </c>
      <c r="C8" s="60" t="s">
        <v>517</v>
      </c>
      <c r="D8" s="61" t="s">
        <v>493</v>
      </c>
      <c r="E8" s="62" t="s">
        <v>178</v>
      </c>
      <c r="F8" s="89" t="s">
        <v>625</v>
      </c>
      <c r="G8" s="62" t="s">
        <v>179</v>
      </c>
      <c r="H8" s="61" t="s">
        <v>162</v>
      </c>
      <c r="I8" s="62" t="s">
        <v>180</v>
      </c>
      <c r="J8" s="61" t="s">
        <v>642</v>
      </c>
      <c r="K8" s="62" t="s">
        <v>181</v>
      </c>
      <c r="L8" s="61" t="s">
        <v>643</v>
      </c>
      <c r="M8" s="62" t="s">
        <v>182</v>
      </c>
      <c r="N8" s="61" t="s">
        <v>154</v>
      </c>
      <c r="O8" s="62" t="s">
        <v>183</v>
      </c>
      <c r="P8" s="61" t="s">
        <v>644</v>
      </c>
      <c r="Q8" s="62" t="s">
        <v>184</v>
      </c>
      <c r="R8" s="61" t="s">
        <v>645</v>
      </c>
      <c r="S8" s="62" t="s">
        <v>185</v>
      </c>
      <c r="T8" s="61" t="s">
        <v>646</v>
      </c>
      <c r="U8" s="62" t="s">
        <v>186</v>
      </c>
      <c r="V8" s="61" t="s">
        <v>496</v>
      </c>
      <c r="W8" s="62" t="s">
        <v>177</v>
      </c>
      <c r="X8" s="61" t="s">
        <v>475</v>
      </c>
      <c r="Y8" s="62" t="s">
        <v>486</v>
      </c>
      <c r="Z8" s="61" t="s">
        <v>495</v>
      </c>
      <c r="AA8" s="62" t="s">
        <v>498</v>
      </c>
      <c r="AB8" s="61" t="s">
        <v>501</v>
      </c>
      <c r="AC8" s="62" t="s">
        <v>149</v>
      </c>
      <c r="AD8" s="203"/>
      <c r="AE8" s="204"/>
      <c r="AF8" s="232"/>
      <c r="AG8" s="203"/>
      <c r="AH8" s="204"/>
      <c r="AI8" s="203"/>
      <c r="AJ8" s="204"/>
      <c r="AK8" s="203"/>
      <c r="AL8" s="204"/>
      <c r="AM8" s="232"/>
      <c r="AN8" s="201"/>
      <c r="AO8" s="221"/>
      <c r="AP8" s="61"/>
      <c r="AQ8" s="62"/>
      <c r="AR8" s="61"/>
      <c r="AS8" s="62"/>
      <c r="AT8" s="61"/>
      <c r="AU8" s="62"/>
      <c r="AV8" s="236"/>
    </row>
    <row r="9" spans="1:48" ht="15.75">
      <c r="A9" s="246"/>
      <c r="B9" s="199" t="s">
        <v>440</v>
      </c>
      <c r="C9" s="220"/>
      <c r="D9" s="221"/>
      <c r="E9" s="205" t="s">
        <v>290</v>
      </c>
      <c r="F9" s="207"/>
      <c r="G9" s="205" t="s">
        <v>288</v>
      </c>
      <c r="H9" s="207"/>
      <c r="I9" s="205" t="s">
        <v>305</v>
      </c>
      <c r="J9" s="207"/>
      <c r="K9" s="205" t="s">
        <v>280</v>
      </c>
      <c r="L9" s="207"/>
      <c r="M9" s="205" t="s">
        <v>277</v>
      </c>
      <c r="N9" s="207"/>
      <c r="O9" s="205" t="s">
        <v>281</v>
      </c>
      <c r="P9" s="207"/>
      <c r="Q9" s="205" t="s">
        <v>306</v>
      </c>
      <c r="R9" s="207"/>
      <c r="S9" s="205" t="s">
        <v>296</v>
      </c>
      <c r="T9" s="207"/>
      <c r="U9" s="205" t="s">
        <v>297</v>
      </c>
      <c r="V9" s="207"/>
      <c r="W9" s="205" t="s">
        <v>295</v>
      </c>
      <c r="X9" s="207"/>
      <c r="Y9" s="205" t="s">
        <v>441</v>
      </c>
      <c r="Z9" s="207"/>
      <c r="AA9" s="205" t="s">
        <v>442</v>
      </c>
      <c r="AB9" s="206"/>
      <c r="AC9" s="199" t="s">
        <v>443</v>
      </c>
      <c r="AD9" s="220"/>
      <c r="AE9" s="200"/>
      <c r="AF9" s="232"/>
      <c r="AG9" s="199" t="s">
        <v>444</v>
      </c>
      <c r="AH9" s="200"/>
      <c r="AI9" s="199" t="s">
        <v>445</v>
      </c>
      <c r="AJ9" s="200"/>
      <c r="AK9" s="199" t="s">
        <v>446</v>
      </c>
      <c r="AL9" s="200"/>
      <c r="AM9" s="232"/>
      <c r="AN9" s="205">
        <v>7</v>
      </c>
      <c r="AO9" s="207"/>
      <c r="AP9" s="205">
        <v>8</v>
      </c>
      <c r="AQ9" s="207"/>
      <c r="AR9" s="205">
        <v>9</v>
      </c>
      <c r="AS9" s="207"/>
      <c r="AT9" s="205" t="s">
        <v>300</v>
      </c>
      <c r="AU9" s="207"/>
      <c r="AV9" s="236"/>
    </row>
    <row r="10" spans="1:48" ht="26.25">
      <c r="A10" s="246"/>
      <c r="B10" s="201"/>
      <c r="C10" s="221"/>
      <c r="D10" s="221"/>
      <c r="E10" s="56" t="str">
        <f>IF(E11&lt;&gt;"",toUTF16(HEX2DEC(E11)),"")</f>
        <v>ق</v>
      </c>
      <c r="F10" s="57" t="str">
        <f>IF(F11&lt;&gt;"",toUTF16(HEX2DEC(F11)),"")</f>
        <v>ڪ</v>
      </c>
      <c r="G10" s="56" t="str">
        <f>IF(G11&lt;&gt;"",toUTF16(HEX2DEC(G11)),"")</f>
        <v>و</v>
      </c>
      <c r="H10" s="57" t="str">
        <f>IF(H11&lt;&gt;"",toUTF16(HEX2DEC(H11)),"")</f>
        <v>ؤ</v>
      </c>
      <c r="I10" s="56" t="str">
        <f>IF(I11&lt;&gt;"",toUTF16(HEX2DEC(I11)),"")</f>
        <v>ې</v>
      </c>
      <c r="J10" s="57" t="str">
        <f>IF(J11&lt;&gt;"",toUTF16(HEX2DEC(J11)),"")</f>
        <v>ە</v>
      </c>
      <c r="K10" s="56" t="str">
        <f>IF(K11&lt;&gt;"",toUTF16(HEX2DEC(K11)),"")</f>
        <v>ر</v>
      </c>
      <c r="L10" s="57" t="str">
        <f>IF(L11&lt;&gt;"",toUTF16(HEX2DEC(L11)),"")</f>
        <v>غ</v>
      </c>
      <c r="M10" s="56" t="str">
        <f>IF(M11&lt;&gt;"",toUTF16(HEX2DEC(M11)),"")</f>
        <v>ت</v>
      </c>
      <c r="N10" s="57" t="str">
        <f>IF(N11&lt;&gt;"",toUTF16(HEX2DEC(N11)),"")</f>
        <v>ط</v>
      </c>
      <c r="O10" s="56" t="str">
        <f>IF(O11&lt;&gt;"",toUTF16(HEX2DEC(O11)),"")</f>
        <v>ز</v>
      </c>
      <c r="P10" s="57" t="str">
        <f>IF(P11&lt;&gt;"",toUTF16(HEX2DEC(P11)),"")</f>
        <v>ظ</v>
      </c>
      <c r="Q10" s="56" t="str">
        <f>IF(Q11&lt;&gt;"",toUTF16(HEX2DEC(Q11)),"")</f>
        <v>ۇ</v>
      </c>
      <c r="R10" s="57" t="str">
        <f>IF(R11&lt;&gt;"",toUTF16(HEX2DEC(R11)),"")</f>
        <v>ﷴ</v>
      </c>
      <c r="S10" s="56" t="str">
        <f>IF(S11&lt;&gt;"",toUTF16(HEX2DEC(S11)),"")</f>
        <v>ﷲ</v>
      </c>
      <c r="T10" s="57" t="str">
        <f>IF(T11&lt;&gt;"",toUTF16(HEX2DEC(T11)),"")</f>
        <v>ﷳ</v>
      </c>
      <c r="U10" s="56" t="str">
        <f>IF(U11&lt;&gt;"",toUTF16(HEX2DEC(U11)),"")</f>
        <v>ۆ</v>
      </c>
      <c r="V10" s="57" t="str">
        <f>IF(V11&lt;&gt;"",toUTF16(HEX2DEC(V11)),"")</f>
        <v>ۅ</v>
      </c>
      <c r="W10" s="56" t="str">
        <f>IF(W11&lt;&gt;"",toUTF16(HEX2DEC(W11)),"")</f>
        <v>پ</v>
      </c>
      <c r="X10" s="57" t="str">
        <f>IF(X11&lt;&gt;"",toUTF16(HEX2DEC(X11)),"")</f>
        <v>ڦ</v>
      </c>
      <c r="Y10" s="56" t="str">
        <f>IF(Y11&lt;&gt;"",toUTF16sequence(Y11),"")</f>
        <v>لآ</v>
      </c>
      <c r="Z10" s="57" t="str">
        <f>IF(Z11&lt;&gt;"",toUTF16(HEX2DEC(Z11)),"")</f>
        <v>/</v>
      </c>
      <c r="AA10" s="56" t="str">
        <f>IF(AA11&lt;&gt;"",toUTF16(HEX2DEC(AA11)),"")</f>
        <v>)</v>
      </c>
      <c r="AB10" s="63" t="str">
        <f>IF(AB11&lt;&gt;"",toUTF16(HEX2DEC(AB11)),"")</f>
        <v>(</v>
      </c>
      <c r="AC10" s="201"/>
      <c r="AD10" s="221"/>
      <c r="AE10" s="202"/>
      <c r="AF10" s="232"/>
      <c r="AG10" s="201"/>
      <c r="AH10" s="202"/>
      <c r="AI10" s="201"/>
      <c r="AJ10" s="202"/>
      <c r="AK10" s="201"/>
      <c r="AL10" s="202"/>
      <c r="AM10" s="232"/>
      <c r="AN10" s="56" t="str">
        <f>IF(AN11&lt;&gt;"",toUTF16(HEX2DEC(AN11)),"")</f>
        <v/>
      </c>
      <c r="AO10" s="57" t="str">
        <f>IF(AO11&lt;&gt;"",toUTF16(HEX2DEC(AO11)),"")</f>
        <v/>
      </c>
      <c r="AP10" s="56" t="str">
        <f>IF(AP11&lt;&gt;"",toUTF16(HEX2DEC(AP11)),"")</f>
        <v/>
      </c>
      <c r="AQ10" s="57" t="str">
        <f>IF(AQ11&lt;&gt;"",toUTF16(HEX2DEC(AQ11)),"")</f>
        <v/>
      </c>
      <c r="AR10" s="56" t="str">
        <f>IF(AR11&lt;&gt;"",toUTF16(HEX2DEC(AR11)),"")</f>
        <v/>
      </c>
      <c r="AS10" s="57" t="str">
        <f>IF(AS11&lt;&gt;"",toUTF16(HEX2DEC(AS11)),"")</f>
        <v/>
      </c>
      <c r="AT10" s="227"/>
      <c r="AU10" s="224"/>
      <c r="AV10" s="236"/>
    </row>
    <row r="11" spans="1:48" ht="15.75" thickBot="1">
      <c r="A11" s="246"/>
      <c r="B11" s="203"/>
      <c r="C11" s="222"/>
      <c r="D11" s="222"/>
      <c r="E11" s="61" t="s">
        <v>170</v>
      </c>
      <c r="F11" s="67" t="s">
        <v>838</v>
      </c>
      <c r="G11" s="61" t="s">
        <v>176</v>
      </c>
      <c r="H11" s="62" t="s">
        <v>405</v>
      </c>
      <c r="I11" s="61" t="s">
        <v>666</v>
      </c>
      <c r="J11" s="62" t="s">
        <v>668</v>
      </c>
      <c r="K11" s="61" t="s">
        <v>160</v>
      </c>
      <c r="L11" s="62" t="s">
        <v>168</v>
      </c>
      <c r="M11" s="61" t="s">
        <v>152</v>
      </c>
      <c r="N11" s="62" t="s">
        <v>165</v>
      </c>
      <c r="O11" s="61" t="s">
        <v>161</v>
      </c>
      <c r="P11" s="62" t="s">
        <v>166</v>
      </c>
      <c r="Q11" s="65" t="s">
        <v>781</v>
      </c>
      <c r="R11" s="67" t="s">
        <v>835</v>
      </c>
      <c r="S11" s="65" t="s">
        <v>833</v>
      </c>
      <c r="T11" s="67" t="s">
        <v>834</v>
      </c>
      <c r="U11" s="65" t="s">
        <v>784</v>
      </c>
      <c r="V11" s="67" t="s">
        <v>793</v>
      </c>
      <c r="W11" s="65" t="s">
        <v>696</v>
      </c>
      <c r="X11" s="67" t="s">
        <v>714</v>
      </c>
      <c r="Y11" s="61" t="s">
        <v>520</v>
      </c>
      <c r="Z11" s="62" t="s">
        <v>512</v>
      </c>
      <c r="AA11" s="61" t="s">
        <v>490</v>
      </c>
      <c r="AB11" s="64" t="s">
        <v>491</v>
      </c>
      <c r="AC11" s="201"/>
      <c r="AD11" s="221"/>
      <c r="AE11" s="202"/>
      <c r="AF11" s="232"/>
      <c r="AG11" s="203"/>
      <c r="AH11" s="204"/>
      <c r="AI11" s="203"/>
      <c r="AJ11" s="204"/>
      <c r="AK11" s="203"/>
      <c r="AL11" s="204"/>
      <c r="AM11" s="232"/>
      <c r="AN11" s="61"/>
      <c r="AO11" s="62"/>
      <c r="AP11" s="61"/>
      <c r="AQ11" s="62"/>
      <c r="AR11" s="61"/>
      <c r="AS11" s="62"/>
      <c r="AT11" s="227"/>
      <c r="AU11" s="224"/>
      <c r="AV11" s="236"/>
    </row>
    <row r="12" spans="1:48" ht="15.75">
      <c r="A12" s="246"/>
      <c r="B12" s="199" t="s">
        <v>320</v>
      </c>
      <c r="C12" s="220"/>
      <c r="D12" s="220"/>
      <c r="E12" s="202"/>
      <c r="F12" s="205" t="s">
        <v>292</v>
      </c>
      <c r="G12" s="207"/>
      <c r="H12" s="205" t="s">
        <v>282</v>
      </c>
      <c r="I12" s="207"/>
      <c r="J12" s="205" t="s">
        <v>279</v>
      </c>
      <c r="K12" s="206"/>
      <c r="L12" s="205" t="s">
        <v>283</v>
      </c>
      <c r="M12" s="207"/>
      <c r="N12" s="205" t="s">
        <v>293</v>
      </c>
      <c r="O12" s="207"/>
      <c r="P12" s="205" t="s">
        <v>287</v>
      </c>
      <c r="Q12" s="207"/>
      <c r="R12" s="205" t="s">
        <v>289</v>
      </c>
      <c r="S12" s="207"/>
      <c r="T12" s="205" t="s">
        <v>284</v>
      </c>
      <c r="U12" s="207"/>
      <c r="V12" s="205" t="s">
        <v>285</v>
      </c>
      <c r="W12" s="207"/>
      <c r="X12" s="205" t="s">
        <v>447</v>
      </c>
      <c r="Y12" s="207"/>
      <c r="Z12" s="205" t="s">
        <v>448</v>
      </c>
      <c r="AA12" s="207"/>
      <c r="AB12" s="228"/>
      <c r="AC12" s="221"/>
      <c r="AD12" s="221"/>
      <c r="AE12" s="202"/>
      <c r="AF12" s="227"/>
      <c r="AG12" s="206"/>
      <c r="AH12" s="206"/>
      <c r="AI12" s="206"/>
      <c r="AJ12" s="206"/>
      <c r="AK12" s="206"/>
      <c r="AL12" s="206"/>
      <c r="AM12" s="224"/>
      <c r="AN12" s="205">
        <v>4</v>
      </c>
      <c r="AO12" s="207"/>
      <c r="AP12" s="205">
        <v>5</v>
      </c>
      <c r="AQ12" s="207"/>
      <c r="AR12" s="205">
        <v>6</v>
      </c>
      <c r="AS12" s="207"/>
      <c r="AT12" s="227" t="str">
        <f>IF(AT14&lt;&gt;"",toUTF16(HEX2DEC(AT14)),"")</f>
        <v/>
      </c>
      <c r="AU12" s="224" t="str">
        <f>IF(AU14&lt;&gt;"",toUTF16(HEX2DEC(AU14)),"")</f>
        <v/>
      </c>
      <c r="AV12" s="236"/>
    </row>
    <row r="13" spans="1:48" ht="26.25">
      <c r="A13" s="246"/>
      <c r="B13" s="201"/>
      <c r="C13" s="221"/>
      <c r="D13" s="221"/>
      <c r="E13" s="202"/>
      <c r="F13" s="56" t="str">
        <f>IF(F14&lt;&gt;"",toUTF16(HEX2DEC(F14)),"")</f>
        <v>ا</v>
      </c>
      <c r="G13" s="57" t="str">
        <f>IF(G14&lt;&gt;"",toUTF16(HEX2DEC(G14)),"")</f>
        <v>ى</v>
      </c>
      <c r="H13" s="56" t="str">
        <f>IF(H14&lt;&gt;"",toUTF16(HEX2DEC(H14)),"")</f>
        <v>س</v>
      </c>
      <c r="I13" s="57" t="str">
        <f>IF(I14&lt;&gt;"",toUTF16(HEX2DEC(I14)),"")</f>
        <v>ص</v>
      </c>
      <c r="J13" s="56" t="str">
        <f>IF(J14&lt;&gt;"",toUTF16(HEX2DEC(J14)),"")</f>
        <v>د</v>
      </c>
      <c r="K13" s="63" t="str">
        <f>IF(K14&lt;&gt;"",toUTF16(HEX2DEC(K14)),"")</f>
        <v>ض</v>
      </c>
      <c r="L13" s="56" t="str">
        <f>IF(L14&lt;&gt;"",toUTF16(HEX2DEC(L14)),"")</f>
        <v>ف</v>
      </c>
      <c r="M13" s="57" t="str">
        <f>IF(M14&lt;&gt;"",toUTF16(HEX2DEC(M14)),"")</f>
        <v>ڡ</v>
      </c>
      <c r="N13" s="56" t="str">
        <f>IF(N14&lt;&gt;"",toUTF16(HEX2DEC(N14)),"")</f>
        <v>گ</v>
      </c>
      <c r="O13" s="57" t="str">
        <f>IF(O14&lt;&gt;"",toUTF16(HEX2DEC(O14)),"")</f>
        <v>ڳ</v>
      </c>
      <c r="P13" s="56" t="str">
        <f>IF(P14&lt;&gt;"",toUTF16(HEX2DEC(P14)),"")</f>
        <v>ه</v>
      </c>
      <c r="Q13" s="57" t="str">
        <f>IF(Q14&lt;&gt;"",toUTF16(HEX2DEC(Q14)),"")</f>
        <v>ح</v>
      </c>
      <c r="R13" s="56" t="str">
        <f>IF(R14&lt;&gt;"",toUTF16(HEX2DEC(R14)),"")</f>
        <v>ي</v>
      </c>
      <c r="S13" s="57" t="str">
        <f>IF(S14&lt;&gt;"",toUTF16(HEX2DEC(S14)),"")</f>
        <v>ئ</v>
      </c>
      <c r="T13" s="56" t="str">
        <f>IF(T14&lt;&gt;"",toUTF16(HEX2DEC(T14)),"")</f>
        <v>ك</v>
      </c>
      <c r="U13" s="57" t="str">
        <f>IF(U14&lt;&gt;"",toUTF16(HEX2DEC(U14)),"")</f>
        <v>ک</v>
      </c>
      <c r="V13" s="56" t="str">
        <f>IF(V14&lt;&gt;"",toUTF16(HEX2DEC(V14)),"")</f>
        <v>ل</v>
      </c>
      <c r="W13" s="57" t="str">
        <f>IF(W14&lt;&gt;"",toUTF16sequence(W14),"")</f>
        <v>لا</v>
      </c>
      <c r="X13" s="56" t="str">
        <f>IF(X14&lt;&gt;"",toUTF16(HEX2DEC(X14)),"")</f>
        <v>’</v>
      </c>
      <c r="Y13" s="57" t="str">
        <f>IF(Y14&lt;&gt;"",toUTF16(HEX2DEC(Y14)),"")</f>
        <v>"</v>
      </c>
      <c r="Z13" s="56" t="str">
        <f>IF(Z14&lt;&gt;"",toUTF16(HEX2DEC(Z14)),"")</f>
        <v>§</v>
      </c>
      <c r="AA13" s="57" t="str">
        <f>IF(AA14&lt;&gt;"",toUTF16(HEX2DEC(AA14)),"")</f>
        <v>!</v>
      </c>
      <c r="AB13" s="229"/>
      <c r="AC13" s="221"/>
      <c r="AD13" s="221"/>
      <c r="AE13" s="202"/>
      <c r="AF13" s="227"/>
      <c r="AG13" s="223"/>
      <c r="AH13" s="223"/>
      <c r="AI13" s="223"/>
      <c r="AJ13" s="223"/>
      <c r="AK13" s="223"/>
      <c r="AL13" s="223"/>
      <c r="AM13" s="224"/>
      <c r="AN13" s="56" t="str">
        <f>IF(AN14&lt;&gt;"",toUTF16(HEX2DEC(AN14)),"")</f>
        <v/>
      </c>
      <c r="AO13" s="57" t="str">
        <f>IF(AO14&lt;&gt;"",toUTF16(HEX2DEC(AO14)),"")</f>
        <v/>
      </c>
      <c r="AP13" s="56" t="str">
        <f>IF(AP14&lt;&gt;"",toUTF16(HEX2DEC(AP14)),"")</f>
        <v/>
      </c>
      <c r="AQ13" s="57" t="str">
        <f>IF(AQ14&lt;&gt;"",toUTF16(HEX2DEC(AQ14)),"")</f>
        <v/>
      </c>
      <c r="AR13" s="56" t="str">
        <f>IF(AR14&lt;&gt;"",toUTF16(HEX2DEC(AR14)),"")</f>
        <v/>
      </c>
      <c r="AS13" s="57" t="str">
        <f>IF(AS14&lt;&gt;"",toUTF16(HEX2DEC(AS14)),"")</f>
        <v/>
      </c>
      <c r="AT13" s="227" t="str">
        <f>IF(AT14&lt;&gt;"",toUTF16(HEX2DEC(AT14)),"")</f>
        <v/>
      </c>
      <c r="AU13" s="224" t="str">
        <f>IF(AU14&lt;&gt;"",toUTF16(HEX2DEC(AU14)),"")</f>
        <v/>
      </c>
      <c r="AV13" s="236"/>
    </row>
    <row r="14" spans="1:48" ht="15.75" thickBot="1">
      <c r="A14" s="246"/>
      <c r="B14" s="203"/>
      <c r="C14" s="222"/>
      <c r="D14" s="222"/>
      <c r="E14" s="204"/>
      <c r="F14" s="61" t="s">
        <v>150</v>
      </c>
      <c r="G14" s="62" t="s">
        <v>479</v>
      </c>
      <c r="H14" s="61" t="s">
        <v>163</v>
      </c>
      <c r="I14" s="62" t="s">
        <v>383</v>
      </c>
      <c r="J14" s="61" t="s">
        <v>158</v>
      </c>
      <c r="K14" s="64" t="s">
        <v>164</v>
      </c>
      <c r="L14" s="61" t="s">
        <v>169</v>
      </c>
      <c r="M14" s="62" t="s">
        <v>663</v>
      </c>
      <c r="N14" s="65" t="s">
        <v>750</v>
      </c>
      <c r="O14" s="67" t="s">
        <v>753</v>
      </c>
      <c r="P14" s="61" t="s">
        <v>175</v>
      </c>
      <c r="Q14" s="62" t="s">
        <v>155</v>
      </c>
      <c r="R14" s="61" t="s">
        <v>406</v>
      </c>
      <c r="S14" s="62" t="s">
        <v>407</v>
      </c>
      <c r="T14" s="61" t="s">
        <v>171</v>
      </c>
      <c r="U14" s="67" t="s">
        <v>747</v>
      </c>
      <c r="V14" s="61" t="s">
        <v>172</v>
      </c>
      <c r="W14" s="62" t="s">
        <v>478</v>
      </c>
      <c r="X14" s="61" t="s">
        <v>522</v>
      </c>
      <c r="Y14" s="62" t="s">
        <v>514</v>
      </c>
      <c r="Z14" s="61" t="s">
        <v>636</v>
      </c>
      <c r="AA14" s="62" t="s">
        <v>482</v>
      </c>
      <c r="AB14" s="230"/>
      <c r="AC14" s="222"/>
      <c r="AD14" s="222"/>
      <c r="AE14" s="204"/>
      <c r="AF14" s="227"/>
      <c r="AG14" s="223"/>
      <c r="AH14" s="223"/>
      <c r="AI14" s="223"/>
      <c r="AJ14" s="223"/>
      <c r="AK14" s="223"/>
      <c r="AL14" s="223"/>
      <c r="AM14" s="224"/>
      <c r="AN14" s="61"/>
      <c r="AO14" s="62"/>
      <c r="AP14" s="61"/>
      <c r="AQ14" s="62"/>
      <c r="AR14" s="61"/>
      <c r="AS14" s="62"/>
      <c r="AT14" s="61"/>
      <c r="AU14" s="62"/>
      <c r="AV14" s="236"/>
    </row>
    <row r="15" spans="1:48" ht="15.75">
      <c r="A15" s="246"/>
      <c r="B15" s="199" t="s">
        <v>449</v>
      </c>
      <c r="C15" s="220"/>
      <c r="D15" s="220"/>
      <c r="E15" s="205" t="s">
        <v>476</v>
      </c>
      <c r="F15" s="207"/>
      <c r="G15" s="205" t="s">
        <v>335</v>
      </c>
      <c r="H15" s="207"/>
      <c r="I15" s="205" t="s">
        <v>278</v>
      </c>
      <c r="J15" s="207"/>
      <c r="K15" s="205" t="s">
        <v>294</v>
      </c>
      <c r="L15" s="207"/>
      <c r="M15" s="205" t="s">
        <v>336</v>
      </c>
      <c r="N15" s="207"/>
      <c r="O15" s="205" t="s">
        <v>276</v>
      </c>
      <c r="P15" s="207"/>
      <c r="Q15" s="205" t="s">
        <v>286</v>
      </c>
      <c r="R15" s="207"/>
      <c r="S15" s="205" t="s">
        <v>275</v>
      </c>
      <c r="T15" s="207"/>
      <c r="U15" s="205" t="s">
        <v>450</v>
      </c>
      <c r="V15" s="207"/>
      <c r="W15" s="205" t="s">
        <v>451</v>
      </c>
      <c r="X15" s="207"/>
      <c r="Y15" s="205" t="s">
        <v>452</v>
      </c>
      <c r="Z15" s="207"/>
      <c r="AA15" s="199" t="s">
        <v>453</v>
      </c>
      <c r="AB15" s="220"/>
      <c r="AC15" s="220"/>
      <c r="AD15" s="220"/>
      <c r="AE15" s="200"/>
      <c r="AF15" s="227"/>
      <c r="AG15" s="223"/>
      <c r="AH15" s="224"/>
      <c r="AI15" s="199" t="s">
        <v>353</v>
      </c>
      <c r="AJ15" s="200"/>
      <c r="AK15" s="227"/>
      <c r="AL15" s="223"/>
      <c r="AM15" s="224"/>
      <c r="AN15" s="205">
        <v>1</v>
      </c>
      <c r="AO15" s="207"/>
      <c r="AP15" s="205">
        <v>2</v>
      </c>
      <c r="AQ15" s="207"/>
      <c r="AR15" s="205">
        <v>3</v>
      </c>
      <c r="AS15" s="207"/>
      <c r="AT15" s="214" t="s">
        <v>454</v>
      </c>
      <c r="AU15" s="215"/>
      <c r="AV15" s="236"/>
    </row>
    <row r="16" spans="1:48" ht="26.25">
      <c r="A16" s="246"/>
      <c r="B16" s="201"/>
      <c r="C16" s="221"/>
      <c r="D16" s="221"/>
      <c r="E16" s="56" t="str">
        <f>IF(E17&lt;&gt;"",toUTF16(HEX2DEC(E17)),"")</f>
        <v>\</v>
      </c>
      <c r="F16" s="57" t="str">
        <f>IF(F17&lt;&gt;"",toUTF16(HEX2DEC(F17)),"")</f>
        <v>|</v>
      </c>
      <c r="G16" s="56" t="str">
        <f>IF(G17&lt;&gt;"",toUTF16(HEX2DEC(G17)),"")</f>
        <v>ۈ</v>
      </c>
      <c r="H16" s="57" t="str">
        <f>IF(H17&lt;&gt;"",toUTF16(HEX2DEC(H17)),"")</f>
        <v>ۉ</v>
      </c>
      <c r="I16" s="56" t="str">
        <f>IF(I17&lt;&gt;"",toUTF16(HEX2DEC(I17)),"")</f>
        <v>خ</v>
      </c>
      <c r="J16" s="57" t="str">
        <f>IF(J17&lt;&gt;"",toUTF16(HEX2DEC(J17)),"")</f>
        <v>ڌ</v>
      </c>
      <c r="K16" s="56" t="str">
        <f>IF(K17&lt;&gt;"",toUTF16(HEX2DEC(K17)),"")</f>
        <v>ع</v>
      </c>
      <c r="L16" s="57" t="str">
        <f>IF(L17&lt;&gt;"",toUTF16(HEX2DEC(L17)),"")</f>
        <v>ث</v>
      </c>
      <c r="M16" s="56" t="str">
        <f>IF(M17&lt;&gt;"",toUTF16(HEX2DEC(M17)),"")</f>
        <v>ٷ</v>
      </c>
      <c r="N16" s="57" t="str">
        <f>IF(N17&lt;&gt;"",toUTF16(HEX2DEC(N17)),"")</f>
        <v>ڤ</v>
      </c>
      <c r="O16" s="56" t="str">
        <f>IF(O17&lt;&gt;"",toUTF16(HEX2DEC(O17)),"")</f>
        <v>ب</v>
      </c>
      <c r="P16" s="57" t="str">
        <f>IF(P17&lt;&gt;"",toUTF16(HEX2DEC(P17)),"")</f>
        <v>ٻ</v>
      </c>
      <c r="Q16" s="56" t="str">
        <f>IF(Q17&lt;&gt;"",toUTF16(HEX2DEC(Q17)),"")</f>
        <v>ن</v>
      </c>
      <c r="R16" s="57" t="str">
        <f>IF(R17&lt;&gt;"",toUTF16(HEX2DEC(R17)),"")</f>
        <v>ڃ</v>
      </c>
      <c r="S16" s="56" t="str">
        <f>IF(S17&lt;&gt;"",toUTF16(HEX2DEC(S17)),"")</f>
        <v>م</v>
      </c>
      <c r="T16" s="57" t="str">
        <f>IF(T17&lt;&gt;"",toUTF16(HEX2DEC(T17)),"")</f>
        <v>ڭ</v>
      </c>
      <c r="U16" s="56" t="str">
        <f>IF(U17&lt;&gt;"",toUTF16(HEX2DEC(U17)),"")</f>
        <v>،</v>
      </c>
      <c r="V16" s="57" t="str">
        <f>IF(V17&lt;&gt;"",toUTF16(HEX2DEC(V17)),"")</f>
        <v>؟</v>
      </c>
      <c r="W16" s="56" t="str">
        <f>IF(W17&lt;&gt;"",toUTF16(HEX2DEC(W17)),"")</f>
        <v>.</v>
      </c>
      <c r="X16" s="57" t="str">
        <f>IF(X17&lt;&gt;"",toUTF16(HEX2DEC(X17)),"")</f>
        <v>:</v>
      </c>
      <c r="Y16" s="56" t="str">
        <f>IF(Y17&lt;&gt;"",toUTF16(HEX2DEC(Y17)),"")</f>
        <v>-</v>
      </c>
      <c r="Z16" s="57" t="str">
        <f>IF(Z17&lt;&gt;"",toUTF16(HEX2DEC(Z17)),"")</f>
        <v>ـ</v>
      </c>
      <c r="AA16" s="201"/>
      <c r="AB16" s="221"/>
      <c r="AC16" s="221"/>
      <c r="AD16" s="221"/>
      <c r="AE16" s="202"/>
      <c r="AF16" s="227"/>
      <c r="AG16" s="223"/>
      <c r="AH16" s="224"/>
      <c r="AI16" s="201"/>
      <c r="AJ16" s="202"/>
      <c r="AK16" s="227"/>
      <c r="AL16" s="223"/>
      <c r="AM16" s="224"/>
      <c r="AN16" s="56" t="str">
        <f>IF(AN17&lt;&gt;"",toUTF16(HEX2DEC(AN17)),"")</f>
        <v/>
      </c>
      <c r="AO16" s="57" t="str">
        <f>IF(AO17&lt;&gt;"",toUTF16(AO17),"")</f>
        <v/>
      </c>
      <c r="AP16" s="56" t="str">
        <f>IF(AP17&lt;&gt;"",toUTF16(HEX2DEC(AP17)),"")</f>
        <v/>
      </c>
      <c r="AQ16" s="57" t="str">
        <f>IF(AQ17&lt;&gt;"",toUTF16(AQ17),"")</f>
        <v/>
      </c>
      <c r="AR16" s="56" t="str">
        <f>IF(AR17&lt;&gt;"",toUTF16(HEX2DEC(AR17)),"")</f>
        <v/>
      </c>
      <c r="AS16" s="57" t="str">
        <f>IF(AS17&lt;&gt;"",toUTF16(AS17),"")</f>
        <v/>
      </c>
      <c r="AT16" s="216"/>
      <c r="AU16" s="217"/>
      <c r="AV16" s="236"/>
    </row>
    <row r="17" spans="1:48" ht="15.75" thickBot="1">
      <c r="A17" s="246"/>
      <c r="B17" s="203"/>
      <c r="C17" s="222"/>
      <c r="D17" s="222"/>
      <c r="E17" s="61" t="s">
        <v>507</v>
      </c>
      <c r="F17" s="62" t="s">
        <v>515</v>
      </c>
      <c r="G17" s="65" t="s">
        <v>787</v>
      </c>
      <c r="H17" s="67" t="s">
        <v>796</v>
      </c>
      <c r="I17" s="61" t="s">
        <v>157</v>
      </c>
      <c r="J17" s="67" t="s">
        <v>731</v>
      </c>
      <c r="K17" s="61" t="s">
        <v>167</v>
      </c>
      <c r="L17" s="62" t="s">
        <v>153</v>
      </c>
      <c r="M17" s="65" t="s">
        <v>790</v>
      </c>
      <c r="N17" s="67" t="s">
        <v>711</v>
      </c>
      <c r="O17" s="61" t="s">
        <v>151</v>
      </c>
      <c r="P17" s="67" t="s">
        <v>690</v>
      </c>
      <c r="Q17" s="61" t="s">
        <v>174</v>
      </c>
      <c r="R17" s="67" t="s">
        <v>720</v>
      </c>
      <c r="S17" s="61" t="s">
        <v>173</v>
      </c>
      <c r="T17" s="67" t="s">
        <v>779</v>
      </c>
      <c r="U17" s="61" t="s">
        <v>511</v>
      </c>
      <c r="V17" s="62" t="s">
        <v>525</v>
      </c>
      <c r="W17" s="61" t="s">
        <v>524</v>
      </c>
      <c r="X17" s="62" t="s">
        <v>513</v>
      </c>
      <c r="Y17" s="61" t="s">
        <v>474</v>
      </c>
      <c r="Z17" s="62" t="s">
        <v>477</v>
      </c>
      <c r="AA17" s="203"/>
      <c r="AB17" s="222"/>
      <c r="AC17" s="222"/>
      <c r="AD17" s="222"/>
      <c r="AE17" s="204"/>
      <c r="AF17" s="227"/>
      <c r="AG17" s="225"/>
      <c r="AH17" s="226"/>
      <c r="AI17" s="203"/>
      <c r="AJ17" s="204"/>
      <c r="AK17" s="231"/>
      <c r="AL17" s="225"/>
      <c r="AM17" s="224"/>
      <c r="AN17" s="61"/>
      <c r="AO17" s="62"/>
      <c r="AP17" s="61"/>
      <c r="AQ17" s="62"/>
      <c r="AR17" s="61"/>
      <c r="AS17" s="62"/>
      <c r="AT17" s="216"/>
      <c r="AU17" s="217"/>
      <c r="AV17" s="236"/>
    </row>
    <row r="18" spans="1:48" ht="15.75">
      <c r="A18" s="246"/>
      <c r="B18" s="199" t="s">
        <v>455</v>
      </c>
      <c r="C18" s="220"/>
      <c r="D18" s="200"/>
      <c r="E18" s="199" t="s">
        <v>456</v>
      </c>
      <c r="F18" s="220"/>
      <c r="G18" s="200"/>
      <c r="H18" s="199" t="s">
        <v>350</v>
      </c>
      <c r="I18" s="220"/>
      <c r="J18" s="200"/>
      <c r="K18" s="199" t="s">
        <v>457</v>
      </c>
      <c r="L18" s="220"/>
      <c r="M18" s="220"/>
      <c r="N18" s="220"/>
      <c r="O18" s="220"/>
      <c r="P18" s="220"/>
      <c r="Q18" s="220"/>
      <c r="R18" s="220"/>
      <c r="S18" s="220"/>
      <c r="T18" s="200"/>
      <c r="U18" s="199" t="s">
        <v>458</v>
      </c>
      <c r="V18" s="220"/>
      <c r="W18" s="200"/>
      <c r="X18" s="199" t="s">
        <v>459</v>
      </c>
      <c r="Y18" s="220"/>
      <c r="Z18" s="200"/>
      <c r="AA18" s="199" t="s">
        <v>460</v>
      </c>
      <c r="AB18" s="200"/>
      <c r="AC18" s="199" t="s">
        <v>461</v>
      </c>
      <c r="AD18" s="220"/>
      <c r="AE18" s="200"/>
      <c r="AF18" s="227"/>
      <c r="AG18" s="199" t="s">
        <v>354</v>
      </c>
      <c r="AH18" s="200"/>
      <c r="AI18" s="199" t="s">
        <v>355</v>
      </c>
      <c r="AJ18" s="200"/>
      <c r="AK18" s="199" t="s">
        <v>356</v>
      </c>
      <c r="AL18" s="200"/>
      <c r="AM18" s="224"/>
      <c r="AN18" s="205">
        <v>0</v>
      </c>
      <c r="AO18" s="206"/>
      <c r="AP18" s="206"/>
      <c r="AQ18" s="207"/>
      <c r="AR18" s="205" t="s">
        <v>338</v>
      </c>
      <c r="AS18" s="207"/>
      <c r="AT18" s="216"/>
      <c r="AU18" s="217"/>
      <c r="AV18" s="236"/>
    </row>
    <row r="19" spans="1:48" ht="26.25">
      <c r="A19" s="246"/>
      <c r="B19" s="201"/>
      <c r="C19" s="221"/>
      <c r="D19" s="202"/>
      <c r="E19" s="201"/>
      <c r="F19" s="221"/>
      <c r="G19" s="202"/>
      <c r="H19" s="201"/>
      <c r="I19" s="221"/>
      <c r="J19" s="202"/>
      <c r="K19" s="201"/>
      <c r="L19" s="221"/>
      <c r="M19" s="221"/>
      <c r="N19" s="221"/>
      <c r="O19" s="221"/>
      <c r="P19" s="221"/>
      <c r="Q19" s="221"/>
      <c r="R19" s="221"/>
      <c r="S19" s="221"/>
      <c r="T19" s="202"/>
      <c r="U19" s="201"/>
      <c r="V19" s="221"/>
      <c r="W19" s="202"/>
      <c r="X19" s="201"/>
      <c r="Y19" s="221"/>
      <c r="Z19" s="202"/>
      <c r="AA19" s="201"/>
      <c r="AB19" s="202"/>
      <c r="AC19" s="201"/>
      <c r="AD19" s="221"/>
      <c r="AE19" s="202"/>
      <c r="AF19" s="227"/>
      <c r="AG19" s="201"/>
      <c r="AH19" s="202"/>
      <c r="AI19" s="201"/>
      <c r="AJ19" s="202"/>
      <c r="AK19" s="201"/>
      <c r="AL19" s="202"/>
      <c r="AM19" s="224"/>
      <c r="AN19" s="208" t="str">
        <f>IF(AN20&lt;&gt;"",toUTF16(HEX2DEC(AN20)),"")</f>
        <v/>
      </c>
      <c r="AO19" s="209" t="str">
        <f>IF(AO20&lt;&gt;"",toUTF16(AO20),"")</f>
        <v/>
      </c>
      <c r="AP19" s="209" t="str">
        <f>IF(AP20&lt;&gt;"",toUTF16(HEX2DEC(AP20)),"")</f>
        <v/>
      </c>
      <c r="AQ19" s="210" t="str">
        <f>IF(AQ20&lt;&gt;"",toUTF16(AQ20),"")</f>
        <v/>
      </c>
      <c r="AR19" s="56" t="str">
        <f>IF(AR20&lt;&gt;"",toUTF16(HEX2DEC(AR20)),"")</f>
        <v>٫</v>
      </c>
      <c r="AS19" s="57" t="str">
        <f>IF(AS20&lt;&gt;"",toUTF16(HEX2DEC(AS20)),"")</f>
        <v>٬</v>
      </c>
      <c r="AT19" s="216"/>
      <c r="AU19" s="217"/>
      <c r="AV19" s="236"/>
    </row>
    <row r="20" spans="1:48" ht="15.75" thickBot="1">
      <c r="A20" s="246"/>
      <c r="B20" s="203"/>
      <c r="C20" s="222"/>
      <c r="D20" s="204"/>
      <c r="E20" s="203"/>
      <c r="F20" s="222"/>
      <c r="G20" s="204"/>
      <c r="H20" s="203"/>
      <c r="I20" s="222"/>
      <c r="J20" s="204"/>
      <c r="K20" s="203"/>
      <c r="L20" s="222"/>
      <c r="M20" s="222"/>
      <c r="N20" s="222"/>
      <c r="O20" s="222"/>
      <c r="P20" s="222"/>
      <c r="Q20" s="222"/>
      <c r="R20" s="222"/>
      <c r="S20" s="222"/>
      <c r="T20" s="204"/>
      <c r="U20" s="203"/>
      <c r="V20" s="222"/>
      <c r="W20" s="204"/>
      <c r="X20" s="203"/>
      <c r="Y20" s="222"/>
      <c r="Z20" s="204"/>
      <c r="AA20" s="203"/>
      <c r="AB20" s="204"/>
      <c r="AC20" s="203"/>
      <c r="AD20" s="222"/>
      <c r="AE20" s="204"/>
      <c r="AF20" s="227"/>
      <c r="AG20" s="203"/>
      <c r="AH20" s="204"/>
      <c r="AI20" s="203"/>
      <c r="AJ20" s="204"/>
      <c r="AK20" s="203"/>
      <c r="AL20" s="204"/>
      <c r="AM20" s="224"/>
      <c r="AN20" s="211"/>
      <c r="AO20" s="212"/>
      <c r="AP20" s="212"/>
      <c r="AQ20" s="213"/>
      <c r="AR20" s="61" t="s">
        <v>649</v>
      </c>
      <c r="AS20" s="62" t="s">
        <v>656</v>
      </c>
      <c r="AT20" s="218"/>
      <c r="AU20" s="219"/>
      <c r="AV20" s="236"/>
    </row>
    <row r="21" spans="1:48" ht="15.75" thickBot="1">
      <c r="A21" s="68"/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111"/>
      <c r="S21" s="111"/>
      <c r="T21" s="111"/>
      <c r="U21" s="111"/>
      <c r="V21" s="111"/>
      <c r="W21" s="111"/>
      <c r="X21" s="111"/>
      <c r="Y21" s="111"/>
      <c r="Z21" s="111"/>
      <c r="AA21" s="111"/>
      <c r="AB21" s="111"/>
      <c r="AC21" s="111"/>
      <c r="AD21" s="111"/>
      <c r="AE21" s="111"/>
      <c r="AF21" s="111"/>
      <c r="AG21" s="111"/>
      <c r="AH21" s="111"/>
      <c r="AI21" s="111"/>
      <c r="AJ21" s="111"/>
      <c r="AK21" s="111"/>
      <c r="AL21" s="111"/>
      <c r="AM21" s="111"/>
      <c r="AN21" s="111"/>
      <c r="AO21" s="111"/>
      <c r="AP21" s="111"/>
      <c r="AQ21" s="111"/>
      <c r="AR21" s="111"/>
      <c r="AS21" s="111"/>
      <c r="AT21" s="111"/>
      <c r="AU21" s="111"/>
      <c r="AV21" s="69"/>
    </row>
    <row r="22" spans="1:48" ht="16.5" thickTop="1" thickBot="1"/>
    <row r="23" spans="1:48" ht="16.5" thickTop="1" thickBot="1">
      <c r="A23" s="50"/>
      <c r="B23" s="110" t="s">
        <v>560</v>
      </c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51"/>
    </row>
    <row r="24" spans="1:48">
      <c r="A24" s="246"/>
      <c r="B24" s="199" t="s">
        <v>412</v>
      </c>
      <c r="C24" s="200"/>
      <c r="D24" s="239"/>
      <c r="E24" s="247"/>
      <c r="F24" s="241" t="s">
        <v>413</v>
      </c>
      <c r="G24" s="241"/>
      <c r="H24" s="241" t="s">
        <v>414</v>
      </c>
      <c r="I24" s="241"/>
      <c r="J24" s="241" t="s">
        <v>415</v>
      </c>
      <c r="K24" s="241"/>
      <c r="L24" s="241" t="s">
        <v>416</v>
      </c>
      <c r="M24" s="241"/>
      <c r="N24" s="240"/>
      <c r="O24" s="199" t="s">
        <v>417</v>
      </c>
      <c r="P24" s="220"/>
      <c r="Q24" s="220" t="s">
        <v>418</v>
      </c>
      <c r="R24" s="220"/>
      <c r="S24" s="220" t="s">
        <v>419</v>
      </c>
      <c r="T24" s="220"/>
      <c r="U24" s="220" t="s">
        <v>420</v>
      </c>
      <c r="V24" s="200"/>
      <c r="W24" s="240"/>
      <c r="X24" s="199" t="s">
        <v>421</v>
      </c>
      <c r="Y24" s="200"/>
      <c r="Z24" s="199" t="s">
        <v>422</v>
      </c>
      <c r="AA24" s="200"/>
      <c r="AB24" s="199" t="s">
        <v>423</v>
      </c>
      <c r="AC24" s="200"/>
      <c r="AD24" s="199" t="s">
        <v>424</v>
      </c>
      <c r="AE24" s="200"/>
      <c r="AF24" s="240"/>
      <c r="AG24" s="199" t="s">
        <v>425</v>
      </c>
      <c r="AH24" s="200"/>
      <c r="AI24" s="199" t="s">
        <v>426</v>
      </c>
      <c r="AJ24" s="200"/>
      <c r="AK24" s="199" t="s">
        <v>427</v>
      </c>
      <c r="AL24" s="200"/>
      <c r="AM24" s="239"/>
      <c r="AN24" s="124"/>
      <c r="AO24" s="124"/>
      <c r="AP24" s="124"/>
      <c r="AQ24" s="124"/>
      <c r="AR24" s="124"/>
      <c r="AS24" s="124"/>
      <c r="AT24" s="124"/>
      <c r="AU24" s="124"/>
      <c r="AV24" s="236"/>
    </row>
    <row r="25" spans="1:48" ht="26.25">
      <c r="A25" s="246"/>
      <c r="B25" s="201"/>
      <c r="C25" s="202"/>
      <c r="D25" s="239"/>
      <c r="E25" s="247"/>
      <c r="F25" s="242"/>
      <c r="G25" s="242"/>
      <c r="H25" s="242"/>
      <c r="I25" s="242"/>
      <c r="J25" s="242"/>
      <c r="K25" s="242"/>
      <c r="L25" s="242"/>
      <c r="M25" s="242"/>
      <c r="N25" s="240"/>
      <c r="O25" s="201"/>
      <c r="P25" s="221"/>
      <c r="Q25" s="221"/>
      <c r="R25" s="221"/>
      <c r="S25" s="221"/>
      <c r="T25" s="221"/>
      <c r="U25" s="221"/>
      <c r="V25" s="202"/>
      <c r="W25" s="240"/>
      <c r="X25" s="201"/>
      <c r="Y25" s="202"/>
      <c r="Z25" s="201"/>
      <c r="AA25" s="202"/>
      <c r="AB25" s="201"/>
      <c r="AC25" s="202"/>
      <c r="AD25" s="201"/>
      <c r="AE25" s="202"/>
      <c r="AF25" s="240"/>
      <c r="AG25" s="201"/>
      <c r="AH25" s="202"/>
      <c r="AI25" s="201"/>
      <c r="AJ25" s="202"/>
      <c r="AK25" s="201"/>
      <c r="AL25" s="202"/>
      <c r="AM25" s="239"/>
      <c r="AN25" s="124"/>
      <c r="AO25" s="124"/>
      <c r="AP25" s="237" t="s">
        <v>428</v>
      </c>
      <c r="AQ25" s="237"/>
      <c r="AR25" s="237" t="s">
        <v>428</v>
      </c>
      <c r="AS25" s="237"/>
      <c r="AT25" s="237" t="s">
        <v>428</v>
      </c>
      <c r="AU25" s="237"/>
      <c r="AV25" s="236"/>
    </row>
    <row r="26" spans="1:48" ht="15.75" thickBot="1">
      <c r="A26" s="246"/>
      <c r="B26" s="203"/>
      <c r="C26" s="204"/>
      <c r="D26" s="239"/>
      <c r="E26" s="247"/>
      <c r="F26" s="243"/>
      <c r="G26" s="243"/>
      <c r="H26" s="243"/>
      <c r="I26" s="243"/>
      <c r="J26" s="243"/>
      <c r="K26" s="243"/>
      <c r="L26" s="243"/>
      <c r="M26" s="243"/>
      <c r="N26" s="240"/>
      <c r="O26" s="203"/>
      <c r="P26" s="222"/>
      <c r="Q26" s="222"/>
      <c r="R26" s="222"/>
      <c r="S26" s="222"/>
      <c r="T26" s="222"/>
      <c r="U26" s="222"/>
      <c r="V26" s="204"/>
      <c r="W26" s="240"/>
      <c r="X26" s="203"/>
      <c r="Y26" s="204"/>
      <c r="Z26" s="203"/>
      <c r="AA26" s="204"/>
      <c r="AB26" s="203"/>
      <c r="AC26" s="204"/>
      <c r="AD26" s="203"/>
      <c r="AE26" s="204"/>
      <c r="AF26" s="240"/>
      <c r="AG26" s="203"/>
      <c r="AH26" s="204"/>
      <c r="AI26" s="203"/>
      <c r="AJ26" s="204"/>
      <c r="AK26" s="203"/>
      <c r="AL26" s="204"/>
      <c r="AM26" s="239"/>
      <c r="AN26" s="124"/>
      <c r="AO26" s="124"/>
      <c r="AP26" s="238" t="s">
        <v>429</v>
      </c>
      <c r="AQ26" s="238"/>
      <c r="AR26" s="238" t="s">
        <v>320</v>
      </c>
      <c r="AS26" s="238"/>
      <c r="AT26" s="238" t="s">
        <v>430</v>
      </c>
      <c r="AU26" s="238"/>
      <c r="AV26" s="236"/>
    </row>
    <row r="27" spans="1:48" ht="15.75" thickBot="1">
      <c r="A27" s="246"/>
      <c r="B27" s="233"/>
      <c r="C27" s="233"/>
      <c r="D27" s="234"/>
      <c r="E27" s="234"/>
      <c r="F27" s="233"/>
      <c r="G27" s="233"/>
      <c r="H27" s="233"/>
      <c r="I27" s="233"/>
      <c r="J27" s="233"/>
      <c r="K27" s="233"/>
      <c r="L27" s="233"/>
      <c r="M27" s="233"/>
      <c r="N27" s="70"/>
      <c r="O27" s="233"/>
      <c r="P27" s="233"/>
      <c r="Q27" s="233"/>
      <c r="R27" s="233"/>
      <c r="S27" s="233"/>
      <c r="T27" s="233"/>
      <c r="U27" s="233"/>
      <c r="V27" s="233"/>
      <c r="W27" s="70"/>
      <c r="X27" s="233"/>
      <c r="Y27" s="233"/>
      <c r="Z27" s="233"/>
      <c r="AA27" s="233"/>
      <c r="AB27" s="233"/>
      <c r="AC27" s="233"/>
      <c r="AD27" s="233"/>
      <c r="AE27" s="233"/>
      <c r="AF27" s="48"/>
      <c r="AG27" s="235"/>
      <c r="AH27" s="235"/>
      <c r="AI27" s="235"/>
      <c r="AJ27" s="235"/>
      <c r="AK27" s="235"/>
      <c r="AL27" s="235"/>
      <c r="AM27" s="48"/>
      <c r="AN27" s="234"/>
      <c r="AO27" s="234"/>
      <c r="AP27" s="234"/>
      <c r="AQ27" s="234"/>
      <c r="AR27" s="234"/>
      <c r="AS27" s="234"/>
      <c r="AT27" s="234"/>
      <c r="AU27" s="234"/>
      <c r="AV27" s="236"/>
    </row>
    <row r="28" spans="1:48" ht="15.75">
      <c r="A28" s="246"/>
      <c r="B28" s="205" t="s">
        <v>431</v>
      </c>
      <c r="C28" s="207"/>
      <c r="D28" s="205">
        <v>1</v>
      </c>
      <c r="E28" s="207"/>
      <c r="F28" s="205">
        <v>2</v>
      </c>
      <c r="G28" s="207"/>
      <c r="H28" s="205">
        <v>3</v>
      </c>
      <c r="I28" s="207"/>
      <c r="J28" s="205">
        <v>4</v>
      </c>
      <c r="K28" s="207"/>
      <c r="L28" s="205">
        <v>5</v>
      </c>
      <c r="M28" s="207"/>
      <c r="N28" s="205">
        <v>6</v>
      </c>
      <c r="O28" s="207"/>
      <c r="P28" s="205">
        <v>7</v>
      </c>
      <c r="Q28" s="207"/>
      <c r="R28" s="205">
        <v>8</v>
      </c>
      <c r="S28" s="207"/>
      <c r="T28" s="205">
        <v>9</v>
      </c>
      <c r="U28" s="207"/>
      <c r="V28" s="205">
        <v>0</v>
      </c>
      <c r="W28" s="207"/>
      <c r="X28" s="205" t="s">
        <v>432</v>
      </c>
      <c r="Y28" s="207"/>
      <c r="Z28" s="205" t="s">
        <v>433</v>
      </c>
      <c r="AA28" s="207"/>
      <c r="AB28" s="205" t="s">
        <v>434</v>
      </c>
      <c r="AC28" s="207"/>
      <c r="AD28" s="199" t="s">
        <v>435</v>
      </c>
      <c r="AE28" s="200"/>
      <c r="AF28" s="232"/>
      <c r="AG28" s="199" t="s">
        <v>436</v>
      </c>
      <c r="AH28" s="200"/>
      <c r="AI28" s="199" t="s">
        <v>437</v>
      </c>
      <c r="AJ28" s="200"/>
      <c r="AK28" s="199" t="s">
        <v>438</v>
      </c>
      <c r="AL28" s="200"/>
      <c r="AM28" s="232"/>
      <c r="AN28" s="199" t="s">
        <v>429</v>
      </c>
      <c r="AO28" s="220"/>
      <c r="AP28" s="205" t="s">
        <v>439</v>
      </c>
      <c r="AQ28" s="207"/>
      <c r="AR28" s="205" t="s">
        <v>363</v>
      </c>
      <c r="AS28" s="207"/>
      <c r="AT28" s="205" t="s">
        <v>339</v>
      </c>
      <c r="AU28" s="207"/>
      <c r="AV28" s="236"/>
    </row>
    <row r="29" spans="1:48" ht="31.5">
      <c r="A29" s="246"/>
      <c r="B29" s="56" t="str">
        <f>IF(B30&lt;&gt;"",toUTF16(HEX2DEC(B30)),"")</f>
        <v>;</v>
      </c>
      <c r="C29" s="57" t="str">
        <f>IF(C30&lt;&gt;"",toUTF16(HEX2DEC(C30)),"")</f>
        <v>؞</v>
      </c>
      <c r="D29" s="56" t="str">
        <f>IF(D30&lt;&gt;"",toUTF16(HEX2DEC(D30)),"")</f>
        <v>~</v>
      </c>
      <c r="E29" s="257" t="str">
        <f>IF(E30&lt;&gt;"",toUTF16(HEX2DEC(E30)),"")</f>
        <v>ؚ</v>
      </c>
      <c r="F29" s="56" t="str">
        <f>IF(F30&lt;&gt;"",toUTF16(HEX2DEC(F30)),"")</f>
        <v>ُ</v>
      </c>
      <c r="G29" s="257" t="str">
        <f>IF(G30&lt;&gt;"",toUTF16(HEX2DEC(G30)),"")</f>
        <v>ؙ</v>
      </c>
      <c r="H29" s="56" t="str">
        <f>IF(H30&lt;&gt;"",toUTF16(HEX2DEC(H30)),"")</f>
        <v>^</v>
      </c>
      <c r="I29" s="256" t="str">
        <f>IF(I30&lt;&gt;"",toUTF16(HEX2DEC(I30)),"")</f>
        <v>؆</v>
      </c>
      <c r="J29" s="56" t="str">
        <f>IF(J30&lt;&gt;"",toUTF16(HEX2DEC(J30)),"")</f>
        <v>ّ</v>
      </c>
      <c r="K29" s="256" t="str">
        <f>IF(K30&lt;&gt;"",toUTF16(HEX2DEC(K30)),"")</f>
        <v>؇</v>
      </c>
      <c r="L29" s="84" t="str">
        <f>IF(L30&lt;&gt;"",toUTF16(HEX2DEC(L30)),"")</f>
        <v>1</v>
      </c>
      <c r="M29" s="57" t="str">
        <f>IF(M30&lt;&gt;"",toUTF16(HEX2DEC(M30)),"")</f>
        <v>ڍ</v>
      </c>
      <c r="N29" s="84" t="str">
        <f>IF(N30&lt;&gt;"",toUTF16(HEX2DEC(N30)),"")</f>
        <v>2</v>
      </c>
      <c r="O29" s="57" t="str">
        <f>IF(O30&lt;&gt;"",toUTF16(HEX2DEC(O30)),"")</f>
        <v>ڇ</v>
      </c>
      <c r="P29" s="84" t="str">
        <f>IF(P30&lt;&gt;"",toUTF16(HEX2DEC(P30)),"")</f>
        <v>3</v>
      </c>
      <c r="Q29" s="57" t="str">
        <f>IF(Q30&lt;&gt;"",toUTF16(HEX2DEC(Q30)),"")</f>
        <v>ڎ</v>
      </c>
      <c r="R29" s="84" t="str">
        <f>IF(R30&lt;&gt;"",toUTF16(HEX2DEC(R30)),"")</f>
        <v>4</v>
      </c>
      <c r="S29" s="57" t="str">
        <f>IF(S30&lt;&gt;"",toUTF16(HEX2DEC(S30)),"")</f>
        <v>ڈ</v>
      </c>
      <c r="T29" s="56" t="str">
        <f>IF(T30&lt;&gt;"",toUTF16(HEX2DEC(T30)),"")</f>
        <v>؋</v>
      </c>
      <c r="U29" s="57" t="str">
        <f>IF(U30&lt;&gt;"",toUTF16(HEX2DEC(U30)),"")</f>
        <v>ؔ</v>
      </c>
      <c r="V29" s="56" t="str">
        <f>IF(V30&lt;&gt;"",toUTF16(HEX2DEC(V30)),"")</f>
        <v>ٍ</v>
      </c>
      <c r="W29" s="57" t="str">
        <f>IF(W30&lt;&gt;"",toUTF16(HEX2DEC(W30)),"")</f>
        <v>ؕ</v>
      </c>
      <c r="X29" s="56" t="str">
        <f>IF(X30&lt;&gt;"",toUTF16(HEX2DEC(X30)),"")</f>
        <v>٪</v>
      </c>
      <c r="Y29" s="256" t="str">
        <f>IF(Y30&lt;&gt;"",toUTF16(HEX2DEC(Y30)),"")</f>
        <v>؉</v>
      </c>
      <c r="Z29" s="56" t="str">
        <f>IF(Z30&lt;&gt;"",toUTF16(HEX2DEC(Z30)),"")</f>
        <v>ِ</v>
      </c>
      <c r="AA29" s="57" t="str">
        <f>IF(AA30&lt;&gt;"",toUTF16(HEX2DEC(AA30)),"")</f>
        <v>ؘ</v>
      </c>
      <c r="AB29" s="84" t="str">
        <f>IF(AB30&lt;&gt;"",toUTF16(HEX2DEC(AB30)),"")</f>
        <v>ٕ</v>
      </c>
      <c r="AC29" s="86" t="str">
        <f>IF(AC30&lt;&gt;"",toUTF16(HEX2DEC(AC30)),"")</f>
        <v>ٔ</v>
      </c>
      <c r="AD29" s="201"/>
      <c r="AE29" s="202"/>
      <c r="AF29" s="232"/>
      <c r="AG29" s="201"/>
      <c r="AH29" s="202"/>
      <c r="AI29" s="201"/>
      <c r="AJ29" s="202"/>
      <c r="AK29" s="201"/>
      <c r="AL29" s="202"/>
      <c r="AM29" s="232"/>
      <c r="AN29" s="201"/>
      <c r="AO29" s="221"/>
      <c r="AP29" s="56" t="str">
        <f>IF(AP30&lt;&gt;"",toUTF16(HEX2DEC(AP30)),"")</f>
        <v/>
      </c>
      <c r="AQ29" s="57" t="str">
        <f>IF(AQ30&lt;&gt;"",toUTF16(HEX2DEC(AQ30)),"")</f>
        <v/>
      </c>
      <c r="AR29" s="56" t="str">
        <f>IF(AR30&lt;&gt;"",toUTF16(HEX2DEC(AR30)),"")</f>
        <v/>
      </c>
      <c r="AS29" s="57" t="str">
        <f>IF(AS30&lt;&gt;"",toUTF16(HEX2DEC(AS30)),"")</f>
        <v/>
      </c>
      <c r="AT29" s="56" t="str">
        <f>IF(AT30&lt;&gt;"",toUTF16(HEX2DEC(AT30)),"")</f>
        <v/>
      </c>
      <c r="AU29" s="57" t="str">
        <f>IF(AU30&lt;&gt;"",toUTF16(HEX2DEC(AU30)),"")</f>
        <v/>
      </c>
      <c r="AV29" s="236"/>
    </row>
    <row r="30" spans="1:48" ht="15.75" thickBot="1">
      <c r="A30" s="246"/>
      <c r="B30" s="59" t="s">
        <v>635</v>
      </c>
      <c r="C30" s="60" t="s">
        <v>654</v>
      </c>
      <c r="D30" s="61" t="s">
        <v>516</v>
      </c>
      <c r="E30" s="62" t="s">
        <v>653</v>
      </c>
      <c r="F30" s="61" t="s">
        <v>497</v>
      </c>
      <c r="G30" s="62" t="s">
        <v>652</v>
      </c>
      <c r="H30" s="61" t="s">
        <v>487</v>
      </c>
      <c r="I30" s="62" t="s">
        <v>637</v>
      </c>
      <c r="J30" s="61" t="s">
        <v>494</v>
      </c>
      <c r="K30" s="62" t="s">
        <v>638</v>
      </c>
      <c r="L30" s="85" t="s">
        <v>464</v>
      </c>
      <c r="M30" s="67" t="s">
        <v>729</v>
      </c>
      <c r="N30" s="85" t="s">
        <v>465</v>
      </c>
      <c r="O30" s="67" t="s">
        <v>726</v>
      </c>
      <c r="P30" s="85" t="s">
        <v>466</v>
      </c>
      <c r="Q30" s="67" t="s">
        <v>829</v>
      </c>
      <c r="R30" s="85" t="s">
        <v>467</v>
      </c>
      <c r="S30" s="67" t="s">
        <v>735</v>
      </c>
      <c r="T30" s="61" t="s">
        <v>641</v>
      </c>
      <c r="U30" s="62" t="s">
        <v>647</v>
      </c>
      <c r="V30" s="61" t="s">
        <v>519</v>
      </c>
      <c r="W30" s="62" t="s">
        <v>648</v>
      </c>
      <c r="X30" s="61" t="s">
        <v>655</v>
      </c>
      <c r="Y30" s="62" t="s">
        <v>639</v>
      </c>
      <c r="Z30" s="61" t="s">
        <v>518</v>
      </c>
      <c r="AA30" s="62" t="s">
        <v>651</v>
      </c>
      <c r="AB30" s="85" t="s">
        <v>627</v>
      </c>
      <c r="AC30" s="87" t="s">
        <v>628</v>
      </c>
      <c r="AD30" s="203"/>
      <c r="AE30" s="204"/>
      <c r="AF30" s="232"/>
      <c r="AG30" s="203"/>
      <c r="AH30" s="204"/>
      <c r="AI30" s="203"/>
      <c r="AJ30" s="204"/>
      <c r="AK30" s="203"/>
      <c r="AL30" s="204"/>
      <c r="AM30" s="232"/>
      <c r="AN30" s="201"/>
      <c r="AO30" s="221"/>
      <c r="AP30" s="61"/>
      <c r="AQ30" s="62"/>
      <c r="AR30" s="61"/>
      <c r="AS30" s="62"/>
      <c r="AT30" s="61"/>
      <c r="AU30" s="62"/>
      <c r="AV30" s="236"/>
    </row>
    <row r="31" spans="1:48" ht="15.75">
      <c r="A31" s="246"/>
      <c r="B31" s="199" t="s">
        <v>440</v>
      </c>
      <c r="C31" s="220"/>
      <c r="D31" s="221"/>
      <c r="E31" s="205" t="s">
        <v>290</v>
      </c>
      <c r="F31" s="207"/>
      <c r="G31" s="205" t="s">
        <v>288</v>
      </c>
      <c r="H31" s="207"/>
      <c r="I31" s="205" t="s">
        <v>305</v>
      </c>
      <c r="J31" s="207"/>
      <c r="K31" s="205" t="s">
        <v>280</v>
      </c>
      <c r="L31" s="207"/>
      <c r="M31" s="205" t="s">
        <v>277</v>
      </c>
      <c r="N31" s="207"/>
      <c r="O31" s="205" t="s">
        <v>281</v>
      </c>
      <c r="P31" s="207"/>
      <c r="Q31" s="205" t="s">
        <v>306</v>
      </c>
      <c r="R31" s="207"/>
      <c r="S31" s="205" t="s">
        <v>296</v>
      </c>
      <c r="T31" s="207"/>
      <c r="U31" s="205" t="s">
        <v>297</v>
      </c>
      <c r="V31" s="207"/>
      <c r="W31" s="205" t="s">
        <v>295</v>
      </c>
      <c r="X31" s="207"/>
      <c r="Y31" s="205" t="s">
        <v>441</v>
      </c>
      <c r="Z31" s="207"/>
      <c r="AA31" s="205" t="s">
        <v>442</v>
      </c>
      <c r="AB31" s="206"/>
      <c r="AC31" s="199" t="s">
        <v>443</v>
      </c>
      <c r="AD31" s="220"/>
      <c r="AE31" s="200"/>
      <c r="AF31" s="232"/>
      <c r="AG31" s="199" t="s">
        <v>444</v>
      </c>
      <c r="AH31" s="200"/>
      <c r="AI31" s="199" t="s">
        <v>445</v>
      </c>
      <c r="AJ31" s="200"/>
      <c r="AK31" s="199" t="s">
        <v>446</v>
      </c>
      <c r="AL31" s="200"/>
      <c r="AM31" s="232"/>
      <c r="AN31" s="205">
        <v>7</v>
      </c>
      <c r="AO31" s="207"/>
      <c r="AP31" s="205">
        <v>8</v>
      </c>
      <c r="AQ31" s="207"/>
      <c r="AR31" s="205">
        <v>9</v>
      </c>
      <c r="AS31" s="207"/>
      <c r="AT31" s="205" t="s">
        <v>300</v>
      </c>
      <c r="AU31" s="207"/>
      <c r="AV31" s="236"/>
    </row>
    <row r="32" spans="1:48" ht="26.25">
      <c r="A32" s="246"/>
      <c r="B32" s="201"/>
      <c r="C32" s="221"/>
      <c r="D32" s="221"/>
      <c r="E32" s="56" t="str">
        <f>IF(E33&lt;&gt;"",toUTF16(HEX2DEC(E33)),"")</f>
        <v>\</v>
      </c>
      <c r="F32" s="57" t="str">
        <f>IF(F33&lt;&gt;"",toUTF16(HEX2DEC(F33)),"")</f>
        <v>ٯ</v>
      </c>
      <c r="G32" s="56" t="str">
        <f>IF(G33&lt;&gt;"",toUTF16(HEX2DEC(G33)),"")</f>
        <v>|</v>
      </c>
      <c r="H32" s="57" t="str">
        <f>IF(H33&lt;&gt;"",toUTF16(HEX2DEC(H33)),"")</f>
        <v>ۏ</v>
      </c>
      <c r="I32" s="56" t="str">
        <f>IF(I33&lt;&gt;"",toUTF16(HEX2DEC(I33)),"")</f>
        <v>€</v>
      </c>
      <c r="J32" s="57" t="str">
        <f>IF(J33&lt;&gt;"",toUTF16(HEX2DEC(J33)),"")</f>
        <v>ڑ</v>
      </c>
      <c r="K32" s="56" t="str">
        <f>IF(K33&lt;&gt;"",toUTF16(HEX2DEC(K33)),"")</f>
        <v>ٿ</v>
      </c>
      <c r="L32" s="57" t="str">
        <f>IF(L33&lt;&gt;"",toUTF16(HEX2DEC(L33)),"")</f>
        <v>ٹ</v>
      </c>
      <c r="M32" s="56" t="str">
        <f>IF(M33&lt;&gt;"",toUTF16(HEX2DEC(M33)),"")</f>
        <v>ة</v>
      </c>
      <c r="N32" s="57" t="str">
        <f>IF(N33&lt;&gt;"",toUTF16(HEX2DEC(N33)),"")</f>
        <v>ٺ</v>
      </c>
      <c r="O32" s="56" t="str">
        <f>IF(O33&lt;&gt;"",toUTF16(HEX2DEC(O33)),"")</f>
        <v>ؗ</v>
      </c>
      <c r="P32" s="57" t="str">
        <f>IF(P33&lt;&gt;"",toUTF16(HEX2DEC(P33)),"")</f>
        <v/>
      </c>
      <c r="Q32" s="56" t="str">
        <f>IF(Q33&lt;&gt;"",toUTF16(HEX2DEC(Q33)),"")</f>
        <v/>
      </c>
      <c r="R32" s="57" t="str">
        <f>IF(R33&lt;&gt;"",toUTF16(HEX2DEC(R33)),"")</f>
        <v/>
      </c>
      <c r="S32" s="56" t="str">
        <f>IF(S33&lt;&gt;"",toUTF16(HEX2DEC(S33)),"")</f>
        <v>آ</v>
      </c>
      <c r="T32" s="57" t="str">
        <f>IF(T33&lt;&gt;"",toUTF16(HEX2DEC(T33)),"")</f>
        <v>ٱ</v>
      </c>
      <c r="U32" s="56" t="str">
        <f>IF(U33&lt;&gt;"",toUTF16(HEX2DEC(U33)),"")</f>
        <v/>
      </c>
      <c r="V32" s="57" t="str">
        <f>IF(V33&lt;&gt;"",toUTF16(HEX2DEC(V33)),"")</f>
        <v/>
      </c>
      <c r="W32" s="56" t="str">
        <f>IF(W33&lt;&gt;"",toUTF16(HEX2DEC(W33)),"")</f>
        <v/>
      </c>
      <c r="X32" s="57" t="str">
        <f>IF(X33&lt;&gt;"",toUTF16(HEX2DEC(X33)),"")</f>
        <v/>
      </c>
      <c r="Y32" s="56" t="str">
        <f>IF(Y33&lt;&gt;"",toUTF16(HEX2DEC(Y33)),"")</f>
        <v>÷</v>
      </c>
      <c r="Z32" s="57" t="str">
        <f>IF(Z33&lt;&gt;"",toUTF16(HEX2DEC(Z33)),"")</f>
        <v>؊</v>
      </c>
      <c r="AA32" s="56" t="str">
        <f>IF(AA33&lt;&gt;"",toUTF16(HEX2DEC(AA33)),"")</f>
        <v>×</v>
      </c>
      <c r="AB32" s="63" t="str">
        <f>IF(AB33&lt;&gt;"",toUTF16(HEX2DEC(AB33)),"")</f>
        <v>٭</v>
      </c>
      <c r="AC32" s="201"/>
      <c r="AD32" s="221"/>
      <c r="AE32" s="202"/>
      <c r="AF32" s="232"/>
      <c r="AG32" s="201"/>
      <c r="AH32" s="202"/>
      <c r="AI32" s="201"/>
      <c r="AJ32" s="202"/>
      <c r="AK32" s="201"/>
      <c r="AL32" s="202"/>
      <c r="AM32" s="232"/>
      <c r="AN32" s="56" t="str">
        <f>IF(AN33&lt;&gt;"",toUTF16(HEX2DEC(AN33)),"")</f>
        <v/>
      </c>
      <c r="AO32" s="57" t="str">
        <f>IF(AO33&lt;&gt;"",toUTF16(HEX2DEC(AO33)),"")</f>
        <v/>
      </c>
      <c r="AP32" s="56" t="str">
        <f>IF(AP33&lt;&gt;"",toUTF16(HEX2DEC(AP33)),"")</f>
        <v/>
      </c>
      <c r="AQ32" s="57" t="str">
        <f>IF(AQ33&lt;&gt;"",toUTF16(HEX2DEC(AQ33)),"")</f>
        <v/>
      </c>
      <c r="AR32" s="56" t="str">
        <f>IF(AR33&lt;&gt;"",toUTF16(HEX2DEC(AR33)),"")</f>
        <v/>
      </c>
      <c r="AS32" s="57" t="str">
        <f>IF(AS33&lt;&gt;"",toUTF16(HEX2DEC(AS33)),"")</f>
        <v/>
      </c>
      <c r="AT32" s="227"/>
      <c r="AU32" s="224"/>
      <c r="AV32" s="236"/>
    </row>
    <row r="33" spans="1:48" ht="15.75" thickBot="1">
      <c r="A33" s="246"/>
      <c r="B33" s="203"/>
      <c r="C33" s="222"/>
      <c r="D33" s="222"/>
      <c r="E33" s="61" t="s">
        <v>507</v>
      </c>
      <c r="F33" s="62" t="s">
        <v>659</v>
      </c>
      <c r="G33" s="61" t="s">
        <v>515</v>
      </c>
      <c r="H33" s="62" t="s">
        <v>667</v>
      </c>
      <c r="I33" s="61" t="s">
        <v>610</v>
      </c>
      <c r="J33" s="67" t="s">
        <v>744</v>
      </c>
      <c r="K33" s="65" t="s">
        <v>704</v>
      </c>
      <c r="L33" s="67" t="s">
        <v>708</v>
      </c>
      <c r="M33" s="61" t="s">
        <v>480</v>
      </c>
      <c r="N33" s="67" t="s">
        <v>702</v>
      </c>
      <c r="O33" s="61" t="s">
        <v>650</v>
      </c>
      <c r="P33" s="62"/>
      <c r="Q33" s="61"/>
      <c r="R33" s="62"/>
      <c r="S33" s="61" t="s">
        <v>521</v>
      </c>
      <c r="T33" s="62" t="s">
        <v>660</v>
      </c>
      <c r="U33" s="61"/>
      <c r="V33" s="62"/>
      <c r="W33" s="61"/>
      <c r="X33" s="62"/>
      <c r="Y33" s="61" t="s">
        <v>502</v>
      </c>
      <c r="Z33" s="62" t="s">
        <v>640</v>
      </c>
      <c r="AA33" s="61" t="s">
        <v>503</v>
      </c>
      <c r="AB33" s="64" t="s">
        <v>657</v>
      </c>
      <c r="AC33" s="201"/>
      <c r="AD33" s="221"/>
      <c r="AE33" s="202"/>
      <c r="AF33" s="232"/>
      <c r="AG33" s="203"/>
      <c r="AH33" s="204"/>
      <c r="AI33" s="203"/>
      <c r="AJ33" s="204"/>
      <c r="AK33" s="203"/>
      <c r="AL33" s="204"/>
      <c r="AM33" s="232"/>
      <c r="AN33" s="61"/>
      <c r="AO33" s="62"/>
      <c r="AP33" s="61"/>
      <c r="AQ33" s="62"/>
      <c r="AR33" s="61"/>
      <c r="AS33" s="62"/>
      <c r="AT33" s="227"/>
      <c r="AU33" s="224"/>
      <c r="AV33" s="236"/>
    </row>
    <row r="34" spans="1:48" ht="15.75">
      <c r="A34" s="246"/>
      <c r="B34" s="199" t="s">
        <v>320</v>
      </c>
      <c r="C34" s="220"/>
      <c r="D34" s="220"/>
      <c r="E34" s="202"/>
      <c r="F34" s="205" t="s">
        <v>292</v>
      </c>
      <c r="G34" s="207"/>
      <c r="H34" s="205" t="s">
        <v>282</v>
      </c>
      <c r="I34" s="207"/>
      <c r="J34" s="205" t="s">
        <v>279</v>
      </c>
      <c r="K34" s="206"/>
      <c r="L34" s="205" t="s">
        <v>283</v>
      </c>
      <c r="M34" s="207"/>
      <c r="N34" s="205" t="s">
        <v>293</v>
      </c>
      <c r="O34" s="207"/>
      <c r="P34" s="205" t="s">
        <v>287</v>
      </c>
      <c r="Q34" s="207"/>
      <c r="R34" s="205" t="s">
        <v>289</v>
      </c>
      <c r="S34" s="207"/>
      <c r="T34" s="205" t="s">
        <v>284</v>
      </c>
      <c r="U34" s="207"/>
      <c r="V34" s="205" t="s">
        <v>285</v>
      </c>
      <c r="W34" s="207"/>
      <c r="X34" s="205" t="s">
        <v>447</v>
      </c>
      <c r="Y34" s="207"/>
      <c r="Z34" s="205" t="s">
        <v>448</v>
      </c>
      <c r="AA34" s="207"/>
      <c r="AB34" s="228"/>
      <c r="AC34" s="221"/>
      <c r="AD34" s="221"/>
      <c r="AE34" s="202"/>
      <c r="AF34" s="227"/>
      <c r="AG34" s="206"/>
      <c r="AH34" s="206"/>
      <c r="AI34" s="206"/>
      <c r="AJ34" s="206"/>
      <c r="AK34" s="206"/>
      <c r="AL34" s="206"/>
      <c r="AM34" s="224"/>
      <c r="AN34" s="205">
        <v>4</v>
      </c>
      <c r="AO34" s="207"/>
      <c r="AP34" s="205">
        <v>5</v>
      </c>
      <c r="AQ34" s="207"/>
      <c r="AR34" s="205">
        <v>6</v>
      </c>
      <c r="AS34" s="207"/>
      <c r="AT34" s="227" t="str">
        <f>IF(AT36&lt;&gt;"",toUTF16(HEX2DEC(AT36)),"")</f>
        <v/>
      </c>
      <c r="AU34" s="224" t="str">
        <f>IF(AU36&lt;&gt;"",toUTF16(HEX2DEC(AU36)),"")</f>
        <v/>
      </c>
      <c r="AV34" s="236"/>
    </row>
    <row r="35" spans="1:48" ht="26.25">
      <c r="A35" s="246"/>
      <c r="B35" s="201"/>
      <c r="C35" s="221"/>
      <c r="D35" s="221"/>
      <c r="E35" s="202"/>
      <c r="F35" s="56" t="str">
        <f>IF(F36&lt;&gt;"",toUTF16(HEX2DEC(F36)),"")</f>
        <v>إ</v>
      </c>
      <c r="G35" s="57" t="str">
        <f>IF(G36&lt;&gt;"",toUTF16(HEX2DEC(G36)),"")</f>
        <v>أ</v>
      </c>
      <c r="H35" s="56" t="str">
        <f>IF(H36&lt;&gt;"",toUTF16(HEX2DEC(H36)),"")</f>
        <v>ڜ</v>
      </c>
      <c r="I35" s="57" t="str">
        <f>IF(I36&lt;&gt;"",toUTF16(HEX2DEC(I36)),"")</f>
        <v/>
      </c>
      <c r="J35" s="56" t="str">
        <f>IF(J36&lt;&gt;"",toUTF16(HEX2DEC(J36)),"")</f>
        <v>ذ</v>
      </c>
      <c r="K35" s="63" t="str">
        <f>IF(K36&lt;&gt;"",toUTF16(HEX2DEC(K36)),"")</f>
        <v>ڄ</v>
      </c>
      <c r="L35" s="56" t="str">
        <f>IF(L36&lt;&gt;"",toUTF16(HEX2DEC(L36)),"")</f>
        <v>ڢ</v>
      </c>
      <c r="M35" s="57" t="str">
        <f>IF(M36&lt;&gt;"",toUTF16(HEX2DEC(M36)),"")</f>
        <v>ڣ</v>
      </c>
      <c r="N35" s="56" t="str">
        <f>IF(N36&lt;&gt;"",toUTF16(HEX2DEC(N36)),"")</f>
        <v>ہ</v>
      </c>
      <c r="O35" s="57" t="str">
        <f>IF(O36&lt;&gt;"",toUTF16(HEX2DEC(O36)),"")</f>
        <v>ڱ</v>
      </c>
      <c r="P35" s="56" t="str">
        <f>IF(P36&lt;&gt;"",toUTF16(HEX2DEC(P36)),"")</f>
        <v>ھ</v>
      </c>
      <c r="Q35" s="57" t="str">
        <f>IF(Q36&lt;&gt;"",toUTF16(HEX2DEC(Q36)),"")</f>
        <v>ۀ</v>
      </c>
      <c r="R35" s="56" t="str">
        <f>IF(R36&lt;&gt;"",toUTF16(HEX2DEC(R36)),"")</f>
        <v>ژ</v>
      </c>
      <c r="S35" s="57" t="str">
        <f>IF(S36&lt;&gt;"",toUTF16(HEX2DEC(S36)),"")</f>
        <v/>
      </c>
      <c r="T35" s="56" t="str">
        <f>IF(T36&lt;&gt;"",toUTF16(HEX2DEC(T36)),"")</f>
        <v/>
      </c>
      <c r="U35" s="57" t="str">
        <f>IF(U36&lt;&gt;"",toUTF16(HEX2DEC(U36)),"")</f>
        <v/>
      </c>
      <c r="V35" s="56" t="str">
        <f>IF(V36&lt;&gt;"",toUTF16sequence(V36),"")</f>
        <v>لإ</v>
      </c>
      <c r="W35" s="57" t="str">
        <f>IF(W36&lt;&gt;"",toUTF16sequence(W36),"")</f>
        <v>لأ</v>
      </c>
      <c r="X35" s="56" t="str">
        <f>IF(X36&lt;&gt;"",toUTF16(HEX2DEC(X36)),"")</f>
        <v>$</v>
      </c>
      <c r="Y35" s="57" t="str">
        <f>IF(Y36&lt;&gt;"",toUTF16(HEX2DEC(Y36)),"")</f>
        <v>۽</v>
      </c>
      <c r="Z35" s="56" t="str">
        <f>IF(Z36&lt;&gt;"",toUTF16(HEX2DEC(Z36)),"")</f>
        <v>۩</v>
      </c>
      <c r="AA35" s="57" t="str">
        <f>IF(AA36&lt;&gt;"",toUTF16(HEX2DEC(AA36)),"")</f>
        <v>؎</v>
      </c>
      <c r="AB35" s="229"/>
      <c r="AC35" s="221"/>
      <c r="AD35" s="221"/>
      <c r="AE35" s="202"/>
      <c r="AF35" s="227"/>
      <c r="AG35" s="223"/>
      <c r="AH35" s="223"/>
      <c r="AI35" s="223"/>
      <c r="AJ35" s="223"/>
      <c r="AK35" s="223"/>
      <c r="AL35" s="223"/>
      <c r="AM35" s="224"/>
      <c r="AN35" s="56" t="str">
        <f>IF(AN36&lt;&gt;"",toUTF16(HEX2DEC(AN36)),"")</f>
        <v/>
      </c>
      <c r="AO35" s="57" t="str">
        <f>IF(AO36&lt;&gt;"",toUTF16(HEX2DEC(AO36)),"")</f>
        <v/>
      </c>
      <c r="AP35" s="56" t="str">
        <f>IF(AP36&lt;&gt;"",toUTF16(HEX2DEC(AP36)),"")</f>
        <v/>
      </c>
      <c r="AQ35" s="57" t="str">
        <f>IF(AQ36&lt;&gt;"",toUTF16(HEX2DEC(AQ36)),"")</f>
        <v/>
      </c>
      <c r="AR35" s="56" t="str">
        <f>IF(AR36&lt;&gt;"",toUTF16(HEX2DEC(AR36)),"")</f>
        <v/>
      </c>
      <c r="AS35" s="57" t="str">
        <f>IF(AS36&lt;&gt;"",toUTF16(HEX2DEC(AS36)),"")</f>
        <v/>
      </c>
      <c r="AT35" s="227" t="str">
        <f>IF(AT36&lt;&gt;"",toUTF16(HEX2DEC(AT36)),"")</f>
        <v/>
      </c>
      <c r="AU35" s="224" t="str">
        <f>IF(AU36&lt;&gt;"",toUTF16(HEX2DEC(AU36)),"")</f>
        <v/>
      </c>
      <c r="AV35" s="236"/>
    </row>
    <row r="36" spans="1:48" ht="15.75" thickBot="1">
      <c r="A36" s="246"/>
      <c r="B36" s="203"/>
      <c r="C36" s="222"/>
      <c r="D36" s="222"/>
      <c r="E36" s="204"/>
      <c r="F36" s="61" t="s">
        <v>500</v>
      </c>
      <c r="G36" s="62" t="s">
        <v>404</v>
      </c>
      <c r="H36" s="61" t="s">
        <v>661</v>
      </c>
      <c r="I36" s="62"/>
      <c r="J36" s="61" t="s">
        <v>159</v>
      </c>
      <c r="K36" s="66" t="s">
        <v>717</v>
      </c>
      <c r="L36" s="61" t="s">
        <v>662</v>
      </c>
      <c r="M36" s="62" t="s">
        <v>664</v>
      </c>
      <c r="N36" s="65" t="s">
        <v>768</v>
      </c>
      <c r="O36" s="67" t="s">
        <v>756</v>
      </c>
      <c r="P36" s="65" t="s">
        <v>771</v>
      </c>
      <c r="Q36" s="67" t="s">
        <v>765</v>
      </c>
      <c r="R36" s="65" t="s">
        <v>741</v>
      </c>
      <c r="S36" s="62"/>
      <c r="T36" s="61"/>
      <c r="U36" s="62"/>
      <c r="V36" s="61" t="s">
        <v>499</v>
      </c>
      <c r="W36" s="62" t="s">
        <v>510</v>
      </c>
      <c r="X36" s="61" t="s">
        <v>485</v>
      </c>
      <c r="Y36" s="67" t="s">
        <v>682</v>
      </c>
      <c r="Z36" s="61" t="s">
        <v>669</v>
      </c>
      <c r="AA36" s="67" t="s">
        <v>831</v>
      </c>
      <c r="AB36" s="230"/>
      <c r="AC36" s="222"/>
      <c r="AD36" s="222"/>
      <c r="AE36" s="204"/>
      <c r="AF36" s="227"/>
      <c r="AG36" s="223"/>
      <c r="AH36" s="223"/>
      <c r="AI36" s="223"/>
      <c r="AJ36" s="223"/>
      <c r="AK36" s="223"/>
      <c r="AL36" s="223"/>
      <c r="AM36" s="224"/>
      <c r="AN36" s="61"/>
      <c r="AO36" s="62"/>
      <c r="AP36" s="61"/>
      <c r="AQ36" s="62"/>
      <c r="AR36" s="61"/>
      <c r="AS36" s="62"/>
      <c r="AT36" s="61"/>
      <c r="AU36" s="62"/>
      <c r="AV36" s="236"/>
    </row>
    <row r="37" spans="1:48" ht="15.75">
      <c r="A37" s="246"/>
      <c r="B37" s="199" t="s">
        <v>449</v>
      </c>
      <c r="C37" s="220"/>
      <c r="D37" s="220"/>
      <c r="E37" s="205" t="s">
        <v>476</v>
      </c>
      <c r="F37" s="207"/>
      <c r="G37" s="205" t="s">
        <v>335</v>
      </c>
      <c r="H37" s="207"/>
      <c r="I37" s="205" t="s">
        <v>278</v>
      </c>
      <c r="J37" s="207"/>
      <c r="K37" s="205" t="s">
        <v>294</v>
      </c>
      <c r="L37" s="207"/>
      <c r="M37" s="205" t="s">
        <v>336</v>
      </c>
      <c r="N37" s="207"/>
      <c r="O37" s="205" t="s">
        <v>276</v>
      </c>
      <c r="P37" s="207"/>
      <c r="Q37" s="205" t="s">
        <v>286</v>
      </c>
      <c r="R37" s="207"/>
      <c r="S37" s="205" t="s">
        <v>275</v>
      </c>
      <c r="T37" s="207"/>
      <c r="U37" s="205" t="s">
        <v>450</v>
      </c>
      <c r="V37" s="207"/>
      <c r="W37" s="205" t="s">
        <v>451</v>
      </c>
      <c r="X37" s="207"/>
      <c r="Y37" s="205" t="s">
        <v>452</v>
      </c>
      <c r="Z37" s="207"/>
      <c r="AA37" s="199" t="s">
        <v>453</v>
      </c>
      <c r="AB37" s="220"/>
      <c r="AC37" s="220"/>
      <c r="AD37" s="220"/>
      <c r="AE37" s="200"/>
      <c r="AF37" s="227"/>
      <c r="AG37" s="223"/>
      <c r="AH37" s="224"/>
      <c r="AI37" s="199" t="s">
        <v>353</v>
      </c>
      <c r="AJ37" s="200"/>
      <c r="AK37" s="227"/>
      <c r="AL37" s="223"/>
      <c r="AM37" s="224"/>
      <c r="AN37" s="205">
        <v>1</v>
      </c>
      <c r="AO37" s="207"/>
      <c r="AP37" s="205">
        <v>2</v>
      </c>
      <c r="AQ37" s="207"/>
      <c r="AR37" s="205">
        <v>3</v>
      </c>
      <c r="AS37" s="207"/>
      <c r="AT37" s="214" t="s">
        <v>454</v>
      </c>
      <c r="AU37" s="215"/>
      <c r="AV37" s="236"/>
    </row>
    <row r="38" spans="1:48" ht="26.25">
      <c r="A38" s="246"/>
      <c r="B38" s="201"/>
      <c r="C38" s="221"/>
      <c r="D38" s="221"/>
      <c r="E38" s="56" t="str">
        <f>IF(E39&lt;&gt;"",toUTF16(HEX2DEC(E39)),"")</f>
        <v>؏</v>
      </c>
      <c r="F38" s="57" t="str">
        <f>IF(F39&lt;&gt;"",toUTF16(HEX2DEC(F39)),"")</f>
        <v>؈</v>
      </c>
      <c r="G38" s="56" t="str">
        <f>IF(G39&lt;&gt;"",toUTF16(HEX2DEC(G39)),"")</f>
        <v>ے</v>
      </c>
      <c r="H38" s="57" t="str">
        <f>IF(H39&lt;&gt;"",toUTF16(HEX2DEC(H39)),"")</f>
        <v>ی</v>
      </c>
      <c r="I38" s="56" t="str">
        <f>IF(I39&lt;&gt;"",toUTF16(HEX2DEC(I39)),"")</f>
        <v>#</v>
      </c>
      <c r="J38" s="57" t="str">
        <f>IF(J39&lt;&gt;"",toUTF16(HEX2DEC(J39)),"")</f>
        <v>ۓ</v>
      </c>
      <c r="K38" s="56" t="str">
        <f>IF(K39&lt;&gt;"",toUTF16(HEX2DEC(K39)),"")</f>
        <v>چ</v>
      </c>
      <c r="L38" s="57" t="str">
        <f>IF(L39&lt;&gt;"",toUTF16(HEX2DEC(L39)),"")</f>
        <v>ڇ</v>
      </c>
      <c r="M38" s="56" t="str">
        <f>IF(M39&lt;&gt;"",toUTF16(HEX2DEC(M39)),"")</f>
        <v>@</v>
      </c>
      <c r="N38" s="57" t="str">
        <f>IF(N39&lt;&gt;"",toUTF16(HEX2DEC(N39)),"")</f>
        <v>﷼</v>
      </c>
      <c r="O38" s="56" t="str">
        <f>IF(O39&lt;&gt;"",toUTF16(HEX2DEC(O39)),"")</f>
        <v>ڀ</v>
      </c>
      <c r="P38" s="57" t="str">
        <f>IF(P39&lt;&gt;"",toUTF16(HEX2DEC(P39)),"")</f>
        <v>ٮ</v>
      </c>
      <c r="Q38" s="56" t="str">
        <f>IF(Q39&lt;&gt;"",toUTF16(HEX2DEC(Q39)),"")</f>
        <v>ں</v>
      </c>
      <c r="R38" s="57" t="str">
        <f>IF(R39&lt;&gt;"",toUTF16(HEX2DEC(R39)),"")</f>
        <v>ڻ</v>
      </c>
      <c r="S38" s="56" t="str">
        <f>IF(S39&lt;&gt;"",toUTF16(HEX2DEC(S39)),"")</f>
        <v/>
      </c>
      <c r="T38" s="57" t="str">
        <f>IF(T39&lt;&gt;"",toUTF16(HEX2DEC(T39)),"")</f>
        <v>﷽</v>
      </c>
      <c r="U38" s="56" t="str">
        <f>IF(U39&lt;&gt;"",toUTF16(HEX2DEC(U39)),"")</f>
        <v>&lt;</v>
      </c>
      <c r="V38" s="57" t="str">
        <f>IF(V39&lt;&gt;"",toUTF16(HEX2DEC(V39)),"")</f>
        <v>,</v>
      </c>
      <c r="W38" s="56" t="str">
        <f>IF(W39&lt;&gt;"",toUTF16(HEX2DEC(W39)),"")</f>
        <v>&gt;</v>
      </c>
      <c r="X38" s="57" t="str">
        <f>IF(X39&lt;&gt;"",toUTF16(HEX2DEC(X39)),"")</f>
        <v>٬</v>
      </c>
      <c r="Y38" s="56" t="str">
        <f>IF(Y39&lt;&gt;"",toUTF16(HEX2DEC(Y39)),"")</f>
        <v>*</v>
      </c>
      <c r="Z38" s="57" t="str">
        <f>IF(Z39&lt;&gt;"",toUTF16(HEX2DEC(Z39)),"")</f>
        <v>_</v>
      </c>
      <c r="AA38" s="201"/>
      <c r="AB38" s="221"/>
      <c r="AC38" s="221"/>
      <c r="AD38" s="221"/>
      <c r="AE38" s="202"/>
      <c r="AF38" s="227"/>
      <c r="AG38" s="223"/>
      <c r="AH38" s="224"/>
      <c r="AI38" s="201"/>
      <c r="AJ38" s="202"/>
      <c r="AK38" s="227"/>
      <c r="AL38" s="223"/>
      <c r="AM38" s="224"/>
      <c r="AN38" s="56" t="str">
        <f>IF(AN39&lt;&gt;"",toUTF16(HEX2DEC(AN39)),"")</f>
        <v/>
      </c>
      <c r="AO38" s="57" t="str">
        <f>IF(AO39&lt;&gt;"",toUTF16(AO39),"")</f>
        <v/>
      </c>
      <c r="AP38" s="56" t="str">
        <f>IF(AP39&lt;&gt;"",toUTF16(HEX2DEC(AP39)),"")</f>
        <v/>
      </c>
      <c r="AQ38" s="57" t="str">
        <f>IF(AQ39&lt;&gt;"",toUTF16(AQ39),"")</f>
        <v/>
      </c>
      <c r="AR38" s="56" t="str">
        <f>IF(AR39&lt;&gt;"",toUTF16(HEX2DEC(AR39)),"")</f>
        <v/>
      </c>
      <c r="AS38" s="57" t="str">
        <f>IF(AS39&lt;&gt;"",toUTF16(AS39),"")</f>
        <v/>
      </c>
      <c r="AT38" s="216"/>
      <c r="AU38" s="217"/>
      <c r="AV38" s="236"/>
    </row>
    <row r="39" spans="1:48" ht="15.75" thickBot="1">
      <c r="A39" s="246"/>
      <c r="B39" s="203"/>
      <c r="C39" s="222"/>
      <c r="D39" s="222"/>
      <c r="E39" s="65" t="s">
        <v>832</v>
      </c>
      <c r="F39" s="67" t="s">
        <v>830</v>
      </c>
      <c r="G39" s="61" t="s">
        <v>665</v>
      </c>
      <c r="H39" s="67" t="s">
        <v>802</v>
      </c>
      <c r="I39" s="61" t="s">
        <v>484</v>
      </c>
      <c r="J39" s="67" t="s">
        <v>776</v>
      </c>
      <c r="K39" s="65" t="s">
        <v>723</v>
      </c>
      <c r="L39" s="67" t="s">
        <v>726</v>
      </c>
      <c r="M39" s="61" t="s">
        <v>483</v>
      </c>
      <c r="N39" s="67" t="s">
        <v>836</v>
      </c>
      <c r="O39" s="65" t="s">
        <v>699</v>
      </c>
      <c r="P39" s="62" t="s">
        <v>658</v>
      </c>
      <c r="Q39" s="65" t="s">
        <v>759</v>
      </c>
      <c r="R39" s="67" t="s">
        <v>762</v>
      </c>
      <c r="S39" s="61"/>
      <c r="T39" s="67" t="s">
        <v>837</v>
      </c>
      <c r="U39" s="61" t="s">
        <v>481</v>
      </c>
      <c r="V39" s="62" t="s">
        <v>523</v>
      </c>
      <c r="W39" s="61" t="s">
        <v>463</v>
      </c>
      <c r="X39" s="62" t="s">
        <v>656</v>
      </c>
      <c r="Y39" s="61" t="s">
        <v>489</v>
      </c>
      <c r="Z39" s="62" t="s">
        <v>492</v>
      </c>
      <c r="AA39" s="203"/>
      <c r="AB39" s="222"/>
      <c r="AC39" s="222"/>
      <c r="AD39" s="222"/>
      <c r="AE39" s="204"/>
      <c r="AF39" s="227"/>
      <c r="AG39" s="225"/>
      <c r="AH39" s="226"/>
      <c r="AI39" s="203"/>
      <c r="AJ39" s="204"/>
      <c r="AK39" s="231"/>
      <c r="AL39" s="225"/>
      <c r="AM39" s="224"/>
      <c r="AN39" s="61"/>
      <c r="AO39" s="62"/>
      <c r="AP39" s="61"/>
      <c r="AQ39" s="62"/>
      <c r="AR39" s="61"/>
      <c r="AS39" s="62"/>
      <c r="AT39" s="216"/>
      <c r="AU39" s="217"/>
      <c r="AV39" s="236"/>
    </row>
    <row r="40" spans="1:48" ht="15.75">
      <c r="A40" s="246"/>
      <c r="B40" s="199" t="s">
        <v>455</v>
      </c>
      <c r="C40" s="220"/>
      <c r="D40" s="200"/>
      <c r="E40" s="199" t="s">
        <v>456</v>
      </c>
      <c r="F40" s="220"/>
      <c r="G40" s="200"/>
      <c r="H40" s="199" t="s">
        <v>350</v>
      </c>
      <c r="I40" s="220"/>
      <c r="J40" s="200"/>
      <c r="K40" s="199" t="s">
        <v>457</v>
      </c>
      <c r="L40" s="220"/>
      <c r="M40" s="220"/>
      <c r="N40" s="220"/>
      <c r="O40" s="220"/>
      <c r="P40" s="220"/>
      <c r="Q40" s="220"/>
      <c r="R40" s="220"/>
      <c r="S40" s="220"/>
      <c r="T40" s="200"/>
      <c r="U40" s="199" t="s">
        <v>458</v>
      </c>
      <c r="V40" s="220"/>
      <c r="W40" s="200"/>
      <c r="X40" s="199" t="s">
        <v>459</v>
      </c>
      <c r="Y40" s="220"/>
      <c r="Z40" s="200"/>
      <c r="AA40" s="199" t="s">
        <v>460</v>
      </c>
      <c r="AB40" s="200"/>
      <c r="AC40" s="199" t="s">
        <v>461</v>
      </c>
      <c r="AD40" s="220"/>
      <c r="AE40" s="200"/>
      <c r="AF40" s="227"/>
      <c r="AG40" s="199" t="s">
        <v>354</v>
      </c>
      <c r="AH40" s="200"/>
      <c r="AI40" s="199" t="s">
        <v>355</v>
      </c>
      <c r="AJ40" s="200"/>
      <c r="AK40" s="199" t="s">
        <v>356</v>
      </c>
      <c r="AL40" s="200"/>
      <c r="AM40" s="224"/>
      <c r="AN40" s="205">
        <v>0</v>
      </c>
      <c r="AO40" s="206"/>
      <c r="AP40" s="206"/>
      <c r="AQ40" s="207"/>
      <c r="AR40" s="205" t="s">
        <v>338</v>
      </c>
      <c r="AS40" s="207"/>
      <c r="AT40" s="216"/>
      <c r="AU40" s="217"/>
      <c r="AV40" s="236"/>
    </row>
    <row r="41" spans="1:48" ht="26.25">
      <c r="A41" s="246"/>
      <c r="B41" s="201"/>
      <c r="C41" s="221"/>
      <c r="D41" s="202"/>
      <c r="E41" s="201"/>
      <c r="F41" s="221"/>
      <c r="G41" s="202"/>
      <c r="H41" s="201"/>
      <c r="I41" s="221"/>
      <c r="J41" s="202"/>
      <c r="K41" s="201"/>
      <c r="L41" s="221"/>
      <c r="M41" s="221"/>
      <c r="N41" s="221"/>
      <c r="O41" s="221"/>
      <c r="P41" s="221"/>
      <c r="Q41" s="221"/>
      <c r="R41" s="221"/>
      <c r="S41" s="221"/>
      <c r="T41" s="202"/>
      <c r="U41" s="201"/>
      <c r="V41" s="221"/>
      <c r="W41" s="202"/>
      <c r="X41" s="201"/>
      <c r="Y41" s="221"/>
      <c r="Z41" s="202"/>
      <c r="AA41" s="201"/>
      <c r="AB41" s="202"/>
      <c r="AC41" s="201"/>
      <c r="AD41" s="221"/>
      <c r="AE41" s="202"/>
      <c r="AF41" s="227"/>
      <c r="AG41" s="201"/>
      <c r="AH41" s="202"/>
      <c r="AI41" s="201"/>
      <c r="AJ41" s="202"/>
      <c r="AK41" s="201"/>
      <c r="AL41" s="202"/>
      <c r="AM41" s="224"/>
      <c r="AN41" s="208" t="str">
        <f>IF(AN42&lt;&gt;"",toUTF16(HEX2DEC(AN42)),"")</f>
        <v/>
      </c>
      <c r="AO41" s="209" t="str">
        <f>IF(AO42&lt;&gt;"",toUTF16(AO42),"")</f>
        <v/>
      </c>
      <c r="AP41" s="209" t="str">
        <f>IF(AP42&lt;&gt;"",toUTF16(HEX2DEC(AP42)),"")</f>
        <v/>
      </c>
      <c r="AQ41" s="210" t="str">
        <f>IF(AQ42&lt;&gt;"",toUTF16(AQ42),"")</f>
        <v/>
      </c>
      <c r="AR41" s="56" t="str">
        <f>IF(AR42&lt;&gt;"",toUTF16(HEX2DEC(AR42)),"")</f>
        <v>٫</v>
      </c>
      <c r="AS41" s="57" t="str">
        <f>IF(AS42&lt;&gt;"",toUTF16(HEX2DEC(AS42)),"")</f>
        <v>٬</v>
      </c>
      <c r="AT41" s="216"/>
      <c r="AU41" s="217"/>
      <c r="AV41" s="236"/>
    </row>
    <row r="42" spans="1:48" ht="15.75" thickBot="1">
      <c r="A42" s="246"/>
      <c r="B42" s="203"/>
      <c r="C42" s="222"/>
      <c r="D42" s="204"/>
      <c r="E42" s="203"/>
      <c r="F42" s="222"/>
      <c r="G42" s="204"/>
      <c r="H42" s="203"/>
      <c r="I42" s="222"/>
      <c r="J42" s="204"/>
      <c r="K42" s="203"/>
      <c r="L42" s="222"/>
      <c r="M42" s="222"/>
      <c r="N42" s="222"/>
      <c r="O42" s="222"/>
      <c r="P42" s="222"/>
      <c r="Q42" s="222"/>
      <c r="R42" s="222"/>
      <c r="S42" s="222"/>
      <c r="T42" s="204"/>
      <c r="U42" s="203"/>
      <c r="V42" s="222"/>
      <c r="W42" s="204"/>
      <c r="X42" s="203"/>
      <c r="Y42" s="222"/>
      <c r="Z42" s="204"/>
      <c r="AA42" s="203"/>
      <c r="AB42" s="204"/>
      <c r="AC42" s="203"/>
      <c r="AD42" s="222"/>
      <c r="AE42" s="204"/>
      <c r="AF42" s="227"/>
      <c r="AG42" s="203"/>
      <c r="AH42" s="204"/>
      <c r="AI42" s="203"/>
      <c r="AJ42" s="204"/>
      <c r="AK42" s="203"/>
      <c r="AL42" s="204"/>
      <c r="AM42" s="224"/>
      <c r="AN42" s="211"/>
      <c r="AO42" s="212"/>
      <c r="AP42" s="212"/>
      <c r="AQ42" s="213"/>
      <c r="AR42" s="61" t="s">
        <v>649</v>
      </c>
      <c r="AS42" s="62" t="s">
        <v>656</v>
      </c>
      <c r="AT42" s="218"/>
      <c r="AU42" s="219"/>
      <c r="AV42" s="236"/>
    </row>
    <row r="43" spans="1:48" ht="15.75" thickBot="1">
      <c r="A43" s="68"/>
      <c r="B43" s="111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  <c r="AH43" s="111"/>
      <c r="AI43" s="111"/>
      <c r="AJ43" s="111"/>
      <c r="AK43" s="111"/>
      <c r="AL43" s="111"/>
      <c r="AM43" s="111"/>
      <c r="AN43" s="111"/>
      <c r="AO43" s="111"/>
      <c r="AP43" s="111"/>
      <c r="AQ43" s="111"/>
      <c r="AR43" s="111"/>
      <c r="AS43" s="111"/>
      <c r="AT43" s="111"/>
      <c r="AU43" s="111"/>
      <c r="AV43" s="69"/>
    </row>
    <row r="44" spans="1:48" ht="16.5" thickTop="1" thickBot="1"/>
    <row r="45" spans="1:48" ht="16.5" thickTop="1" thickBot="1">
      <c r="A45" s="50"/>
      <c r="B45" s="110" t="s">
        <v>670</v>
      </c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10"/>
      <c r="AT45" s="110"/>
      <c r="AU45" s="110"/>
      <c r="AV45" s="51"/>
    </row>
    <row r="46" spans="1:48">
      <c r="A46" s="246"/>
      <c r="B46" s="199" t="s">
        <v>412</v>
      </c>
      <c r="C46" s="200"/>
      <c r="D46" s="239"/>
      <c r="E46" s="247"/>
      <c r="F46" s="241" t="s">
        <v>413</v>
      </c>
      <c r="G46" s="241"/>
      <c r="H46" s="241" t="s">
        <v>414</v>
      </c>
      <c r="I46" s="241"/>
      <c r="J46" s="241" t="s">
        <v>415</v>
      </c>
      <c r="K46" s="241"/>
      <c r="L46" s="241" t="s">
        <v>416</v>
      </c>
      <c r="M46" s="241"/>
      <c r="N46" s="240"/>
      <c r="O46" s="199" t="s">
        <v>417</v>
      </c>
      <c r="P46" s="220"/>
      <c r="Q46" s="220" t="s">
        <v>418</v>
      </c>
      <c r="R46" s="220"/>
      <c r="S46" s="220" t="s">
        <v>419</v>
      </c>
      <c r="T46" s="220"/>
      <c r="U46" s="220" t="s">
        <v>420</v>
      </c>
      <c r="V46" s="200"/>
      <c r="W46" s="240"/>
      <c r="X46" s="199" t="s">
        <v>421</v>
      </c>
      <c r="Y46" s="200"/>
      <c r="Z46" s="199" t="s">
        <v>422</v>
      </c>
      <c r="AA46" s="200"/>
      <c r="AB46" s="199" t="s">
        <v>423</v>
      </c>
      <c r="AC46" s="200"/>
      <c r="AD46" s="199" t="s">
        <v>424</v>
      </c>
      <c r="AE46" s="200"/>
      <c r="AF46" s="240"/>
      <c r="AG46" s="199" t="s">
        <v>425</v>
      </c>
      <c r="AH46" s="200"/>
      <c r="AI46" s="199" t="s">
        <v>426</v>
      </c>
      <c r="AJ46" s="200"/>
      <c r="AK46" s="199" t="s">
        <v>427</v>
      </c>
      <c r="AL46" s="200"/>
      <c r="AM46" s="239"/>
      <c r="AN46" s="124"/>
      <c r="AO46" s="124"/>
      <c r="AP46" s="124"/>
      <c r="AQ46" s="124"/>
      <c r="AR46" s="124"/>
      <c r="AS46" s="124"/>
      <c r="AT46" s="124"/>
      <c r="AU46" s="124"/>
      <c r="AV46" s="236"/>
    </row>
    <row r="47" spans="1:48" ht="26.25">
      <c r="A47" s="246"/>
      <c r="B47" s="201"/>
      <c r="C47" s="202"/>
      <c r="D47" s="239"/>
      <c r="E47" s="247"/>
      <c r="F47" s="242"/>
      <c r="G47" s="242"/>
      <c r="H47" s="242"/>
      <c r="I47" s="242"/>
      <c r="J47" s="242"/>
      <c r="K47" s="242"/>
      <c r="L47" s="242"/>
      <c r="M47" s="242"/>
      <c r="N47" s="240"/>
      <c r="O47" s="201"/>
      <c r="P47" s="221"/>
      <c r="Q47" s="221"/>
      <c r="R47" s="221"/>
      <c r="S47" s="221"/>
      <c r="T47" s="221"/>
      <c r="U47" s="221"/>
      <c r="V47" s="202"/>
      <c r="W47" s="240"/>
      <c r="X47" s="201"/>
      <c r="Y47" s="202"/>
      <c r="Z47" s="201"/>
      <c r="AA47" s="202"/>
      <c r="AB47" s="201"/>
      <c r="AC47" s="202"/>
      <c r="AD47" s="201"/>
      <c r="AE47" s="202"/>
      <c r="AF47" s="240"/>
      <c r="AG47" s="201"/>
      <c r="AH47" s="202"/>
      <c r="AI47" s="201"/>
      <c r="AJ47" s="202"/>
      <c r="AK47" s="201"/>
      <c r="AL47" s="202"/>
      <c r="AM47" s="239"/>
      <c r="AN47" s="124"/>
      <c r="AO47" s="124"/>
      <c r="AP47" s="237" t="s">
        <v>428</v>
      </c>
      <c r="AQ47" s="237"/>
      <c r="AR47" s="237" t="s">
        <v>428</v>
      </c>
      <c r="AS47" s="237"/>
      <c r="AT47" s="237" t="s">
        <v>428</v>
      </c>
      <c r="AU47" s="237"/>
      <c r="AV47" s="236"/>
    </row>
    <row r="48" spans="1:48" ht="15.75" thickBot="1">
      <c r="A48" s="246"/>
      <c r="B48" s="203"/>
      <c r="C48" s="204"/>
      <c r="D48" s="239"/>
      <c r="E48" s="247"/>
      <c r="F48" s="243"/>
      <c r="G48" s="243"/>
      <c r="H48" s="243"/>
      <c r="I48" s="243"/>
      <c r="J48" s="243"/>
      <c r="K48" s="243"/>
      <c r="L48" s="243"/>
      <c r="M48" s="243"/>
      <c r="N48" s="240"/>
      <c r="O48" s="203"/>
      <c r="P48" s="222"/>
      <c r="Q48" s="222"/>
      <c r="R48" s="222"/>
      <c r="S48" s="222"/>
      <c r="T48" s="222"/>
      <c r="U48" s="222"/>
      <c r="V48" s="204"/>
      <c r="W48" s="240"/>
      <c r="X48" s="203"/>
      <c r="Y48" s="204"/>
      <c r="Z48" s="203"/>
      <c r="AA48" s="204"/>
      <c r="AB48" s="203"/>
      <c r="AC48" s="204"/>
      <c r="AD48" s="203"/>
      <c r="AE48" s="204"/>
      <c r="AF48" s="240"/>
      <c r="AG48" s="203"/>
      <c r="AH48" s="204"/>
      <c r="AI48" s="203"/>
      <c r="AJ48" s="204"/>
      <c r="AK48" s="203"/>
      <c r="AL48" s="204"/>
      <c r="AM48" s="239"/>
      <c r="AN48" s="124"/>
      <c r="AO48" s="124"/>
      <c r="AP48" s="238" t="s">
        <v>429</v>
      </c>
      <c r="AQ48" s="238"/>
      <c r="AR48" s="238" t="s">
        <v>320</v>
      </c>
      <c r="AS48" s="238"/>
      <c r="AT48" s="238" t="s">
        <v>430</v>
      </c>
      <c r="AU48" s="238"/>
      <c r="AV48" s="236"/>
    </row>
    <row r="49" spans="1:48" ht="15.75" thickBot="1">
      <c r="A49" s="246"/>
      <c r="B49" s="233"/>
      <c r="C49" s="233"/>
      <c r="D49" s="234"/>
      <c r="E49" s="234"/>
      <c r="F49" s="233"/>
      <c r="G49" s="233"/>
      <c r="H49" s="233"/>
      <c r="I49" s="233"/>
      <c r="J49" s="233"/>
      <c r="K49" s="233"/>
      <c r="L49" s="233"/>
      <c r="M49" s="233"/>
      <c r="N49" s="70"/>
      <c r="O49" s="233"/>
      <c r="P49" s="233"/>
      <c r="Q49" s="233"/>
      <c r="R49" s="233"/>
      <c r="S49" s="233"/>
      <c r="T49" s="233"/>
      <c r="U49" s="233"/>
      <c r="V49" s="233"/>
      <c r="W49" s="70"/>
      <c r="X49" s="233"/>
      <c r="Y49" s="233"/>
      <c r="Z49" s="233"/>
      <c r="AA49" s="233"/>
      <c r="AB49" s="233"/>
      <c r="AC49" s="233"/>
      <c r="AD49" s="233"/>
      <c r="AE49" s="233"/>
      <c r="AF49" s="48"/>
      <c r="AG49" s="235"/>
      <c r="AH49" s="235"/>
      <c r="AI49" s="235"/>
      <c r="AJ49" s="235"/>
      <c r="AK49" s="235"/>
      <c r="AL49" s="235"/>
      <c r="AM49" s="48"/>
      <c r="AN49" s="234"/>
      <c r="AO49" s="234"/>
      <c r="AP49" s="234"/>
      <c r="AQ49" s="234"/>
      <c r="AR49" s="234"/>
      <c r="AS49" s="234"/>
      <c r="AT49" s="234"/>
      <c r="AU49" s="234"/>
      <c r="AV49" s="236"/>
    </row>
    <row r="50" spans="1:48" ht="15.75">
      <c r="A50" s="246"/>
      <c r="B50" s="248" t="s">
        <v>431</v>
      </c>
      <c r="C50" s="249"/>
      <c r="D50" s="205">
        <v>1</v>
      </c>
      <c r="E50" s="207"/>
      <c r="F50" s="205">
        <v>2</v>
      </c>
      <c r="G50" s="207"/>
      <c r="H50" s="205">
        <v>3</v>
      </c>
      <c r="I50" s="207"/>
      <c r="J50" s="205">
        <v>4</v>
      </c>
      <c r="K50" s="207"/>
      <c r="L50" s="205">
        <v>5</v>
      </c>
      <c r="M50" s="207"/>
      <c r="N50" s="205">
        <v>6</v>
      </c>
      <c r="O50" s="207"/>
      <c r="P50" s="205">
        <v>7</v>
      </c>
      <c r="Q50" s="207"/>
      <c r="R50" s="205">
        <v>8</v>
      </c>
      <c r="S50" s="207"/>
      <c r="T50" s="205">
        <v>9</v>
      </c>
      <c r="U50" s="207"/>
      <c r="V50" s="205">
        <v>0</v>
      </c>
      <c r="W50" s="207"/>
      <c r="X50" s="248" t="s">
        <v>432</v>
      </c>
      <c r="Y50" s="249"/>
      <c r="Z50" s="248" t="s">
        <v>433</v>
      </c>
      <c r="AA50" s="249"/>
      <c r="AB50" s="248" t="s">
        <v>434</v>
      </c>
      <c r="AC50" s="249"/>
      <c r="AD50" s="199" t="s">
        <v>435</v>
      </c>
      <c r="AE50" s="200"/>
      <c r="AF50" s="232"/>
      <c r="AG50" s="199" t="s">
        <v>436</v>
      </c>
      <c r="AH50" s="200"/>
      <c r="AI50" s="199" t="s">
        <v>437</v>
      </c>
      <c r="AJ50" s="200"/>
      <c r="AK50" s="199" t="s">
        <v>438</v>
      </c>
      <c r="AL50" s="200"/>
      <c r="AM50" s="232"/>
      <c r="AN50" s="199" t="s">
        <v>429</v>
      </c>
      <c r="AO50" s="220"/>
      <c r="AP50" s="205" t="s">
        <v>439</v>
      </c>
      <c r="AQ50" s="207"/>
      <c r="AR50" s="205" t="s">
        <v>363</v>
      </c>
      <c r="AS50" s="207"/>
      <c r="AT50" s="205" t="s">
        <v>339</v>
      </c>
      <c r="AU50" s="207"/>
      <c r="AV50" s="236"/>
    </row>
    <row r="51" spans="1:48" ht="26.25">
      <c r="A51" s="246"/>
      <c r="B51" s="90" t="str">
        <f>IF(B52&lt;&gt;"",toUTF16(HEX2DEC(B52)),"")</f>
        <v/>
      </c>
      <c r="C51" s="91" t="str">
        <f>IF(C52&lt;&gt;"",toUTF16(HEX2DEC(C52)),"")</f>
        <v/>
      </c>
      <c r="D51" s="56" t="str">
        <f>IF(D52&lt;&gt;"",toUTF16(HEX2DEC(D52)),"")</f>
        <v>۱</v>
      </c>
      <c r="E51" s="57" t="str">
        <f>IF(E52&lt;&gt;"",toUTF16(HEX2DEC(E52)),"")</f>
        <v>1</v>
      </c>
      <c r="F51" s="56" t="str">
        <f>IF(F52&lt;&gt;"",toUTF16(HEX2DEC(F52)),"")</f>
        <v>۲</v>
      </c>
      <c r="G51" s="57" t="str">
        <f>IF(G52&lt;&gt;"",toUTF16(HEX2DEC(G52)),"")</f>
        <v>2</v>
      </c>
      <c r="H51" s="56" t="str">
        <f>IF(H52&lt;&gt;"",toUTF16(HEX2DEC(H52)),"")</f>
        <v>۳</v>
      </c>
      <c r="I51" s="57" t="str">
        <f>IF(I52&lt;&gt;"",toUTF16(HEX2DEC(I52)),"")</f>
        <v>3</v>
      </c>
      <c r="J51" s="56" t="str">
        <f>IF(J52&lt;&gt;"",toUTF16(HEX2DEC(J52)),"")</f>
        <v>۴</v>
      </c>
      <c r="K51" s="57" t="str">
        <f>IF(K52&lt;&gt;"",toUTF16(HEX2DEC(K52)),"")</f>
        <v>4</v>
      </c>
      <c r="L51" s="56" t="str">
        <f>IF(L52&lt;&gt;"",toUTF16(HEX2DEC(L52)),"")</f>
        <v>۵</v>
      </c>
      <c r="M51" s="57" t="str">
        <f>IF(M52&lt;&gt;"",toUTF16(HEX2DEC(M52)),"")</f>
        <v>5</v>
      </c>
      <c r="N51" s="56" t="str">
        <f>IF(N52&lt;&gt;"",toUTF16(HEX2DEC(N52)),"")</f>
        <v>۶</v>
      </c>
      <c r="O51" s="57" t="str">
        <f>IF(O52&lt;&gt;"",toUTF16(HEX2DEC(O52)),"")</f>
        <v>6</v>
      </c>
      <c r="P51" s="56" t="str">
        <f>IF(P52&lt;&gt;"",toUTF16(HEX2DEC(P52)),"")</f>
        <v>۷</v>
      </c>
      <c r="Q51" s="57" t="str">
        <f>IF(Q52&lt;&gt;"",toUTF16(HEX2DEC(Q52)),"")</f>
        <v>7</v>
      </c>
      <c r="R51" s="56" t="str">
        <f>IF(R52&lt;&gt;"",toUTF16(HEX2DEC(R52)),"")</f>
        <v>۸</v>
      </c>
      <c r="S51" s="57" t="str">
        <f>IF(S52&lt;&gt;"",toUTF16(HEX2DEC(S52)),"")</f>
        <v>8</v>
      </c>
      <c r="T51" s="56" t="str">
        <f>IF(T52&lt;&gt;"",toUTF16(HEX2DEC(T52)),"")</f>
        <v>۹</v>
      </c>
      <c r="U51" s="57" t="str">
        <f>IF(U52&lt;&gt;"",toUTF16(HEX2DEC(U52)),"")</f>
        <v>9</v>
      </c>
      <c r="V51" s="56" t="str">
        <f>IF(V52&lt;&gt;"",toUTF16(HEX2DEC(V52)),"")</f>
        <v>۰</v>
      </c>
      <c r="W51" s="57" t="str">
        <f>IF(W52&lt;&gt;"",toUTF16(HEX2DEC(W52)),"")</f>
        <v>0</v>
      </c>
      <c r="X51" s="90" t="str">
        <f>IF(X52&lt;&gt;"",toUTF16(HEX2DEC(X52)),"")</f>
        <v/>
      </c>
      <c r="Y51" s="91" t="str">
        <f>IF(Y52&lt;&gt;"",toUTF16(HEX2DEC(Y52)),"")</f>
        <v/>
      </c>
      <c r="Z51" s="90" t="str">
        <f>IF(Z52&lt;&gt;"",toUTF16(HEX2DEC(Z52)),"")</f>
        <v/>
      </c>
      <c r="AA51" s="91" t="str">
        <f>IF(AA52&lt;&gt;"",toUTF16(HEX2DEC(AA52)),"")</f>
        <v/>
      </c>
      <c r="AB51" s="90" t="str">
        <f>IF(AB52&lt;&gt;"",toUTF16(HEX2DEC(AB52)),"")</f>
        <v/>
      </c>
      <c r="AC51" s="91" t="str">
        <f>IF(AC52&lt;&gt;"",toUTF16(HEX2DEC(AC52)),"")</f>
        <v/>
      </c>
      <c r="AD51" s="201"/>
      <c r="AE51" s="202"/>
      <c r="AF51" s="232"/>
      <c r="AG51" s="201"/>
      <c r="AH51" s="202"/>
      <c r="AI51" s="201"/>
      <c r="AJ51" s="202"/>
      <c r="AK51" s="201"/>
      <c r="AL51" s="202"/>
      <c r="AM51" s="232"/>
      <c r="AN51" s="201"/>
      <c r="AO51" s="221"/>
      <c r="AP51" s="56" t="str">
        <f>IF(AP52&lt;&gt;"",toUTF16(HEX2DEC(AP52)),"")</f>
        <v/>
      </c>
      <c r="AQ51" s="57" t="str">
        <f>IF(AQ52&lt;&gt;"",toUTF16(HEX2DEC(AQ52)),"")</f>
        <v/>
      </c>
      <c r="AR51" s="56" t="str">
        <f>IF(AR52&lt;&gt;"",toUTF16(HEX2DEC(AR52)),"")</f>
        <v/>
      </c>
      <c r="AS51" s="57" t="str">
        <f>IF(AS52&lt;&gt;"",toUTF16(HEX2DEC(AS52)),"")</f>
        <v/>
      </c>
      <c r="AT51" s="56" t="str">
        <f>IF(AT52&lt;&gt;"",toUTF16(HEX2DEC(AT52)),"")</f>
        <v/>
      </c>
      <c r="AU51" s="57" t="str">
        <f>IF(AU52&lt;&gt;"",toUTF16(HEX2DEC(AU52)),"")</f>
        <v/>
      </c>
      <c r="AV51" s="236"/>
    </row>
    <row r="52" spans="1:48" ht="15.75" thickBot="1">
      <c r="A52" s="246"/>
      <c r="B52" s="92"/>
      <c r="C52" s="93"/>
      <c r="D52" s="61" t="s">
        <v>672</v>
      </c>
      <c r="E52" s="62" t="s">
        <v>464</v>
      </c>
      <c r="F52" s="61" t="s">
        <v>673</v>
      </c>
      <c r="G52" s="62" t="s">
        <v>465</v>
      </c>
      <c r="H52" s="61" t="s">
        <v>674</v>
      </c>
      <c r="I52" s="62" t="s">
        <v>466</v>
      </c>
      <c r="J52" s="61" t="s">
        <v>675</v>
      </c>
      <c r="K52" s="62" t="s">
        <v>467</v>
      </c>
      <c r="L52" s="61" t="s">
        <v>676</v>
      </c>
      <c r="M52" s="62" t="s">
        <v>468</v>
      </c>
      <c r="N52" s="61" t="s">
        <v>677</v>
      </c>
      <c r="O52" s="62" t="s">
        <v>469</v>
      </c>
      <c r="P52" s="61" t="s">
        <v>678</v>
      </c>
      <c r="Q52" s="62" t="s">
        <v>470</v>
      </c>
      <c r="R52" s="61" t="s">
        <v>679</v>
      </c>
      <c r="S52" s="62" t="s">
        <v>471</v>
      </c>
      <c r="T52" s="61" t="s">
        <v>680</v>
      </c>
      <c r="U52" s="62" t="s">
        <v>472</v>
      </c>
      <c r="V52" s="61" t="s">
        <v>681</v>
      </c>
      <c r="W52" s="62" t="s">
        <v>473</v>
      </c>
      <c r="X52" s="95"/>
      <c r="Y52" s="96"/>
      <c r="Z52" s="95"/>
      <c r="AA52" s="96"/>
      <c r="AB52" s="95"/>
      <c r="AC52" s="96"/>
      <c r="AD52" s="203"/>
      <c r="AE52" s="204"/>
      <c r="AF52" s="232"/>
      <c r="AG52" s="203"/>
      <c r="AH52" s="204"/>
      <c r="AI52" s="203"/>
      <c r="AJ52" s="204"/>
      <c r="AK52" s="203"/>
      <c r="AL52" s="204"/>
      <c r="AM52" s="232"/>
      <c r="AN52" s="201"/>
      <c r="AO52" s="221"/>
      <c r="AP52" s="61"/>
      <c r="AQ52" s="62"/>
      <c r="AR52" s="61"/>
      <c r="AS52" s="62"/>
      <c r="AT52" s="61"/>
      <c r="AU52" s="62"/>
      <c r="AV52" s="236"/>
    </row>
    <row r="53" spans="1:48" ht="15.75">
      <c r="A53" s="246"/>
      <c r="B53" s="199" t="s">
        <v>440</v>
      </c>
      <c r="C53" s="220"/>
      <c r="D53" s="221"/>
      <c r="E53" s="248" t="s">
        <v>290</v>
      </c>
      <c r="F53" s="249"/>
      <c r="G53" s="248" t="s">
        <v>288</v>
      </c>
      <c r="H53" s="249"/>
      <c r="I53" s="248" t="s">
        <v>305</v>
      </c>
      <c r="J53" s="249"/>
      <c r="K53" s="248" t="s">
        <v>280</v>
      </c>
      <c r="L53" s="249"/>
      <c r="M53" s="248" t="s">
        <v>277</v>
      </c>
      <c r="N53" s="249"/>
      <c r="O53" s="248" t="s">
        <v>281</v>
      </c>
      <c r="P53" s="249"/>
      <c r="Q53" s="248" t="s">
        <v>306</v>
      </c>
      <c r="R53" s="249"/>
      <c r="S53" s="248" t="s">
        <v>296</v>
      </c>
      <c r="T53" s="249"/>
      <c r="U53" s="248" t="s">
        <v>297</v>
      </c>
      <c r="V53" s="249"/>
      <c r="W53" s="248" t="s">
        <v>295</v>
      </c>
      <c r="X53" s="249"/>
      <c r="Y53" s="248" t="s">
        <v>441</v>
      </c>
      <c r="Z53" s="249"/>
      <c r="AA53" s="248" t="s">
        <v>442</v>
      </c>
      <c r="AB53" s="250"/>
      <c r="AC53" s="199" t="s">
        <v>443</v>
      </c>
      <c r="AD53" s="220"/>
      <c r="AE53" s="200"/>
      <c r="AF53" s="232"/>
      <c r="AG53" s="199" t="s">
        <v>444</v>
      </c>
      <c r="AH53" s="200"/>
      <c r="AI53" s="199" t="s">
        <v>445</v>
      </c>
      <c r="AJ53" s="200"/>
      <c r="AK53" s="199" t="s">
        <v>446</v>
      </c>
      <c r="AL53" s="200"/>
      <c r="AM53" s="232"/>
      <c r="AN53" s="205">
        <v>7</v>
      </c>
      <c r="AO53" s="207"/>
      <c r="AP53" s="205">
        <v>8</v>
      </c>
      <c r="AQ53" s="207"/>
      <c r="AR53" s="205">
        <v>9</v>
      </c>
      <c r="AS53" s="207"/>
      <c r="AT53" s="205" t="s">
        <v>300</v>
      </c>
      <c r="AU53" s="207"/>
      <c r="AV53" s="236"/>
    </row>
    <row r="54" spans="1:48" ht="26.25">
      <c r="A54" s="246"/>
      <c r="B54" s="201"/>
      <c r="C54" s="221"/>
      <c r="D54" s="221"/>
      <c r="E54" s="90" t="str">
        <f>IF(E55&lt;&gt;"",toUTF16(HEX2DEC(E55)),"")</f>
        <v/>
      </c>
      <c r="F54" s="91" t="str">
        <f>IF(F55&lt;&gt;"",toUTF16(HEX2DEC(F55)),"")</f>
        <v/>
      </c>
      <c r="G54" s="90" t="str">
        <f>IF(G55&lt;&gt;"",toUTF16(HEX2DEC(G55)),"")</f>
        <v/>
      </c>
      <c r="H54" s="91" t="str">
        <f>IF(H55&lt;&gt;"",toUTF16(HEX2DEC(H55)),"")</f>
        <v/>
      </c>
      <c r="I54" s="90" t="str">
        <f>IF(I55&lt;&gt;"",toUTF16(HEX2DEC(I55)),"")</f>
        <v/>
      </c>
      <c r="J54" s="91" t="str">
        <f>IF(J55&lt;&gt;"",toUTF16(HEX2DEC(J55)),"")</f>
        <v/>
      </c>
      <c r="K54" s="90" t="str">
        <f>IF(K55&lt;&gt;"",toUTF16(HEX2DEC(K55)),"")</f>
        <v/>
      </c>
      <c r="L54" s="91" t="str">
        <f>IF(L55&lt;&gt;"",toUTF16(HEX2DEC(L55)),"")</f>
        <v/>
      </c>
      <c r="M54" s="90" t="str">
        <f>IF(M55&lt;&gt;"",toUTF16(HEX2DEC(M55)),"")</f>
        <v/>
      </c>
      <c r="N54" s="91" t="str">
        <f>IF(N55&lt;&gt;"",toUTF16(HEX2DEC(N55)),"")</f>
        <v/>
      </c>
      <c r="O54" s="90" t="str">
        <f>IF(O55&lt;&gt;"",toUTF16(HEX2DEC(O55)),"")</f>
        <v/>
      </c>
      <c r="P54" s="91" t="str">
        <f>IF(P55&lt;&gt;"",toUTF16(HEX2DEC(P55)),"")</f>
        <v/>
      </c>
      <c r="Q54" s="90" t="str">
        <f>IF(Q55&lt;&gt;"",toUTF16(HEX2DEC(Q55)),"")</f>
        <v/>
      </c>
      <c r="R54" s="91" t="str">
        <f>IF(R55&lt;&gt;"",toUTF16(HEX2DEC(R55)),"")</f>
        <v/>
      </c>
      <c r="S54" s="90" t="str">
        <f>IF(S55&lt;&gt;"",toUTF16(HEX2DEC(S55)),"")</f>
        <v/>
      </c>
      <c r="T54" s="91" t="str">
        <f>IF(T55&lt;&gt;"",toUTF16(HEX2DEC(T55)),"")</f>
        <v/>
      </c>
      <c r="U54" s="90" t="str">
        <f>IF(U55&lt;&gt;"",toUTF16(HEX2DEC(U55)),"")</f>
        <v/>
      </c>
      <c r="V54" s="91" t="str">
        <f>IF(V55&lt;&gt;"",toUTF16(HEX2DEC(V55)),"")</f>
        <v/>
      </c>
      <c r="W54" s="90" t="str">
        <f>IF(W55&lt;&gt;"",toUTF16(HEX2DEC(W55)),"")</f>
        <v/>
      </c>
      <c r="X54" s="91" t="str">
        <f>IF(X55&lt;&gt;"",toUTF16(HEX2DEC(X55)),"")</f>
        <v/>
      </c>
      <c r="Y54" s="90" t="str">
        <f>IF(Y55&lt;&gt;"",toUTF16(HEX2DEC(Y55)),"")</f>
        <v/>
      </c>
      <c r="Z54" s="91" t="str">
        <f>IF(Z55&lt;&gt;"",toUTF16(HEX2DEC(Z55)),"")</f>
        <v/>
      </c>
      <c r="AA54" s="90" t="str">
        <f>IF(AA55&lt;&gt;"",toUTF16(HEX2DEC(AA55)),"")</f>
        <v/>
      </c>
      <c r="AB54" s="94" t="str">
        <f>IF(AB55&lt;&gt;"",toUTF16(HEX2DEC(AB55)),"")</f>
        <v/>
      </c>
      <c r="AC54" s="201"/>
      <c r="AD54" s="221"/>
      <c r="AE54" s="202"/>
      <c r="AF54" s="232"/>
      <c r="AG54" s="201"/>
      <c r="AH54" s="202"/>
      <c r="AI54" s="201"/>
      <c r="AJ54" s="202"/>
      <c r="AK54" s="201"/>
      <c r="AL54" s="202"/>
      <c r="AM54" s="232"/>
      <c r="AN54" s="56" t="str">
        <f>IF(AN55&lt;&gt;"",toUTF16(HEX2DEC(AN55)),"")</f>
        <v/>
      </c>
      <c r="AO54" s="57" t="str">
        <f>IF(AO55&lt;&gt;"",toUTF16(HEX2DEC(AO55)),"")</f>
        <v/>
      </c>
      <c r="AP54" s="56" t="str">
        <f>IF(AP55&lt;&gt;"",toUTF16(HEX2DEC(AP55)),"")</f>
        <v/>
      </c>
      <c r="AQ54" s="57" t="str">
        <f>IF(AQ55&lt;&gt;"",toUTF16(HEX2DEC(AQ55)),"")</f>
        <v/>
      </c>
      <c r="AR54" s="56" t="str">
        <f>IF(AR55&lt;&gt;"",toUTF16(HEX2DEC(AR55)),"")</f>
        <v/>
      </c>
      <c r="AS54" s="57" t="str">
        <f>IF(AS55&lt;&gt;"",toUTF16(HEX2DEC(AS55)),"")</f>
        <v/>
      </c>
      <c r="AT54" s="227"/>
      <c r="AU54" s="224"/>
      <c r="AV54" s="236"/>
    </row>
    <row r="55" spans="1:48" ht="15.75" thickBot="1">
      <c r="A55" s="246"/>
      <c r="B55" s="203"/>
      <c r="C55" s="222"/>
      <c r="D55" s="222"/>
      <c r="E55" s="95"/>
      <c r="F55" s="96"/>
      <c r="G55" s="95"/>
      <c r="H55" s="96"/>
      <c r="I55" s="95"/>
      <c r="J55" s="96"/>
      <c r="K55" s="95"/>
      <c r="L55" s="96"/>
      <c r="M55" s="95"/>
      <c r="N55" s="96"/>
      <c r="O55" s="95"/>
      <c r="P55" s="96"/>
      <c r="Q55" s="95"/>
      <c r="R55" s="96"/>
      <c r="S55" s="95"/>
      <c r="T55" s="96"/>
      <c r="U55" s="95"/>
      <c r="V55" s="96"/>
      <c r="W55" s="95"/>
      <c r="X55" s="96"/>
      <c r="Y55" s="95"/>
      <c r="Z55" s="96"/>
      <c r="AA55" s="95"/>
      <c r="AB55" s="97"/>
      <c r="AC55" s="201"/>
      <c r="AD55" s="221"/>
      <c r="AE55" s="202"/>
      <c r="AF55" s="232"/>
      <c r="AG55" s="203"/>
      <c r="AH55" s="204"/>
      <c r="AI55" s="203"/>
      <c r="AJ55" s="204"/>
      <c r="AK55" s="203"/>
      <c r="AL55" s="204"/>
      <c r="AM55" s="232"/>
      <c r="AN55" s="61"/>
      <c r="AO55" s="62"/>
      <c r="AP55" s="61"/>
      <c r="AQ55" s="62"/>
      <c r="AR55" s="61"/>
      <c r="AS55" s="62"/>
      <c r="AT55" s="227"/>
      <c r="AU55" s="224"/>
      <c r="AV55" s="236"/>
    </row>
    <row r="56" spans="1:48" ht="15.75">
      <c r="A56" s="246"/>
      <c r="B56" s="199" t="s">
        <v>320</v>
      </c>
      <c r="C56" s="220"/>
      <c r="D56" s="220"/>
      <c r="E56" s="202"/>
      <c r="F56" s="248" t="s">
        <v>292</v>
      </c>
      <c r="G56" s="249"/>
      <c r="H56" s="248" t="s">
        <v>282</v>
      </c>
      <c r="I56" s="249"/>
      <c r="J56" s="248" t="s">
        <v>279</v>
      </c>
      <c r="K56" s="250"/>
      <c r="L56" s="248" t="s">
        <v>283</v>
      </c>
      <c r="M56" s="249"/>
      <c r="N56" s="248" t="s">
        <v>293</v>
      </c>
      <c r="O56" s="249"/>
      <c r="P56" s="248" t="s">
        <v>287</v>
      </c>
      <c r="Q56" s="249"/>
      <c r="R56" s="248" t="s">
        <v>289</v>
      </c>
      <c r="S56" s="249"/>
      <c r="T56" s="248" t="s">
        <v>284</v>
      </c>
      <c r="U56" s="249"/>
      <c r="V56" s="248" t="s">
        <v>285</v>
      </c>
      <c r="W56" s="249"/>
      <c r="X56" s="248" t="s">
        <v>447</v>
      </c>
      <c r="Y56" s="249"/>
      <c r="Z56" s="248" t="s">
        <v>448</v>
      </c>
      <c r="AA56" s="249"/>
      <c r="AB56" s="228"/>
      <c r="AC56" s="221"/>
      <c r="AD56" s="221"/>
      <c r="AE56" s="202"/>
      <c r="AF56" s="227"/>
      <c r="AG56" s="206"/>
      <c r="AH56" s="206"/>
      <c r="AI56" s="206"/>
      <c r="AJ56" s="206"/>
      <c r="AK56" s="206"/>
      <c r="AL56" s="206"/>
      <c r="AM56" s="224"/>
      <c r="AN56" s="205">
        <v>4</v>
      </c>
      <c r="AO56" s="207"/>
      <c r="AP56" s="205">
        <v>5</v>
      </c>
      <c r="AQ56" s="207"/>
      <c r="AR56" s="205">
        <v>6</v>
      </c>
      <c r="AS56" s="207"/>
      <c r="AT56" s="227" t="str">
        <f>IF(AT58&lt;&gt;"",toUTF16(HEX2DEC(AT58)),"")</f>
        <v/>
      </c>
      <c r="AU56" s="224" t="str">
        <f>IF(AU58&lt;&gt;"",toUTF16(HEX2DEC(AU58)),"")</f>
        <v/>
      </c>
      <c r="AV56" s="236"/>
    </row>
    <row r="57" spans="1:48" ht="26.25">
      <c r="A57" s="246"/>
      <c r="B57" s="201"/>
      <c r="C57" s="221"/>
      <c r="D57" s="221"/>
      <c r="E57" s="202"/>
      <c r="F57" s="90" t="str">
        <f>IF(F58&lt;&gt;"",toUTF16(HEX2DEC(F58)),"")</f>
        <v/>
      </c>
      <c r="G57" s="91" t="str">
        <f>IF(G58&lt;&gt;"",toUTF16(HEX2DEC(G58)),"")</f>
        <v/>
      </c>
      <c r="H57" s="90" t="str">
        <f>IF(H58&lt;&gt;"",toUTF16(HEX2DEC(H58)),"")</f>
        <v/>
      </c>
      <c r="I57" s="91" t="str">
        <f>IF(I58&lt;&gt;"",toUTF16(HEX2DEC(I58)),"")</f>
        <v/>
      </c>
      <c r="J57" s="90" t="str">
        <f>IF(J58&lt;&gt;"",toUTF16(HEX2DEC(J58)),"")</f>
        <v/>
      </c>
      <c r="K57" s="94" t="str">
        <f>IF(K58&lt;&gt;"",toUTF16(HEX2DEC(K58)),"")</f>
        <v/>
      </c>
      <c r="L57" s="90" t="str">
        <f>IF(L58&lt;&gt;"",toUTF16(HEX2DEC(L58)),"")</f>
        <v/>
      </c>
      <c r="M57" s="91" t="str">
        <f>IF(M58&lt;&gt;"",toUTF16(HEX2DEC(M58)),"")</f>
        <v/>
      </c>
      <c r="N57" s="90" t="str">
        <f>IF(N58&lt;&gt;"",toUTF16(HEX2DEC(N58)),"")</f>
        <v/>
      </c>
      <c r="O57" s="91" t="str">
        <f>IF(O58&lt;&gt;"",toUTF16(HEX2DEC(O58)),"")</f>
        <v/>
      </c>
      <c r="P57" s="90" t="str">
        <f>IF(P58&lt;&gt;"",toUTF16(HEX2DEC(P58)),"")</f>
        <v/>
      </c>
      <c r="Q57" s="91" t="str">
        <f>IF(Q58&lt;&gt;"",toUTF16(HEX2DEC(Q58)),"")</f>
        <v/>
      </c>
      <c r="R57" s="90" t="str">
        <f>IF(R58&lt;&gt;"",toUTF16(HEX2DEC(R58)),"")</f>
        <v/>
      </c>
      <c r="S57" s="91" t="str">
        <f>IF(S58&lt;&gt;"",toUTF16(HEX2DEC(S58)),"")</f>
        <v/>
      </c>
      <c r="T57" s="90" t="str">
        <f>IF(T58&lt;&gt;"",toUTF16(HEX2DEC(T58)),"")</f>
        <v/>
      </c>
      <c r="U57" s="91" t="str">
        <f>IF(U58&lt;&gt;"",toUTF16(HEX2DEC(U58)),"")</f>
        <v/>
      </c>
      <c r="V57" s="90" t="str">
        <f>IF(V58&lt;&gt;"",toUTF16(HEX2DEC(V58)),"")</f>
        <v/>
      </c>
      <c r="W57" s="91" t="str">
        <f>IF(W58&lt;&gt;"",toUTF16(HEX2DEC(W58)),"")</f>
        <v/>
      </c>
      <c r="X57" s="90" t="str">
        <f>IF(X58&lt;&gt;"",toUTF16(HEX2DEC(X58)),"")</f>
        <v/>
      </c>
      <c r="Y57" s="91" t="str">
        <f>IF(Y58&lt;&gt;"",toUTF16(HEX2DEC(Y58)),"")</f>
        <v/>
      </c>
      <c r="Z57" s="90" t="str">
        <f>IF(Z58&lt;&gt;"",toUTF16(HEX2DEC(Z58)),"")</f>
        <v/>
      </c>
      <c r="AA57" s="91" t="str">
        <f>IF(AA58&lt;&gt;"",toUTF16(HEX2DEC(AA58)),"")</f>
        <v/>
      </c>
      <c r="AB57" s="229"/>
      <c r="AC57" s="221"/>
      <c r="AD57" s="221"/>
      <c r="AE57" s="202"/>
      <c r="AF57" s="227"/>
      <c r="AG57" s="223"/>
      <c r="AH57" s="223"/>
      <c r="AI57" s="223"/>
      <c r="AJ57" s="223"/>
      <c r="AK57" s="223"/>
      <c r="AL57" s="223"/>
      <c r="AM57" s="224"/>
      <c r="AN57" s="56" t="str">
        <f>IF(AN58&lt;&gt;"",toUTF16(HEX2DEC(AN58)),"")</f>
        <v/>
      </c>
      <c r="AO57" s="57" t="str">
        <f>IF(AO58&lt;&gt;"",toUTF16(HEX2DEC(AO58)),"")</f>
        <v/>
      </c>
      <c r="AP57" s="56" t="str">
        <f>IF(AP58&lt;&gt;"",toUTF16(HEX2DEC(AP58)),"")</f>
        <v/>
      </c>
      <c r="AQ57" s="57" t="str">
        <f>IF(AQ58&lt;&gt;"",toUTF16(HEX2DEC(AQ58)),"")</f>
        <v/>
      </c>
      <c r="AR57" s="56" t="str">
        <f>IF(AR58&lt;&gt;"",toUTF16(HEX2DEC(AR58)),"")</f>
        <v/>
      </c>
      <c r="AS57" s="57" t="str">
        <f>IF(AS58&lt;&gt;"",toUTF16(HEX2DEC(AS58)),"")</f>
        <v/>
      </c>
      <c r="AT57" s="227" t="str">
        <f>IF(AT58&lt;&gt;"",toUTF16(HEX2DEC(AT58)),"")</f>
        <v/>
      </c>
      <c r="AU57" s="224" t="str">
        <f>IF(AU58&lt;&gt;"",toUTF16(HEX2DEC(AU58)),"")</f>
        <v/>
      </c>
      <c r="AV57" s="236"/>
    </row>
    <row r="58" spans="1:48" ht="15.75" thickBot="1">
      <c r="A58" s="246"/>
      <c r="B58" s="203"/>
      <c r="C58" s="222"/>
      <c r="D58" s="222"/>
      <c r="E58" s="204"/>
      <c r="F58" s="95"/>
      <c r="G58" s="96"/>
      <c r="H58" s="95"/>
      <c r="I58" s="96"/>
      <c r="J58" s="95"/>
      <c r="K58" s="97"/>
      <c r="L58" s="95"/>
      <c r="M58" s="96"/>
      <c r="N58" s="95"/>
      <c r="O58" s="96"/>
      <c r="P58" s="95"/>
      <c r="Q58" s="96"/>
      <c r="R58" s="95"/>
      <c r="S58" s="96"/>
      <c r="T58" s="95"/>
      <c r="U58" s="96"/>
      <c r="V58" s="95"/>
      <c r="W58" s="96"/>
      <c r="X58" s="95"/>
      <c r="Y58" s="96"/>
      <c r="Z58" s="95"/>
      <c r="AA58" s="96"/>
      <c r="AB58" s="230"/>
      <c r="AC58" s="222"/>
      <c r="AD58" s="222"/>
      <c r="AE58" s="204"/>
      <c r="AF58" s="227"/>
      <c r="AG58" s="223"/>
      <c r="AH58" s="223"/>
      <c r="AI58" s="223"/>
      <c r="AJ58" s="223"/>
      <c r="AK58" s="223"/>
      <c r="AL58" s="223"/>
      <c r="AM58" s="224"/>
      <c r="AN58" s="61"/>
      <c r="AO58" s="62"/>
      <c r="AP58" s="61"/>
      <c r="AQ58" s="62"/>
      <c r="AR58" s="61"/>
      <c r="AS58" s="62"/>
      <c r="AT58" s="61"/>
      <c r="AU58" s="62"/>
      <c r="AV58" s="236"/>
    </row>
    <row r="59" spans="1:48" ht="15.75">
      <c r="A59" s="246"/>
      <c r="B59" s="199" t="s">
        <v>449</v>
      </c>
      <c r="C59" s="220"/>
      <c r="D59" s="220"/>
      <c r="E59" s="248" t="s">
        <v>476</v>
      </c>
      <c r="F59" s="249"/>
      <c r="G59" s="248" t="s">
        <v>335</v>
      </c>
      <c r="H59" s="249"/>
      <c r="I59" s="248" t="s">
        <v>278</v>
      </c>
      <c r="J59" s="249"/>
      <c r="K59" s="248" t="s">
        <v>294</v>
      </c>
      <c r="L59" s="249"/>
      <c r="M59" s="248" t="s">
        <v>336</v>
      </c>
      <c r="N59" s="249"/>
      <c r="O59" s="248" t="s">
        <v>276</v>
      </c>
      <c r="P59" s="249"/>
      <c r="Q59" s="248" t="s">
        <v>286</v>
      </c>
      <c r="R59" s="249"/>
      <c r="S59" s="248" t="s">
        <v>275</v>
      </c>
      <c r="T59" s="249"/>
      <c r="U59" s="248" t="s">
        <v>450</v>
      </c>
      <c r="V59" s="249"/>
      <c r="W59" s="248" t="s">
        <v>451</v>
      </c>
      <c r="X59" s="249"/>
      <c r="Y59" s="248" t="s">
        <v>452</v>
      </c>
      <c r="Z59" s="249"/>
      <c r="AA59" s="199" t="s">
        <v>453</v>
      </c>
      <c r="AB59" s="220"/>
      <c r="AC59" s="220"/>
      <c r="AD59" s="220"/>
      <c r="AE59" s="200"/>
      <c r="AF59" s="227"/>
      <c r="AG59" s="223"/>
      <c r="AH59" s="224"/>
      <c r="AI59" s="199" t="s">
        <v>353</v>
      </c>
      <c r="AJ59" s="200"/>
      <c r="AK59" s="227"/>
      <c r="AL59" s="223"/>
      <c r="AM59" s="224"/>
      <c r="AN59" s="205">
        <v>1</v>
      </c>
      <c r="AO59" s="207"/>
      <c r="AP59" s="205">
        <v>2</v>
      </c>
      <c r="AQ59" s="207"/>
      <c r="AR59" s="205">
        <v>3</v>
      </c>
      <c r="AS59" s="207"/>
      <c r="AT59" s="214" t="s">
        <v>454</v>
      </c>
      <c r="AU59" s="215"/>
      <c r="AV59" s="236"/>
    </row>
    <row r="60" spans="1:48" ht="26.25">
      <c r="A60" s="246"/>
      <c r="B60" s="201"/>
      <c r="C60" s="221"/>
      <c r="D60" s="221"/>
      <c r="E60" s="90" t="str">
        <f>IF(E61&lt;&gt;"",toUTF16(HEX2DEC(E61)),"")</f>
        <v/>
      </c>
      <c r="F60" s="91" t="str">
        <f>IF(F61&lt;&gt;"",toUTF16(HEX2DEC(F61)),"")</f>
        <v/>
      </c>
      <c r="G60" s="90" t="str">
        <f>IF(G61&lt;&gt;"",toUTF16(HEX2DEC(G61)),"")</f>
        <v/>
      </c>
      <c r="H60" s="91" t="str">
        <f>IF(H61&lt;&gt;"",toUTF16(HEX2DEC(H61)),"")</f>
        <v/>
      </c>
      <c r="I60" s="90" t="str">
        <f>IF(I61&lt;&gt;"",toUTF16(HEX2DEC(I61)),"")</f>
        <v/>
      </c>
      <c r="J60" s="91" t="str">
        <f>IF(J61&lt;&gt;"",toUTF16(HEX2DEC(J61)),"")</f>
        <v/>
      </c>
      <c r="K60" s="90" t="str">
        <f>IF(K61&lt;&gt;"",toUTF16(HEX2DEC(K61)),"")</f>
        <v/>
      </c>
      <c r="L60" s="91" t="str">
        <f>IF(L61&lt;&gt;"",toUTF16(HEX2DEC(L61)),"")</f>
        <v/>
      </c>
      <c r="M60" s="90" t="str">
        <f>IF(M61&lt;&gt;"",toUTF16(HEX2DEC(M61)),"")</f>
        <v/>
      </c>
      <c r="N60" s="91" t="str">
        <f>IF(N61&lt;&gt;"",toUTF16(HEX2DEC(N61)),"")</f>
        <v/>
      </c>
      <c r="O60" s="90" t="str">
        <f>IF(O61&lt;&gt;"",toUTF16(HEX2DEC(O61)),"")</f>
        <v/>
      </c>
      <c r="P60" s="91" t="str">
        <f>IF(P61&lt;&gt;"",toUTF16(HEX2DEC(P61)),"")</f>
        <v/>
      </c>
      <c r="Q60" s="90" t="str">
        <f>IF(Q61&lt;&gt;"",toUTF16(HEX2DEC(Q61)),"")</f>
        <v/>
      </c>
      <c r="R60" s="91" t="str">
        <f>IF(R61&lt;&gt;"",toUTF16(HEX2DEC(R61)),"")</f>
        <v/>
      </c>
      <c r="S60" s="90" t="str">
        <f>IF(S61&lt;&gt;"",toUTF16(HEX2DEC(S61)),"")</f>
        <v/>
      </c>
      <c r="T60" s="91" t="str">
        <f>IF(T61&lt;&gt;"",toUTF16(HEX2DEC(T61)),"")</f>
        <v/>
      </c>
      <c r="U60" s="90" t="str">
        <f>IF(U61&lt;&gt;"",toUTF16(HEX2DEC(U61)),"")</f>
        <v/>
      </c>
      <c r="V60" s="91" t="str">
        <f>IF(V61&lt;&gt;"",toUTF16(HEX2DEC(V61)),"")</f>
        <v/>
      </c>
      <c r="W60" s="90" t="str">
        <f>IF(W61&lt;&gt;"",toUTF16(HEX2DEC(W61)),"")</f>
        <v/>
      </c>
      <c r="X60" s="91" t="str">
        <f>IF(X61&lt;&gt;"",toUTF16(HEX2DEC(X61)),"")</f>
        <v/>
      </c>
      <c r="Y60" s="90" t="str">
        <f>IF(Y61&lt;&gt;"",toUTF16(HEX2DEC(Y61)),"")</f>
        <v/>
      </c>
      <c r="Z60" s="91" t="str">
        <f>IF(Z61&lt;&gt;"",toUTF16(HEX2DEC(Z61)),"")</f>
        <v/>
      </c>
      <c r="AA60" s="201"/>
      <c r="AB60" s="221"/>
      <c r="AC60" s="221"/>
      <c r="AD60" s="221"/>
      <c r="AE60" s="202"/>
      <c r="AF60" s="227"/>
      <c r="AG60" s="223"/>
      <c r="AH60" s="224"/>
      <c r="AI60" s="201"/>
      <c r="AJ60" s="202"/>
      <c r="AK60" s="227"/>
      <c r="AL60" s="223"/>
      <c r="AM60" s="224"/>
      <c r="AN60" s="56" t="str">
        <f>IF(AN61&lt;&gt;"",toUTF16(HEX2DEC(AN61)),"")</f>
        <v/>
      </c>
      <c r="AO60" s="57" t="str">
        <f>IF(AO61&lt;&gt;"",toUTF16(AO61),"")</f>
        <v/>
      </c>
      <c r="AP60" s="56" t="str">
        <f>IF(AP61&lt;&gt;"",toUTF16(HEX2DEC(AP61)),"")</f>
        <v/>
      </c>
      <c r="AQ60" s="57" t="str">
        <f>IF(AQ61&lt;&gt;"",toUTF16(AQ61),"")</f>
        <v/>
      </c>
      <c r="AR60" s="56" t="str">
        <f>IF(AR61&lt;&gt;"",toUTF16(HEX2DEC(AR61)),"")</f>
        <v/>
      </c>
      <c r="AS60" s="57" t="str">
        <f>IF(AS61&lt;&gt;"",toUTF16(AS61),"")</f>
        <v/>
      </c>
      <c r="AT60" s="216"/>
      <c r="AU60" s="217"/>
      <c r="AV60" s="236"/>
    </row>
    <row r="61" spans="1:48" ht="15.75" thickBot="1">
      <c r="A61" s="246"/>
      <c r="B61" s="203"/>
      <c r="C61" s="222"/>
      <c r="D61" s="222"/>
      <c r="E61" s="95"/>
      <c r="F61" s="96"/>
      <c r="G61" s="95"/>
      <c r="H61" s="96"/>
      <c r="I61" s="95"/>
      <c r="J61" s="96"/>
      <c r="K61" s="95"/>
      <c r="L61" s="96"/>
      <c r="M61" s="95"/>
      <c r="N61" s="96"/>
      <c r="O61" s="95"/>
      <c r="P61" s="96"/>
      <c r="Q61" s="95"/>
      <c r="R61" s="96"/>
      <c r="S61" s="95"/>
      <c r="T61" s="96"/>
      <c r="U61" s="95"/>
      <c r="V61" s="96"/>
      <c r="W61" s="95"/>
      <c r="X61" s="96"/>
      <c r="Y61" s="95"/>
      <c r="Z61" s="96"/>
      <c r="AA61" s="203"/>
      <c r="AB61" s="222"/>
      <c r="AC61" s="222"/>
      <c r="AD61" s="222"/>
      <c r="AE61" s="204"/>
      <c r="AF61" s="227"/>
      <c r="AG61" s="225"/>
      <c r="AH61" s="226"/>
      <c r="AI61" s="203"/>
      <c r="AJ61" s="204"/>
      <c r="AK61" s="231"/>
      <c r="AL61" s="225"/>
      <c r="AM61" s="224"/>
      <c r="AN61" s="61"/>
      <c r="AO61" s="62"/>
      <c r="AP61" s="61"/>
      <c r="AQ61" s="62"/>
      <c r="AR61" s="61"/>
      <c r="AS61" s="62"/>
      <c r="AT61" s="216"/>
      <c r="AU61" s="217"/>
      <c r="AV61" s="236"/>
    </row>
    <row r="62" spans="1:48" ht="15.75">
      <c r="A62" s="246"/>
      <c r="B62" s="199" t="s">
        <v>455</v>
      </c>
      <c r="C62" s="220"/>
      <c r="D62" s="200"/>
      <c r="E62" s="199" t="s">
        <v>456</v>
      </c>
      <c r="F62" s="220"/>
      <c r="G62" s="200"/>
      <c r="H62" s="199" t="s">
        <v>350</v>
      </c>
      <c r="I62" s="220"/>
      <c r="J62" s="200"/>
      <c r="K62" s="199" t="s">
        <v>457</v>
      </c>
      <c r="L62" s="220"/>
      <c r="M62" s="220"/>
      <c r="N62" s="220"/>
      <c r="O62" s="220"/>
      <c r="P62" s="220"/>
      <c r="Q62" s="220"/>
      <c r="R62" s="220"/>
      <c r="S62" s="220"/>
      <c r="T62" s="200"/>
      <c r="U62" s="199" t="s">
        <v>458</v>
      </c>
      <c r="V62" s="220"/>
      <c r="W62" s="200"/>
      <c r="X62" s="199" t="s">
        <v>459</v>
      </c>
      <c r="Y62" s="220"/>
      <c r="Z62" s="200"/>
      <c r="AA62" s="199" t="s">
        <v>460</v>
      </c>
      <c r="AB62" s="200"/>
      <c r="AC62" s="199" t="s">
        <v>461</v>
      </c>
      <c r="AD62" s="220"/>
      <c r="AE62" s="200"/>
      <c r="AF62" s="227"/>
      <c r="AG62" s="199" t="s">
        <v>354</v>
      </c>
      <c r="AH62" s="200"/>
      <c r="AI62" s="199" t="s">
        <v>355</v>
      </c>
      <c r="AJ62" s="200"/>
      <c r="AK62" s="199" t="s">
        <v>356</v>
      </c>
      <c r="AL62" s="200"/>
      <c r="AM62" s="224"/>
      <c r="AN62" s="205">
        <v>0</v>
      </c>
      <c r="AO62" s="206"/>
      <c r="AP62" s="206"/>
      <c r="AQ62" s="207"/>
      <c r="AR62" s="205" t="s">
        <v>338</v>
      </c>
      <c r="AS62" s="207"/>
      <c r="AT62" s="216"/>
      <c r="AU62" s="217"/>
      <c r="AV62" s="236"/>
    </row>
    <row r="63" spans="1:48" ht="26.25">
      <c r="A63" s="246"/>
      <c r="B63" s="201"/>
      <c r="C63" s="221"/>
      <c r="D63" s="202"/>
      <c r="E63" s="201"/>
      <c r="F63" s="221"/>
      <c r="G63" s="202"/>
      <c r="H63" s="201"/>
      <c r="I63" s="221"/>
      <c r="J63" s="202"/>
      <c r="K63" s="201"/>
      <c r="L63" s="221"/>
      <c r="M63" s="221"/>
      <c r="N63" s="221"/>
      <c r="O63" s="221"/>
      <c r="P63" s="221"/>
      <c r="Q63" s="221"/>
      <c r="R63" s="221"/>
      <c r="S63" s="221"/>
      <c r="T63" s="202"/>
      <c r="U63" s="201"/>
      <c r="V63" s="221"/>
      <c r="W63" s="202"/>
      <c r="X63" s="201"/>
      <c r="Y63" s="221"/>
      <c r="Z63" s="202"/>
      <c r="AA63" s="201"/>
      <c r="AB63" s="202"/>
      <c r="AC63" s="201"/>
      <c r="AD63" s="221"/>
      <c r="AE63" s="202"/>
      <c r="AF63" s="227"/>
      <c r="AG63" s="201"/>
      <c r="AH63" s="202"/>
      <c r="AI63" s="201"/>
      <c r="AJ63" s="202"/>
      <c r="AK63" s="201"/>
      <c r="AL63" s="202"/>
      <c r="AM63" s="224"/>
      <c r="AN63" s="208" t="str">
        <f>IF(AN64&lt;&gt;"",toUTF16(HEX2DEC(AN64)),"")</f>
        <v/>
      </c>
      <c r="AO63" s="209" t="str">
        <f>IF(AO64&lt;&gt;"",toUTF16(AO64),"")</f>
        <v/>
      </c>
      <c r="AP63" s="209" t="str">
        <f>IF(AP64&lt;&gt;"",toUTF16(HEX2DEC(AP64)),"")</f>
        <v/>
      </c>
      <c r="AQ63" s="210" t="str">
        <f>IF(AQ64&lt;&gt;"",toUTF16(AQ64),"")</f>
        <v/>
      </c>
      <c r="AR63" s="56" t="str">
        <f>IF(AR64&lt;&gt;"",toUTF16(HEX2DEC(AR64)),"")</f>
        <v/>
      </c>
      <c r="AS63" s="57" t="str">
        <f>IF(AS64&lt;&gt;"",toUTF16(HEX2DEC(AS64)),"")</f>
        <v/>
      </c>
      <c r="AT63" s="216"/>
      <c r="AU63" s="217"/>
      <c r="AV63" s="236"/>
    </row>
    <row r="64" spans="1:48" ht="15.75" thickBot="1">
      <c r="A64" s="246"/>
      <c r="B64" s="203"/>
      <c r="C64" s="222"/>
      <c r="D64" s="204"/>
      <c r="E64" s="203"/>
      <c r="F64" s="222"/>
      <c r="G64" s="204"/>
      <c r="H64" s="203"/>
      <c r="I64" s="222"/>
      <c r="J64" s="204"/>
      <c r="K64" s="203"/>
      <c r="L64" s="222"/>
      <c r="M64" s="222"/>
      <c r="N64" s="222"/>
      <c r="O64" s="222"/>
      <c r="P64" s="222"/>
      <c r="Q64" s="222"/>
      <c r="R64" s="222"/>
      <c r="S64" s="222"/>
      <c r="T64" s="204"/>
      <c r="U64" s="203"/>
      <c r="V64" s="222"/>
      <c r="W64" s="204"/>
      <c r="X64" s="203"/>
      <c r="Y64" s="222"/>
      <c r="Z64" s="204"/>
      <c r="AA64" s="203"/>
      <c r="AB64" s="204"/>
      <c r="AC64" s="203"/>
      <c r="AD64" s="222"/>
      <c r="AE64" s="204"/>
      <c r="AF64" s="227"/>
      <c r="AG64" s="203"/>
      <c r="AH64" s="204"/>
      <c r="AI64" s="203"/>
      <c r="AJ64" s="204"/>
      <c r="AK64" s="203"/>
      <c r="AL64" s="204"/>
      <c r="AM64" s="224"/>
      <c r="AN64" s="211"/>
      <c r="AO64" s="212"/>
      <c r="AP64" s="212"/>
      <c r="AQ64" s="213"/>
      <c r="AR64" s="61"/>
      <c r="AS64" s="62"/>
      <c r="AT64" s="218"/>
      <c r="AU64" s="219"/>
      <c r="AV64" s="236"/>
    </row>
    <row r="65" spans="1:48" ht="15.75" thickBot="1">
      <c r="A65" s="68"/>
      <c r="B65" s="111" t="s">
        <v>671</v>
      </c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11"/>
      <c r="AO65" s="111"/>
      <c r="AP65" s="111"/>
      <c r="AQ65" s="111"/>
      <c r="AR65" s="111"/>
      <c r="AS65" s="111"/>
      <c r="AT65" s="111"/>
      <c r="AU65" s="111"/>
      <c r="AV65" s="69"/>
    </row>
    <row r="66" spans="1:48" ht="15.75" thickTop="1"/>
  </sheetData>
  <mergeCells count="423">
    <mergeCell ref="AM2:AM4"/>
    <mergeCell ref="AN2:AO4"/>
    <mergeCell ref="AB2:AC4"/>
    <mergeCell ref="AD2:AE4"/>
    <mergeCell ref="AF2:AF4"/>
    <mergeCell ref="AG2:AH4"/>
    <mergeCell ref="AI2:AJ4"/>
    <mergeCell ref="AK2:AL4"/>
    <mergeCell ref="Q2:R4"/>
    <mergeCell ref="S2:T4"/>
    <mergeCell ref="U2:V4"/>
    <mergeCell ref="W2:W4"/>
    <mergeCell ref="X2:Y4"/>
    <mergeCell ref="Z2:AA4"/>
    <mergeCell ref="A2:A20"/>
    <mergeCell ref="B2:C4"/>
    <mergeCell ref="D2:E4"/>
    <mergeCell ref="F2:G4"/>
    <mergeCell ref="H2:I4"/>
    <mergeCell ref="J2:K4"/>
    <mergeCell ref="L2:M4"/>
    <mergeCell ref="N2:N4"/>
    <mergeCell ref="O2:P4"/>
    <mergeCell ref="AP2:AU2"/>
    <mergeCell ref="AV2:AV20"/>
    <mergeCell ref="AP3:AQ3"/>
    <mergeCell ref="AR3:AS3"/>
    <mergeCell ref="AT3:AU3"/>
    <mergeCell ref="AP4:AQ4"/>
    <mergeCell ref="AR4:AS4"/>
    <mergeCell ref="AT4:AU4"/>
    <mergeCell ref="AN5:AU5"/>
    <mergeCell ref="AR6:AS6"/>
    <mergeCell ref="AT6:AU6"/>
    <mergeCell ref="AP15:AQ15"/>
    <mergeCell ref="AR15:AS15"/>
    <mergeCell ref="AT15:AU20"/>
    <mergeCell ref="B6:C6"/>
    <mergeCell ref="D6:E6"/>
    <mergeCell ref="F6:G6"/>
    <mergeCell ref="H6:I6"/>
    <mergeCell ref="J6:K6"/>
    <mergeCell ref="L6:M6"/>
    <mergeCell ref="N6:O6"/>
    <mergeCell ref="P6:Q6"/>
    <mergeCell ref="R6:S6"/>
    <mergeCell ref="B5:C5"/>
    <mergeCell ref="D5:E5"/>
    <mergeCell ref="F5:M5"/>
    <mergeCell ref="O5:V5"/>
    <mergeCell ref="X5:AE5"/>
    <mergeCell ref="AG5:AL5"/>
    <mergeCell ref="Y9:Z9"/>
    <mergeCell ref="AA9:AB9"/>
    <mergeCell ref="AP6:AQ6"/>
    <mergeCell ref="B9:D11"/>
    <mergeCell ref="E9:F9"/>
    <mergeCell ref="G9:H9"/>
    <mergeCell ref="I9:J9"/>
    <mergeCell ref="K9:L9"/>
    <mergeCell ref="M9:N9"/>
    <mergeCell ref="O9:P9"/>
    <mergeCell ref="AF6:AF11"/>
    <mergeCell ref="AG6:AH8"/>
    <mergeCell ref="AI6:AJ8"/>
    <mergeCell ref="AK6:AL8"/>
    <mergeCell ref="AM6:AM11"/>
    <mergeCell ref="AN6:AO8"/>
    <mergeCell ref="T6:U6"/>
    <mergeCell ref="V6:W6"/>
    <mergeCell ref="X6:Y6"/>
    <mergeCell ref="Z6:AA6"/>
    <mergeCell ref="AB6:AC6"/>
    <mergeCell ref="AD6:AE8"/>
    <mergeCell ref="AR9:AS9"/>
    <mergeCell ref="AT9:AU11"/>
    <mergeCell ref="B12:E14"/>
    <mergeCell ref="F12:G12"/>
    <mergeCell ref="H12:I12"/>
    <mergeCell ref="J12:K12"/>
    <mergeCell ref="L12:M12"/>
    <mergeCell ref="N12:O12"/>
    <mergeCell ref="P12:Q12"/>
    <mergeCell ref="R12:S12"/>
    <mergeCell ref="AC9:AE14"/>
    <mergeCell ref="AG9:AH11"/>
    <mergeCell ref="AI9:AJ11"/>
    <mergeCell ref="AK9:AL11"/>
    <mergeCell ref="AN9:AO9"/>
    <mergeCell ref="AP9:AQ9"/>
    <mergeCell ref="AG12:AL14"/>
    <mergeCell ref="AM12:AM20"/>
    <mergeCell ref="AN12:AO12"/>
    <mergeCell ref="AP12:AQ12"/>
    <mergeCell ref="Q9:R9"/>
    <mergeCell ref="S9:T9"/>
    <mergeCell ref="U9:V9"/>
    <mergeCell ref="W9:X9"/>
    <mergeCell ref="AR12:AS12"/>
    <mergeCell ref="AT12:AT13"/>
    <mergeCell ref="AU12:AU13"/>
    <mergeCell ref="B15:D17"/>
    <mergeCell ref="E15:F15"/>
    <mergeCell ref="G15:H15"/>
    <mergeCell ref="I15:J15"/>
    <mergeCell ref="K15:L15"/>
    <mergeCell ref="M15:N15"/>
    <mergeCell ref="O15:P15"/>
    <mergeCell ref="T12:U12"/>
    <mergeCell ref="V12:W12"/>
    <mergeCell ref="X12:Y12"/>
    <mergeCell ref="Z12:AA12"/>
    <mergeCell ref="AB12:AB14"/>
    <mergeCell ref="AF12:AF20"/>
    <mergeCell ref="AG15:AH17"/>
    <mergeCell ref="AI15:AJ17"/>
    <mergeCell ref="AK15:AL17"/>
    <mergeCell ref="AN15:AO15"/>
    <mergeCell ref="Q15:R15"/>
    <mergeCell ref="S15:T15"/>
    <mergeCell ref="U15:V15"/>
    <mergeCell ref="W15:X15"/>
    <mergeCell ref="Y15:Z15"/>
    <mergeCell ref="AA15:AE17"/>
    <mergeCell ref="B18:D20"/>
    <mergeCell ref="E18:G20"/>
    <mergeCell ref="H18:J20"/>
    <mergeCell ref="K18:T20"/>
    <mergeCell ref="U18:W20"/>
    <mergeCell ref="X18:Z20"/>
    <mergeCell ref="AA18:AB20"/>
    <mergeCell ref="AC18:AE20"/>
    <mergeCell ref="AG18:AH20"/>
    <mergeCell ref="AI18:AJ20"/>
    <mergeCell ref="AK18:AL20"/>
    <mergeCell ref="AN18:AQ18"/>
    <mergeCell ref="AR18:AS18"/>
    <mergeCell ref="AN19:AO19"/>
    <mergeCell ref="AP19:AQ19"/>
    <mergeCell ref="AN20:AO20"/>
    <mergeCell ref="AP20:AQ20"/>
    <mergeCell ref="O27:V27"/>
    <mergeCell ref="O24:P26"/>
    <mergeCell ref="Q24:R26"/>
    <mergeCell ref="S24:T26"/>
    <mergeCell ref="U24:V26"/>
    <mergeCell ref="W24:W26"/>
    <mergeCell ref="N28:O28"/>
    <mergeCell ref="P28:Q28"/>
    <mergeCell ref="R28:S28"/>
    <mergeCell ref="T28:U28"/>
    <mergeCell ref="V28:W28"/>
    <mergeCell ref="A24:A42"/>
    <mergeCell ref="B24:C26"/>
    <mergeCell ref="D24:E26"/>
    <mergeCell ref="F24:G26"/>
    <mergeCell ref="H24:I26"/>
    <mergeCell ref="J24:K26"/>
    <mergeCell ref="L24:M26"/>
    <mergeCell ref="N24:N26"/>
    <mergeCell ref="B27:C27"/>
    <mergeCell ref="D27:E27"/>
    <mergeCell ref="F27:M27"/>
    <mergeCell ref="AV24:AV42"/>
    <mergeCell ref="AP25:AQ25"/>
    <mergeCell ref="AR25:AS25"/>
    <mergeCell ref="AT25:AU25"/>
    <mergeCell ref="AP26:AQ26"/>
    <mergeCell ref="AR26:AS26"/>
    <mergeCell ref="Z24:AA26"/>
    <mergeCell ref="AB24:AC26"/>
    <mergeCell ref="AD24:AE26"/>
    <mergeCell ref="AF24:AF26"/>
    <mergeCell ref="AG24:AH26"/>
    <mergeCell ref="AI24:AJ26"/>
    <mergeCell ref="AT26:AU26"/>
    <mergeCell ref="X27:AE27"/>
    <mergeCell ref="AG27:AL27"/>
    <mergeCell ref="AN27:AU27"/>
    <mergeCell ref="AK24:AL26"/>
    <mergeCell ref="AM24:AM26"/>
    <mergeCell ref="AN24:AO26"/>
    <mergeCell ref="AP24:AU24"/>
    <mergeCell ref="X24:Y26"/>
    <mergeCell ref="X28:Y28"/>
    <mergeCell ref="AF28:AF33"/>
    <mergeCell ref="AG28:AH30"/>
    <mergeCell ref="B28:C28"/>
    <mergeCell ref="D28:E28"/>
    <mergeCell ref="F28:G28"/>
    <mergeCell ref="H28:I28"/>
    <mergeCell ref="J28:K28"/>
    <mergeCell ref="L28:M28"/>
    <mergeCell ref="Z28:AA28"/>
    <mergeCell ref="AB28:AC28"/>
    <mergeCell ref="AD28:AE30"/>
    <mergeCell ref="AI28:AJ30"/>
    <mergeCell ref="AA31:AB31"/>
    <mergeCell ref="AC31:AE36"/>
    <mergeCell ref="AG31:AH33"/>
    <mergeCell ref="AI31:AJ33"/>
    <mergeCell ref="AK28:AL30"/>
    <mergeCell ref="AM28:AM33"/>
    <mergeCell ref="AN28:AO30"/>
    <mergeCell ref="AP28:AQ28"/>
    <mergeCell ref="AR28:AS28"/>
    <mergeCell ref="AT28:AU28"/>
    <mergeCell ref="AK31:AL33"/>
    <mergeCell ref="AN31:AO31"/>
    <mergeCell ref="AP31:AQ31"/>
    <mergeCell ref="AR31:AS31"/>
    <mergeCell ref="AT31:AU33"/>
    <mergeCell ref="B34:E36"/>
    <mergeCell ref="F34:G34"/>
    <mergeCell ref="H34:I34"/>
    <mergeCell ref="J34:K34"/>
    <mergeCell ref="L34:M34"/>
    <mergeCell ref="N34:O34"/>
    <mergeCell ref="P34:Q34"/>
    <mergeCell ref="R34:S34"/>
    <mergeCell ref="T34:U34"/>
    <mergeCell ref="O31:P31"/>
    <mergeCell ref="Q31:R31"/>
    <mergeCell ref="S31:T31"/>
    <mergeCell ref="U31:V31"/>
    <mergeCell ref="W31:X31"/>
    <mergeCell ref="Y31:Z31"/>
    <mergeCell ref="B31:D33"/>
    <mergeCell ref="E31:F31"/>
    <mergeCell ref="AR40:AS40"/>
    <mergeCell ref="AN41:AO41"/>
    <mergeCell ref="AP41:AQ41"/>
    <mergeCell ref="G31:H31"/>
    <mergeCell ref="I31:J31"/>
    <mergeCell ref="K31:L31"/>
    <mergeCell ref="M31:N31"/>
    <mergeCell ref="AN37:AO37"/>
    <mergeCell ref="AP37:AQ37"/>
    <mergeCell ref="AR37:AS37"/>
    <mergeCell ref="V34:W34"/>
    <mergeCell ref="X34:Y34"/>
    <mergeCell ref="Z34:AA34"/>
    <mergeCell ref="AB34:AB36"/>
    <mergeCell ref="AF34:AF42"/>
    <mergeCell ref="AG34:AL36"/>
    <mergeCell ref="AA37:AE39"/>
    <mergeCell ref="AG37:AH39"/>
    <mergeCell ref="AI37:AJ39"/>
    <mergeCell ref="AK37:AL39"/>
    <mergeCell ref="O37:P37"/>
    <mergeCell ref="Q37:R37"/>
    <mergeCell ref="S37:T37"/>
    <mergeCell ref="U37:V37"/>
    <mergeCell ref="AR34:AS34"/>
    <mergeCell ref="AT34:AT35"/>
    <mergeCell ref="AU34:AU35"/>
    <mergeCell ref="B37:D39"/>
    <mergeCell ref="E37:F37"/>
    <mergeCell ref="G37:H37"/>
    <mergeCell ref="I37:J37"/>
    <mergeCell ref="K37:L37"/>
    <mergeCell ref="M37:N37"/>
    <mergeCell ref="AT37:AU42"/>
    <mergeCell ref="W37:X37"/>
    <mergeCell ref="Y37:Z37"/>
    <mergeCell ref="B40:D42"/>
    <mergeCell ref="E40:G42"/>
    <mergeCell ref="H40:J42"/>
    <mergeCell ref="K40:T42"/>
    <mergeCell ref="U40:W42"/>
    <mergeCell ref="X40:Z42"/>
    <mergeCell ref="AM34:AM42"/>
    <mergeCell ref="AN34:AO34"/>
    <mergeCell ref="AP34:AQ34"/>
    <mergeCell ref="AM46:AM48"/>
    <mergeCell ref="AN46:AO48"/>
    <mergeCell ref="AN42:AO42"/>
    <mergeCell ref="AP42:AQ42"/>
    <mergeCell ref="AA40:AB42"/>
    <mergeCell ref="AC40:AE42"/>
    <mergeCell ref="AG40:AH42"/>
    <mergeCell ref="AI40:AJ42"/>
    <mergeCell ref="AK40:AL42"/>
    <mergeCell ref="AN40:AQ40"/>
    <mergeCell ref="AB46:AC48"/>
    <mergeCell ref="AD46:AE48"/>
    <mergeCell ref="AF46:AF48"/>
    <mergeCell ref="AG46:AH48"/>
    <mergeCell ref="AI46:AJ48"/>
    <mergeCell ref="AK46:AL48"/>
    <mergeCell ref="Q46:R48"/>
    <mergeCell ref="S46:T48"/>
    <mergeCell ref="U46:V48"/>
    <mergeCell ref="W46:W48"/>
    <mergeCell ref="X46:Y48"/>
    <mergeCell ref="Z46:AA48"/>
    <mergeCell ref="A46:A64"/>
    <mergeCell ref="B46:C48"/>
    <mergeCell ref="D46:E48"/>
    <mergeCell ref="F46:G48"/>
    <mergeCell ref="H46:I48"/>
    <mergeCell ref="J46:K48"/>
    <mergeCell ref="L46:M48"/>
    <mergeCell ref="N46:N48"/>
    <mergeCell ref="O46:P48"/>
    <mergeCell ref="AP46:AU46"/>
    <mergeCell ref="AV46:AV64"/>
    <mergeCell ref="AP47:AQ47"/>
    <mergeCell ref="AR47:AS47"/>
    <mergeCell ref="AT47:AU47"/>
    <mergeCell ref="AP48:AQ48"/>
    <mergeCell ref="AR48:AS48"/>
    <mergeCell ref="AT48:AU48"/>
    <mergeCell ref="AN49:AU49"/>
    <mergeCell ref="AR50:AS50"/>
    <mergeCell ref="AT50:AU50"/>
    <mergeCell ref="B50:C50"/>
    <mergeCell ref="D50:E50"/>
    <mergeCell ref="F50:G50"/>
    <mergeCell ref="H50:I50"/>
    <mergeCell ref="J50:K50"/>
    <mergeCell ref="L50:M50"/>
    <mergeCell ref="N50:O50"/>
    <mergeCell ref="P50:Q50"/>
    <mergeCell ref="R50:S50"/>
    <mergeCell ref="B49:C49"/>
    <mergeCell ref="D49:E49"/>
    <mergeCell ref="F49:M49"/>
    <mergeCell ref="O49:V49"/>
    <mergeCell ref="X49:AE49"/>
    <mergeCell ref="AG49:AL49"/>
    <mergeCell ref="Y53:Z53"/>
    <mergeCell ref="AA53:AB53"/>
    <mergeCell ref="AP50:AQ50"/>
    <mergeCell ref="B53:D55"/>
    <mergeCell ref="E53:F53"/>
    <mergeCell ref="G53:H53"/>
    <mergeCell ref="I53:J53"/>
    <mergeCell ref="K53:L53"/>
    <mergeCell ref="M53:N53"/>
    <mergeCell ref="O53:P53"/>
    <mergeCell ref="AF50:AF55"/>
    <mergeCell ref="AG50:AH52"/>
    <mergeCell ref="AI50:AJ52"/>
    <mergeCell ref="AK50:AL52"/>
    <mergeCell ref="AM50:AM55"/>
    <mergeCell ref="AN50:AO52"/>
    <mergeCell ref="T50:U50"/>
    <mergeCell ref="V50:W50"/>
    <mergeCell ref="X50:Y50"/>
    <mergeCell ref="Z50:AA50"/>
    <mergeCell ref="AB50:AC50"/>
    <mergeCell ref="AD50:AE52"/>
    <mergeCell ref="AR53:AS53"/>
    <mergeCell ref="AT53:AU55"/>
    <mergeCell ref="B56:E58"/>
    <mergeCell ref="F56:G56"/>
    <mergeCell ref="H56:I56"/>
    <mergeCell ref="J56:K56"/>
    <mergeCell ref="L56:M56"/>
    <mergeCell ref="N56:O56"/>
    <mergeCell ref="P56:Q56"/>
    <mergeCell ref="R56:S56"/>
    <mergeCell ref="AC53:AE58"/>
    <mergeCell ref="AG53:AH55"/>
    <mergeCell ref="AI53:AJ55"/>
    <mergeCell ref="AK53:AL55"/>
    <mergeCell ref="AN53:AO53"/>
    <mergeCell ref="AP53:AQ53"/>
    <mergeCell ref="AG56:AL58"/>
    <mergeCell ref="AM56:AM64"/>
    <mergeCell ref="AN56:AO56"/>
    <mergeCell ref="AP56:AQ56"/>
    <mergeCell ref="Q53:R53"/>
    <mergeCell ref="S53:T53"/>
    <mergeCell ref="U53:V53"/>
    <mergeCell ref="W53:X53"/>
    <mergeCell ref="AU56:AU57"/>
    <mergeCell ref="B59:D61"/>
    <mergeCell ref="E59:F59"/>
    <mergeCell ref="G59:H59"/>
    <mergeCell ref="I59:J59"/>
    <mergeCell ref="K59:L59"/>
    <mergeCell ref="M59:N59"/>
    <mergeCell ref="O59:P59"/>
    <mergeCell ref="T56:U56"/>
    <mergeCell ref="V56:W56"/>
    <mergeCell ref="X56:Y56"/>
    <mergeCell ref="Z56:AA56"/>
    <mergeCell ref="AB56:AB58"/>
    <mergeCell ref="AF56:AF64"/>
    <mergeCell ref="AR59:AS59"/>
    <mergeCell ref="Q59:R59"/>
    <mergeCell ref="S59:T59"/>
    <mergeCell ref="U59:V59"/>
    <mergeCell ref="W59:X59"/>
    <mergeCell ref="Y59:Z59"/>
    <mergeCell ref="B62:D64"/>
    <mergeCell ref="E62:G64"/>
    <mergeCell ref="H62:J64"/>
    <mergeCell ref="K62:T64"/>
    <mergeCell ref="U62:W64"/>
    <mergeCell ref="X62:Z64"/>
    <mergeCell ref="AA62:AB64"/>
    <mergeCell ref="AC62:AE64"/>
    <mergeCell ref="AG62:AH64"/>
    <mergeCell ref="AK59:AL61"/>
    <mergeCell ref="AN59:AO59"/>
    <mergeCell ref="AP59:AQ59"/>
    <mergeCell ref="AA59:AE61"/>
    <mergeCell ref="AR56:AS56"/>
    <mergeCell ref="AT56:AT57"/>
    <mergeCell ref="AI62:AJ64"/>
    <mergeCell ref="AK62:AL64"/>
    <mergeCell ref="AN62:AQ62"/>
    <mergeCell ref="AR62:AS62"/>
    <mergeCell ref="AN63:AO63"/>
    <mergeCell ref="AP63:AQ63"/>
    <mergeCell ref="AN64:AO64"/>
    <mergeCell ref="AP64:AQ64"/>
    <mergeCell ref="AT59:AU64"/>
    <mergeCell ref="AG59:AH61"/>
    <mergeCell ref="AI59:AJ61"/>
  </mergeCells>
  <printOptions horizontalCentered="1" verticalCentered="1"/>
  <pageMargins left="0" right="0" top="0" bottom="0" header="0.31496062992125984" footer="0.31496062992125984"/>
  <pageSetup paperSize="9" scale="25" orientation="portrait" horizontalDpi="4294967294" verticalDpi="4294967294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S654"/>
  <sheetViews>
    <sheetView workbookViewId="0">
      <selection sqref="A1:A2"/>
    </sheetView>
  </sheetViews>
  <sheetFormatPr defaultRowHeight="15"/>
  <cols>
    <col min="1" max="1" width="11.85546875" style="19" bestFit="1" customWidth="1"/>
    <col min="2" max="3" width="9.140625" style="98"/>
    <col min="4" max="5" width="9.140625" style="99"/>
    <col min="6" max="6" width="9.140625" style="100"/>
    <col min="7" max="10" width="9.140625" style="99"/>
    <col min="11" max="11" width="9.140625" style="109"/>
    <col min="12" max="12" width="9.140625" style="105"/>
    <col min="13" max="13" width="9.140625" style="106"/>
    <col min="14" max="14" width="9.140625" style="105"/>
    <col min="15" max="15" width="9.140625" style="106"/>
    <col min="16" max="16" width="9.140625" style="105"/>
    <col min="17" max="17" width="9.140625" style="106"/>
    <col min="18" max="18" width="9.140625" style="105"/>
    <col min="19" max="19" width="9.140625" style="106"/>
    <col min="20" max="16384" width="9.140625" style="99"/>
  </cols>
  <sheetData>
    <row r="1" spans="1:19" s="1" customFormat="1">
      <c r="A1" s="114" t="s">
        <v>692</v>
      </c>
      <c r="B1" s="116" t="s">
        <v>687</v>
      </c>
      <c r="C1" s="116"/>
      <c r="D1" s="116"/>
      <c r="E1" s="116"/>
      <c r="F1" s="251"/>
      <c r="G1" s="117" t="s">
        <v>688</v>
      </c>
      <c r="H1" s="252"/>
      <c r="I1" s="252"/>
      <c r="J1" s="252"/>
      <c r="K1" s="253"/>
      <c r="L1" s="254" t="s">
        <v>825</v>
      </c>
      <c r="M1" s="255"/>
      <c r="N1" s="254" t="s">
        <v>826</v>
      </c>
      <c r="O1" s="255"/>
      <c r="P1" s="254" t="s">
        <v>827</v>
      </c>
      <c r="Q1" s="255"/>
      <c r="R1" s="254" t="s">
        <v>828</v>
      </c>
      <c r="S1" s="255"/>
    </row>
    <row r="2" spans="1:19" s="1" customFormat="1">
      <c r="A2" s="114"/>
      <c r="B2" s="47" t="s">
        <v>683</v>
      </c>
      <c r="C2" s="47" t="s">
        <v>684</v>
      </c>
      <c r="D2" s="1" t="s">
        <v>685</v>
      </c>
      <c r="E2" s="1" t="s">
        <v>686</v>
      </c>
      <c r="F2" s="23" t="s">
        <v>445</v>
      </c>
      <c r="G2" s="1" t="s">
        <v>683</v>
      </c>
      <c r="H2" s="1" t="s">
        <v>684</v>
      </c>
      <c r="I2" s="1" t="s">
        <v>685</v>
      </c>
      <c r="J2" s="1" t="s">
        <v>686</v>
      </c>
      <c r="K2" s="107" t="s">
        <v>445</v>
      </c>
      <c r="L2" s="254"/>
      <c r="M2" s="255"/>
      <c r="N2" s="254"/>
      <c r="O2" s="255"/>
      <c r="P2" s="254"/>
      <c r="Q2" s="255"/>
      <c r="R2" s="254"/>
      <c r="S2" s="255"/>
    </row>
    <row r="3" spans="1:19" ht="26.25">
      <c r="A3" s="104" t="s">
        <v>693</v>
      </c>
      <c r="B3" s="98" t="s">
        <v>660</v>
      </c>
      <c r="C3" s="98" t="s">
        <v>689</v>
      </c>
      <c r="D3" s="101"/>
      <c r="E3" s="101"/>
      <c r="F3" s="102" t="str">
        <f>IF($C3&lt;&gt;"",DEC2HEX(HEX2DEC($C3)+1,4),"")</f>
        <v>FB51</v>
      </c>
      <c r="G3" s="103" t="str">
        <f>IF(B3&lt;&gt;"",toUTF16(HEX2DEC(B3)),"")</f>
        <v>ٱ</v>
      </c>
      <c r="H3" s="103" t="str">
        <f>IF(C3&lt;&gt;"",toUTF16(HEX2DEC(C3)),"")</f>
        <v>ﭐ</v>
      </c>
      <c r="I3" s="103" t="str">
        <f>IF(D3&lt;&gt;"",toUTF16(HEX2DEC(D3)),"")</f>
        <v/>
      </c>
      <c r="J3" s="103" t="str">
        <f>IF(E3&lt;&gt;"",toUTF16(HEX2DEC(E3)),"")</f>
        <v/>
      </c>
      <c r="K3" s="108" t="str">
        <f>IF(F3&lt;&gt;"",toUTF16(HEX2DEC(F3)),"")</f>
        <v>ﭑ</v>
      </c>
      <c r="L3" s="105" t="str">
        <f>IF(C3&lt;&gt;"",B3,"")</f>
        <v>0671</v>
      </c>
      <c r="M3" s="106" t="str">
        <f>IF(C3&lt;&gt;"",C3,"")</f>
        <v>FB50</v>
      </c>
      <c r="N3" s="105" t="str">
        <f>IF(D3&lt;&gt;"",B3,"")</f>
        <v/>
      </c>
      <c r="O3" s="106" t="str">
        <f>IF(D3&lt;&gt;"",D3,"")</f>
        <v/>
      </c>
      <c r="P3" s="105" t="str">
        <f>IF(E3&lt;&gt;"",B3,"")</f>
        <v/>
      </c>
      <c r="Q3" s="106" t="str">
        <f>IF(E3&lt;&gt;"",E3,"")</f>
        <v/>
      </c>
      <c r="R3" s="105" t="str">
        <f>IF(F3&lt;&gt;"",B3,"")</f>
        <v>0671</v>
      </c>
      <c r="S3" s="106" t="str">
        <f>IF(F3&lt;&gt;"",F3,"")</f>
        <v>FB51</v>
      </c>
    </row>
    <row r="4" spans="1:19" ht="26.25">
      <c r="A4" s="104" t="s">
        <v>694</v>
      </c>
      <c r="B4" s="98" t="s">
        <v>690</v>
      </c>
      <c r="C4" s="98" t="s">
        <v>691</v>
      </c>
      <c r="D4" s="101" t="str">
        <f t="shared" ref="D4:D42" si="0">IF($C4&lt;&gt;"",DEC2HEX(HEX2DEC($C4)+2,4),"")</f>
        <v>FB54</v>
      </c>
      <c r="E4" s="101" t="str">
        <f t="shared" ref="E4:E42" si="1">IF($C4&lt;&gt;"",DEC2HEX(HEX2DEC($C4)+3,4),"")</f>
        <v>FB55</v>
      </c>
      <c r="F4" s="102" t="str">
        <f t="shared" ref="F4:F42" si="2">IF($C4&lt;&gt;"",DEC2HEX(HEX2DEC($C4)+1,4),"")</f>
        <v>FB53</v>
      </c>
      <c r="G4" s="103" t="str">
        <f>IF(B4&lt;&gt;"",toUTF16(HEX2DEC(B4)),"")</f>
        <v>ٻ</v>
      </c>
      <c r="H4" s="103" t="str">
        <f>IF(C4&lt;&gt;"",toUTF16(HEX2DEC(C4)),"")</f>
        <v>ﭒ</v>
      </c>
      <c r="I4" s="103" t="str">
        <f>IF(D4&lt;&gt;"",toUTF16(HEX2DEC(D4)),"")</f>
        <v>ﭔ</v>
      </c>
      <c r="J4" s="103" t="str">
        <f>IF(E4&lt;&gt;"",toUTF16(HEX2DEC(E4)),"")</f>
        <v>ﭕ</v>
      </c>
      <c r="K4" s="108" t="str">
        <f>IF(F4&lt;&gt;"",toUTF16(HEX2DEC(F4)),"")</f>
        <v>ﭓ</v>
      </c>
      <c r="L4" s="105" t="str">
        <f t="shared" ref="L4:L67" si="3">IF(C4&lt;&gt;"",B4,"")</f>
        <v>067B</v>
      </c>
      <c r="M4" s="106" t="str">
        <f t="shared" ref="M4:M67" si="4">IF(C4&lt;&gt;"",C4,"")</f>
        <v>FB52</v>
      </c>
      <c r="N4" s="105" t="str">
        <f t="shared" ref="N4:N67" si="5">IF(D4&lt;&gt;"",B4,"")</f>
        <v>067B</v>
      </c>
      <c r="O4" s="106" t="str">
        <f t="shared" ref="O4:O67" si="6">IF(D4&lt;&gt;"",D4,"")</f>
        <v>FB54</v>
      </c>
      <c r="P4" s="105" t="str">
        <f t="shared" ref="P4:P67" si="7">IF(E4&lt;&gt;"",B4,"")</f>
        <v>067B</v>
      </c>
      <c r="Q4" s="106" t="str">
        <f t="shared" ref="Q4:Q67" si="8">IF(E4&lt;&gt;"",E4,"")</f>
        <v>FB55</v>
      </c>
      <c r="R4" s="105" t="str">
        <f t="shared" ref="R4:R67" si="9">IF(F4&lt;&gt;"",B4,"")</f>
        <v>067B</v>
      </c>
      <c r="S4" s="106" t="str">
        <f t="shared" ref="S4:S67" si="10">IF(F4&lt;&gt;"",F4,"")</f>
        <v>FB53</v>
      </c>
    </row>
    <row r="5" spans="1:19" ht="26.25">
      <c r="A5" s="104" t="s">
        <v>695</v>
      </c>
      <c r="B5" s="98" t="s">
        <v>696</v>
      </c>
      <c r="C5" s="98" t="s">
        <v>697</v>
      </c>
      <c r="D5" s="101" t="str">
        <f t="shared" si="0"/>
        <v>FB58</v>
      </c>
      <c r="E5" s="101" t="str">
        <f t="shared" si="1"/>
        <v>FB59</v>
      </c>
      <c r="F5" s="102" t="str">
        <f t="shared" si="2"/>
        <v>FB57</v>
      </c>
      <c r="G5" s="103" t="str">
        <f>IF(B5&lt;&gt;"",toUTF16(HEX2DEC(B5)),"")</f>
        <v>پ</v>
      </c>
      <c r="H5" s="103" t="str">
        <f>IF(C5&lt;&gt;"",toUTF16(HEX2DEC(C5)),"")</f>
        <v>ﭖ</v>
      </c>
      <c r="I5" s="103" t="str">
        <f>IF(D5&lt;&gt;"",toUTF16(HEX2DEC(D5)),"")</f>
        <v>ﭘ</v>
      </c>
      <c r="J5" s="103" t="str">
        <f>IF(E5&lt;&gt;"",toUTF16(HEX2DEC(E5)),"")</f>
        <v>ﭙ</v>
      </c>
      <c r="K5" s="108" t="str">
        <f>IF(F5&lt;&gt;"",toUTF16(HEX2DEC(F5)),"")</f>
        <v>ﭗ</v>
      </c>
      <c r="L5" s="105" t="str">
        <f t="shared" si="3"/>
        <v>067E</v>
      </c>
      <c r="M5" s="106" t="str">
        <f t="shared" si="4"/>
        <v>FB56</v>
      </c>
      <c r="N5" s="105" t="str">
        <f t="shared" si="5"/>
        <v>067E</v>
      </c>
      <c r="O5" s="106" t="str">
        <f t="shared" si="6"/>
        <v>FB58</v>
      </c>
      <c r="P5" s="105" t="str">
        <f t="shared" si="7"/>
        <v>067E</v>
      </c>
      <c r="Q5" s="106" t="str">
        <f t="shared" si="8"/>
        <v>FB59</v>
      </c>
      <c r="R5" s="105" t="str">
        <f t="shared" si="9"/>
        <v>067E</v>
      </c>
      <c r="S5" s="106" t="str">
        <f t="shared" si="10"/>
        <v>FB57</v>
      </c>
    </row>
    <row r="6" spans="1:19" ht="26.25">
      <c r="A6" s="104" t="s">
        <v>698</v>
      </c>
      <c r="B6" s="98" t="s">
        <v>699</v>
      </c>
      <c r="C6" s="98" t="s">
        <v>700</v>
      </c>
      <c r="D6" s="101" t="str">
        <f t="shared" si="0"/>
        <v>FB5C</v>
      </c>
      <c r="E6" s="101" t="str">
        <f t="shared" si="1"/>
        <v>FB5D</v>
      </c>
      <c r="F6" s="102" t="str">
        <f t="shared" si="2"/>
        <v>FB5B</v>
      </c>
      <c r="G6" s="103" t="str">
        <f>IF(B6&lt;&gt;"",toUTF16(HEX2DEC(B6)),"")</f>
        <v>ڀ</v>
      </c>
      <c r="H6" s="103" t="str">
        <f>IF(C6&lt;&gt;"",toUTF16(HEX2DEC(C6)),"")</f>
        <v>ﭚ</v>
      </c>
      <c r="I6" s="103" t="str">
        <f>IF(D6&lt;&gt;"",toUTF16(HEX2DEC(D6)),"")</f>
        <v>ﭜ</v>
      </c>
      <c r="J6" s="103" t="str">
        <f>IF(E6&lt;&gt;"",toUTF16(HEX2DEC(E6)),"")</f>
        <v>ﭝ</v>
      </c>
      <c r="K6" s="108" t="str">
        <f>IF(F6&lt;&gt;"",toUTF16(HEX2DEC(F6)),"")</f>
        <v>ﭛ</v>
      </c>
      <c r="L6" s="105" t="str">
        <f t="shared" si="3"/>
        <v>0680</v>
      </c>
      <c r="M6" s="106" t="str">
        <f t="shared" si="4"/>
        <v>FB5A</v>
      </c>
      <c r="N6" s="105" t="str">
        <f t="shared" si="5"/>
        <v>0680</v>
      </c>
      <c r="O6" s="106" t="str">
        <f t="shared" si="6"/>
        <v>FB5C</v>
      </c>
      <c r="P6" s="105" t="str">
        <f t="shared" si="7"/>
        <v>0680</v>
      </c>
      <c r="Q6" s="106" t="str">
        <f t="shared" si="8"/>
        <v>FB5D</v>
      </c>
      <c r="R6" s="105" t="str">
        <f t="shared" si="9"/>
        <v>0680</v>
      </c>
      <c r="S6" s="106" t="str">
        <f t="shared" si="10"/>
        <v>FB5B</v>
      </c>
    </row>
    <row r="7" spans="1:19" ht="26.25">
      <c r="A7" s="104" t="s">
        <v>701</v>
      </c>
      <c r="B7" s="98" t="s">
        <v>702</v>
      </c>
      <c r="C7" s="98" t="s">
        <v>705</v>
      </c>
      <c r="D7" s="101" t="str">
        <f t="shared" si="0"/>
        <v>FB60</v>
      </c>
      <c r="E7" s="101" t="str">
        <f t="shared" si="1"/>
        <v>FB61</v>
      </c>
      <c r="F7" s="102" t="str">
        <f t="shared" si="2"/>
        <v>FB5F</v>
      </c>
      <c r="G7" s="103" t="str">
        <f>IF(B7&lt;&gt;"",toUTF16(HEX2DEC(B7)),"")</f>
        <v>ٺ</v>
      </c>
      <c r="H7" s="103" t="str">
        <f>IF(C7&lt;&gt;"",toUTF16(HEX2DEC(C7)),"")</f>
        <v>ﭞ</v>
      </c>
      <c r="I7" s="103" t="str">
        <f>IF(D7&lt;&gt;"",toUTF16(HEX2DEC(D7)),"")</f>
        <v>ﭠ</v>
      </c>
      <c r="J7" s="103" t="str">
        <f>IF(E7&lt;&gt;"",toUTF16(HEX2DEC(E7)),"")</f>
        <v>ﭡ</v>
      </c>
      <c r="K7" s="108" t="str">
        <f>IF(F7&lt;&gt;"",toUTF16(HEX2DEC(F7)),"")</f>
        <v>ﭟ</v>
      </c>
      <c r="L7" s="105" t="str">
        <f t="shared" si="3"/>
        <v>067A</v>
      </c>
      <c r="M7" s="106" t="str">
        <f t="shared" si="4"/>
        <v>FB5E</v>
      </c>
      <c r="N7" s="105" t="str">
        <f t="shared" si="5"/>
        <v>067A</v>
      </c>
      <c r="O7" s="106" t="str">
        <f t="shared" si="6"/>
        <v>FB60</v>
      </c>
      <c r="P7" s="105" t="str">
        <f t="shared" si="7"/>
        <v>067A</v>
      </c>
      <c r="Q7" s="106" t="str">
        <f t="shared" si="8"/>
        <v>FB61</v>
      </c>
      <c r="R7" s="105" t="str">
        <f t="shared" si="9"/>
        <v>067A</v>
      </c>
      <c r="S7" s="106" t="str">
        <f t="shared" si="10"/>
        <v>FB5F</v>
      </c>
    </row>
    <row r="8" spans="1:19" ht="26.25">
      <c r="A8" s="104" t="s">
        <v>703</v>
      </c>
      <c r="B8" s="98" t="s">
        <v>704</v>
      </c>
      <c r="C8" s="98" t="s">
        <v>706</v>
      </c>
      <c r="D8" s="101" t="str">
        <f t="shared" si="0"/>
        <v>FB64</v>
      </c>
      <c r="E8" s="101" t="str">
        <f t="shared" si="1"/>
        <v>FB65</v>
      </c>
      <c r="F8" s="102" t="str">
        <f t="shared" si="2"/>
        <v>FB63</v>
      </c>
      <c r="G8" s="103" t="str">
        <f>IF(B8&lt;&gt;"",toUTF16(HEX2DEC(B8)),"")</f>
        <v>ٿ</v>
      </c>
      <c r="H8" s="103" t="str">
        <f>IF(C8&lt;&gt;"",toUTF16(HEX2DEC(C8)),"")</f>
        <v>ﭢ</v>
      </c>
      <c r="I8" s="103" t="str">
        <f>IF(D8&lt;&gt;"",toUTF16(HEX2DEC(D8)),"")</f>
        <v>ﭤ</v>
      </c>
      <c r="J8" s="103" t="str">
        <f>IF(E8&lt;&gt;"",toUTF16(HEX2DEC(E8)),"")</f>
        <v>ﭥ</v>
      </c>
      <c r="K8" s="108" t="str">
        <f>IF(F8&lt;&gt;"",toUTF16(HEX2DEC(F8)),"")</f>
        <v>ﭣ</v>
      </c>
      <c r="L8" s="105" t="str">
        <f t="shared" si="3"/>
        <v>067F</v>
      </c>
      <c r="M8" s="106" t="str">
        <f t="shared" si="4"/>
        <v>FB62</v>
      </c>
      <c r="N8" s="105" t="str">
        <f t="shared" si="5"/>
        <v>067F</v>
      </c>
      <c r="O8" s="106" t="str">
        <f t="shared" si="6"/>
        <v>FB64</v>
      </c>
      <c r="P8" s="105" t="str">
        <f t="shared" si="7"/>
        <v>067F</v>
      </c>
      <c r="Q8" s="106" t="str">
        <f t="shared" si="8"/>
        <v>FB65</v>
      </c>
      <c r="R8" s="105" t="str">
        <f t="shared" si="9"/>
        <v>067F</v>
      </c>
      <c r="S8" s="106" t="str">
        <f t="shared" si="10"/>
        <v>FB63</v>
      </c>
    </row>
    <row r="9" spans="1:19" ht="26.25">
      <c r="A9" s="104" t="s">
        <v>707</v>
      </c>
      <c r="B9" s="98" t="s">
        <v>708</v>
      </c>
      <c r="C9" s="98" t="s">
        <v>709</v>
      </c>
      <c r="D9" s="101" t="str">
        <f t="shared" si="0"/>
        <v>FB68</v>
      </c>
      <c r="E9" s="101" t="str">
        <f t="shared" si="1"/>
        <v>FB69</v>
      </c>
      <c r="F9" s="102" t="str">
        <f t="shared" si="2"/>
        <v>FB67</v>
      </c>
      <c r="G9" s="103" t="str">
        <f>IF(B9&lt;&gt;"",toUTF16(HEX2DEC(B9)),"")</f>
        <v>ٹ</v>
      </c>
      <c r="H9" s="103" t="str">
        <f>IF(C9&lt;&gt;"",toUTF16(HEX2DEC(C9)),"")</f>
        <v>ﭦ</v>
      </c>
      <c r="I9" s="103" t="str">
        <f>IF(D9&lt;&gt;"",toUTF16(HEX2DEC(D9)),"")</f>
        <v>ﭨ</v>
      </c>
      <c r="J9" s="103" t="str">
        <f>IF(E9&lt;&gt;"",toUTF16(HEX2DEC(E9)),"")</f>
        <v>ﭩ</v>
      </c>
      <c r="K9" s="108" t="str">
        <f>IF(F9&lt;&gt;"",toUTF16(HEX2DEC(F9)),"")</f>
        <v>ﭧ</v>
      </c>
      <c r="L9" s="105" t="str">
        <f t="shared" si="3"/>
        <v>0679</v>
      </c>
      <c r="M9" s="106" t="str">
        <f t="shared" si="4"/>
        <v>FB66</v>
      </c>
      <c r="N9" s="105" t="str">
        <f t="shared" si="5"/>
        <v>0679</v>
      </c>
      <c r="O9" s="106" t="str">
        <f t="shared" si="6"/>
        <v>FB68</v>
      </c>
      <c r="P9" s="105" t="str">
        <f t="shared" si="7"/>
        <v>0679</v>
      </c>
      <c r="Q9" s="106" t="str">
        <f t="shared" si="8"/>
        <v>FB69</v>
      </c>
      <c r="R9" s="105" t="str">
        <f t="shared" si="9"/>
        <v>0679</v>
      </c>
      <c r="S9" s="106" t="str">
        <f t="shared" si="10"/>
        <v>FB67</v>
      </c>
    </row>
    <row r="10" spans="1:19" ht="26.25">
      <c r="A10" s="104" t="s">
        <v>710</v>
      </c>
      <c r="B10" s="98" t="s">
        <v>711</v>
      </c>
      <c r="C10" s="98" t="s">
        <v>712</v>
      </c>
      <c r="D10" s="101" t="str">
        <f t="shared" si="0"/>
        <v>FB6C</v>
      </c>
      <c r="E10" s="101" t="str">
        <f t="shared" si="1"/>
        <v>FB6D</v>
      </c>
      <c r="F10" s="102" t="str">
        <f t="shared" si="2"/>
        <v>FB6B</v>
      </c>
      <c r="G10" s="103" t="str">
        <f>IF(B10&lt;&gt;"",toUTF16(HEX2DEC(B10)),"")</f>
        <v>ڤ</v>
      </c>
      <c r="H10" s="103" t="str">
        <f>IF(C10&lt;&gt;"",toUTF16(HEX2DEC(C10)),"")</f>
        <v>ﭪ</v>
      </c>
      <c r="I10" s="103" t="str">
        <f>IF(D10&lt;&gt;"",toUTF16(HEX2DEC(D10)),"")</f>
        <v>ﭬ</v>
      </c>
      <c r="J10" s="103" t="str">
        <f>IF(E10&lt;&gt;"",toUTF16(HEX2DEC(E10)),"")</f>
        <v>ﭭ</v>
      </c>
      <c r="K10" s="108" t="str">
        <f>IF(F10&lt;&gt;"",toUTF16(HEX2DEC(F10)),"")</f>
        <v>ﭫ</v>
      </c>
      <c r="L10" s="105" t="str">
        <f t="shared" si="3"/>
        <v>06A4</v>
      </c>
      <c r="M10" s="106" t="str">
        <f t="shared" si="4"/>
        <v>FB6A</v>
      </c>
      <c r="N10" s="105" t="str">
        <f t="shared" si="5"/>
        <v>06A4</v>
      </c>
      <c r="O10" s="106" t="str">
        <f t="shared" si="6"/>
        <v>FB6C</v>
      </c>
      <c r="P10" s="105" t="str">
        <f t="shared" si="7"/>
        <v>06A4</v>
      </c>
      <c r="Q10" s="106" t="str">
        <f t="shared" si="8"/>
        <v>FB6D</v>
      </c>
      <c r="R10" s="105" t="str">
        <f t="shared" si="9"/>
        <v>06A4</v>
      </c>
      <c r="S10" s="106" t="str">
        <f t="shared" si="10"/>
        <v>FB6B</v>
      </c>
    </row>
    <row r="11" spans="1:19" ht="26.25">
      <c r="A11" s="104" t="s">
        <v>713</v>
      </c>
      <c r="B11" s="98" t="s">
        <v>714</v>
      </c>
      <c r="C11" s="98" t="s">
        <v>715</v>
      </c>
      <c r="D11" s="101" t="str">
        <f t="shared" si="0"/>
        <v>FB70</v>
      </c>
      <c r="E11" s="101" t="str">
        <f t="shared" si="1"/>
        <v>FB71</v>
      </c>
      <c r="F11" s="102" t="str">
        <f t="shared" si="2"/>
        <v>FB6F</v>
      </c>
      <c r="G11" s="103" t="str">
        <f>IF(B11&lt;&gt;"",toUTF16(HEX2DEC(B11)),"")</f>
        <v>ڦ</v>
      </c>
      <c r="H11" s="103" t="str">
        <f>IF(C11&lt;&gt;"",toUTF16(HEX2DEC(C11)),"")</f>
        <v>ﭮ</v>
      </c>
      <c r="I11" s="103" t="str">
        <f>IF(D11&lt;&gt;"",toUTF16(HEX2DEC(D11)),"")</f>
        <v>ﭰ</v>
      </c>
      <c r="J11" s="103" t="str">
        <f>IF(E11&lt;&gt;"",toUTF16(HEX2DEC(E11)),"")</f>
        <v>ﭱ</v>
      </c>
      <c r="K11" s="108" t="str">
        <f>IF(F11&lt;&gt;"",toUTF16(HEX2DEC(F11)),"")</f>
        <v>ﭯ</v>
      </c>
      <c r="L11" s="105" t="str">
        <f t="shared" si="3"/>
        <v>06A6</v>
      </c>
      <c r="M11" s="106" t="str">
        <f t="shared" si="4"/>
        <v>FB6E</v>
      </c>
      <c r="N11" s="105" t="str">
        <f t="shared" si="5"/>
        <v>06A6</v>
      </c>
      <c r="O11" s="106" t="str">
        <f t="shared" si="6"/>
        <v>FB70</v>
      </c>
      <c r="P11" s="105" t="str">
        <f t="shared" si="7"/>
        <v>06A6</v>
      </c>
      <c r="Q11" s="106" t="str">
        <f t="shared" si="8"/>
        <v>FB71</v>
      </c>
      <c r="R11" s="105" t="str">
        <f t="shared" si="9"/>
        <v>06A6</v>
      </c>
      <c r="S11" s="106" t="str">
        <f t="shared" si="10"/>
        <v>FB6F</v>
      </c>
    </row>
    <row r="12" spans="1:19" ht="26.25">
      <c r="A12" s="104" t="s">
        <v>716</v>
      </c>
      <c r="B12" s="98" t="s">
        <v>717</v>
      </c>
      <c r="C12" s="98" t="s">
        <v>718</v>
      </c>
      <c r="D12" s="101" t="str">
        <f t="shared" si="0"/>
        <v>FB74</v>
      </c>
      <c r="E12" s="101" t="str">
        <f t="shared" si="1"/>
        <v>FB75</v>
      </c>
      <c r="F12" s="102" t="str">
        <f t="shared" si="2"/>
        <v>FB73</v>
      </c>
      <c r="G12" s="103" t="str">
        <f>IF(B12&lt;&gt;"",toUTF16(HEX2DEC(B12)),"")</f>
        <v>ڄ</v>
      </c>
      <c r="H12" s="103" t="str">
        <f>IF(C12&lt;&gt;"",toUTF16(HEX2DEC(C12)),"")</f>
        <v>ﭲ</v>
      </c>
      <c r="I12" s="103" t="str">
        <f>IF(D12&lt;&gt;"",toUTF16(HEX2DEC(D12)),"")</f>
        <v>ﭴ</v>
      </c>
      <c r="J12" s="103" t="str">
        <f>IF(E12&lt;&gt;"",toUTF16(HEX2DEC(E12)),"")</f>
        <v>ﭵ</v>
      </c>
      <c r="K12" s="108" t="str">
        <f>IF(F12&lt;&gt;"",toUTF16(HEX2DEC(F12)),"")</f>
        <v>ﭳ</v>
      </c>
      <c r="L12" s="105" t="str">
        <f t="shared" si="3"/>
        <v>0684</v>
      </c>
      <c r="M12" s="106" t="str">
        <f t="shared" si="4"/>
        <v>FB72</v>
      </c>
      <c r="N12" s="105" t="str">
        <f t="shared" si="5"/>
        <v>0684</v>
      </c>
      <c r="O12" s="106" t="str">
        <f t="shared" si="6"/>
        <v>FB74</v>
      </c>
      <c r="P12" s="105" t="str">
        <f t="shared" si="7"/>
        <v>0684</v>
      </c>
      <c r="Q12" s="106" t="str">
        <f t="shared" si="8"/>
        <v>FB75</v>
      </c>
      <c r="R12" s="105" t="str">
        <f t="shared" si="9"/>
        <v>0684</v>
      </c>
      <c r="S12" s="106" t="str">
        <f t="shared" si="10"/>
        <v>FB73</v>
      </c>
    </row>
    <row r="13" spans="1:19" ht="26.25">
      <c r="A13" s="104" t="s">
        <v>719</v>
      </c>
      <c r="B13" s="98" t="s">
        <v>720</v>
      </c>
      <c r="C13" s="98" t="s">
        <v>721</v>
      </c>
      <c r="D13" s="101" t="str">
        <f t="shared" si="0"/>
        <v>FB78</v>
      </c>
      <c r="E13" s="101" t="str">
        <f t="shared" si="1"/>
        <v>FB79</v>
      </c>
      <c r="F13" s="102" t="str">
        <f t="shared" si="2"/>
        <v>FB77</v>
      </c>
      <c r="G13" s="103" t="str">
        <f>IF(B13&lt;&gt;"",toUTF16(HEX2DEC(B13)),"")</f>
        <v>ڃ</v>
      </c>
      <c r="H13" s="103" t="str">
        <f>IF(C13&lt;&gt;"",toUTF16(HEX2DEC(C13)),"")</f>
        <v>ﭶ</v>
      </c>
      <c r="I13" s="103" t="str">
        <f>IF(D13&lt;&gt;"",toUTF16(HEX2DEC(D13)),"")</f>
        <v>ﭸ</v>
      </c>
      <c r="J13" s="103" t="str">
        <f>IF(E13&lt;&gt;"",toUTF16(HEX2DEC(E13)),"")</f>
        <v>ﭹ</v>
      </c>
      <c r="K13" s="108" t="str">
        <f>IF(F13&lt;&gt;"",toUTF16(HEX2DEC(F13)),"")</f>
        <v>ﭷ</v>
      </c>
      <c r="L13" s="105" t="str">
        <f t="shared" si="3"/>
        <v>0683</v>
      </c>
      <c r="M13" s="106" t="str">
        <f t="shared" si="4"/>
        <v>FB76</v>
      </c>
      <c r="N13" s="105" t="str">
        <f t="shared" si="5"/>
        <v>0683</v>
      </c>
      <c r="O13" s="106" t="str">
        <f t="shared" si="6"/>
        <v>FB78</v>
      </c>
      <c r="P13" s="105" t="str">
        <f t="shared" si="7"/>
        <v>0683</v>
      </c>
      <c r="Q13" s="106" t="str">
        <f t="shared" si="8"/>
        <v>FB79</v>
      </c>
      <c r="R13" s="105" t="str">
        <f t="shared" si="9"/>
        <v>0683</v>
      </c>
      <c r="S13" s="106" t="str">
        <f t="shared" si="10"/>
        <v>FB77</v>
      </c>
    </row>
    <row r="14" spans="1:19" ht="26.25">
      <c r="A14" s="104" t="s">
        <v>722</v>
      </c>
      <c r="B14" s="98" t="s">
        <v>723</v>
      </c>
      <c r="C14" s="98" t="s">
        <v>724</v>
      </c>
      <c r="D14" s="101" t="str">
        <f t="shared" si="0"/>
        <v>FB7C</v>
      </c>
      <c r="E14" s="101" t="str">
        <f t="shared" si="1"/>
        <v>FB7D</v>
      </c>
      <c r="F14" s="102" t="str">
        <f t="shared" si="2"/>
        <v>FB7B</v>
      </c>
      <c r="G14" s="103" t="str">
        <f>IF(B14&lt;&gt;"",toUTF16(HEX2DEC(B14)),"")</f>
        <v>چ</v>
      </c>
      <c r="H14" s="103" t="str">
        <f>IF(C14&lt;&gt;"",toUTF16(HEX2DEC(C14)),"")</f>
        <v>ﭺ</v>
      </c>
      <c r="I14" s="103" t="str">
        <f>IF(D14&lt;&gt;"",toUTF16(HEX2DEC(D14)),"")</f>
        <v>ﭼ</v>
      </c>
      <c r="J14" s="103" t="str">
        <f>IF(E14&lt;&gt;"",toUTF16(HEX2DEC(E14)),"")</f>
        <v>ﭽ</v>
      </c>
      <c r="K14" s="108" t="str">
        <f>IF(F14&lt;&gt;"",toUTF16(HEX2DEC(F14)),"")</f>
        <v>ﭻ</v>
      </c>
      <c r="L14" s="105" t="str">
        <f t="shared" si="3"/>
        <v>0686</v>
      </c>
      <c r="M14" s="106" t="str">
        <f t="shared" si="4"/>
        <v>FB7A</v>
      </c>
      <c r="N14" s="105" t="str">
        <f t="shared" si="5"/>
        <v>0686</v>
      </c>
      <c r="O14" s="106" t="str">
        <f t="shared" si="6"/>
        <v>FB7C</v>
      </c>
      <c r="P14" s="105" t="str">
        <f t="shared" si="7"/>
        <v>0686</v>
      </c>
      <c r="Q14" s="106" t="str">
        <f t="shared" si="8"/>
        <v>FB7D</v>
      </c>
      <c r="R14" s="105" t="str">
        <f t="shared" si="9"/>
        <v>0686</v>
      </c>
      <c r="S14" s="106" t="str">
        <f t="shared" si="10"/>
        <v>FB7B</v>
      </c>
    </row>
    <row r="15" spans="1:19" ht="26.25">
      <c r="A15" s="104" t="s">
        <v>725</v>
      </c>
      <c r="B15" s="98" t="s">
        <v>726</v>
      </c>
      <c r="C15" s="98" t="s">
        <v>727</v>
      </c>
      <c r="D15" s="101" t="str">
        <f t="shared" si="0"/>
        <v>FB80</v>
      </c>
      <c r="E15" s="101" t="str">
        <f t="shared" si="1"/>
        <v>FB81</v>
      </c>
      <c r="F15" s="102" t="str">
        <f t="shared" si="2"/>
        <v>FB7F</v>
      </c>
      <c r="G15" s="103" t="str">
        <f>IF(B15&lt;&gt;"",toUTF16(HEX2DEC(B15)),"")</f>
        <v>ڇ</v>
      </c>
      <c r="H15" s="103" t="str">
        <f>IF(C15&lt;&gt;"",toUTF16(HEX2DEC(C15)),"")</f>
        <v>ﭾ</v>
      </c>
      <c r="I15" s="103" t="str">
        <f>IF(D15&lt;&gt;"",toUTF16(HEX2DEC(D15)),"")</f>
        <v>ﮀ</v>
      </c>
      <c r="J15" s="103" t="str">
        <f>IF(E15&lt;&gt;"",toUTF16(HEX2DEC(E15)),"")</f>
        <v>ﮁ</v>
      </c>
      <c r="K15" s="108" t="str">
        <f>IF(F15&lt;&gt;"",toUTF16(HEX2DEC(F15)),"")</f>
        <v>ﭿ</v>
      </c>
      <c r="L15" s="105" t="str">
        <f t="shared" si="3"/>
        <v>0687</v>
      </c>
      <c r="M15" s="106" t="str">
        <f t="shared" si="4"/>
        <v>FB7E</v>
      </c>
      <c r="N15" s="105" t="str">
        <f t="shared" si="5"/>
        <v>0687</v>
      </c>
      <c r="O15" s="106" t="str">
        <f t="shared" si="6"/>
        <v>FB80</v>
      </c>
      <c r="P15" s="105" t="str">
        <f t="shared" si="7"/>
        <v>0687</v>
      </c>
      <c r="Q15" s="106" t="str">
        <f t="shared" si="8"/>
        <v>FB81</v>
      </c>
      <c r="R15" s="105" t="str">
        <f t="shared" si="9"/>
        <v>0687</v>
      </c>
      <c r="S15" s="106" t="str">
        <f t="shared" si="10"/>
        <v>FB7F</v>
      </c>
    </row>
    <row r="16" spans="1:19" ht="26.25">
      <c r="A16" s="104" t="s">
        <v>728</v>
      </c>
      <c r="B16" s="98" t="s">
        <v>729</v>
      </c>
      <c r="C16" s="98" t="s">
        <v>733</v>
      </c>
      <c r="D16" s="101"/>
      <c r="E16" s="101"/>
      <c r="F16" s="102" t="str">
        <f t="shared" si="2"/>
        <v>FB83</v>
      </c>
      <c r="G16" s="103" t="str">
        <f>IF(B16&lt;&gt;"",toUTF16(HEX2DEC(B16)),"")</f>
        <v>ڍ</v>
      </c>
      <c r="H16" s="103" t="str">
        <f>IF(C16&lt;&gt;"",toUTF16(HEX2DEC(C16)),"")</f>
        <v>ﮂ</v>
      </c>
      <c r="I16" s="103" t="str">
        <f>IF(D16&lt;&gt;"",toUTF16(HEX2DEC(D16)),"")</f>
        <v/>
      </c>
      <c r="J16" s="103" t="str">
        <f>IF(E16&lt;&gt;"",toUTF16(HEX2DEC(E16)),"")</f>
        <v/>
      </c>
      <c r="K16" s="108" t="str">
        <f>IF(F16&lt;&gt;"",toUTF16(HEX2DEC(F16)),"")</f>
        <v>ﮃ</v>
      </c>
      <c r="L16" s="105" t="str">
        <f t="shared" si="3"/>
        <v>068D</v>
      </c>
      <c r="M16" s="106" t="str">
        <f t="shared" si="4"/>
        <v>FB82</v>
      </c>
      <c r="N16" s="105" t="str">
        <f t="shared" si="5"/>
        <v/>
      </c>
      <c r="O16" s="106" t="str">
        <f t="shared" si="6"/>
        <v/>
      </c>
      <c r="P16" s="105" t="str">
        <f t="shared" si="7"/>
        <v/>
      </c>
      <c r="Q16" s="106" t="str">
        <f t="shared" si="8"/>
        <v/>
      </c>
      <c r="R16" s="105" t="str">
        <f t="shared" si="9"/>
        <v>068D</v>
      </c>
      <c r="S16" s="106" t="str">
        <f t="shared" si="10"/>
        <v>FB83</v>
      </c>
    </row>
    <row r="17" spans="1:19" ht="26.25">
      <c r="A17" s="104" t="s">
        <v>730</v>
      </c>
      <c r="B17" s="98" t="s">
        <v>731</v>
      </c>
      <c r="C17" s="98" t="s">
        <v>732</v>
      </c>
      <c r="D17" s="101"/>
      <c r="E17" s="101"/>
      <c r="F17" s="102" t="str">
        <f t="shared" si="2"/>
        <v>FB85</v>
      </c>
      <c r="G17" s="103" t="str">
        <f>IF(B17&lt;&gt;"",toUTF16(HEX2DEC(B17)),"")</f>
        <v>ڌ</v>
      </c>
      <c r="H17" s="103" t="str">
        <f>IF(C17&lt;&gt;"",toUTF16(HEX2DEC(C17)),"")</f>
        <v>ﮄ</v>
      </c>
      <c r="I17" s="103" t="str">
        <f>IF(D17&lt;&gt;"",toUTF16(HEX2DEC(D17)),"")</f>
        <v/>
      </c>
      <c r="J17" s="103" t="str">
        <f>IF(E17&lt;&gt;"",toUTF16(HEX2DEC(E17)),"")</f>
        <v/>
      </c>
      <c r="K17" s="108" t="str">
        <f>IF(F17&lt;&gt;"",toUTF16(HEX2DEC(F17)),"")</f>
        <v>ﮅ</v>
      </c>
      <c r="L17" s="105" t="str">
        <f t="shared" si="3"/>
        <v>068C</v>
      </c>
      <c r="M17" s="106" t="str">
        <f t="shared" si="4"/>
        <v>FB84</v>
      </c>
      <c r="N17" s="105" t="str">
        <f t="shared" si="5"/>
        <v/>
      </c>
      <c r="O17" s="106" t="str">
        <f t="shared" si="6"/>
        <v/>
      </c>
      <c r="P17" s="105" t="str">
        <f t="shared" si="7"/>
        <v/>
      </c>
      <c r="Q17" s="106" t="str">
        <f t="shared" si="8"/>
        <v/>
      </c>
      <c r="R17" s="105" t="str">
        <f t="shared" si="9"/>
        <v>068C</v>
      </c>
      <c r="S17" s="106" t="str">
        <f t="shared" si="10"/>
        <v>FB85</v>
      </c>
    </row>
    <row r="18" spans="1:19" ht="26.25">
      <c r="A18" s="104" t="s">
        <v>734</v>
      </c>
      <c r="B18" s="98" t="s">
        <v>738</v>
      </c>
      <c r="C18" s="98" t="s">
        <v>736</v>
      </c>
      <c r="D18" s="101"/>
      <c r="E18" s="101"/>
      <c r="F18" s="102" t="str">
        <f t="shared" si="2"/>
        <v>FB87</v>
      </c>
      <c r="G18" s="103" t="str">
        <f>IF(B18&lt;&gt;"",toUTF16(HEX2DEC(B18)),"")</f>
        <v>ڎ</v>
      </c>
      <c r="H18" s="103" t="str">
        <f>IF(C18&lt;&gt;"",toUTF16(HEX2DEC(C18)),"")</f>
        <v>ﮆ</v>
      </c>
      <c r="I18" s="103" t="str">
        <f>IF(D18&lt;&gt;"",toUTF16(HEX2DEC(D18)),"")</f>
        <v/>
      </c>
      <c r="J18" s="103" t="str">
        <f>IF(E18&lt;&gt;"",toUTF16(HEX2DEC(E18)),"")</f>
        <v/>
      </c>
      <c r="K18" s="108" t="str">
        <f>IF(F18&lt;&gt;"",toUTF16(HEX2DEC(F18)),"")</f>
        <v>ﮇ</v>
      </c>
      <c r="L18" s="105" t="str">
        <f t="shared" si="3"/>
        <v>068E</v>
      </c>
      <c r="M18" s="106" t="str">
        <f t="shared" si="4"/>
        <v>FB86</v>
      </c>
      <c r="N18" s="105" t="str">
        <f t="shared" si="5"/>
        <v/>
      </c>
      <c r="O18" s="106" t="str">
        <f t="shared" si="6"/>
        <v/>
      </c>
      <c r="P18" s="105" t="str">
        <f t="shared" si="7"/>
        <v/>
      </c>
      <c r="Q18" s="106" t="str">
        <f t="shared" si="8"/>
        <v/>
      </c>
      <c r="R18" s="105" t="str">
        <f t="shared" si="9"/>
        <v>068E</v>
      </c>
      <c r="S18" s="106" t="str">
        <f t="shared" si="10"/>
        <v>FB87</v>
      </c>
    </row>
    <row r="19" spans="1:19" ht="26.25">
      <c r="A19" s="104" t="s">
        <v>737</v>
      </c>
      <c r="B19" s="98" t="s">
        <v>735</v>
      </c>
      <c r="C19" s="98" t="s">
        <v>739</v>
      </c>
      <c r="D19" s="101"/>
      <c r="E19" s="101"/>
      <c r="F19" s="102" t="str">
        <f t="shared" si="2"/>
        <v>FB89</v>
      </c>
      <c r="G19" s="103" t="str">
        <f>IF(B19&lt;&gt;"",toUTF16(HEX2DEC(B19)),"")</f>
        <v>ڈ</v>
      </c>
      <c r="H19" s="103" t="str">
        <f>IF(C19&lt;&gt;"",toUTF16(HEX2DEC(C19)),"")</f>
        <v>ﮈ</v>
      </c>
      <c r="I19" s="103" t="str">
        <f>IF(D19&lt;&gt;"",toUTF16(HEX2DEC(D19)),"")</f>
        <v/>
      </c>
      <c r="J19" s="103" t="str">
        <f>IF(E19&lt;&gt;"",toUTF16(HEX2DEC(E19)),"")</f>
        <v/>
      </c>
      <c r="K19" s="108" t="str">
        <f>IF(F19&lt;&gt;"",toUTF16(HEX2DEC(F19)),"")</f>
        <v>ﮉ</v>
      </c>
      <c r="L19" s="105" t="str">
        <f t="shared" si="3"/>
        <v>0688</v>
      </c>
      <c r="M19" s="106" t="str">
        <f t="shared" si="4"/>
        <v>FB88</v>
      </c>
      <c r="N19" s="105" t="str">
        <f t="shared" si="5"/>
        <v/>
      </c>
      <c r="O19" s="106" t="str">
        <f t="shared" si="6"/>
        <v/>
      </c>
      <c r="P19" s="105" t="str">
        <f t="shared" si="7"/>
        <v/>
      </c>
      <c r="Q19" s="106" t="str">
        <f t="shared" si="8"/>
        <v/>
      </c>
      <c r="R19" s="105" t="str">
        <f t="shared" si="9"/>
        <v>0688</v>
      </c>
      <c r="S19" s="106" t="str">
        <f t="shared" si="10"/>
        <v>FB89</v>
      </c>
    </row>
    <row r="20" spans="1:19" ht="26.25">
      <c r="A20" s="104" t="s">
        <v>740</v>
      </c>
      <c r="B20" s="98" t="s">
        <v>741</v>
      </c>
      <c r="C20" s="98" t="s">
        <v>742</v>
      </c>
      <c r="D20" s="101"/>
      <c r="E20" s="101"/>
      <c r="F20" s="102" t="str">
        <f t="shared" si="2"/>
        <v>FB8B</v>
      </c>
      <c r="G20" s="103" t="str">
        <f>IF(B20&lt;&gt;"",toUTF16(HEX2DEC(B20)),"")</f>
        <v>ژ</v>
      </c>
      <c r="H20" s="103" t="str">
        <f>IF(C20&lt;&gt;"",toUTF16(HEX2DEC(C20)),"")</f>
        <v>ﮊ</v>
      </c>
      <c r="I20" s="103" t="str">
        <f>IF(D20&lt;&gt;"",toUTF16(HEX2DEC(D20)),"")</f>
        <v/>
      </c>
      <c r="J20" s="103" t="str">
        <f>IF(E20&lt;&gt;"",toUTF16(HEX2DEC(E20)),"")</f>
        <v/>
      </c>
      <c r="K20" s="108" t="str">
        <f>IF(F20&lt;&gt;"",toUTF16(HEX2DEC(F20)),"")</f>
        <v>ﮋ</v>
      </c>
      <c r="L20" s="105" t="str">
        <f t="shared" si="3"/>
        <v>0698</v>
      </c>
      <c r="M20" s="106" t="str">
        <f t="shared" si="4"/>
        <v>FB8A</v>
      </c>
      <c r="N20" s="105" t="str">
        <f t="shared" si="5"/>
        <v/>
      </c>
      <c r="O20" s="106" t="str">
        <f t="shared" si="6"/>
        <v/>
      </c>
      <c r="P20" s="105" t="str">
        <f t="shared" si="7"/>
        <v/>
      </c>
      <c r="Q20" s="106" t="str">
        <f t="shared" si="8"/>
        <v/>
      </c>
      <c r="R20" s="105" t="str">
        <f t="shared" si="9"/>
        <v>0698</v>
      </c>
      <c r="S20" s="106" t="str">
        <f t="shared" si="10"/>
        <v>FB8B</v>
      </c>
    </row>
    <row r="21" spans="1:19" ht="26.25">
      <c r="A21" s="104" t="s">
        <v>743</v>
      </c>
      <c r="B21" s="98" t="s">
        <v>744</v>
      </c>
      <c r="C21" s="98" t="s">
        <v>745</v>
      </c>
      <c r="D21" s="101" t="str">
        <f t="shared" si="0"/>
        <v>FB8E</v>
      </c>
      <c r="E21" s="101" t="str">
        <f t="shared" si="1"/>
        <v>FB8F</v>
      </c>
      <c r="F21" s="102" t="str">
        <f t="shared" si="2"/>
        <v>FB8D</v>
      </c>
      <c r="G21" s="103" t="str">
        <f>IF(B21&lt;&gt;"",toUTF16(HEX2DEC(B21)),"")</f>
        <v>ڑ</v>
      </c>
      <c r="H21" s="103" t="str">
        <f>IF(C21&lt;&gt;"",toUTF16(HEX2DEC(C21)),"")</f>
        <v>ﮌ</v>
      </c>
      <c r="I21" s="103"/>
      <c r="J21" s="103"/>
      <c r="K21" s="108" t="str">
        <f>IF(F21&lt;&gt;"",toUTF16(HEX2DEC(F21)),"")</f>
        <v>ﮍ</v>
      </c>
      <c r="L21" s="105" t="str">
        <f t="shared" si="3"/>
        <v>0691</v>
      </c>
      <c r="M21" s="106" t="str">
        <f t="shared" si="4"/>
        <v>FB8C</v>
      </c>
      <c r="N21" s="105" t="str">
        <f t="shared" si="5"/>
        <v>0691</v>
      </c>
      <c r="O21" s="106" t="str">
        <f t="shared" si="6"/>
        <v>FB8E</v>
      </c>
      <c r="P21" s="105" t="str">
        <f t="shared" si="7"/>
        <v>0691</v>
      </c>
      <c r="Q21" s="106" t="str">
        <f t="shared" si="8"/>
        <v>FB8F</v>
      </c>
      <c r="R21" s="105" t="str">
        <f t="shared" si="9"/>
        <v>0691</v>
      </c>
      <c r="S21" s="106" t="str">
        <f t="shared" si="10"/>
        <v>FB8D</v>
      </c>
    </row>
    <row r="22" spans="1:19" ht="26.25">
      <c r="A22" s="104" t="s">
        <v>746</v>
      </c>
      <c r="B22" s="98" t="s">
        <v>747</v>
      </c>
      <c r="C22" s="98" t="s">
        <v>748</v>
      </c>
      <c r="D22" s="101" t="str">
        <f t="shared" si="0"/>
        <v>FB90</v>
      </c>
      <c r="E22" s="101" t="str">
        <f t="shared" si="1"/>
        <v>FB91</v>
      </c>
      <c r="F22" s="102" t="str">
        <f t="shared" si="2"/>
        <v>FB8F</v>
      </c>
      <c r="G22" s="103" t="str">
        <f>IF(B22&lt;&gt;"",toUTF16(HEX2DEC(B22)),"")</f>
        <v>ک</v>
      </c>
      <c r="H22" s="103" t="str">
        <f>IF(C22&lt;&gt;"",toUTF16(HEX2DEC(C22)),"")</f>
        <v>ﮎ</v>
      </c>
      <c r="I22" s="103" t="str">
        <f>IF(D22&lt;&gt;"",toUTF16(HEX2DEC(D22)),"")</f>
        <v>ﮐ</v>
      </c>
      <c r="J22" s="103" t="str">
        <f>IF(E22&lt;&gt;"",toUTF16(HEX2DEC(E22)),"")</f>
        <v>ﮑ</v>
      </c>
      <c r="K22" s="108" t="str">
        <f>IF(F22&lt;&gt;"",toUTF16(HEX2DEC(F22)),"")</f>
        <v>ﮏ</v>
      </c>
      <c r="L22" s="105" t="str">
        <f t="shared" si="3"/>
        <v>06A9</v>
      </c>
      <c r="M22" s="106" t="str">
        <f t="shared" si="4"/>
        <v>FB8E</v>
      </c>
      <c r="N22" s="105" t="str">
        <f t="shared" si="5"/>
        <v>06A9</v>
      </c>
      <c r="O22" s="106" t="str">
        <f t="shared" si="6"/>
        <v>FB90</v>
      </c>
      <c r="P22" s="105" t="str">
        <f t="shared" si="7"/>
        <v>06A9</v>
      </c>
      <c r="Q22" s="106" t="str">
        <f t="shared" si="8"/>
        <v>FB91</v>
      </c>
      <c r="R22" s="105" t="str">
        <f t="shared" si="9"/>
        <v>06A9</v>
      </c>
      <c r="S22" s="106" t="str">
        <f t="shared" si="10"/>
        <v>FB8F</v>
      </c>
    </row>
    <row r="23" spans="1:19" ht="26.25">
      <c r="A23" s="104" t="s">
        <v>749</v>
      </c>
      <c r="B23" s="98" t="s">
        <v>750</v>
      </c>
      <c r="C23" s="98" t="s">
        <v>751</v>
      </c>
      <c r="D23" s="101" t="str">
        <f t="shared" si="0"/>
        <v>FB94</v>
      </c>
      <c r="E23" s="101" t="str">
        <f t="shared" si="1"/>
        <v>FB95</v>
      </c>
      <c r="F23" s="102" t="str">
        <f t="shared" si="2"/>
        <v>FB93</v>
      </c>
      <c r="G23" s="103" t="str">
        <f>IF(B23&lt;&gt;"",toUTF16(HEX2DEC(B23)),"")</f>
        <v>گ</v>
      </c>
      <c r="H23" s="103" t="str">
        <f>IF(C23&lt;&gt;"",toUTF16(HEX2DEC(C23)),"")</f>
        <v>ﮒ</v>
      </c>
      <c r="I23" s="103" t="str">
        <f>IF(D23&lt;&gt;"",toUTF16(HEX2DEC(D23)),"")</f>
        <v>ﮔ</v>
      </c>
      <c r="J23" s="103" t="str">
        <f>IF(E23&lt;&gt;"",toUTF16(HEX2DEC(E23)),"")</f>
        <v>ﮕ</v>
      </c>
      <c r="K23" s="108" t="str">
        <f>IF(F23&lt;&gt;"",toUTF16(HEX2DEC(F23)),"")</f>
        <v>ﮓ</v>
      </c>
      <c r="L23" s="105" t="str">
        <f t="shared" si="3"/>
        <v>06AF</v>
      </c>
      <c r="M23" s="106" t="str">
        <f t="shared" si="4"/>
        <v>FB92</v>
      </c>
      <c r="N23" s="105" t="str">
        <f t="shared" si="5"/>
        <v>06AF</v>
      </c>
      <c r="O23" s="106" t="str">
        <f t="shared" si="6"/>
        <v>FB94</v>
      </c>
      <c r="P23" s="105" t="str">
        <f t="shared" si="7"/>
        <v>06AF</v>
      </c>
      <c r="Q23" s="106" t="str">
        <f t="shared" si="8"/>
        <v>FB95</v>
      </c>
      <c r="R23" s="105" t="str">
        <f t="shared" si="9"/>
        <v>06AF</v>
      </c>
      <c r="S23" s="106" t="str">
        <f t="shared" si="10"/>
        <v>FB93</v>
      </c>
    </row>
    <row r="24" spans="1:19" ht="26.25">
      <c r="A24" s="104" t="s">
        <v>752</v>
      </c>
      <c r="B24" s="98" t="s">
        <v>753</v>
      </c>
      <c r="C24" s="98" t="s">
        <v>754</v>
      </c>
      <c r="D24" s="101" t="str">
        <f t="shared" si="0"/>
        <v>FB98</v>
      </c>
      <c r="E24" s="101" t="str">
        <f t="shared" si="1"/>
        <v>FB99</v>
      </c>
      <c r="F24" s="102" t="str">
        <f t="shared" si="2"/>
        <v>FB97</v>
      </c>
      <c r="G24" s="103" t="str">
        <f>IF(B24&lt;&gt;"",toUTF16(HEX2DEC(B24)),"")</f>
        <v>ڳ</v>
      </c>
      <c r="H24" s="103" t="str">
        <f>IF(C24&lt;&gt;"",toUTF16(HEX2DEC(C24)),"")</f>
        <v>ﮖ</v>
      </c>
      <c r="I24" s="103" t="str">
        <f>IF(D24&lt;&gt;"",toUTF16(HEX2DEC(D24)),"")</f>
        <v>ﮘ</v>
      </c>
      <c r="J24" s="103" t="str">
        <f>IF(E24&lt;&gt;"",toUTF16(HEX2DEC(E24)),"")</f>
        <v>ﮙ</v>
      </c>
      <c r="K24" s="108" t="str">
        <f>IF(F24&lt;&gt;"",toUTF16(HEX2DEC(F24)),"")</f>
        <v>ﮗ</v>
      </c>
      <c r="L24" s="105" t="str">
        <f t="shared" si="3"/>
        <v>06B3</v>
      </c>
      <c r="M24" s="106" t="str">
        <f t="shared" si="4"/>
        <v>FB96</v>
      </c>
      <c r="N24" s="105" t="str">
        <f t="shared" si="5"/>
        <v>06B3</v>
      </c>
      <c r="O24" s="106" t="str">
        <f t="shared" si="6"/>
        <v>FB98</v>
      </c>
      <c r="P24" s="105" t="str">
        <f t="shared" si="7"/>
        <v>06B3</v>
      </c>
      <c r="Q24" s="106" t="str">
        <f t="shared" si="8"/>
        <v>FB99</v>
      </c>
      <c r="R24" s="105" t="str">
        <f t="shared" si="9"/>
        <v>06B3</v>
      </c>
      <c r="S24" s="106" t="str">
        <f t="shared" si="10"/>
        <v>FB97</v>
      </c>
    </row>
    <row r="25" spans="1:19" ht="26.25">
      <c r="A25" s="104" t="s">
        <v>755</v>
      </c>
      <c r="B25" s="98" t="s">
        <v>756</v>
      </c>
      <c r="C25" s="98" t="s">
        <v>757</v>
      </c>
      <c r="D25" s="101" t="str">
        <f t="shared" si="0"/>
        <v>FB9C</v>
      </c>
      <c r="E25" s="101" t="str">
        <f t="shared" si="1"/>
        <v>FB9D</v>
      </c>
      <c r="F25" s="102" t="str">
        <f t="shared" si="2"/>
        <v>FB9B</v>
      </c>
      <c r="G25" s="103" t="str">
        <f>IF(B25&lt;&gt;"",toUTF16(HEX2DEC(B25)),"")</f>
        <v>ڱ</v>
      </c>
      <c r="H25" s="103" t="str">
        <f>IF(C25&lt;&gt;"",toUTF16(HEX2DEC(C25)),"")</f>
        <v>ﮚ</v>
      </c>
      <c r="I25" s="103" t="str">
        <f>IF(D25&lt;&gt;"",toUTF16(HEX2DEC(D25)),"")</f>
        <v>ﮜ</v>
      </c>
      <c r="J25" s="103" t="str">
        <f>IF(E25&lt;&gt;"",toUTF16(HEX2DEC(E25)),"")</f>
        <v>ﮝ</v>
      </c>
      <c r="K25" s="108" t="str">
        <f>IF(F25&lt;&gt;"",toUTF16(HEX2DEC(F25)),"")</f>
        <v>ﮛ</v>
      </c>
      <c r="L25" s="105" t="str">
        <f t="shared" si="3"/>
        <v>06B1</v>
      </c>
      <c r="M25" s="106" t="str">
        <f t="shared" si="4"/>
        <v>FB9A</v>
      </c>
      <c r="N25" s="105" t="str">
        <f t="shared" si="5"/>
        <v>06B1</v>
      </c>
      <c r="O25" s="106" t="str">
        <f t="shared" si="6"/>
        <v>FB9C</v>
      </c>
      <c r="P25" s="105" t="str">
        <f t="shared" si="7"/>
        <v>06B1</v>
      </c>
      <c r="Q25" s="106" t="str">
        <f t="shared" si="8"/>
        <v>FB9D</v>
      </c>
      <c r="R25" s="105" t="str">
        <f t="shared" si="9"/>
        <v>06B1</v>
      </c>
      <c r="S25" s="106" t="str">
        <f t="shared" si="10"/>
        <v>FB9B</v>
      </c>
    </row>
    <row r="26" spans="1:19" ht="26.25">
      <c r="A26" s="104" t="s">
        <v>758</v>
      </c>
      <c r="B26" s="98" t="s">
        <v>759</v>
      </c>
      <c r="C26" s="98" t="s">
        <v>760</v>
      </c>
      <c r="D26" s="101" t="str">
        <f t="shared" si="0"/>
        <v>FBA0</v>
      </c>
      <c r="E26" s="101" t="str">
        <f t="shared" si="1"/>
        <v>FBA1</v>
      </c>
      <c r="F26" s="102" t="str">
        <f t="shared" si="2"/>
        <v>FB9F</v>
      </c>
      <c r="G26" s="103" t="str">
        <f>IF(B26&lt;&gt;"",toUTF16(HEX2DEC(B26)),"")</f>
        <v>ں</v>
      </c>
      <c r="H26" s="103" t="str">
        <f>IF(C26&lt;&gt;"",toUTF16(HEX2DEC(C26)),"")</f>
        <v>ﮞ</v>
      </c>
      <c r="I26" s="103"/>
      <c r="J26" s="103"/>
      <c r="K26" s="108" t="str">
        <f>IF(F26&lt;&gt;"",toUTF16(HEX2DEC(F26)),"")</f>
        <v>ﮟ</v>
      </c>
      <c r="L26" s="105" t="str">
        <f t="shared" si="3"/>
        <v>06BA</v>
      </c>
      <c r="M26" s="106" t="str">
        <f t="shared" si="4"/>
        <v>FB9E</v>
      </c>
      <c r="N26" s="105" t="str">
        <f t="shared" si="5"/>
        <v>06BA</v>
      </c>
      <c r="O26" s="106" t="str">
        <f t="shared" si="6"/>
        <v>FBA0</v>
      </c>
      <c r="P26" s="105" t="str">
        <f t="shared" si="7"/>
        <v>06BA</v>
      </c>
      <c r="Q26" s="106" t="str">
        <f t="shared" si="8"/>
        <v>FBA1</v>
      </c>
      <c r="R26" s="105" t="str">
        <f t="shared" si="9"/>
        <v>06BA</v>
      </c>
      <c r="S26" s="106" t="str">
        <f t="shared" si="10"/>
        <v>FB9F</v>
      </c>
    </row>
    <row r="27" spans="1:19" ht="26.25">
      <c r="A27" s="104" t="s">
        <v>761</v>
      </c>
      <c r="B27" s="98" t="s">
        <v>762</v>
      </c>
      <c r="C27" s="98" t="s">
        <v>763</v>
      </c>
      <c r="D27" s="101" t="str">
        <f t="shared" si="0"/>
        <v>FBA2</v>
      </c>
      <c r="E27" s="101" t="str">
        <f t="shared" si="1"/>
        <v>FBA3</v>
      </c>
      <c r="F27" s="102" t="str">
        <f t="shared" si="2"/>
        <v>FBA1</v>
      </c>
      <c r="G27" s="103" t="str">
        <f>IF(B27&lt;&gt;"",toUTF16(HEX2DEC(B27)),"")</f>
        <v>ڻ</v>
      </c>
      <c r="H27" s="103" t="str">
        <f>IF(C27&lt;&gt;"",toUTF16(HEX2DEC(C27)),"")</f>
        <v>ﮠ</v>
      </c>
      <c r="I27" s="103" t="str">
        <f>IF(D27&lt;&gt;"",toUTF16(HEX2DEC(D27)),"")</f>
        <v>ﮢ</v>
      </c>
      <c r="J27" s="103" t="str">
        <f>IF(E27&lt;&gt;"",toUTF16(HEX2DEC(E27)),"")</f>
        <v>ﮣ</v>
      </c>
      <c r="K27" s="108" t="str">
        <f>IF(F27&lt;&gt;"",toUTF16(HEX2DEC(F27)),"")</f>
        <v>ﮡ</v>
      </c>
      <c r="L27" s="105" t="str">
        <f t="shared" si="3"/>
        <v>06BB</v>
      </c>
      <c r="M27" s="106" t="str">
        <f t="shared" si="4"/>
        <v>FBA0</v>
      </c>
      <c r="N27" s="105" t="str">
        <f t="shared" si="5"/>
        <v>06BB</v>
      </c>
      <c r="O27" s="106" t="str">
        <f t="shared" si="6"/>
        <v>FBA2</v>
      </c>
      <c r="P27" s="105" t="str">
        <f t="shared" si="7"/>
        <v>06BB</v>
      </c>
      <c r="Q27" s="106" t="str">
        <f t="shared" si="8"/>
        <v>FBA3</v>
      </c>
      <c r="R27" s="105" t="str">
        <f t="shared" si="9"/>
        <v>06BB</v>
      </c>
      <c r="S27" s="106" t="str">
        <f t="shared" si="10"/>
        <v>FBA1</v>
      </c>
    </row>
    <row r="28" spans="1:19" ht="26.25">
      <c r="A28" s="104" t="s">
        <v>764</v>
      </c>
      <c r="B28" s="98" t="s">
        <v>765</v>
      </c>
      <c r="C28" s="98" t="s">
        <v>766</v>
      </c>
      <c r="D28" s="101"/>
      <c r="E28" s="101"/>
      <c r="F28" s="102" t="str">
        <f t="shared" si="2"/>
        <v>FBA5</v>
      </c>
      <c r="G28" s="103" t="str">
        <f>IF(B28&lt;&gt;"",toUTF16(HEX2DEC(B28)),"")</f>
        <v>ۀ</v>
      </c>
      <c r="H28" s="103" t="str">
        <f>IF(C28&lt;&gt;"",toUTF16(HEX2DEC(C28)),"")</f>
        <v>ﮤ</v>
      </c>
      <c r="I28" s="103" t="str">
        <f>IF(D28&lt;&gt;"",toUTF16(HEX2DEC(D28)),"")</f>
        <v/>
      </c>
      <c r="J28" s="103" t="str">
        <f>IF(E28&lt;&gt;"",toUTF16(HEX2DEC(E28)),"")</f>
        <v/>
      </c>
      <c r="K28" s="108" t="str">
        <f>IF(F28&lt;&gt;"",toUTF16(HEX2DEC(F28)),"")</f>
        <v>ﮥ</v>
      </c>
      <c r="L28" s="105" t="str">
        <f t="shared" si="3"/>
        <v>06C0</v>
      </c>
      <c r="M28" s="106" t="str">
        <f t="shared" si="4"/>
        <v>FBA4</v>
      </c>
      <c r="N28" s="105" t="str">
        <f t="shared" si="5"/>
        <v/>
      </c>
      <c r="O28" s="106" t="str">
        <f t="shared" si="6"/>
        <v/>
      </c>
      <c r="P28" s="105" t="str">
        <f t="shared" si="7"/>
        <v/>
      </c>
      <c r="Q28" s="106" t="str">
        <f t="shared" si="8"/>
        <v/>
      </c>
      <c r="R28" s="105" t="str">
        <f t="shared" si="9"/>
        <v>06C0</v>
      </c>
      <c r="S28" s="106" t="str">
        <f t="shared" si="10"/>
        <v>FBA5</v>
      </c>
    </row>
    <row r="29" spans="1:19" ht="26.25">
      <c r="A29" s="104" t="s">
        <v>767</v>
      </c>
      <c r="B29" s="98" t="s">
        <v>768</v>
      </c>
      <c r="C29" s="98" t="s">
        <v>769</v>
      </c>
      <c r="D29" s="101" t="str">
        <f t="shared" si="0"/>
        <v>FBA8</v>
      </c>
      <c r="E29" s="101" t="str">
        <f t="shared" si="1"/>
        <v>FBA9</v>
      </c>
      <c r="F29" s="102" t="str">
        <f t="shared" si="2"/>
        <v>FBA7</v>
      </c>
      <c r="G29" s="103" t="str">
        <f>IF(B29&lt;&gt;"",toUTF16(HEX2DEC(B29)),"")</f>
        <v>ہ</v>
      </c>
      <c r="H29" s="103" t="str">
        <f>IF(C29&lt;&gt;"",toUTF16(HEX2DEC(C29)),"")</f>
        <v>ﮦ</v>
      </c>
      <c r="I29" s="103" t="str">
        <f>IF(D29&lt;&gt;"",toUTF16(HEX2DEC(D29)),"")</f>
        <v>ﮨ</v>
      </c>
      <c r="J29" s="103" t="str">
        <f>IF(E29&lt;&gt;"",toUTF16(HEX2DEC(E29)),"")</f>
        <v>ﮩ</v>
      </c>
      <c r="K29" s="108" t="str">
        <f>IF(F29&lt;&gt;"",toUTF16(HEX2DEC(F29)),"")</f>
        <v>ﮧ</v>
      </c>
      <c r="L29" s="105" t="str">
        <f t="shared" si="3"/>
        <v>06C1</v>
      </c>
      <c r="M29" s="106" t="str">
        <f t="shared" si="4"/>
        <v>FBA6</v>
      </c>
      <c r="N29" s="105" t="str">
        <f t="shared" si="5"/>
        <v>06C1</v>
      </c>
      <c r="O29" s="106" t="str">
        <f t="shared" si="6"/>
        <v>FBA8</v>
      </c>
      <c r="P29" s="105" t="str">
        <f t="shared" si="7"/>
        <v>06C1</v>
      </c>
      <c r="Q29" s="106" t="str">
        <f t="shared" si="8"/>
        <v>FBA9</v>
      </c>
      <c r="R29" s="105" t="str">
        <f t="shared" si="9"/>
        <v>06C1</v>
      </c>
      <c r="S29" s="106" t="str">
        <f t="shared" si="10"/>
        <v>FBA7</v>
      </c>
    </row>
    <row r="30" spans="1:19" ht="26.25">
      <c r="A30" s="104" t="s">
        <v>770</v>
      </c>
      <c r="B30" s="98" t="s">
        <v>771</v>
      </c>
      <c r="C30" s="98" t="s">
        <v>772</v>
      </c>
      <c r="D30" s="101" t="str">
        <f t="shared" si="0"/>
        <v>FBAC</v>
      </c>
      <c r="E30" s="101" t="str">
        <f t="shared" si="1"/>
        <v>FBAD</v>
      </c>
      <c r="F30" s="102" t="str">
        <f t="shared" si="2"/>
        <v>FBAB</v>
      </c>
      <c r="G30" s="103" t="str">
        <f>IF(B30&lt;&gt;"",toUTF16(HEX2DEC(B30)),"")</f>
        <v>ھ</v>
      </c>
      <c r="H30" s="103" t="str">
        <f>IF(C30&lt;&gt;"",toUTF16(HEX2DEC(C30)),"")</f>
        <v>ﮪ</v>
      </c>
      <c r="I30" s="103" t="str">
        <f>IF(D30&lt;&gt;"",toUTF16(HEX2DEC(D30)),"")</f>
        <v>ﮬ</v>
      </c>
      <c r="J30" s="103" t="str">
        <f>IF(E30&lt;&gt;"",toUTF16(HEX2DEC(E30)),"")</f>
        <v>ﮭ</v>
      </c>
      <c r="K30" s="108" t="str">
        <f>IF(F30&lt;&gt;"",toUTF16(HEX2DEC(F30)),"")</f>
        <v>ﮫ</v>
      </c>
      <c r="L30" s="105" t="str">
        <f t="shared" si="3"/>
        <v>06BE</v>
      </c>
      <c r="M30" s="106" t="str">
        <f t="shared" si="4"/>
        <v>FBAA</v>
      </c>
      <c r="N30" s="105" t="str">
        <f t="shared" si="5"/>
        <v>06BE</v>
      </c>
      <c r="O30" s="106" t="str">
        <f t="shared" si="6"/>
        <v>FBAC</v>
      </c>
      <c r="P30" s="105" t="str">
        <f t="shared" si="7"/>
        <v>06BE</v>
      </c>
      <c r="Q30" s="106" t="str">
        <f t="shared" si="8"/>
        <v>FBAD</v>
      </c>
      <c r="R30" s="105" t="str">
        <f t="shared" si="9"/>
        <v>06BE</v>
      </c>
      <c r="S30" s="106" t="str">
        <f t="shared" si="10"/>
        <v>FBAB</v>
      </c>
    </row>
    <row r="31" spans="1:19" ht="26.25">
      <c r="A31" s="104" t="s">
        <v>773</v>
      </c>
      <c r="B31" s="98" t="s">
        <v>665</v>
      </c>
      <c r="C31" s="98" t="s">
        <v>774</v>
      </c>
      <c r="D31" s="101"/>
      <c r="E31" s="101"/>
      <c r="F31" s="102" t="str">
        <f t="shared" si="2"/>
        <v>FBAF</v>
      </c>
      <c r="G31" s="103" t="str">
        <f>IF(B31&lt;&gt;"",toUTF16(HEX2DEC(B31)),"")</f>
        <v>ے</v>
      </c>
      <c r="H31" s="103" t="str">
        <f>IF(C31&lt;&gt;"",toUTF16(HEX2DEC(C31)),"")</f>
        <v>ﮮ</v>
      </c>
      <c r="I31" s="103" t="str">
        <f>IF(D31&lt;&gt;"",toUTF16(HEX2DEC(D31)),"")</f>
        <v/>
      </c>
      <c r="J31" s="103" t="str">
        <f>IF(E31&lt;&gt;"",toUTF16(HEX2DEC(E31)),"")</f>
        <v/>
      </c>
      <c r="K31" s="108" t="str">
        <f>IF(F31&lt;&gt;"",toUTF16(HEX2DEC(F31)),"")</f>
        <v>ﮯ</v>
      </c>
      <c r="L31" s="105" t="str">
        <f t="shared" si="3"/>
        <v>06D2</v>
      </c>
      <c r="M31" s="106" t="str">
        <f t="shared" si="4"/>
        <v>FBAE</v>
      </c>
      <c r="N31" s="105" t="str">
        <f t="shared" si="5"/>
        <v/>
      </c>
      <c r="O31" s="106" t="str">
        <f t="shared" si="6"/>
        <v/>
      </c>
      <c r="P31" s="105" t="str">
        <f t="shared" si="7"/>
        <v/>
      </c>
      <c r="Q31" s="106" t="str">
        <f t="shared" si="8"/>
        <v/>
      </c>
      <c r="R31" s="105" t="str">
        <f t="shared" si="9"/>
        <v>06D2</v>
      </c>
      <c r="S31" s="106" t="str">
        <f t="shared" si="10"/>
        <v>FBAF</v>
      </c>
    </row>
    <row r="32" spans="1:19" ht="26.25">
      <c r="A32" s="104" t="s">
        <v>775</v>
      </c>
      <c r="B32" s="98" t="s">
        <v>776</v>
      </c>
      <c r="C32" s="98" t="s">
        <v>777</v>
      </c>
      <c r="D32" s="101" t="str">
        <f t="shared" si="0"/>
        <v>FBB2</v>
      </c>
      <c r="E32" s="101" t="str">
        <f t="shared" si="1"/>
        <v>FBB3</v>
      </c>
      <c r="F32" s="102" t="str">
        <f t="shared" si="2"/>
        <v>FBB1</v>
      </c>
      <c r="G32" s="103" t="str">
        <f>IF(B32&lt;&gt;"",toUTF16(HEX2DEC(B32)),"")</f>
        <v>ۓ</v>
      </c>
      <c r="H32" s="103" t="str">
        <f>IF(C32&lt;&gt;"",toUTF16(HEX2DEC(C32)),"")</f>
        <v>ﮰ</v>
      </c>
      <c r="I32" s="103"/>
      <c r="J32" s="103"/>
      <c r="K32" s="108" t="str">
        <f>IF(F32&lt;&gt;"",toUTF16(HEX2DEC(F32)),"")</f>
        <v>ﮱ</v>
      </c>
      <c r="L32" s="105" t="str">
        <f t="shared" si="3"/>
        <v>06D3</v>
      </c>
      <c r="M32" s="106" t="str">
        <f t="shared" si="4"/>
        <v>FBB0</v>
      </c>
      <c r="N32" s="105" t="str">
        <f t="shared" si="5"/>
        <v>06D3</v>
      </c>
      <c r="O32" s="106" t="str">
        <f t="shared" si="6"/>
        <v>FBB2</v>
      </c>
      <c r="P32" s="105" t="str">
        <f t="shared" si="7"/>
        <v>06D3</v>
      </c>
      <c r="Q32" s="106" t="str">
        <f t="shared" si="8"/>
        <v>FBB3</v>
      </c>
      <c r="R32" s="105" t="str">
        <f t="shared" si="9"/>
        <v>06D3</v>
      </c>
      <c r="S32" s="106" t="str">
        <f t="shared" si="10"/>
        <v>FBB1</v>
      </c>
    </row>
    <row r="33" spans="1:19" ht="26.25">
      <c r="A33" s="104" t="s">
        <v>778</v>
      </c>
      <c r="B33" s="98" t="s">
        <v>779</v>
      </c>
      <c r="C33" s="98" t="s">
        <v>780</v>
      </c>
      <c r="D33" s="101" t="str">
        <f t="shared" si="0"/>
        <v>FBD5</v>
      </c>
      <c r="E33" s="101" t="str">
        <f t="shared" si="1"/>
        <v>FBD6</v>
      </c>
      <c r="F33" s="102" t="str">
        <f t="shared" si="2"/>
        <v>FBD4</v>
      </c>
      <c r="G33" s="103" t="str">
        <f>IF(B33&lt;&gt;"",toUTF16(HEX2DEC(B33)),"")</f>
        <v>ڭ</v>
      </c>
      <c r="H33" s="103" t="str">
        <f>IF(C33&lt;&gt;"",toUTF16(HEX2DEC(C33)),"")</f>
        <v>ﯓ</v>
      </c>
      <c r="I33" s="103" t="str">
        <f>IF(D33&lt;&gt;"",toUTF16(HEX2DEC(D33)),"")</f>
        <v>ﯕ</v>
      </c>
      <c r="J33" s="103" t="str">
        <f>IF(E33&lt;&gt;"",toUTF16(HEX2DEC(E33)),"")</f>
        <v>ﯖ</v>
      </c>
      <c r="K33" s="108" t="str">
        <f>IF(F33&lt;&gt;"",toUTF16(HEX2DEC(F33)),"")</f>
        <v>ﯔ</v>
      </c>
      <c r="L33" s="105" t="str">
        <f t="shared" si="3"/>
        <v>06AD</v>
      </c>
      <c r="M33" s="106" t="str">
        <f t="shared" si="4"/>
        <v>FBD3</v>
      </c>
      <c r="N33" s="105" t="str">
        <f t="shared" si="5"/>
        <v>06AD</v>
      </c>
      <c r="O33" s="106" t="str">
        <f t="shared" si="6"/>
        <v>FBD5</v>
      </c>
      <c r="P33" s="105" t="str">
        <f t="shared" si="7"/>
        <v>06AD</v>
      </c>
      <c r="Q33" s="106" t="str">
        <f t="shared" si="8"/>
        <v>FBD6</v>
      </c>
      <c r="R33" s="105" t="str">
        <f t="shared" si="9"/>
        <v>06AD</v>
      </c>
      <c r="S33" s="106" t="str">
        <f t="shared" si="10"/>
        <v>FBD4</v>
      </c>
    </row>
    <row r="34" spans="1:19" ht="26.25">
      <c r="A34" s="104" t="s">
        <v>306</v>
      </c>
      <c r="B34" s="98" t="s">
        <v>781</v>
      </c>
      <c r="C34" s="98" t="s">
        <v>782</v>
      </c>
      <c r="D34" s="101"/>
      <c r="E34" s="101"/>
      <c r="F34" s="102" t="str">
        <f t="shared" si="2"/>
        <v>FBD8</v>
      </c>
      <c r="G34" s="103" t="str">
        <f>IF(B34&lt;&gt;"",toUTF16(HEX2DEC(B34)),"")</f>
        <v>ۇ</v>
      </c>
      <c r="H34" s="103" t="str">
        <f>IF(C34&lt;&gt;"",toUTF16(HEX2DEC(C34)),"")</f>
        <v>ﯗ</v>
      </c>
      <c r="I34" s="103" t="str">
        <f>IF(D34&lt;&gt;"",toUTF16(HEX2DEC(D34)),"")</f>
        <v/>
      </c>
      <c r="J34" s="103" t="str">
        <f>IF(E34&lt;&gt;"",toUTF16(HEX2DEC(E34)),"")</f>
        <v/>
      </c>
      <c r="K34" s="108" t="str">
        <f>IF(F34&lt;&gt;"",toUTF16(HEX2DEC(F34)),"")</f>
        <v>ﯘ</v>
      </c>
      <c r="L34" s="105" t="str">
        <f t="shared" si="3"/>
        <v>06C7</v>
      </c>
      <c r="M34" s="106" t="str">
        <f t="shared" si="4"/>
        <v>FBD7</v>
      </c>
      <c r="N34" s="105" t="str">
        <f t="shared" si="5"/>
        <v/>
      </c>
      <c r="O34" s="106" t="str">
        <f t="shared" si="6"/>
        <v/>
      </c>
      <c r="P34" s="105" t="str">
        <f t="shared" si="7"/>
        <v/>
      </c>
      <c r="Q34" s="106" t="str">
        <f t="shared" si="8"/>
        <v/>
      </c>
      <c r="R34" s="105" t="str">
        <f t="shared" si="9"/>
        <v>06C7</v>
      </c>
      <c r="S34" s="106" t="str">
        <f t="shared" si="10"/>
        <v>FBD8</v>
      </c>
    </row>
    <row r="35" spans="1:19" ht="26.25">
      <c r="A35" s="104" t="s">
        <v>783</v>
      </c>
      <c r="B35" s="98" t="s">
        <v>784</v>
      </c>
      <c r="C35" s="98" t="s">
        <v>785</v>
      </c>
      <c r="D35" s="101"/>
      <c r="E35" s="101"/>
      <c r="F35" s="102" t="str">
        <f t="shared" si="2"/>
        <v>FBDA</v>
      </c>
      <c r="G35" s="103" t="str">
        <f>IF(B35&lt;&gt;"",toUTF16(HEX2DEC(B35)),"")</f>
        <v>ۆ</v>
      </c>
      <c r="H35" s="103" t="str">
        <f>IF(C35&lt;&gt;"",toUTF16(HEX2DEC(C35)),"")</f>
        <v>ﯙ</v>
      </c>
      <c r="I35" s="103" t="str">
        <f>IF(D35&lt;&gt;"",toUTF16(HEX2DEC(D35)),"")</f>
        <v/>
      </c>
      <c r="J35" s="103" t="str">
        <f>IF(E35&lt;&gt;"",toUTF16(HEX2DEC(E35)),"")</f>
        <v/>
      </c>
      <c r="K35" s="108" t="str">
        <f>IF(F35&lt;&gt;"",toUTF16(HEX2DEC(F35)),"")</f>
        <v>ﯚ</v>
      </c>
      <c r="L35" s="105" t="str">
        <f t="shared" si="3"/>
        <v>06C6</v>
      </c>
      <c r="M35" s="106" t="str">
        <f t="shared" si="4"/>
        <v>FBD9</v>
      </c>
      <c r="N35" s="105" t="str">
        <f t="shared" si="5"/>
        <v/>
      </c>
      <c r="O35" s="106" t="str">
        <f t="shared" si="6"/>
        <v/>
      </c>
      <c r="P35" s="105" t="str">
        <f t="shared" si="7"/>
        <v/>
      </c>
      <c r="Q35" s="106" t="str">
        <f t="shared" si="8"/>
        <v/>
      </c>
      <c r="R35" s="105" t="str">
        <f t="shared" si="9"/>
        <v>06C6</v>
      </c>
      <c r="S35" s="106" t="str">
        <f t="shared" si="10"/>
        <v>FBDA</v>
      </c>
    </row>
    <row r="36" spans="1:19" ht="26.25">
      <c r="A36" s="104" t="s">
        <v>786</v>
      </c>
      <c r="B36" s="98" t="s">
        <v>787</v>
      </c>
      <c r="C36" s="98" t="s">
        <v>788</v>
      </c>
      <c r="D36" s="101"/>
      <c r="E36" s="101"/>
      <c r="F36" s="102" t="str">
        <f t="shared" si="2"/>
        <v>FBDC</v>
      </c>
      <c r="G36" s="103" t="str">
        <f>IF(B36&lt;&gt;"",toUTF16(HEX2DEC(B36)),"")</f>
        <v>ۈ</v>
      </c>
      <c r="H36" s="103" t="str">
        <f>IF(C36&lt;&gt;"",toUTF16(HEX2DEC(C36)),"")</f>
        <v>ﯛ</v>
      </c>
      <c r="I36" s="103" t="str">
        <f>IF(D36&lt;&gt;"",toUTF16(HEX2DEC(D36)),"")</f>
        <v/>
      </c>
      <c r="J36" s="103" t="str">
        <f>IF(E36&lt;&gt;"",toUTF16(HEX2DEC(E36)),"")</f>
        <v/>
      </c>
      <c r="K36" s="108" t="str">
        <f>IF(F36&lt;&gt;"",toUTF16(HEX2DEC(F36)),"")</f>
        <v>ﯜ</v>
      </c>
      <c r="L36" s="105" t="str">
        <f t="shared" si="3"/>
        <v>06C8</v>
      </c>
      <c r="M36" s="106" t="str">
        <f t="shared" si="4"/>
        <v>FBDB</v>
      </c>
      <c r="N36" s="105" t="str">
        <f t="shared" si="5"/>
        <v/>
      </c>
      <c r="O36" s="106" t="str">
        <f t="shared" si="6"/>
        <v/>
      </c>
      <c r="P36" s="105" t="str">
        <f t="shared" si="7"/>
        <v/>
      </c>
      <c r="Q36" s="106" t="str">
        <f t="shared" si="8"/>
        <v/>
      </c>
      <c r="R36" s="105" t="str">
        <f t="shared" si="9"/>
        <v>06C8</v>
      </c>
      <c r="S36" s="106" t="str">
        <f t="shared" si="10"/>
        <v>FBDC</v>
      </c>
    </row>
    <row r="37" spans="1:19" ht="26.25">
      <c r="A37" s="104" t="s">
        <v>789</v>
      </c>
      <c r="B37" s="98" t="s">
        <v>790</v>
      </c>
      <c r="C37" s="98" t="s">
        <v>791</v>
      </c>
      <c r="D37" s="101"/>
      <c r="E37" s="101"/>
      <c r="F37" s="102" t="str">
        <f t="shared" si="2"/>
        <v>FBDF</v>
      </c>
      <c r="G37" s="103" t="str">
        <f>IF(B37&lt;&gt;"",toUTF16(HEX2DEC(B37)),"")</f>
        <v>ٷ</v>
      </c>
      <c r="H37" s="103" t="str">
        <f>IF(C37&lt;&gt;"",toUTF16(HEX2DEC(C37)),"")</f>
        <v>ﯞ</v>
      </c>
      <c r="I37" s="103" t="str">
        <f>IF(D37&lt;&gt;"",toUTF16(HEX2DEC(D37)),"")</f>
        <v/>
      </c>
      <c r="J37" s="103" t="str">
        <f>IF(E37&lt;&gt;"",toUTF16(HEX2DEC(E37)),"")</f>
        <v/>
      </c>
      <c r="K37" s="108" t="str">
        <f>IF(F37&lt;&gt;"",toUTF16(HEX2DEC(F37)),"")</f>
        <v>ﯟ</v>
      </c>
      <c r="L37" s="105" t="str">
        <f t="shared" si="3"/>
        <v>0677</v>
      </c>
      <c r="M37" s="106" t="str">
        <f t="shared" si="4"/>
        <v>FBDE</v>
      </c>
      <c r="N37" s="105" t="str">
        <f t="shared" si="5"/>
        <v/>
      </c>
      <c r="O37" s="106" t="str">
        <f t="shared" si="6"/>
        <v/>
      </c>
      <c r="P37" s="105" t="str">
        <f t="shared" si="7"/>
        <v/>
      </c>
      <c r="Q37" s="106" t="str">
        <f t="shared" si="8"/>
        <v/>
      </c>
      <c r="R37" s="105" t="str">
        <f t="shared" si="9"/>
        <v>0677</v>
      </c>
      <c r="S37" s="106" t="str">
        <f t="shared" si="10"/>
        <v>FBDF</v>
      </c>
    </row>
    <row r="38" spans="1:19" ht="26.25">
      <c r="A38" s="104" t="s">
        <v>792</v>
      </c>
      <c r="B38" s="98" t="s">
        <v>793</v>
      </c>
      <c r="C38" s="98" t="s">
        <v>794</v>
      </c>
      <c r="D38" s="101"/>
      <c r="E38" s="101"/>
      <c r="F38" s="102" t="str">
        <f t="shared" si="2"/>
        <v>FBE1</v>
      </c>
      <c r="G38" s="103" t="str">
        <f>IF(B38&lt;&gt;"",toUTF16(HEX2DEC(B38)),"")</f>
        <v>ۅ</v>
      </c>
      <c r="H38" s="103" t="str">
        <f>IF(C38&lt;&gt;"",toUTF16(HEX2DEC(C38)),"")</f>
        <v>ﯠ</v>
      </c>
      <c r="I38" s="103" t="str">
        <f>IF(D38&lt;&gt;"",toUTF16(HEX2DEC(D38)),"")</f>
        <v/>
      </c>
      <c r="J38" s="103" t="str">
        <f>IF(E38&lt;&gt;"",toUTF16(HEX2DEC(E38)),"")</f>
        <v/>
      </c>
      <c r="K38" s="108" t="str">
        <f>IF(F38&lt;&gt;"",toUTF16(HEX2DEC(F38)),"")</f>
        <v>ﯡ</v>
      </c>
      <c r="L38" s="105" t="str">
        <f t="shared" si="3"/>
        <v>06C5</v>
      </c>
      <c r="M38" s="106" t="str">
        <f t="shared" si="4"/>
        <v>FBE0</v>
      </c>
      <c r="N38" s="105" t="str">
        <f t="shared" si="5"/>
        <v/>
      </c>
      <c r="O38" s="106" t="str">
        <f t="shared" si="6"/>
        <v/>
      </c>
      <c r="P38" s="105" t="str">
        <f t="shared" si="7"/>
        <v/>
      </c>
      <c r="Q38" s="106" t="str">
        <f t="shared" si="8"/>
        <v/>
      </c>
      <c r="R38" s="105" t="str">
        <f t="shared" si="9"/>
        <v>06C5</v>
      </c>
      <c r="S38" s="106" t="str">
        <f t="shared" si="10"/>
        <v>FBE1</v>
      </c>
    </row>
    <row r="39" spans="1:19" ht="26.25">
      <c r="A39" s="104" t="s">
        <v>795</v>
      </c>
      <c r="B39" s="98" t="s">
        <v>796</v>
      </c>
      <c r="C39" s="98" t="s">
        <v>797</v>
      </c>
      <c r="D39" s="101"/>
      <c r="E39" s="101"/>
      <c r="F39" s="102" t="str">
        <f t="shared" si="2"/>
        <v>FBE3</v>
      </c>
      <c r="G39" s="103" t="str">
        <f>IF(B39&lt;&gt;"",toUTF16(HEX2DEC(B39)),"")</f>
        <v>ۉ</v>
      </c>
      <c r="H39" s="103" t="str">
        <f>IF(C39&lt;&gt;"",toUTF16(HEX2DEC(C39)),"")</f>
        <v>ﯢ</v>
      </c>
      <c r="I39" s="103" t="str">
        <f>IF(D39&lt;&gt;"",toUTF16(HEX2DEC(D39)),"")</f>
        <v/>
      </c>
      <c r="J39" s="103" t="str">
        <f>IF(E39&lt;&gt;"",toUTF16(HEX2DEC(E39)),"")</f>
        <v/>
      </c>
      <c r="K39" s="108" t="str">
        <f>IF(F39&lt;&gt;"",toUTF16(HEX2DEC(F39)),"")</f>
        <v>ﯣ</v>
      </c>
      <c r="L39" s="105" t="str">
        <f t="shared" si="3"/>
        <v>06C9</v>
      </c>
      <c r="M39" s="106" t="str">
        <f t="shared" si="4"/>
        <v>FBE2</v>
      </c>
      <c r="N39" s="105" t="str">
        <f t="shared" si="5"/>
        <v/>
      </c>
      <c r="O39" s="106" t="str">
        <f t="shared" si="6"/>
        <v/>
      </c>
      <c r="P39" s="105" t="str">
        <f t="shared" si="7"/>
        <v/>
      </c>
      <c r="Q39" s="106" t="str">
        <f t="shared" si="8"/>
        <v/>
      </c>
      <c r="R39" s="105" t="str">
        <f t="shared" si="9"/>
        <v>06C9</v>
      </c>
      <c r="S39" s="106" t="str">
        <f t="shared" si="10"/>
        <v>FBE3</v>
      </c>
    </row>
    <row r="40" spans="1:19" ht="26.25">
      <c r="A40" s="104" t="s">
        <v>305</v>
      </c>
      <c r="B40" s="98" t="s">
        <v>666</v>
      </c>
      <c r="C40" s="98" t="s">
        <v>798</v>
      </c>
      <c r="D40" s="101" t="str">
        <f t="shared" si="0"/>
        <v>FBE6</v>
      </c>
      <c r="E40" s="101" t="str">
        <f t="shared" si="1"/>
        <v>FBE7</v>
      </c>
      <c r="F40" s="102" t="str">
        <f t="shared" si="2"/>
        <v>FBE5</v>
      </c>
      <c r="G40" s="103" t="str">
        <f>IF(B40&lt;&gt;"",toUTF16(HEX2DEC(B40)),"")</f>
        <v>ې</v>
      </c>
      <c r="H40" s="103" t="str">
        <f>IF(C40&lt;&gt;"",toUTF16(HEX2DEC(C40)),"")</f>
        <v>ﯤ</v>
      </c>
      <c r="I40" s="103" t="str">
        <f>IF(D40&lt;&gt;"",toUTF16(HEX2DEC(D40)),"")</f>
        <v>ﯦ</v>
      </c>
      <c r="J40" s="103" t="str">
        <f>IF(E40&lt;&gt;"",toUTF16(HEX2DEC(E40)),"")</f>
        <v>ﯧ</v>
      </c>
      <c r="K40" s="108" t="str">
        <f>IF(F40&lt;&gt;"",toUTF16(HEX2DEC(F40)),"")</f>
        <v>ﯥ</v>
      </c>
      <c r="L40" s="105" t="str">
        <f t="shared" si="3"/>
        <v>06D0</v>
      </c>
      <c r="M40" s="106" t="str">
        <f t="shared" si="4"/>
        <v>FBE4</v>
      </c>
      <c r="N40" s="105" t="str">
        <f t="shared" si="5"/>
        <v>06D0</v>
      </c>
      <c r="O40" s="106" t="str">
        <f t="shared" si="6"/>
        <v>FBE6</v>
      </c>
      <c r="P40" s="105" t="str">
        <f t="shared" si="7"/>
        <v>06D0</v>
      </c>
      <c r="Q40" s="106" t="str">
        <f t="shared" si="8"/>
        <v>FBE7</v>
      </c>
      <c r="R40" s="105" t="str">
        <f t="shared" si="9"/>
        <v>06D0</v>
      </c>
      <c r="S40" s="106" t="str">
        <f t="shared" si="10"/>
        <v>FBE5</v>
      </c>
    </row>
    <row r="41" spans="1:19" ht="26.25">
      <c r="A41" s="104" t="s">
        <v>799</v>
      </c>
      <c r="B41" s="98" t="s">
        <v>479</v>
      </c>
      <c r="C41" s="98" t="s">
        <v>800</v>
      </c>
      <c r="D41" s="101" t="str">
        <f t="shared" si="0"/>
        <v>FBEA</v>
      </c>
      <c r="E41" s="101" t="str">
        <f t="shared" si="1"/>
        <v>FBEB</v>
      </c>
      <c r="F41" s="102" t="str">
        <f t="shared" si="2"/>
        <v>FBE9</v>
      </c>
      <c r="G41" s="103" t="str">
        <f>IF(B41&lt;&gt;"",toUTF16(HEX2DEC(B41)),"")</f>
        <v>ى</v>
      </c>
      <c r="H41" s="103" t="str">
        <f>IF(C41&lt;&gt;"",toUTF16(HEX2DEC(C41)),"")</f>
        <v>ﯨ</v>
      </c>
      <c r="I41" s="103"/>
      <c r="J41" s="103"/>
      <c r="K41" s="108" t="str">
        <f>IF(F41&lt;&gt;"",toUTF16(HEX2DEC(F41)),"")</f>
        <v>ﯩ</v>
      </c>
      <c r="L41" s="105" t="str">
        <f t="shared" si="3"/>
        <v>0649</v>
      </c>
      <c r="M41" s="106" t="str">
        <f t="shared" si="4"/>
        <v>FBE8</v>
      </c>
      <c r="N41" s="105" t="str">
        <f t="shared" si="5"/>
        <v>0649</v>
      </c>
      <c r="O41" s="106" t="str">
        <f t="shared" si="6"/>
        <v>FBEA</v>
      </c>
      <c r="P41" s="105" t="str">
        <f t="shared" si="7"/>
        <v>0649</v>
      </c>
      <c r="Q41" s="106" t="str">
        <f t="shared" si="8"/>
        <v>FBEB</v>
      </c>
      <c r="R41" s="105" t="str">
        <f t="shared" si="9"/>
        <v>0649</v>
      </c>
      <c r="S41" s="106" t="str">
        <f t="shared" si="10"/>
        <v>FBE9</v>
      </c>
    </row>
    <row r="42" spans="1:19" ht="26.25">
      <c r="A42" s="104" t="s">
        <v>801</v>
      </c>
      <c r="B42" s="98" t="s">
        <v>802</v>
      </c>
      <c r="C42" s="98" t="s">
        <v>803</v>
      </c>
      <c r="D42" s="101" t="str">
        <f t="shared" si="0"/>
        <v>FBFE</v>
      </c>
      <c r="E42" s="101" t="str">
        <f t="shared" si="1"/>
        <v>FBFF</v>
      </c>
      <c r="F42" s="102" t="str">
        <f t="shared" si="2"/>
        <v>FBFD</v>
      </c>
      <c r="G42" s="103" t="str">
        <f>IF(B42&lt;&gt;"",toUTF16(HEX2DEC(B42)),"")</f>
        <v>ی</v>
      </c>
      <c r="H42" s="103" t="str">
        <f>IF(C42&lt;&gt;"",toUTF16(HEX2DEC(C42)),"")</f>
        <v>ﯼ</v>
      </c>
      <c r="I42" s="103" t="str">
        <f>IF(D42&lt;&gt;"",toUTF16(HEX2DEC(D42)),"")</f>
        <v>ﯾ</v>
      </c>
      <c r="J42" s="103" t="str">
        <f>IF(E42&lt;&gt;"",toUTF16(HEX2DEC(E42)),"")</f>
        <v>ﯿ</v>
      </c>
      <c r="K42" s="108" t="str">
        <f>IF(F42&lt;&gt;"",toUTF16(HEX2DEC(F42)),"")</f>
        <v>ﯽ</v>
      </c>
      <c r="L42" s="105" t="str">
        <f t="shared" si="3"/>
        <v>06CC</v>
      </c>
      <c r="M42" s="106" t="str">
        <f t="shared" si="4"/>
        <v>FBFC</v>
      </c>
      <c r="N42" s="105" t="str">
        <f t="shared" si="5"/>
        <v>06CC</v>
      </c>
      <c r="O42" s="106" t="str">
        <f t="shared" si="6"/>
        <v>FBFE</v>
      </c>
      <c r="P42" s="105" t="str">
        <f t="shared" si="7"/>
        <v>06CC</v>
      </c>
      <c r="Q42" s="106" t="str">
        <f t="shared" si="8"/>
        <v>FBFF</v>
      </c>
      <c r="R42" s="105" t="str">
        <f t="shared" si="9"/>
        <v>06CC</v>
      </c>
      <c r="S42" s="106" t="str">
        <f t="shared" si="10"/>
        <v>FBFD</v>
      </c>
    </row>
    <row r="43" spans="1:19" ht="26.25">
      <c r="A43" s="104" t="s">
        <v>572</v>
      </c>
      <c r="B43" s="98" t="s">
        <v>496</v>
      </c>
      <c r="C43" s="98" t="s">
        <v>804</v>
      </c>
      <c r="D43" s="101"/>
      <c r="E43" s="101"/>
      <c r="F43" s="102"/>
      <c r="G43" s="103" t="str">
        <f>IF(B43&lt;&gt;"",toUTF16(HEX2DEC(B43)),"")</f>
        <v>ً</v>
      </c>
      <c r="H43" s="103" t="str">
        <f>IF(C43&lt;&gt;"",toUTF16(HEX2DEC(C43)),"")</f>
        <v>ﹰ</v>
      </c>
      <c r="I43" s="103" t="str">
        <f>IF(D43&lt;&gt;"",toUTF16(HEX2DEC(D43)),"")</f>
        <v/>
      </c>
      <c r="J43" s="103" t="str">
        <f>IF(E43&lt;&gt;"",toUTF16(HEX2DEC(E43)),"")</f>
        <v/>
      </c>
      <c r="K43" s="108" t="str">
        <f>IF(F43&lt;&gt;"",toUTF16(HEX2DEC(F43)),"")</f>
        <v/>
      </c>
      <c r="L43" s="105" t="str">
        <f t="shared" si="3"/>
        <v>064B</v>
      </c>
      <c r="M43" s="106" t="str">
        <f t="shared" si="4"/>
        <v>FE70</v>
      </c>
      <c r="N43" s="105" t="str">
        <f t="shared" si="5"/>
        <v/>
      </c>
      <c r="O43" s="106" t="str">
        <f t="shared" si="6"/>
        <v/>
      </c>
      <c r="P43" s="105" t="str">
        <f t="shared" si="7"/>
        <v/>
      </c>
      <c r="Q43" s="106" t="str">
        <f t="shared" si="8"/>
        <v/>
      </c>
      <c r="R43" s="105" t="str">
        <f t="shared" si="9"/>
        <v/>
      </c>
      <c r="S43" s="106" t="str">
        <f t="shared" si="10"/>
        <v/>
      </c>
    </row>
    <row r="44" spans="1:19" ht="26.25">
      <c r="A44" s="104" t="s">
        <v>571</v>
      </c>
      <c r="B44" s="98" t="s">
        <v>498</v>
      </c>
      <c r="C44" s="98" t="s">
        <v>805</v>
      </c>
      <c r="D44" s="101"/>
      <c r="E44" s="101"/>
      <c r="F44" s="102"/>
      <c r="G44" s="103" t="str">
        <f>IF(B44&lt;&gt;"",toUTF16(HEX2DEC(B44)),"")</f>
        <v>ٌ</v>
      </c>
      <c r="H44" s="103" t="str">
        <f>IF(C44&lt;&gt;"",toUTF16(HEX2DEC(C44)),"")</f>
        <v>ﹲ</v>
      </c>
      <c r="I44" s="103" t="str">
        <f>IF(D44&lt;&gt;"",toUTF16(HEX2DEC(D44)),"")</f>
        <v/>
      </c>
      <c r="J44" s="103" t="str">
        <f>IF(E44&lt;&gt;"",toUTF16(HEX2DEC(E44)),"")</f>
        <v/>
      </c>
      <c r="K44" s="108" t="str">
        <f>IF(F44&lt;&gt;"",toUTF16(HEX2DEC(F44)),"")</f>
        <v/>
      </c>
      <c r="L44" s="105" t="str">
        <f t="shared" si="3"/>
        <v>064C</v>
      </c>
      <c r="M44" s="106" t="str">
        <f t="shared" si="4"/>
        <v>FE72</v>
      </c>
      <c r="N44" s="105" t="str">
        <f t="shared" si="5"/>
        <v/>
      </c>
      <c r="O44" s="106" t="str">
        <f t="shared" si="6"/>
        <v/>
      </c>
      <c r="P44" s="105" t="str">
        <f t="shared" si="7"/>
        <v/>
      </c>
      <c r="Q44" s="106" t="str">
        <f t="shared" si="8"/>
        <v/>
      </c>
      <c r="R44" s="105" t="str">
        <f t="shared" si="9"/>
        <v/>
      </c>
      <c r="S44" s="106" t="str">
        <f t="shared" si="10"/>
        <v/>
      </c>
    </row>
    <row r="45" spans="1:19" ht="26.25">
      <c r="A45" s="104" t="s">
        <v>806</v>
      </c>
      <c r="B45" s="98" t="s">
        <v>519</v>
      </c>
      <c r="C45" s="98" t="s">
        <v>807</v>
      </c>
      <c r="D45" s="101"/>
      <c r="E45" s="101"/>
      <c r="F45" s="102"/>
      <c r="G45" s="103" t="str">
        <f>IF(B45&lt;&gt;"",toUTF16(HEX2DEC(B45)),"")</f>
        <v>ٍ</v>
      </c>
      <c r="H45" s="103" t="str">
        <f>IF(C45&lt;&gt;"",toUTF16(HEX2DEC(C45)),"")</f>
        <v>ﹴ</v>
      </c>
      <c r="I45" s="103" t="str">
        <f>IF(D45&lt;&gt;"",toUTF16(HEX2DEC(D45)),"")</f>
        <v/>
      </c>
      <c r="J45" s="103" t="str">
        <f>IF(E45&lt;&gt;"",toUTF16(HEX2DEC(E45)),"")</f>
        <v/>
      </c>
      <c r="K45" s="108" t="str">
        <f>IF(F45&lt;&gt;"",toUTF16(HEX2DEC(F45)),"")</f>
        <v/>
      </c>
      <c r="L45" s="105" t="str">
        <f t="shared" si="3"/>
        <v>064D</v>
      </c>
      <c r="M45" s="106" t="str">
        <f t="shared" si="4"/>
        <v>FE74</v>
      </c>
      <c r="N45" s="105" t="str">
        <f t="shared" si="5"/>
        <v/>
      </c>
      <c r="O45" s="106" t="str">
        <f t="shared" si="6"/>
        <v/>
      </c>
      <c r="P45" s="105" t="str">
        <f t="shared" si="7"/>
        <v/>
      </c>
      <c r="Q45" s="106" t="str">
        <f t="shared" si="8"/>
        <v/>
      </c>
      <c r="R45" s="105" t="str">
        <f t="shared" si="9"/>
        <v/>
      </c>
      <c r="S45" s="106" t="str">
        <f t="shared" si="10"/>
        <v/>
      </c>
    </row>
    <row r="46" spans="1:19" ht="26.25">
      <c r="A46" s="104" t="s">
        <v>570</v>
      </c>
      <c r="B46" s="98" t="s">
        <v>495</v>
      </c>
      <c r="C46" s="98" t="s">
        <v>808</v>
      </c>
      <c r="D46" s="101"/>
      <c r="E46" s="101" t="s">
        <v>809</v>
      </c>
      <c r="F46" s="102"/>
      <c r="G46" s="103" t="str">
        <f>IF(B46&lt;&gt;"",toUTF16(HEX2DEC(B46)),"")</f>
        <v>َ</v>
      </c>
      <c r="H46" s="103" t="str">
        <f>IF(C46&lt;&gt;"",toUTF16(HEX2DEC(C46)),"")</f>
        <v>ﹶ</v>
      </c>
      <c r="I46" s="103" t="str">
        <f>IF(D46&lt;&gt;"",toUTF16(HEX2DEC(D46)),"")</f>
        <v/>
      </c>
      <c r="J46" s="103" t="str">
        <f>IF(E46&lt;&gt;"",toUTF16(HEX2DEC(E46)),"")</f>
        <v>ﹷ</v>
      </c>
      <c r="K46" s="108" t="str">
        <f>IF(F46&lt;&gt;"",toUTF16(HEX2DEC(F46)),"")</f>
        <v/>
      </c>
      <c r="L46" s="105" t="str">
        <f t="shared" si="3"/>
        <v>064E</v>
      </c>
      <c r="M46" s="106" t="str">
        <f t="shared" si="4"/>
        <v>FE76</v>
      </c>
      <c r="N46" s="105" t="str">
        <f t="shared" si="5"/>
        <v/>
      </c>
      <c r="O46" s="106" t="str">
        <f t="shared" si="6"/>
        <v/>
      </c>
      <c r="P46" s="105" t="str">
        <f t="shared" si="7"/>
        <v>064E</v>
      </c>
      <c r="Q46" s="106" t="str">
        <f t="shared" si="8"/>
        <v>FE77</v>
      </c>
      <c r="R46" s="105" t="str">
        <f t="shared" si="9"/>
        <v/>
      </c>
      <c r="S46" s="106" t="str">
        <f t="shared" si="10"/>
        <v/>
      </c>
    </row>
    <row r="47" spans="1:19" ht="26.25">
      <c r="A47" s="104" t="s">
        <v>622</v>
      </c>
      <c r="B47" s="98" t="s">
        <v>497</v>
      </c>
      <c r="C47" s="98" t="s">
        <v>810</v>
      </c>
      <c r="D47" s="101"/>
      <c r="E47" s="101" t="s">
        <v>811</v>
      </c>
      <c r="F47" s="102"/>
      <c r="G47" s="103" t="str">
        <f>IF(B47&lt;&gt;"",toUTF16(HEX2DEC(B47)),"")</f>
        <v>ُ</v>
      </c>
      <c r="H47" s="103" t="str">
        <f>IF(C47&lt;&gt;"",toUTF16(HEX2DEC(C47)),"")</f>
        <v>ﹸ</v>
      </c>
      <c r="I47" s="103" t="str">
        <f>IF(D47&lt;&gt;"",toUTF16(HEX2DEC(D47)),"")</f>
        <v/>
      </c>
      <c r="J47" s="103" t="str">
        <f>IF(E47&lt;&gt;"",toUTF16(HEX2DEC(E47)),"")</f>
        <v>ﹹ</v>
      </c>
      <c r="K47" s="108" t="str">
        <f>IF(F47&lt;&gt;"",toUTF16(HEX2DEC(F47)),"")</f>
        <v/>
      </c>
      <c r="L47" s="105" t="str">
        <f t="shared" si="3"/>
        <v>064F</v>
      </c>
      <c r="M47" s="106" t="str">
        <f t="shared" si="4"/>
        <v>FE78</v>
      </c>
      <c r="N47" s="105" t="str">
        <f t="shared" si="5"/>
        <v/>
      </c>
      <c r="O47" s="106" t="str">
        <f t="shared" si="6"/>
        <v/>
      </c>
      <c r="P47" s="105" t="str">
        <f t="shared" si="7"/>
        <v>064F</v>
      </c>
      <c r="Q47" s="106" t="str">
        <f t="shared" si="8"/>
        <v>FE79</v>
      </c>
      <c r="R47" s="105" t="str">
        <f t="shared" si="9"/>
        <v/>
      </c>
      <c r="S47" s="106" t="str">
        <f t="shared" si="10"/>
        <v/>
      </c>
    </row>
    <row r="48" spans="1:19" ht="26.25">
      <c r="A48" s="104" t="s">
        <v>580</v>
      </c>
      <c r="B48" s="98" t="s">
        <v>518</v>
      </c>
      <c r="C48" s="98" t="s">
        <v>812</v>
      </c>
      <c r="D48" s="101"/>
      <c r="E48" s="101" t="s">
        <v>813</v>
      </c>
      <c r="F48" s="102"/>
      <c r="G48" s="103" t="str">
        <f>IF(B48&lt;&gt;"",toUTF16(HEX2DEC(B48)),"")</f>
        <v>ِ</v>
      </c>
      <c r="H48" s="103" t="str">
        <f>IF(C48&lt;&gt;"",toUTF16(HEX2DEC(C48)),"")</f>
        <v>ﹺ</v>
      </c>
      <c r="I48" s="103" t="str">
        <f>IF(D48&lt;&gt;"",toUTF16(HEX2DEC(D48)),"")</f>
        <v/>
      </c>
      <c r="J48" s="103" t="str">
        <f>IF(E48&lt;&gt;"",toUTF16(HEX2DEC(E48)),"")</f>
        <v>ﹻ</v>
      </c>
      <c r="K48" s="108" t="str">
        <f>IF(F48&lt;&gt;"",toUTF16(HEX2DEC(F48)),"")</f>
        <v/>
      </c>
      <c r="L48" s="105" t="str">
        <f t="shared" si="3"/>
        <v>0650</v>
      </c>
      <c r="M48" s="106" t="str">
        <f t="shared" si="4"/>
        <v>FE7A</v>
      </c>
      <c r="N48" s="105" t="str">
        <f t="shared" si="5"/>
        <v/>
      </c>
      <c r="O48" s="106" t="str">
        <f t="shared" si="6"/>
        <v/>
      </c>
      <c r="P48" s="105" t="str">
        <f t="shared" si="7"/>
        <v>0650</v>
      </c>
      <c r="Q48" s="106" t="str">
        <f t="shared" si="8"/>
        <v>FE7B</v>
      </c>
      <c r="R48" s="105" t="str">
        <f t="shared" si="9"/>
        <v/>
      </c>
      <c r="S48" s="106" t="str">
        <f t="shared" si="10"/>
        <v/>
      </c>
    </row>
    <row r="49" spans="1:19" ht="26.25">
      <c r="A49" s="104" t="s">
        <v>589</v>
      </c>
      <c r="B49" s="98" t="s">
        <v>494</v>
      </c>
      <c r="C49" s="98" t="s">
        <v>814</v>
      </c>
      <c r="D49" s="101"/>
      <c r="E49" s="101" t="s">
        <v>815</v>
      </c>
      <c r="F49" s="102"/>
      <c r="G49" s="103" t="str">
        <f>IF(B49&lt;&gt;"",toUTF16(HEX2DEC(B49)),"")</f>
        <v>ّ</v>
      </c>
      <c r="H49" s="103" t="str">
        <f>IF(C49&lt;&gt;"",toUTF16(HEX2DEC(C49)),"")</f>
        <v>ﹼ</v>
      </c>
      <c r="I49" s="103" t="str">
        <f>IF(D49&lt;&gt;"",toUTF16(HEX2DEC(D49)),"")</f>
        <v/>
      </c>
      <c r="J49" s="103" t="str">
        <f>IF(E49&lt;&gt;"",toUTF16(HEX2DEC(E49)),"")</f>
        <v>ﹽ</v>
      </c>
      <c r="K49" s="108" t="str">
        <f>IF(F49&lt;&gt;"",toUTF16(HEX2DEC(F49)),"")</f>
        <v/>
      </c>
      <c r="L49" s="105" t="str">
        <f t="shared" si="3"/>
        <v>0651</v>
      </c>
      <c r="M49" s="106" t="str">
        <f t="shared" si="4"/>
        <v>FE7C</v>
      </c>
      <c r="N49" s="105" t="str">
        <f t="shared" si="5"/>
        <v/>
      </c>
      <c r="O49" s="106" t="str">
        <f t="shared" si="6"/>
        <v/>
      </c>
      <c r="P49" s="105" t="str">
        <f t="shared" si="7"/>
        <v>0651</v>
      </c>
      <c r="Q49" s="106" t="str">
        <f t="shared" si="8"/>
        <v>FE7D</v>
      </c>
      <c r="R49" s="105" t="str">
        <f t="shared" si="9"/>
        <v/>
      </c>
      <c r="S49" s="106" t="str">
        <f t="shared" si="10"/>
        <v/>
      </c>
    </row>
    <row r="50" spans="1:19" ht="26.25">
      <c r="A50" s="104" t="s">
        <v>581</v>
      </c>
      <c r="B50" s="98" t="s">
        <v>517</v>
      </c>
      <c r="C50" s="98" t="s">
        <v>816</v>
      </c>
      <c r="D50" s="101"/>
      <c r="E50" s="101" t="s">
        <v>817</v>
      </c>
      <c r="F50" s="102"/>
      <c r="G50" s="103" t="str">
        <f>IF(B50&lt;&gt;"",toUTF16(HEX2DEC(B50)),"")</f>
        <v>ْ</v>
      </c>
      <c r="H50" s="103" t="str">
        <f>IF(C50&lt;&gt;"",toUTF16(HEX2DEC(C50)),"")</f>
        <v>ﹾ</v>
      </c>
      <c r="I50" s="103" t="str">
        <f>IF(D50&lt;&gt;"",toUTF16(HEX2DEC(D50)),"")</f>
        <v/>
      </c>
      <c r="J50" s="103" t="str">
        <f>IF(E50&lt;&gt;"",toUTF16(HEX2DEC(E50)),"")</f>
        <v>ﹿ</v>
      </c>
      <c r="K50" s="108" t="str">
        <f>IF(F50&lt;&gt;"",toUTF16(HEX2DEC(F50)),"")</f>
        <v/>
      </c>
      <c r="L50" s="105" t="str">
        <f t="shared" si="3"/>
        <v>0652</v>
      </c>
      <c r="M50" s="106" t="str">
        <f t="shared" si="4"/>
        <v>FE7E</v>
      </c>
      <c r="N50" s="105" t="str">
        <f t="shared" si="5"/>
        <v/>
      </c>
      <c r="O50" s="106" t="str">
        <f t="shared" si="6"/>
        <v/>
      </c>
      <c r="P50" s="105" t="str">
        <f t="shared" si="7"/>
        <v>0652</v>
      </c>
      <c r="Q50" s="106" t="str">
        <f t="shared" si="8"/>
        <v>FE7F</v>
      </c>
      <c r="R50" s="105" t="str">
        <f t="shared" si="9"/>
        <v/>
      </c>
      <c r="S50" s="106" t="str">
        <f t="shared" si="10"/>
        <v/>
      </c>
    </row>
    <row r="51" spans="1:19" ht="26.25">
      <c r="A51" s="104" t="s">
        <v>69</v>
      </c>
      <c r="B51" s="98" t="s">
        <v>149</v>
      </c>
      <c r="C51" s="98" t="s">
        <v>189</v>
      </c>
      <c r="D51" s="101"/>
      <c r="E51" s="101"/>
      <c r="F51" s="102"/>
      <c r="G51" s="103" t="str">
        <f>IF(B51&lt;&gt;"",toUTF16(HEX2DEC(B51)),"")</f>
        <v>ء</v>
      </c>
      <c r="H51" s="103" t="str">
        <f>IF(C51&lt;&gt;"",toUTF16(HEX2DEC(C51)),"")</f>
        <v>ﺀ</v>
      </c>
      <c r="I51" s="103" t="str">
        <f>IF(D51&lt;&gt;"",toUTF16(HEX2DEC(D51)),"")</f>
        <v/>
      </c>
      <c r="J51" s="103" t="str">
        <f>IF(E51&lt;&gt;"",toUTF16(HEX2DEC(E51)),"")</f>
        <v/>
      </c>
      <c r="K51" s="108" t="str">
        <f>IF(F51&lt;&gt;"",toUTF16(HEX2DEC(F51)),"")</f>
        <v/>
      </c>
      <c r="L51" s="105" t="str">
        <f t="shared" si="3"/>
        <v>0621</v>
      </c>
      <c r="M51" s="106" t="str">
        <f t="shared" si="4"/>
        <v>FE80</v>
      </c>
      <c r="N51" s="105" t="str">
        <f t="shared" si="5"/>
        <v/>
      </c>
      <c r="O51" s="106" t="str">
        <f t="shared" si="6"/>
        <v/>
      </c>
      <c r="P51" s="105" t="str">
        <f t="shared" si="7"/>
        <v/>
      </c>
      <c r="Q51" s="106" t="str">
        <f t="shared" si="8"/>
        <v/>
      </c>
      <c r="R51" s="105" t="str">
        <f t="shared" si="9"/>
        <v/>
      </c>
      <c r="S51" s="106" t="str">
        <f t="shared" si="10"/>
        <v/>
      </c>
    </row>
    <row r="52" spans="1:19" ht="26.25">
      <c r="A52" s="104" t="s">
        <v>582</v>
      </c>
      <c r="B52" s="98" t="s">
        <v>521</v>
      </c>
      <c r="C52" s="98" t="s">
        <v>818</v>
      </c>
      <c r="D52" s="101"/>
      <c r="E52" s="101"/>
      <c r="F52" s="102" t="str">
        <f t="shared" ref="F52:F86" si="11">IF($C52&lt;&gt;"",DEC2HEX(HEX2DEC($C52)+1,4),"")</f>
        <v>FE82</v>
      </c>
      <c r="G52" s="103" t="str">
        <f>IF(B52&lt;&gt;"",toUTF16(HEX2DEC(B52)),"")</f>
        <v>آ</v>
      </c>
      <c r="H52" s="103" t="str">
        <f>IF(C52&lt;&gt;"",toUTF16(HEX2DEC(C52)),"")</f>
        <v>ﺁ</v>
      </c>
      <c r="I52" s="103" t="str">
        <f>IF(D52&lt;&gt;"",toUTF16(HEX2DEC(D52)),"")</f>
        <v/>
      </c>
      <c r="J52" s="103" t="str">
        <f>IF(E52&lt;&gt;"",toUTF16(HEX2DEC(E52)),"")</f>
        <v/>
      </c>
      <c r="K52" s="108" t="str">
        <f>IF(F52&lt;&gt;"",toUTF16(HEX2DEC(F52)),"")</f>
        <v>ﺂ</v>
      </c>
      <c r="L52" s="105" t="str">
        <f t="shared" si="3"/>
        <v>0622</v>
      </c>
      <c r="M52" s="106" t="str">
        <f t="shared" si="4"/>
        <v>FE81</v>
      </c>
      <c r="N52" s="105" t="str">
        <f t="shared" si="5"/>
        <v/>
      </c>
      <c r="O52" s="106" t="str">
        <f t="shared" si="6"/>
        <v/>
      </c>
      <c r="P52" s="105" t="str">
        <f t="shared" si="7"/>
        <v/>
      </c>
      <c r="Q52" s="106" t="str">
        <f t="shared" si="8"/>
        <v/>
      </c>
      <c r="R52" s="105" t="str">
        <f t="shared" si="9"/>
        <v>0622</v>
      </c>
      <c r="S52" s="106" t="str">
        <f t="shared" si="10"/>
        <v>FE82</v>
      </c>
    </row>
    <row r="53" spans="1:19" ht="26.25">
      <c r="A53" s="104" t="s">
        <v>576</v>
      </c>
      <c r="B53" s="98" t="s">
        <v>404</v>
      </c>
      <c r="C53" s="98" t="s">
        <v>410</v>
      </c>
      <c r="D53" s="101"/>
      <c r="E53" s="101"/>
      <c r="F53" s="102" t="str">
        <f t="shared" si="11"/>
        <v>FE84</v>
      </c>
      <c r="G53" s="103" t="str">
        <f>IF(B53&lt;&gt;"",toUTF16(HEX2DEC(B53)),"")</f>
        <v>أ</v>
      </c>
      <c r="H53" s="103" t="str">
        <f>IF(C53&lt;&gt;"",toUTF16(HEX2DEC(C53)),"")</f>
        <v>ﺃ</v>
      </c>
      <c r="I53" s="103" t="str">
        <f>IF(D53&lt;&gt;"",toUTF16(HEX2DEC(D53)),"")</f>
        <v/>
      </c>
      <c r="J53" s="103" t="str">
        <f>IF(E53&lt;&gt;"",toUTF16(HEX2DEC(E53)),"")</f>
        <v/>
      </c>
      <c r="K53" s="108" t="str">
        <f>IF(F53&lt;&gt;"",toUTF16(HEX2DEC(F53)),"")</f>
        <v>ﺄ</v>
      </c>
      <c r="L53" s="105" t="str">
        <f t="shared" si="3"/>
        <v>0623</v>
      </c>
      <c r="M53" s="106" t="str">
        <f t="shared" si="4"/>
        <v>FE83</v>
      </c>
      <c r="N53" s="105" t="str">
        <f t="shared" si="5"/>
        <v/>
      </c>
      <c r="O53" s="106" t="str">
        <f t="shared" si="6"/>
        <v/>
      </c>
      <c r="P53" s="105" t="str">
        <f t="shared" si="7"/>
        <v/>
      </c>
      <c r="Q53" s="106" t="str">
        <f t="shared" si="8"/>
        <v/>
      </c>
      <c r="R53" s="105" t="str">
        <f t="shared" si="9"/>
        <v>0623</v>
      </c>
      <c r="S53" s="106" t="str">
        <f t="shared" si="10"/>
        <v>FE84</v>
      </c>
    </row>
    <row r="54" spans="1:19" ht="26.25">
      <c r="A54" s="104" t="s">
        <v>567</v>
      </c>
      <c r="B54" s="98" t="s">
        <v>405</v>
      </c>
      <c r="C54" s="98" t="s">
        <v>411</v>
      </c>
      <c r="D54" s="101"/>
      <c r="E54" s="101"/>
      <c r="F54" s="102" t="str">
        <f t="shared" si="11"/>
        <v>FE86</v>
      </c>
      <c r="G54" s="103" t="str">
        <f>IF(B54&lt;&gt;"",toUTF16(HEX2DEC(B54)),"")</f>
        <v>ؤ</v>
      </c>
      <c r="H54" s="103" t="str">
        <f>IF(C54&lt;&gt;"",toUTF16(HEX2DEC(C54)),"")</f>
        <v>ﺅ</v>
      </c>
      <c r="I54" s="103" t="str">
        <f>IF(D54&lt;&gt;"",toUTF16(HEX2DEC(D54)),"")</f>
        <v/>
      </c>
      <c r="J54" s="103" t="str">
        <f>IF(E54&lt;&gt;"",toUTF16(HEX2DEC(E54)),"")</f>
        <v/>
      </c>
      <c r="K54" s="108" t="str">
        <f>IF(F54&lt;&gt;"",toUTF16(HEX2DEC(F54)),"")</f>
        <v>ﺆ</v>
      </c>
      <c r="L54" s="105" t="str">
        <f t="shared" si="3"/>
        <v>0624</v>
      </c>
      <c r="M54" s="106" t="str">
        <f t="shared" si="4"/>
        <v>FE85</v>
      </c>
      <c r="N54" s="105" t="str">
        <f t="shared" si="5"/>
        <v/>
      </c>
      <c r="O54" s="106" t="str">
        <f t="shared" si="6"/>
        <v/>
      </c>
      <c r="P54" s="105" t="str">
        <f t="shared" si="7"/>
        <v/>
      </c>
      <c r="Q54" s="106" t="str">
        <f t="shared" si="8"/>
        <v/>
      </c>
      <c r="R54" s="105" t="str">
        <f t="shared" si="9"/>
        <v>0624</v>
      </c>
      <c r="S54" s="106" t="str">
        <f t="shared" si="10"/>
        <v>FE86</v>
      </c>
    </row>
    <row r="55" spans="1:19" ht="26.25">
      <c r="A55" s="104" t="s">
        <v>574</v>
      </c>
      <c r="B55" s="98" t="s">
        <v>500</v>
      </c>
      <c r="C55" s="98" t="s">
        <v>819</v>
      </c>
      <c r="D55" s="101"/>
      <c r="E55" s="101"/>
      <c r="F55" s="102" t="str">
        <f t="shared" si="11"/>
        <v>FE88</v>
      </c>
      <c r="G55" s="103" t="str">
        <f>IF(B55&lt;&gt;"",toUTF16(HEX2DEC(B55)),"")</f>
        <v>إ</v>
      </c>
      <c r="H55" s="103" t="str">
        <f>IF(C55&lt;&gt;"",toUTF16(HEX2DEC(C55)),"")</f>
        <v>ﺇ</v>
      </c>
      <c r="I55" s="103" t="str">
        <f>IF(D55&lt;&gt;"",toUTF16(HEX2DEC(D55)),"")</f>
        <v/>
      </c>
      <c r="J55" s="103" t="str">
        <f>IF(E55&lt;&gt;"",toUTF16(HEX2DEC(E55)),"")</f>
        <v/>
      </c>
      <c r="K55" s="108" t="str">
        <f>IF(F55&lt;&gt;"",toUTF16(HEX2DEC(F55)),"")</f>
        <v>ﺈ</v>
      </c>
      <c r="L55" s="105" t="str">
        <f t="shared" si="3"/>
        <v>0625</v>
      </c>
      <c r="M55" s="106" t="str">
        <f t="shared" si="4"/>
        <v>FE87</v>
      </c>
      <c r="N55" s="105" t="str">
        <f t="shared" si="5"/>
        <v/>
      </c>
      <c r="O55" s="106" t="str">
        <f t="shared" si="6"/>
        <v/>
      </c>
      <c r="P55" s="105" t="str">
        <f t="shared" si="7"/>
        <v/>
      </c>
      <c r="Q55" s="106" t="str">
        <f t="shared" si="8"/>
        <v/>
      </c>
      <c r="R55" s="105" t="str">
        <f t="shared" si="9"/>
        <v>0625</v>
      </c>
      <c r="S55" s="106" t="str">
        <f t="shared" si="10"/>
        <v>FE88</v>
      </c>
    </row>
    <row r="56" spans="1:19" ht="26.25">
      <c r="A56" s="104" t="s">
        <v>820</v>
      </c>
      <c r="B56" s="98" t="s">
        <v>407</v>
      </c>
      <c r="C56" s="98" t="s">
        <v>409</v>
      </c>
      <c r="D56" s="101" t="str">
        <f t="shared" ref="D56:D86" si="12">IF($C56&lt;&gt;"",DEC2HEX(HEX2DEC($C56)+2,4),"")</f>
        <v>FE8B</v>
      </c>
      <c r="E56" s="101" t="str">
        <f t="shared" ref="E56:E86" si="13">IF($C56&lt;&gt;"",DEC2HEX(HEX2DEC($C56)+3,4),"")</f>
        <v>FE8C</v>
      </c>
      <c r="F56" s="102" t="str">
        <f t="shared" si="11"/>
        <v>FE8A</v>
      </c>
      <c r="G56" s="103" t="str">
        <f>IF(B56&lt;&gt;"",toUTF16(HEX2DEC(B56)),"")</f>
        <v>ئ</v>
      </c>
      <c r="H56" s="103" t="str">
        <f>IF(C56&lt;&gt;"",toUTF16(HEX2DEC(C56)),"")</f>
        <v>ﺉ</v>
      </c>
      <c r="I56" s="103" t="str">
        <f>IF(D56&lt;&gt;"",toUTF16(HEX2DEC(D56)),"")</f>
        <v>ﺋ</v>
      </c>
      <c r="J56" s="103" t="str">
        <f>IF(E56&lt;&gt;"",toUTF16(HEX2DEC(E56)),"")</f>
        <v>ﺌ</v>
      </c>
      <c r="K56" s="108" t="str">
        <f>IF(F56&lt;&gt;"",toUTF16(HEX2DEC(F56)),"")</f>
        <v>ﺊ</v>
      </c>
      <c r="L56" s="105" t="str">
        <f t="shared" si="3"/>
        <v>0626</v>
      </c>
      <c r="M56" s="106" t="str">
        <f t="shared" si="4"/>
        <v>FE89</v>
      </c>
      <c r="N56" s="105" t="str">
        <f t="shared" si="5"/>
        <v>0626</v>
      </c>
      <c r="O56" s="106" t="str">
        <f t="shared" si="6"/>
        <v>FE8B</v>
      </c>
      <c r="P56" s="105" t="str">
        <f t="shared" si="7"/>
        <v>0626</v>
      </c>
      <c r="Q56" s="106" t="str">
        <f t="shared" si="8"/>
        <v>FE8C</v>
      </c>
      <c r="R56" s="105" t="str">
        <f t="shared" si="9"/>
        <v>0626</v>
      </c>
      <c r="S56" s="106" t="str">
        <f t="shared" si="10"/>
        <v>FE8A</v>
      </c>
    </row>
    <row r="57" spans="1:19" ht="26.25">
      <c r="A57" s="104" t="s">
        <v>821</v>
      </c>
      <c r="B57" s="98" t="s">
        <v>407</v>
      </c>
      <c r="C57" s="98" t="s">
        <v>190</v>
      </c>
      <c r="D57" s="101"/>
      <c r="E57" s="101"/>
      <c r="F57" s="102" t="str">
        <f t="shared" si="11"/>
        <v>FE8E</v>
      </c>
      <c r="G57" s="103" t="str">
        <f>IF(B57&lt;&gt;"",toUTF16(HEX2DEC(B57)),"")</f>
        <v>ئ</v>
      </c>
      <c r="H57" s="103" t="str">
        <f>IF(C57&lt;&gt;"",toUTF16(HEX2DEC(C57)),"")</f>
        <v>ﺍ</v>
      </c>
      <c r="I57" s="103" t="str">
        <f>IF(D57&lt;&gt;"",toUTF16(HEX2DEC(D57)),"")</f>
        <v/>
      </c>
      <c r="J57" s="103" t="str">
        <f>IF(E57&lt;&gt;"",toUTF16(HEX2DEC(E57)),"")</f>
        <v/>
      </c>
      <c r="K57" s="108" t="str">
        <f>IF(F57&lt;&gt;"",toUTF16(HEX2DEC(F57)),"")</f>
        <v>ﺎ</v>
      </c>
      <c r="L57" s="105" t="str">
        <f t="shared" si="3"/>
        <v>0626</v>
      </c>
      <c r="M57" s="106" t="str">
        <f t="shared" si="4"/>
        <v>FE8D</v>
      </c>
      <c r="N57" s="105" t="str">
        <f t="shared" si="5"/>
        <v/>
      </c>
      <c r="O57" s="106" t="str">
        <f t="shared" si="6"/>
        <v/>
      </c>
      <c r="P57" s="105" t="str">
        <f t="shared" si="7"/>
        <v/>
      </c>
      <c r="Q57" s="106" t="str">
        <f t="shared" si="8"/>
        <v/>
      </c>
      <c r="R57" s="105" t="str">
        <f t="shared" si="9"/>
        <v>0626</v>
      </c>
      <c r="S57" s="106" t="str">
        <f t="shared" si="10"/>
        <v>FE8E</v>
      </c>
    </row>
    <row r="58" spans="1:19" ht="26.25">
      <c r="A58" s="104" t="s">
        <v>71</v>
      </c>
      <c r="B58" s="98" t="s">
        <v>151</v>
      </c>
      <c r="C58" s="98" t="s">
        <v>191</v>
      </c>
      <c r="D58" s="101" t="str">
        <f t="shared" si="12"/>
        <v>FE91</v>
      </c>
      <c r="E58" s="101" t="str">
        <f t="shared" si="13"/>
        <v>FE92</v>
      </c>
      <c r="F58" s="102" t="str">
        <f t="shared" si="11"/>
        <v>FE90</v>
      </c>
      <c r="G58" s="103" t="str">
        <f>IF(B58&lt;&gt;"",toUTF16(HEX2DEC(B58)),"")</f>
        <v>ب</v>
      </c>
      <c r="H58" s="103" t="str">
        <f>IF(C58&lt;&gt;"",toUTF16(HEX2DEC(C58)),"")</f>
        <v>ﺏ</v>
      </c>
      <c r="I58" s="103" t="str">
        <f>IF(D58&lt;&gt;"",toUTF16(HEX2DEC(D58)),"")</f>
        <v>ﺑ</v>
      </c>
      <c r="J58" s="103" t="str">
        <f>IF(E58&lt;&gt;"",toUTF16(HEX2DEC(E58)),"")</f>
        <v>ﺒ</v>
      </c>
      <c r="K58" s="108" t="str">
        <f>IF(F58&lt;&gt;"",toUTF16(HEX2DEC(F58)),"")</f>
        <v>ﺐ</v>
      </c>
      <c r="L58" s="105" t="str">
        <f t="shared" si="3"/>
        <v>0628</v>
      </c>
      <c r="M58" s="106" t="str">
        <f t="shared" si="4"/>
        <v>FE8F</v>
      </c>
      <c r="N58" s="105" t="str">
        <f t="shared" si="5"/>
        <v>0628</v>
      </c>
      <c r="O58" s="106" t="str">
        <f t="shared" si="6"/>
        <v>FE91</v>
      </c>
      <c r="P58" s="105" t="str">
        <f t="shared" si="7"/>
        <v>0628</v>
      </c>
      <c r="Q58" s="106" t="str">
        <f t="shared" si="8"/>
        <v>FE92</v>
      </c>
      <c r="R58" s="105" t="str">
        <f t="shared" si="9"/>
        <v>0628</v>
      </c>
      <c r="S58" s="106" t="str">
        <f t="shared" si="10"/>
        <v>FE90</v>
      </c>
    </row>
    <row r="59" spans="1:19" ht="26.25">
      <c r="A59" s="104" t="s">
        <v>569</v>
      </c>
      <c r="B59" s="98" t="s">
        <v>480</v>
      </c>
      <c r="C59" s="98" t="s">
        <v>822</v>
      </c>
      <c r="D59" s="101"/>
      <c r="E59" s="101"/>
      <c r="F59" s="102" t="str">
        <f t="shared" si="11"/>
        <v>FE94</v>
      </c>
      <c r="G59" s="103" t="str">
        <f>IF(B59&lt;&gt;"",toUTF16(HEX2DEC(B59)),"")</f>
        <v>ة</v>
      </c>
      <c r="H59" s="103" t="str">
        <f>IF(C59&lt;&gt;"",toUTF16(HEX2DEC(C59)),"")</f>
        <v>ﺓ</v>
      </c>
      <c r="I59" s="103" t="str">
        <f>IF(D59&lt;&gt;"",toUTF16(HEX2DEC(D59)),"")</f>
        <v/>
      </c>
      <c r="J59" s="103" t="str">
        <f>IF(E59&lt;&gt;"",toUTF16(HEX2DEC(E59)),"")</f>
        <v/>
      </c>
      <c r="K59" s="108" t="str">
        <f>IF(F59&lt;&gt;"",toUTF16(HEX2DEC(F59)),"")</f>
        <v>ﺔ</v>
      </c>
      <c r="L59" s="105" t="str">
        <f t="shared" si="3"/>
        <v>0629</v>
      </c>
      <c r="M59" s="106" t="str">
        <f t="shared" si="4"/>
        <v>FE93</v>
      </c>
      <c r="N59" s="105" t="str">
        <f t="shared" si="5"/>
        <v/>
      </c>
      <c r="O59" s="106" t="str">
        <f t="shared" si="6"/>
        <v/>
      </c>
      <c r="P59" s="105" t="str">
        <f t="shared" si="7"/>
        <v/>
      </c>
      <c r="Q59" s="106" t="str">
        <f t="shared" si="8"/>
        <v/>
      </c>
      <c r="R59" s="105" t="str">
        <f t="shared" si="9"/>
        <v>0629</v>
      </c>
      <c r="S59" s="106" t="str">
        <f t="shared" si="10"/>
        <v>FE94</v>
      </c>
    </row>
    <row r="60" spans="1:19" ht="26.25">
      <c r="A60" s="104" t="s">
        <v>72</v>
      </c>
      <c r="B60" s="98" t="s">
        <v>152</v>
      </c>
      <c r="C60" s="98" t="s">
        <v>193</v>
      </c>
      <c r="D60" s="101" t="str">
        <f t="shared" si="12"/>
        <v>FE97</v>
      </c>
      <c r="E60" s="101" t="str">
        <f t="shared" si="13"/>
        <v>FE98</v>
      </c>
      <c r="F60" s="102" t="str">
        <f t="shared" si="11"/>
        <v>FE96</v>
      </c>
      <c r="G60" s="103" t="str">
        <f>IF(B60&lt;&gt;"",toUTF16(HEX2DEC(B60)),"")</f>
        <v>ت</v>
      </c>
      <c r="H60" s="103" t="str">
        <f>IF(C60&lt;&gt;"",toUTF16(HEX2DEC(C60)),"")</f>
        <v>ﺕ</v>
      </c>
      <c r="I60" s="103" t="str">
        <f>IF(D60&lt;&gt;"",toUTF16(HEX2DEC(D60)),"")</f>
        <v>ﺗ</v>
      </c>
      <c r="J60" s="103" t="str">
        <f>IF(E60&lt;&gt;"",toUTF16(HEX2DEC(E60)),"")</f>
        <v>ﺘ</v>
      </c>
      <c r="K60" s="108" t="str">
        <f>IF(F60&lt;&gt;"",toUTF16(HEX2DEC(F60)),"")</f>
        <v>ﺖ</v>
      </c>
      <c r="L60" s="105" t="str">
        <f t="shared" si="3"/>
        <v>062A</v>
      </c>
      <c r="M60" s="106" t="str">
        <f t="shared" si="4"/>
        <v>FE95</v>
      </c>
      <c r="N60" s="105" t="str">
        <f t="shared" si="5"/>
        <v>062A</v>
      </c>
      <c r="O60" s="106" t="str">
        <f t="shared" si="6"/>
        <v>FE97</v>
      </c>
      <c r="P60" s="105" t="str">
        <f t="shared" si="7"/>
        <v>062A</v>
      </c>
      <c r="Q60" s="106" t="str">
        <f t="shared" si="8"/>
        <v>FE98</v>
      </c>
      <c r="R60" s="105" t="str">
        <f t="shared" si="9"/>
        <v>062A</v>
      </c>
      <c r="S60" s="106" t="str">
        <f t="shared" si="10"/>
        <v>FE96</v>
      </c>
    </row>
    <row r="61" spans="1:19" ht="26.25">
      <c r="A61" s="104" t="s">
        <v>73</v>
      </c>
      <c r="B61" s="98" t="s">
        <v>153</v>
      </c>
      <c r="C61" s="98" t="s">
        <v>192</v>
      </c>
      <c r="D61" s="101" t="str">
        <f t="shared" si="12"/>
        <v>FE9B</v>
      </c>
      <c r="E61" s="101" t="str">
        <f t="shared" si="13"/>
        <v>FE9C</v>
      </c>
      <c r="F61" s="102" t="str">
        <f t="shared" si="11"/>
        <v>FE9A</v>
      </c>
      <c r="G61" s="103" t="str">
        <f>IF(B61&lt;&gt;"",toUTF16(HEX2DEC(B61)),"")</f>
        <v>ث</v>
      </c>
      <c r="H61" s="103" t="str">
        <f>IF(C61&lt;&gt;"",toUTF16(HEX2DEC(C61)),"")</f>
        <v>ﺙ</v>
      </c>
      <c r="I61" s="103" t="str">
        <f>IF(D61&lt;&gt;"",toUTF16(HEX2DEC(D61)),"")</f>
        <v>ﺛ</v>
      </c>
      <c r="J61" s="103" t="str">
        <f>IF(E61&lt;&gt;"",toUTF16(HEX2DEC(E61)),"")</f>
        <v>ﺜ</v>
      </c>
      <c r="K61" s="108" t="str">
        <f>IF(F61&lt;&gt;"",toUTF16(HEX2DEC(F61)),"")</f>
        <v>ﺚ</v>
      </c>
      <c r="L61" s="105" t="str">
        <f t="shared" si="3"/>
        <v>062B</v>
      </c>
      <c r="M61" s="106" t="str">
        <f t="shared" si="4"/>
        <v>FE99</v>
      </c>
      <c r="N61" s="105" t="str">
        <f t="shared" si="5"/>
        <v>062B</v>
      </c>
      <c r="O61" s="106" t="str">
        <f t="shared" si="6"/>
        <v>FE9B</v>
      </c>
      <c r="P61" s="105" t="str">
        <f t="shared" si="7"/>
        <v>062B</v>
      </c>
      <c r="Q61" s="106" t="str">
        <f t="shared" si="8"/>
        <v>FE9C</v>
      </c>
      <c r="R61" s="105" t="str">
        <f t="shared" si="9"/>
        <v>062B</v>
      </c>
      <c r="S61" s="106" t="str">
        <f t="shared" si="10"/>
        <v>FE9A</v>
      </c>
    </row>
    <row r="62" spans="1:19" ht="26.25">
      <c r="A62" s="104" t="s">
        <v>74</v>
      </c>
      <c r="B62" s="98" t="s">
        <v>154</v>
      </c>
      <c r="C62" s="98" t="s">
        <v>194</v>
      </c>
      <c r="D62" s="101" t="str">
        <f t="shared" si="12"/>
        <v>FE9F</v>
      </c>
      <c r="E62" s="101" t="str">
        <f t="shared" si="13"/>
        <v>FEA0</v>
      </c>
      <c r="F62" s="102" t="str">
        <f t="shared" si="11"/>
        <v>FE9E</v>
      </c>
      <c r="G62" s="103" t="str">
        <f>IF(B62&lt;&gt;"",toUTF16(HEX2DEC(B62)),"")</f>
        <v>ج</v>
      </c>
      <c r="H62" s="103" t="str">
        <f>IF(C62&lt;&gt;"",toUTF16(HEX2DEC(C62)),"")</f>
        <v>ﺝ</v>
      </c>
      <c r="I62" s="103" t="str">
        <f>IF(D62&lt;&gt;"",toUTF16(HEX2DEC(D62)),"")</f>
        <v>ﺟ</v>
      </c>
      <c r="J62" s="103" t="str">
        <f>IF(E62&lt;&gt;"",toUTF16(HEX2DEC(E62)),"")</f>
        <v>ﺠ</v>
      </c>
      <c r="K62" s="108" t="str">
        <f>IF(F62&lt;&gt;"",toUTF16(HEX2DEC(F62)),"")</f>
        <v>ﺞ</v>
      </c>
      <c r="L62" s="105" t="str">
        <f t="shared" si="3"/>
        <v>062C</v>
      </c>
      <c r="M62" s="106" t="str">
        <f t="shared" si="4"/>
        <v>FE9D</v>
      </c>
      <c r="N62" s="105" t="str">
        <f t="shared" si="5"/>
        <v>062C</v>
      </c>
      <c r="O62" s="106" t="str">
        <f t="shared" si="6"/>
        <v>FE9F</v>
      </c>
      <c r="P62" s="105" t="str">
        <f t="shared" si="7"/>
        <v>062C</v>
      </c>
      <c r="Q62" s="106" t="str">
        <f t="shared" si="8"/>
        <v>FEA0</v>
      </c>
      <c r="R62" s="105" t="str">
        <f t="shared" si="9"/>
        <v>062C</v>
      </c>
      <c r="S62" s="106" t="str">
        <f t="shared" si="10"/>
        <v>FE9E</v>
      </c>
    </row>
    <row r="63" spans="1:19" ht="26.25">
      <c r="A63" s="104" t="s">
        <v>75</v>
      </c>
      <c r="B63" s="98" t="s">
        <v>155</v>
      </c>
      <c r="C63" s="98" t="s">
        <v>195</v>
      </c>
      <c r="D63" s="101" t="str">
        <f t="shared" si="12"/>
        <v>FEA3</v>
      </c>
      <c r="E63" s="101" t="str">
        <f t="shared" si="13"/>
        <v>FEA4</v>
      </c>
      <c r="F63" s="102" t="str">
        <f t="shared" si="11"/>
        <v>FEA2</v>
      </c>
      <c r="G63" s="103" t="str">
        <f>IF(B63&lt;&gt;"",toUTF16(HEX2DEC(B63)),"")</f>
        <v>ح</v>
      </c>
      <c r="H63" s="103" t="str">
        <f>IF(C63&lt;&gt;"",toUTF16(HEX2DEC(C63)),"")</f>
        <v>ﺡ</v>
      </c>
      <c r="I63" s="103" t="str">
        <f>IF(D63&lt;&gt;"",toUTF16(HEX2DEC(D63)),"")</f>
        <v>ﺣ</v>
      </c>
      <c r="J63" s="103" t="str">
        <f>IF(E63&lt;&gt;"",toUTF16(HEX2DEC(E63)),"")</f>
        <v>ﺤ</v>
      </c>
      <c r="K63" s="108" t="str">
        <f>IF(F63&lt;&gt;"",toUTF16(HEX2DEC(F63)),"")</f>
        <v>ﺢ</v>
      </c>
      <c r="L63" s="105" t="str">
        <f t="shared" si="3"/>
        <v>062D</v>
      </c>
      <c r="M63" s="106" t="str">
        <f t="shared" si="4"/>
        <v>FEA1</v>
      </c>
      <c r="N63" s="105" t="str">
        <f t="shared" si="5"/>
        <v>062D</v>
      </c>
      <c r="O63" s="106" t="str">
        <f t="shared" si="6"/>
        <v>FEA3</v>
      </c>
      <c r="P63" s="105" t="str">
        <f t="shared" si="7"/>
        <v>062D</v>
      </c>
      <c r="Q63" s="106" t="str">
        <f t="shared" si="8"/>
        <v>FEA4</v>
      </c>
      <c r="R63" s="105" t="str">
        <f t="shared" si="9"/>
        <v>062D</v>
      </c>
      <c r="S63" s="106" t="str">
        <f t="shared" si="10"/>
        <v>FEA2</v>
      </c>
    </row>
    <row r="64" spans="1:19" ht="26.25">
      <c r="A64" s="104" t="s">
        <v>156</v>
      </c>
      <c r="B64" s="98" t="s">
        <v>157</v>
      </c>
      <c r="C64" s="98" t="s">
        <v>196</v>
      </c>
      <c r="D64" s="101" t="str">
        <f t="shared" si="12"/>
        <v>FEA7</v>
      </c>
      <c r="E64" s="101" t="str">
        <f t="shared" si="13"/>
        <v>FEA8</v>
      </c>
      <c r="F64" s="102" t="str">
        <f t="shared" si="11"/>
        <v>FEA6</v>
      </c>
      <c r="G64" s="103" t="str">
        <f>IF(B64&lt;&gt;"",toUTF16(HEX2DEC(B64)),"")</f>
        <v>خ</v>
      </c>
      <c r="H64" s="103" t="str">
        <f>IF(C64&lt;&gt;"",toUTF16(HEX2DEC(C64)),"")</f>
        <v>ﺥ</v>
      </c>
      <c r="I64" s="103" t="str">
        <f>IF(D64&lt;&gt;"",toUTF16(HEX2DEC(D64)),"")</f>
        <v>ﺧ</v>
      </c>
      <c r="J64" s="103" t="str">
        <f>IF(E64&lt;&gt;"",toUTF16(HEX2DEC(E64)),"")</f>
        <v>ﺨ</v>
      </c>
      <c r="K64" s="108" t="str">
        <f>IF(F64&lt;&gt;"",toUTF16(HEX2DEC(F64)),"")</f>
        <v>ﺦ</v>
      </c>
      <c r="L64" s="105" t="str">
        <f t="shared" si="3"/>
        <v>062E</v>
      </c>
      <c r="M64" s="106" t="str">
        <f t="shared" si="4"/>
        <v>FEA5</v>
      </c>
      <c r="N64" s="105" t="str">
        <f t="shared" si="5"/>
        <v>062E</v>
      </c>
      <c r="O64" s="106" t="str">
        <f t="shared" si="6"/>
        <v>FEA7</v>
      </c>
      <c r="P64" s="105" t="str">
        <f t="shared" si="7"/>
        <v>062E</v>
      </c>
      <c r="Q64" s="106" t="str">
        <f t="shared" si="8"/>
        <v>FEA8</v>
      </c>
      <c r="R64" s="105" t="str">
        <f t="shared" si="9"/>
        <v>062E</v>
      </c>
      <c r="S64" s="106" t="str">
        <f t="shared" si="10"/>
        <v>FEA6</v>
      </c>
    </row>
    <row r="65" spans="1:19" ht="26.25">
      <c r="A65" s="104" t="s">
        <v>76</v>
      </c>
      <c r="B65" s="98" t="s">
        <v>158</v>
      </c>
      <c r="C65" s="98" t="s">
        <v>197</v>
      </c>
      <c r="D65" s="101"/>
      <c r="E65" s="101"/>
      <c r="F65" s="102" t="str">
        <f t="shared" si="11"/>
        <v>FEAA</v>
      </c>
      <c r="G65" s="103" t="str">
        <f>IF(B65&lt;&gt;"",toUTF16(HEX2DEC(B65)),"")</f>
        <v>د</v>
      </c>
      <c r="H65" s="103" t="str">
        <f>IF(C65&lt;&gt;"",toUTF16(HEX2DEC(C65)),"")</f>
        <v>ﺩ</v>
      </c>
      <c r="I65" s="103" t="str">
        <f>IF(D65&lt;&gt;"",toUTF16(HEX2DEC(D65)),"")</f>
        <v/>
      </c>
      <c r="J65" s="103" t="str">
        <f>IF(E65&lt;&gt;"",toUTF16(HEX2DEC(E65)),"")</f>
        <v/>
      </c>
      <c r="K65" s="108" t="str">
        <f>IF(F65&lt;&gt;"",toUTF16(HEX2DEC(F65)),"")</f>
        <v>ﺪ</v>
      </c>
      <c r="L65" s="105" t="str">
        <f t="shared" si="3"/>
        <v>062F</v>
      </c>
      <c r="M65" s="106" t="str">
        <f t="shared" si="4"/>
        <v>FEA9</v>
      </c>
      <c r="N65" s="105" t="str">
        <f t="shared" si="5"/>
        <v/>
      </c>
      <c r="O65" s="106" t="str">
        <f t="shared" si="6"/>
        <v/>
      </c>
      <c r="P65" s="105" t="str">
        <f t="shared" si="7"/>
        <v/>
      </c>
      <c r="Q65" s="106" t="str">
        <f t="shared" si="8"/>
        <v/>
      </c>
      <c r="R65" s="105" t="str">
        <f t="shared" si="9"/>
        <v>062F</v>
      </c>
      <c r="S65" s="106" t="str">
        <f t="shared" si="10"/>
        <v>FEAA</v>
      </c>
    </row>
    <row r="66" spans="1:19" ht="26.25">
      <c r="A66" s="104" t="s">
        <v>77</v>
      </c>
      <c r="B66" s="98" t="s">
        <v>159</v>
      </c>
      <c r="C66" s="98" t="s">
        <v>198</v>
      </c>
      <c r="D66" s="101"/>
      <c r="E66" s="101"/>
      <c r="F66" s="102" t="str">
        <f t="shared" si="11"/>
        <v>FEAC</v>
      </c>
      <c r="G66" s="103" t="str">
        <f>IF(B66&lt;&gt;"",toUTF16(HEX2DEC(B66)),"")</f>
        <v>ذ</v>
      </c>
      <c r="H66" s="103" t="str">
        <f>IF(C66&lt;&gt;"",toUTF16(HEX2DEC(C66)),"")</f>
        <v>ﺫ</v>
      </c>
      <c r="I66" s="103" t="str">
        <f>IF(D66&lt;&gt;"",toUTF16(HEX2DEC(D66)),"")</f>
        <v/>
      </c>
      <c r="J66" s="103" t="str">
        <f>IF(E66&lt;&gt;"",toUTF16(HEX2DEC(E66)),"")</f>
        <v/>
      </c>
      <c r="K66" s="108" t="str">
        <f>IF(F66&lt;&gt;"",toUTF16(HEX2DEC(F66)),"")</f>
        <v>ﺬ</v>
      </c>
      <c r="L66" s="105" t="str">
        <f t="shared" si="3"/>
        <v>0630</v>
      </c>
      <c r="M66" s="106" t="str">
        <f t="shared" si="4"/>
        <v>FEAB</v>
      </c>
      <c r="N66" s="105" t="str">
        <f t="shared" si="5"/>
        <v/>
      </c>
      <c r="O66" s="106" t="str">
        <f t="shared" si="6"/>
        <v/>
      </c>
      <c r="P66" s="105" t="str">
        <f t="shared" si="7"/>
        <v/>
      </c>
      <c r="Q66" s="106" t="str">
        <f t="shared" si="8"/>
        <v/>
      </c>
      <c r="R66" s="105" t="str">
        <f t="shared" si="9"/>
        <v>0630</v>
      </c>
      <c r="S66" s="106" t="str">
        <f t="shared" si="10"/>
        <v>FEAC</v>
      </c>
    </row>
    <row r="67" spans="1:19" ht="26.25">
      <c r="A67" s="104" t="s">
        <v>78</v>
      </c>
      <c r="B67" s="98" t="s">
        <v>160</v>
      </c>
      <c r="C67" s="98" t="s">
        <v>823</v>
      </c>
      <c r="D67" s="101"/>
      <c r="E67" s="101"/>
      <c r="F67" s="102" t="str">
        <f t="shared" si="11"/>
        <v>FEAE</v>
      </c>
      <c r="G67" s="103" t="str">
        <f>IF(B67&lt;&gt;"",toUTF16(HEX2DEC(B67)),"")</f>
        <v>ر</v>
      </c>
      <c r="H67" s="103" t="str">
        <f>IF(C67&lt;&gt;"",toUTF16(HEX2DEC(C67)),"")</f>
        <v>ﺭ</v>
      </c>
      <c r="I67" s="103" t="str">
        <f>IF(D67&lt;&gt;"",toUTF16(HEX2DEC(D67)),"")</f>
        <v/>
      </c>
      <c r="J67" s="103" t="str">
        <f>IF(E67&lt;&gt;"",toUTF16(HEX2DEC(E67)),"")</f>
        <v/>
      </c>
      <c r="K67" s="108" t="str">
        <f>IF(F67&lt;&gt;"",toUTF16(HEX2DEC(F67)),"")</f>
        <v>ﺮ</v>
      </c>
      <c r="L67" s="105" t="str">
        <f t="shared" si="3"/>
        <v>0631</v>
      </c>
      <c r="M67" s="106" t="str">
        <f t="shared" si="4"/>
        <v>FEAD</v>
      </c>
      <c r="N67" s="105" t="str">
        <f t="shared" si="5"/>
        <v/>
      </c>
      <c r="O67" s="106" t="str">
        <f t="shared" si="6"/>
        <v/>
      </c>
      <c r="P67" s="105" t="str">
        <f t="shared" si="7"/>
        <v/>
      </c>
      <c r="Q67" s="106" t="str">
        <f t="shared" si="8"/>
        <v/>
      </c>
      <c r="R67" s="105" t="str">
        <f t="shared" si="9"/>
        <v>0631</v>
      </c>
      <c r="S67" s="106" t="str">
        <f t="shared" si="10"/>
        <v>FEAE</v>
      </c>
    </row>
    <row r="68" spans="1:19" ht="26.25">
      <c r="A68" s="104" t="s">
        <v>79</v>
      </c>
      <c r="B68" s="98" t="s">
        <v>161</v>
      </c>
      <c r="C68" s="98" t="s">
        <v>200</v>
      </c>
      <c r="D68" s="101"/>
      <c r="E68" s="101"/>
      <c r="F68" s="102" t="str">
        <f t="shared" si="11"/>
        <v>FEB0</v>
      </c>
      <c r="G68" s="103" t="str">
        <f>IF(B68&lt;&gt;"",toUTF16(HEX2DEC(B68)),"")</f>
        <v>ز</v>
      </c>
      <c r="H68" s="103" t="str">
        <f>IF(C68&lt;&gt;"",toUTF16(HEX2DEC(C68)),"")</f>
        <v>ﺯ</v>
      </c>
      <c r="I68" s="103" t="str">
        <f>IF(D68&lt;&gt;"",toUTF16(HEX2DEC(D68)),"")</f>
        <v/>
      </c>
      <c r="J68" s="103" t="str">
        <f>IF(E68&lt;&gt;"",toUTF16(HEX2DEC(E68)),"")</f>
        <v/>
      </c>
      <c r="K68" s="108" t="str">
        <f>IF(F68&lt;&gt;"",toUTF16(HEX2DEC(F68)),"")</f>
        <v>ﺰ</v>
      </c>
      <c r="L68" s="105" t="str">
        <f t="shared" ref="L68:L86" si="14">IF(C68&lt;&gt;"",B68,"")</f>
        <v>0632</v>
      </c>
      <c r="M68" s="106" t="str">
        <f t="shared" ref="M68:M86" si="15">IF(C68&lt;&gt;"",C68,"")</f>
        <v>FEAF</v>
      </c>
      <c r="N68" s="105" t="str">
        <f t="shared" ref="N68:N86" si="16">IF(D68&lt;&gt;"",B68,"")</f>
        <v/>
      </c>
      <c r="O68" s="106" t="str">
        <f t="shared" ref="O68:O86" si="17">IF(D68&lt;&gt;"",D68,"")</f>
        <v/>
      </c>
      <c r="P68" s="105" t="str">
        <f t="shared" ref="P68:P86" si="18">IF(E68&lt;&gt;"",B68,"")</f>
        <v/>
      </c>
      <c r="Q68" s="106" t="str">
        <f t="shared" ref="Q68:Q86" si="19">IF(E68&lt;&gt;"",E68,"")</f>
        <v/>
      </c>
      <c r="R68" s="105" t="str">
        <f t="shared" ref="R68:R86" si="20">IF(F68&lt;&gt;"",B68,"")</f>
        <v>0632</v>
      </c>
      <c r="S68" s="106" t="str">
        <f t="shared" ref="S68:S86" si="21">IF(F68&lt;&gt;"",F68,"")</f>
        <v>FEB0</v>
      </c>
    </row>
    <row r="69" spans="1:19" ht="26.25">
      <c r="A69" s="104" t="s">
        <v>80</v>
      </c>
      <c r="B69" s="98" t="s">
        <v>163</v>
      </c>
      <c r="C69" s="98" t="s">
        <v>201</v>
      </c>
      <c r="D69" s="101" t="str">
        <f t="shared" si="12"/>
        <v>FEB3</v>
      </c>
      <c r="E69" s="101" t="str">
        <f t="shared" si="13"/>
        <v>FEB4</v>
      </c>
      <c r="F69" s="102" t="str">
        <f t="shared" si="11"/>
        <v>FEB2</v>
      </c>
      <c r="G69" s="103" t="str">
        <f>IF(B69&lt;&gt;"",toUTF16(HEX2DEC(B69)),"")</f>
        <v>س</v>
      </c>
      <c r="H69" s="103" t="str">
        <f>IF(C69&lt;&gt;"",toUTF16(HEX2DEC(C69)),"")</f>
        <v>ﺱ</v>
      </c>
      <c r="I69" s="103" t="str">
        <f>IF(D69&lt;&gt;"",toUTF16(HEX2DEC(D69)),"")</f>
        <v>ﺳ</v>
      </c>
      <c r="J69" s="103" t="str">
        <f>IF(E69&lt;&gt;"",toUTF16(HEX2DEC(E69)),"")</f>
        <v>ﺴ</v>
      </c>
      <c r="K69" s="108" t="str">
        <f>IF(F69&lt;&gt;"",toUTF16(HEX2DEC(F69)),"")</f>
        <v>ﺲ</v>
      </c>
      <c r="L69" s="105" t="str">
        <f t="shared" si="14"/>
        <v>0633</v>
      </c>
      <c r="M69" s="106" t="str">
        <f t="shared" si="15"/>
        <v>FEB1</v>
      </c>
      <c r="N69" s="105" t="str">
        <f t="shared" si="16"/>
        <v>0633</v>
      </c>
      <c r="O69" s="106" t="str">
        <f t="shared" si="17"/>
        <v>FEB3</v>
      </c>
      <c r="P69" s="105" t="str">
        <f t="shared" si="18"/>
        <v>0633</v>
      </c>
      <c r="Q69" s="106" t="str">
        <f t="shared" si="19"/>
        <v>FEB4</v>
      </c>
      <c r="R69" s="105" t="str">
        <f t="shared" si="20"/>
        <v>0633</v>
      </c>
      <c r="S69" s="106" t="str">
        <f t="shared" si="21"/>
        <v>FEB2</v>
      </c>
    </row>
    <row r="70" spans="1:19" ht="26.25">
      <c r="A70" s="104" t="s">
        <v>83</v>
      </c>
      <c r="B70" s="98" t="s">
        <v>162</v>
      </c>
      <c r="C70" s="98" t="s">
        <v>202</v>
      </c>
      <c r="D70" s="101" t="str">
        <f t="shared" si="12"/>
        <v>FEB7</v>
      </c>
      <c r="E70" s="101" t="str">
        <f t="shared" si="13"/>
        <v>FEB8</v>
      </c>
      <c r="F70" s="102" t="str">
        <f t="shared" si="11"/>
        <v>FEB6</v>
      </c>
      <c r="G70" s="103" t="str">
        <f>IF(B70&lt;&gt;"",toUTF16(HEX2DEC(B70)),"")</f>
        <v>ش</v>
      </c>
      <c r="H70" s="103" t="str">
        <f>IF(C70&lt;&gt;"",toUTF16(HEX2DEC(C70)),"")</f>
        <v>ﺵ</v>
      </c>
      <c r="I70" s="103" t="str">
        <f>IF(D70&lt;&gt;"",toUTF16(HEX2DEC(D70)),"")</f>
        <v>ﺷ</v>
      </c>
      <c r="J70" s="103" t="str">
        <f>IF(E70&lt;&gt;"",toUTF16(HEX2DEC(E70)),"")</f>
        <v>ﺸ</v>
      </c>
      <c r="K70" s="108" t="str">
        <f>IF(F70&lt;&gt;"",toUTF16(HEX2DEC(F70)),"")</f>
        <v>ﺶ</v>
      </c>
      <c r="L70" s="105" t="str">
        <f t="shared" si="14"/>
        <v>0634</v>
      </c>
      <c r="M70" s="106" t="str">
        <f t="shared" si="15"/>
        <v>FEB5</v>
      </c>
      <c r="N70" s="105" t="str">
        <f t="shared" si="16"/>
        <v>0634</v>
      </c>
      <c r="O70" s="106" t="str">
        <f t="shared" si="17"/>
        <v>FEB7</v>
      </c>
      <c r="P70" s="105" t="str">
        <f t="shared" si="18"/>
        <v>0634</v>
      </c>
      <c r="Q70" s="106" t="str">
        <f t="shared" si="19"/>
        <v>FEB8</v>
      </c>
      <c r="R70" s="105" t="str">
        <f t="shared" si="20"/>
        <v>0634</v>
      </c>
      <c r="S70" s="106" t="str">
        <f t="shared" si="21"/>
        <v>FEB6</v>
      </c>
    </row>
    <row r="71" spans="1:19" ht="26.25">
      <c r="A71" s="104" t="s">
        <v>81</v>
      </c>
      <c r="B71" s="98" t="s">
        <v>383</v>
      </c>
      <c r="C71" s="98" t="s">
        <v>203</v>
      </c>
      <c r="D71" s="101" t="str">
        <f t="shared" si="12"/>
        <v>FEBB</v>
      </c>
      <c r="E71" s="101" t="str">
        <f t="shared" si="13"/>
        <v>FEBC</v>
      </c>
      <c r="F71" s="102" t="str">
        <f t="shared" si="11"/>
        <v>FEBA</v>
      </c>
      <c r="G71" s="103" t="str">
        <f>IF(B71&lt;&gt;"",toUTF16(HEX2DEC(B71)),"")</f>
        <v>ص</v>
      </c>
      <c r="H71" s="103" t="str">
        <f>IF(C71&lt;&gt;"",toUTF16(HEX2DEC(C71)),"")</f>
        <v>ﺹ</v>
      </c>
      <c r="I71" s="103" t="str">
        <f>IF(D71&lt;&gt;"",toUTF16(HEX2DEC(D71)),"")</f>
        <v>ﺻ</v>
      </c>
      <c r="J71" s="103" t="str">
        <f>IF(E71&lt;&gt;"",toUTF16(HEX2DEC(E71)),"")</f>
        <v>ﺼ</v>
      </c>
      <c r="K71" s="108" t="str">
        <f>IF(F71&lt;&gt;"",toUTF16(HEX2DEC(F71)),"")</f>
        <v>ﺺ</v>
      </c>
      <c r="L71" s="105" t="str">
        <f t="shared" si="14"/>
        <v>0635</v>
      </c>
      <c r="M71" s="106" t="str">
        <f t="shared" si="15"/>
        <v>FEB9</v>
      </c>
      <c r="N71" s="105" t="str">
        <f t="shared" si="16"/>
        <v>0635</v>
      </c>
      <c r="O71" s="106" t="str">
        <f t="shared" si="17"/>
        <v>FEBB</v>
      </c>
      <c r="P71" s="105" t="str">
        <f t="shared" si="18"/>
        <v>0635</v>
      </c>
      <c r="Q71" s="106" t="str">
        <f t="shared" si="19"/>
        <v>FEBC</v>
      </c>
      <c r="R71" s="105" t="str">
        <f t="shared" si="20"/>
        <v>0635</v>
      </c>
      <c r="S71" s="106" t="str">
        <f t="shared" si="21"/>
        <v>FEBA</v>
      </c>
    </row>
    <row r="72" spans="1:19" ht="26.25">
      <c r="A72" s="104" t="s">
        <v>82</v>
      </c>
      <c r="B72" s="98" t="s">
        <v>164</v>
      </c>
      <c r="C72" s="98" t="s">
        <v>204</v>
      </c>
      <c r="D72" s="101" t="str">
        <f t="shared" si="12"/>
        <v>FEBF</v>
      </c>
      <c r="E72" s="101" t="str">
        <f t="shared" si="13"/>
        <v>FEC0</v>
      </c>
      <c r="F72" s="102" t="str">
        <f t="shared" si="11"/>
        <v>FEBE</v>
      </c>
      <c r="G72" s="103" t="str">
        <f>IF(B72&lt;&gt;"",toUTF16(HEX2DEC(B72)),"")</f>
        <v>ض</v>
      </c>
      <c r="H72" s="103" t="str">
        <f>IF(C72&lt;&gt;"",toUTF16(HEX2DEC(C72)),"")</f>
        <v>ﺽ</v>
      </c>
      <c r="I72" s="103" t="str">
        <f>IF(D72&lt;&gt;"",toUTF16(HEX2DEC(D72)),"")</f>
        <v>ﺿ</v>
      </c>
      <c r="J72" s="103" t="str">
        <f>IF(E72&lt;&gt;"",toUTF16(HEX2DEC(E72)),"")</f>
        <v>ﻀ</v>
      </c>
      <c r="K72" s="108" t="str">
        <f>IF(F72&lt;&gt;"",toUTF16(HEX2DEC(F72)),"")</f>
        <v>ﺾ</v>
      </c>
      <c r="L72" s="105" t="str">
        <f t="shared" si="14"/>
        <v>0636</v>
      </c>
      <c r="M72" s="106" t="str">
        <f t="shared" si="15"/>
        <v>FEBD</v>
      </c>
      <c r="N72" s="105" t="str">
        <f t="shared" si="16"/>
        <v>0636</v>
      </c>
      <c r="O72" s="106" t="str">
        <f t="shared" si="17"/>
        <v>FEBF</v>
      </c>
      <c r="P72" s="105" t="str">
        <f t="shared" si="18"/>
        <v>0636</v>
      </c>
      <c r="Q72" s="106" t="str">
        <f t="shared" si="19"/>
        <v>FEC0</v>
      </c>
      <c r="R72" s="105" t="str">
        <f t="shared" si="20"/>
        <v>0636</v>
      </c>
      <c r="S72" s="106" t="str">
        <f t="shared" si="21"/>
        <v>FEBE</v>
      </c>
    </row>
    <row r="73" spans="1:19" ht="26.25">
      <c r="A73" s="104" t="s">
        <v>84</v>
      </c>
      <c r="B73" s="98" t="s">
        <v>165</v>
      </c>
      <c r="C73" s="98" t="s">
        <v>205</v>
      </c>
      <c r="D73" s="101" t="str">
        <f t="shared" si="12"/>
        <v>FEC3</v>
      </c>
      <c r="E73" s="101" t="str">
        <f t="shared" si="13"/>
        <v>FEC4</v>
      </c>
      <c r="F73" s="102" t="str">
        <f t="shared" si="11"/>
        <v>FEC2</v>
      </c>
      <c r="G73" s="103" t="str">
        <f>IF(B73&lt;&gt;"",toUTF16(HEX2DEC(B73)),"")</f>
        <v>ط</v>
      </c>
      <c r="H73" s="103" t="str">
        <f>IF(C73&lt;&gt;"",toUTF16(HEX2DEC(C73)),"")</f>
        <v>ﻁ</v>
      </c>
      <c r="I73" s="103" t="str">
        <f>IF(D73&lt;&gt;"",toUTF16(HEX2DEC(D73)),"")</f>
        <v>ﻃ</v>
      </c>
      <c r="J73" s="103" t="str">
        <f>IF(E73&lt;&gt;"",toUTF16(HEX2DEC(E73)),"")</f>
        <v>ﻄ</v>
      </c>
      <c r="K73" s="108" t="str">
        <f>IF(F73&lt;&gt;"",toUTF16(HEX2DEC(F73)),"")</f>
        <v>ﻂ</v>
      </c>
      <c r="L73" s="105" t="str">
        <f t="shared" si="14"/>
        <v>0637</v>
      </c>
      <c r="M73" s="106" t="str">
        <f t="shared" si="15"/>
        <v>FEC1</v>
      </c>
      <c r="N73" s="105" t="str">
        <f t="shared" si="16"/>
        <v>0637</v>
      </c>
      <c r="O73" s="106" t="str">
        <f t="shared" si="17"/>
        <v>FEC3</v>
      </c>
      <c r="P73" s="105" t="str">
        <f t="shared" si="18"/>
        <v>0637</v>
      </c>
      <c r="Q73" s="106" t="str">
        <f t="shared" si="19"/>
        <v>FEC4</v>
      </c>
      <c r="R73" s="105" t="str">
        <f t="shared" si="20"/>
        <v>0637</v>
      </c>
      <c r="S73" s="106" t="str">
        <f t="shared" si="21"/>
        <v>FEC2</v>
      </c>
    </row>
    <row r="74" spans="1:19" ht="26.25">
      <c r="A74" s="104" t="s">
        <v>85</v>
      </c>
      <c r="B74" s="98" t="s">
        <v>166</v>
      </c>
      <c r="C74" s="98" t="s">
        <v>206</v>
      </c>
      <c r="D74" s="101" t="str">
        <f t="shared" si="12"/>
        <v>FEC7</v>
      </c>
      <c r="E74" s="101" t="str">
        <f t="shared" si="13"/>
        <v>FEC8</v>
      </c>
      <c r="F74" s="102" t="str">
        <f t="shared" si="11"/>
        <v>FEC6</v>
      </c>
      <c r="G74" s="103" t="str">
        <f>IF(B74&lt;&gt;"",toUTF16(HEX2DEC(B74)),"")</f>
        <v>ظ</v>
      </c>
      <c r="H74" s="103" t="str">
        <f>IF(C74&lt;&gt;"",toUTF16(HEX2DEC(C74)),"")</f>
        <v>ﻅ</v>
      </c>
      <c r="I74" s="103" t="str">
        <f>IF(D74&lt;&gt;"",toUTF16(HEX2DEC(D74)),"")</f>
        <v>ﻇ</v>
      </c>
      <c r="J74" s="103" t="str">
        <f>IF(E74&lt;&gt;"",toUTF16(HEX2DEC(E74)),"")</f>
        <v>ﻈ</v>
      </c>
      <c r="K74" s="108" t="str">
        <f>IF(F74&lt;&gt;"",toUTF16(HEX2DEC(F74)),"")</f>
        <v>ﻆ</v>
      </c>
      <c r="L74" s="105" t="str">
        <f t="shared" si="14"/>
        <v>0638</v>
      </c>
      <c r="M74" s="106" t="str">
        <f t="shared" si="15"/>
        <v>FEC5</v>
      </c>
      <c r="N74" s="105" t="str">
        <f t="shared" si="16"/>
        <v>0638</v>
      </c>
      <c r="O74" s="106" t="str">
        <f t="shared" si="17"/>
        <v>FEC7</v>
      </c>
      <c r="P74" s="105" t="str">
        <f t="shared" si="18"/>
        <v>0638</v>
      </c>
      <c r="Q74" s="106" t="str">
        <f t="shared" si="19"/>
        <v>FEC8</v>
      </c>
      <c r="R74" s="105" t="str">
        <f t="shared" si="20"/>
        <v>0638</v>
      </c>
      <c r="S74" s="106" t="str">
        <f t="shared" si="21"/>
        <v>FEC6</v>
      </c>
    </row>
    <row r="75" spans="1:19" ht="26.25">
      <c r="A75" s="104" t="s">
        <v>86</v>
      </c>
      <c r="B75" s="98" t="s">
        <v>167</v>
      </c>
      <c r="C75" s="98" t="s">
        <v>207</v>
      </c>
      <c r="D75" s="101" t="str">
        <f t="shared" si="12"/>
        <v>FECB</v>
      </c>
      <c r="E75" s="101" t="str">
        <f t="shared" si="13"/>
        <v>FECC</v>
      </c>
      <c r="F75" s="102" t="str">
        <f t="shared" si="11"/>
        <v>FECA</v>
      </c>
      <c r="G75" s="103" t="str">
        <f>IF(B75&lt;&gt;"",toUTF16(HEX2DEC(B75)),"")</f>
        <v>ع</v>
      </c>
      <c r="H75" s="103" t="str">
        <f>IF(C75&lt;&gt;"",toUTF16(HEX2DEC(C75)),"")</f>
        <v>ﻉ</v>
      </c>
      <c r="I75" s="103" t="str">
        <f>IF(D75&lt;&gt;"",toUTF16(HEX2DEC(D75)),"")</f>
        <v>ﻋ</v>
      </c>
      <c r="J75" s="103" t="str">
        <f>IF(E75&lt;&gt;"",toUTF16(HEX2DEC(E75)),"")</f>
        <v>ﻌ</v>
      </c>
      <c r="K75" s="108" t="str">
        <f>IF(F75&lt;&gt;"",toUTF16(HEX2DEC(F75)),"")</f>
        <v>ﻊ</v>
      </c>
      <c r="L75" s="105" t="str">
        <f t="shared" si="14"/>
        <v>0639</v>
      </c>
      <c r="M75" s="106" t="str">
        <f t="shared" si="15"/>
        <v>FEC9</v>
      </c>
      <c r="N75" s="105" t="str">
        <f t="shared" si="16"/>
        <v>0639</v>
      </c>
      <c r="O75" s="106" t="str">
        <f t="shared" si="17"/>
        <v>FECB</v>
      </c>
      <c r="P75" s="105" t="str">
        <f t="shared" si="18"/>
        <v>0639</v>
      </c>
      <c r="Q75" s="106" t="str">
        <f t="shared" si="19"/>
        <v>FECC</v>
      </c>
      <c r="R75" s="105" t="str">
        <f t="shared" si="20"/>
        <v>0639</v>
      </c>
      <c r="S75" s="106" t="str">
        <f t="shared" si="21"/>
        <v>FECA</v>
      </c>
    </row>
    <row r="76" spans="1:19" ht="26.25">
      <c r="A76" s="104" t="s">
        <v>87</v>
      </c>
      <c r="B76" s="98" t="s">
        <v>168</v>
      </c>
      <c r="C76" s="98" t="s">
        <v>208</v>
      </c>
      <c r="D76" s="101" t="str">
        <f t="shared" si="12"/>
        <v>FECF</v>
      </c>
      <c r="E76" s="101" t="str">
        <f t="shared" si="13"/>
        <v>FED0</v>
      </c>
      <c r="F76" s="102" t="str">
        <f t="shared" si="11"/>
        <v>FECE</v>
      </c>
      <c r="G76" s="103" t="str">
        <f>IF(B76&lt;&gt;"",toUTF16(HEX2DEC(B76)),"")</f>
        <v>غ</v>
      </c>
      <c r="H76" s="103" t="str">
        <f>IF(C76&lt;&gt;"",toUTF16(HEX2DEC(C76)),"")</f>
        <v>ﻍ</v>
      </c>
      <c r="I76" s="103" t="str">
        <f>IF(D76&lt;&gt;"",toUTF16(HEX2DEC(D76)),"")</f>
        <v>ﻏ</v>
      </c>
      <c r="J76" s="103" t="str">
        <f>IF(E76&lt;&gt;"",toUTF16(HEX2DEC(E76)),"")</f>
        <v>ﻐ</v>
      </c>
      <c r="K76" s="108" t="str">
        <f>IF(F76&lt;&gt;"",toUTF16(HEX2DEC(F76)),"")</f>
        <v>ﻎ</v>
      </c>
      <c r="L76" s="105" t="str">
        <f t="shared" si="14"/>
        <v>063A</v>
      </c>
      <c r="M76" s="106" t="str">
        <f t="shared" si="15"/>
        <v>FECD</v>
      </c>
      <c r="N76" s="105" t="str">
        <f t="shared" si="16"/>
        <v>063A</v>
      </c>
      <c r="O76" s="106" t="str">
        <f t="shared" si="17"/>
        <v>FECF</v>
      </c>
      <c r="P76" s="105" t="str">
        <f t="shared" si="18"/>
        <v>063A</v>
      </c>
      <c r="Q76" s="106" t="str">
        <f t="shared" si="19"/>
        <v>FED0</v>
      </c>
      <c r="R76" s="105" t="str">
        <f t="shared" si="20"/>
        <v>063A</v>
      </c>
      <c r="S76" s="106" t="str">
        <f t="shared" si="21"/>
        <v>FECE</v>
      </c>
    </row>
    <row r="77" spans="1:19" ht="26.25">
      <c r="A77" s="104" t="s">
        <v>88</v>
      </c>
      <c r="B77" s="98" t="s">
        <v>169</v>
      </c>
      <c r="C77" s="98" t="s">
        <v>209</v>
      </c>
      <c r="D77" s="101" t="str">
        <f t="shared" si="12"/>
        <v>FED3</v>
      </c>
      <c r="E77" s="101" t="str">
        <f t="shared" si="13"/>
        <v>FED4</v>
      </c>
      <c r="F77" s="102" t="str">
        <f t="shared" si="11"/>
        <v>FED2</v>
      </c>
      <c r="G77" s="103" t="str">
        <f>IF(B77&lt;&gt;"",toUTF16(HEX2DEC(B77)),"")</f>
        <v>ف</v>
      </c>
      <c r="H77" s="103" t="str">
        <f>IF(C77&lt;&gt;"",toUTF16(HEX2DEC(C77)),"")</f>
        <v>ﻑ</v>
      </c>
      <c r="I77" s="103" t="str">
        <f>IF(D77&lt;&gt;"",toUTF16(HEX2DEC(D77)),"")</f>
        <v>ﻓ</v>
      </c>
      <c r="J77" s="103" t="str">
        <f>IF(E77&lt;&gt;"",toUTF16(HEX2DEC(E77)),"")</f>
        <v>ﻔ</v>
      </c>
      <c r="K77" s="108" t="str">
        <f>IF(F77&lt;&gt;"",toUTF16(HEX2DEC(F77)),"")</f>
        <v>ﻒ</v>
      </c>
      <c r="L77" s="105" t="str">
        <f t="shared" si="14"/>
        <v>0641</v>
      </c>
      <c r="M77" s="106" t="str">
        <f t="shared" si="15"/>
        <v>FED1</v>
      </c>
      <c r="N77" s="105" t="str">
        <f t="shared" si="16"/>
        <v>0641</v>
      </c>
      <c r="O77" s="106" t="str">
        <f t="shared" si="17"/>
        <v>FED3</v>
      </c>
      <c r="P77" s="105" t="str">
        <f t="shared" si="18"/>
        <v>0641</v>
      </c>
      <c r="Q77" s="106" t="str">
        <f t="shared" si="19"/>
        <v>FED4</v>
      </c>
      <c r="R77" s="105" t="str">
        <f t="shared" si="20"/>
        <v>0641</v>
      </c>
      <c r="S77" s="106" t="str">
        <f t="shared" si="21"/>
        <v>FED2</v>
      </c>
    </row>
    <row r="78" spans="1:19" ht="26.25">
      <c r="A78" s="104" t="s">
        <v>89</v>
      </c>
      <c r="B78" s="98" t="s">
        <v>170</v>
      </c>
      <c r="C78" s="98" t="s">
        <v>210</v>
      </c>
      <c r="D78" s="101" t="str">
        <f t="shared" si="12"/>
        <v>FED7</v>
      </c>
      <c r="E78" s="101" t="str">
        <f t="shared" si="13"/>
        <v>FED8</v>
      </c>
      <c r="F78" s="102" t="str">
        <f t="shared" si="11"/>
        <v>FED6</v>
      </c>
      <c r="G78" s="103" t="str">
        <f>IF(B78&lt;&gt;"",toUTF16(HEX2DEC(B78)),"")</f>
        <v>ق</v>
      </c>
      <c r="H78" s="103" t="str">
        <f>IF(C78&lt;&gt;"",toUTF16(HEX2DEC(C78)),"")</f>
        <v>ﻕ</v>
      </c>
      <c r="I78" s="103" t="str">
        <f>IF(D78&lt;&gt;"",toUTF16(HEX2DEC(D78)),"")</f>
        <v>ﻗ</v>
      </c>
      <c r="J78" s="103" t="str">
        <f>IF(E78&lt;&gt;"",toUTF16(HEX2DEC(E78)),"")</f>
        <v>ﻘ</v>
      </c>
      <c r="K78" s="108" t="str">
        <f>IF(F78&lt;&gt;"",toUTF16(HEX2DEC(F78)),"")</f>
        <v>ﻖ</v>
      </c>
      <c r="L78" s="105" t="str">
        <f t="shared" si="14"/>
        <v>0642</v>
      </c>
      <c r="M78" s="106" t="str">
        <f t="shared" si="15"/>
        <v>FED5</v>
      </c>
      <c r="N78" s="105" t="str">
        <f t="shared" si="16"/>
        <v>0642</v>
      </c>
      <c r="O78" s="106" t="str">
        <f t="shared" si="17"/>
        <v>FED7</v>
      </c>
      <c r="P78" s="105" t="str">
        <f t="shared" si="18"/>
        <v>0642</v>
      </c>
      <c r="Q78" s="106" t="str">
        <f t="shared" si="19"/>
        <v>FED8</v>
      </c>
      <c r="R78" s="105" t="str">
        <f t="shared" si="20"/>
        <v>0642</v>
      </c>
      <c r="S78" s="106" t="str">
        <f t="shared" si="21"/>
        <v>FED6</v>
      </c>
    </row>
    <row r="79" spans="1:19" ht="26.25">
      <c r="A79" s="104" t="s">
        <v>90</v>
      </c>
      <c r="B79" s="98" t="s">
        <v>171</v>
      </c>
      <c r="C79" s="98" t="s">
        <v>211</v>
      </c>
      <c r="D79" s="101" t="str">
        <f t="shared" si="12"/>
        <v>FEDB</v>
      </c>
      <c r="E79" s="101" t="str">
        <f t="shared" si="13"/>
        <v>FEDC</v>
      </c>
      <c r="F79" s="102" t="str">
        <f t="shared" si="11"/>
        <v>FEDA</v>
      </c>
      <c r="G79" s="103" t="str">
        <f>IF(B79&lt;&gt;"",toUTF16(HEX2DEC(B79)),"")</f>
        <v>ك</v>
      </c>
      <c r="H79" s="103" t="str">
        <f>IF(C79&lt;&gt;"",toUTF16(HEX2DEC(C79)),"")</f>
        <v>ﻙ</v>
      </c>
      <c r="I79" s="103" t="str">
        <f>IF(D79&lt;&gt;"",toUTF16(HEX2DEC(D79)),"")</f>
        <v>ﻛ</v>
      </c>
      <c r="J79" s="103" t="str">
        <f>IF(E79&lt;&gt;"",toUTF16(HEX2DEC(E79)),"")</f>
        <v>ﻜ</v>
      </c>
      <c r="K79" s="108" t="str">
        <f>IF(F79&lt;&gt;"",toUTF16(HEX2DEC(F79)),"")</f>
        <v>ﻚ</v>
      </c>
      <c r="L79" s="105" t="str">
        <f t="shared" si="14"/>
        <v>0643</v>
      </c>
      <c r="M79" s="106" t="str">
        <f t="shared" si="15"/>
        <v>FED9</v>
      </c>
      <c r="N79" s="105" t="str">
        <f t="shared" si="16"/>
        <v>0643</v>
      </c>
      <c r="O79" s="106" t="str">
        <f t="shared" si="17"/>
        <v>FEDB</v>
      </c>
      <c r="P79" s="105" t="str">
        <f t="shared" si="18"/>
        <v>0643</v>
      </c>
      <c r="Q79" s="106" t="str">
        <f t="shared" si="19"/>
        <v>FEDC</v>
      </c>
      <c r="R79" s="105" t="str">
        <f t="shared" si="20"/>
        <v>0643</v>
      </c>
      <c r="S79" s="106" t="str">
        <f t="shared" si="21"/>
        <v>FEDA</v>
      </c>
    </row>
    <row r="80" spans="1:19" ht="26.25">
      <c r="A80" s="104" t="s">
        <v>91</v>
      </c>
      <c r="B80" s="98" t="s">
        <v>172</v>
      </c>
      <c r="C80" s="98" t="s">
        <v>212</v>
      </c>
      <c r="D80" s="101" t="str">
        <f t="shared" si="12"/>
        <v>FEDF</v>
      </c>
      <c r="E80" s="101" t="str">
        <f t="shared" si="13"/>
        <v>FEE0</v>
      </c>
      <c r="F80" s="102" t="str">
        <f t="shared" si="11"/>
        <v>FEDE</v>
      </c>
      <c r="G80" s="103" t="str">
        <f>IF(B80&lt;&gt;"",toUTF16(HEX2DEC(B80)),"")</f>
        <v>ل</v>
      </c>
      <c r="H80" s="103" t="str">
        <f>IF(C80&lt;&gt;"",toUTF16(HEX2DEC(C80)),"")</f>
        <v>ﻝ</v>
      </c>
      <c r="I80" s="103" t="str">
        <f>IF(D80&lt;&gt;"",toUTF16(HEX2DEC(D80)),"")</f>
        <v>ﻟ</v>
      </c>
      <c r="J80" s="103" t="str">
        <f>IF(E80&lt;&gt;"",toUTF16(HEX2DEC(E80)),"")</f>
        <v>ﻠ</v>
      </c>
      <c r="K80" s="108" t="str">
        <f>IF(F80&lt;&gt;"",toUTF16(HEX2DEC(F80)),"")</f>
        <v>ﻞ</v>
      </c>
      <c r="L80" s="105" t="str">
        <f t="shared" si="14"/>
        <v>0644</v>
      </c>
      <c r="M80" s="106" t="str">
        <f t="shared" si="15"/>
        <v>FEDD</v>
      </c>
      <c r="N80" s="105" t="str">
        <f t="shared" si="16"/>
        <v>0644</v>
      </c>
      <c r="O80" s="106" t="str">
        <f t="shared" si="17"/>
        <v>FEDF</v>
      </c>
      <c r="P80" s="105" t="str">
        <f t="shared" si="18"/>
        <v>0644</v>
      </c>
      <c r="Q80" s="106" t="str">
        <f t="shared" si="19"/>
        <v>FEE0</v>
      </c>
      <c r="R80" s="105" t="str">
        <f t="shared" si="20"/>
        <v>0644</v>
      </c>
      <c r="S80" s="106" t="str">
        <f t="shared" si="21"/>
        <v>FEDE</v>
      </c>
    </row>
    <row r="81" spans="1:19" ht="26.25">
      <c r="A81" s="104" t="s">
        <v>92</v>
      </c>
      <c r="B81" s="98" t="s">
        <v>173</v>
      </c>
      <c r="C81" s="98" t="s">
        <v>213</v>
      </c>
      <c r="D81" s="101" t="str">
        <f t="shared" si="12"/>
        <v>FEE3</v>
      </c>
      <c r="E81" s="101" t="str">
        <f t="shared" si="13"/>
        <v>FEE4</v>
      </c>
      <c r="F81" s="102" t="str">
        <f t="shared" si="11"/>
        <v>FEE2</v>
      </c>
      <c r="G81" s="103" t="str">
        <f>IF(B81&lt;&gt;"",toUTF16(HEX2DEC(B81)),"")</f>
        <v>م</v>
      </c>
      <c r="H81" s="103" t="str">
        <f>IF(C81&lt;&gt;"",toUTF16(HEX2DEC(C81)),"")</f>
        <v>ﻡ</v>
      </c>
      <c r="I81" s="103" t="str">
        <f>IF(D81&lt;&gt;"",toUTF16(HEX2DEC(D81)),"")</f>
        <v>ﻣ</v>
      </c>
      <c r="J81" s="103" t="str">
        <f>IF(E81&lt;&gt;"",toUTF16(HEX2DEC(E81)),"")</f>
        <v>ﻤ</v>
      </c>
      <c r="K81" s="108" t="str">
        <f>IF(F81&lt;&gt;"",toUTF16(HEX2DEC(F81)),"")</f>
        <v>ﻢ</v>
      </c>
      <c r="L81" s="105" t="str">
        <f t="shared" si="14"/>
        <v>0645</v>
      </c>
      <c r="M81" s="106" t="str">
        <f t="shared" si="15"/>
        <v>FEE1</v>
      </c>
      <c r="N81" s="105" t="str">
        <f t="shared" si="16"/>
        <v>0645</v>
      </c>
      <c r="O81" s="106" t="str">
        <f t="shared" si="17"/>
        <v>FEE3</v>
      </c>
      <c r="P81" s="105" t="str">
        <f t="shared" si="18"/>
        <v>0645</v>
      </c>
      <c r="Q81" s="106" t="str">
        <f t="shared" si="19"/>
        <v>FEE4</v>
      </c>
      <c r="R81" s="105" t="str">
        <f t="shared" si="20"/>
        <v>0645</v>
      </c>
      <c r="S81" s="106" t="str">
        <f t="shared" si="21"/>
        <v>FEE2</v>
      </c>
    </row>
    <row r="82" spans="1:19" ht="26.25">
      <c r="A82" s="104" t="s">
        <v>93</v>
      </c>
      <c r="B82" s="98" t="s">
        <v>174</v>
      </c>
      <c r="C82" s="98" t="s">
        <v>214</v>
      </c>
      <c r="D82" s="101" t="str">
        <f t="shared" si="12"/>
        <v>FEE7</v>
      </c>
      <c r="E82" s="101" t="str">
        <f t="shared" si="13"/>
        <v>FEE8</v>
      </c>
      <c r="F82" s="102" t="str">
        <f t="shared" si="11"/>
        <v>FEE6</v>
      </c>
      <c r="G82" s="103" t="str">
        <f>IF(B82&lt;&gt;"",toUTF16(HEX2DEC(B82)),"")</f>
        <v>ن</v>
      </c>
      <c r="H82" s="103" t="str">
        <f>IF(C82&lt;&gt;"",toUTF16(HEX2DEC(C82)),"")</f>
        <v>ﻥ</v>
      </c>
      <c r="I82" s="103" t="str">
        <f>IF(D82&lt;&gt;"",toUTF16(HEX2DEC(D82)),"")</f>
        <v>ﻧ</v>
      </c>
      <c r="J82" s="103" t="str">
        <f>IF(E82&lt;&gt;"",toUTF16(HEX2DEC(E82)),"")</f>
        <v>ﻨ</v>
      </c>
      <c r="K82" s="108" t="str">
        <f>IF(F82&lt;&gt;"",toUTF16(HEX2DEC(F82)),"")</f>
        <v>ﻦ</v>
      </c>
      <c r="L82" s="105" t="str">
        <f t="shared" si="14"/>
        <v>0646</v>
      </c>
      <c r="M82" s="106" t="str">
        <f t="shared" si="15"/>
        <v>FEE5</v>
      </c>
      <c r="N82" s="105" t="str">
        <f t="shared" si="16"/>
        <v>0646</v>
      </c>
      <c r="O82" s="106" t="str">
        <f t="shared" si="17"/>
        <v>FEE7</v>
      </c>
      <c r="P82" s="105" t="str">
        <f t="shared" si="18"/>
        <v>0646</v>
      </c>
      <c r="Q82" s="106" t="str">
        <f t="shared" si="19"/>
        <v>FEE8</v>
      </c>
      <c r="R82" s="105" t="str">
        <f t="shared" si="20"/>
        <v>0646</v>
      </c>
      <c r="S82" s="106" t="str">
        <f t="shared" si="21"/>
        <v>FEE6</v>
      </c>
    </row>
    <row r="83" spans="1:19" ht="26.25">
      <c r="A83" s="104" t="s">
        <v>94</v>
      </c>
      <c r="B83" s="98" t="s">
        <v>175</v>
      </c>
      <c r="C83" s="98" t="s">
        <v>215</v>
      </c>
      <c r="D83" s="101" t="str">
        <f t="shared" si="12"/>
        <v>FEEB</v>
      </c>
      <c r="E83" s="101" t="str">
        <f t="shared" si="13"/>
        <v>FEEC</v>
      </c>
      <c r="F83" s="102" t="str">
        <f t="shared" si="11"/>
        <v>FEEA</v>
      </c>
      <c r="G83" s="103" t="str">
        <f>IF(B83&lt;&gt;"",toUTF16(HEX2DEC(B83)),"")</f>
        <v>ه</v>
      </c>
      <c r="H83" s="103" t="str">
        <f>IF(C83&lt;&gt;"",toUTF16(HEX2DEC(C83)),"")</f>
        <v>ﻩ</v>
      </c>
      <c r="I83" s="103" t="str">
        <f>IF(D83&lt;&gt;"",toUTF16(HEX2DEC(D83)),"")</f>
        <v>ﻫ</v>
      </c>
      <c r="J83" s="103" t="str">
        <f>IF(E83&lt;&gt;"",toUTF16(HEX2DEC(E83)),"")</f>
        <v>ﻬ</v>
      </c>
      <c r="K83" s="108" t="str">
        <f>IF(F83&lt;&gt;"",toUTF16(HEX2DEC(F83)),"")</f>
        <v>ﻪ</v>
      </c>
      <c r="L83" s="105" t="str">
        <f t="shared" si="14"/>
        <v>0647</v>
      </c>
      <c r="M83" s="106" t="str">
        <f t="shared" si="15"/>
        <v>FEE9</v>
      </c>
      <c r="N83" s="105" t="str">
        <f t="shared" si="16"/>
        <v>0647</v>
      </c>
      <c r="O83" s="106" t="str">
        <f t="shared" si="17"/>
        <v>FEEB</v>
      </c>
      <c r="P83" s="105" t="str">
        <f t="shared" si="18"/>
        <v>0647</v>
      </c>
      <c r="Q83" s="106" t="str">
        <f t="shared" si="19"/>
        <v>FEEC</v>
      </c>
      <c r="R83" s="105" t="str">
        <f t="shared" si="20"/>
        <v>0647</v>
      </c>
      <c r="S83" s="106" t="str">
        <f t="shared" si="21"/>
        <v>FEEA</v>
      </c>
    </row>
    <row r="84" spans="1:19" ht="26.25">
      <c r="A84" s="104" t="s">
        <v>95</v>
      </c>
      <c r="B84" s="98" t="s">
        <v>176</v>
      </c>
      <c r="C84" s="98" t="s">
        <v>216</v>
      </c>
      <c r="D84" s="101"/>
      <c r="E84" s="101"/>
      <c r="F84" s="102" t="str">
        <f t="shared" si="11"/>
        <v>FEEE</v>
      </c>
      <c r="G84" s="103" t="str">
        <f>IF(B84&lt;&gt;"",toUTF16(HEX2DEC(B84)),"")</f>
        <v>و</v>
      </c>
      <c r="H84" s="103" t="str">
        <f>IF(C84&lt;&gt;"",toUTF16(HEX2DEC(C84)),"")</f>
        <v>ﻭ</v>
      </c>
      <c r="I84" s="103" t="str">
        <f>IF(D84&lt;&gt;"",toUTF16(HEX2DEC(D84)),"")</f>
        <v/>
      </c>
      <c r="J84" s="103" t="str">
        <f>IF(E84&lt;&gt;"",toUTF16(HEX2DEC(E84)),"")</f>
        <v/>
      </c>
      <c r="K84" s="108" t="str">
        <f>IF(F84&lt;&gt;"",toUTF16(HEX2DEC(F84)),"")</f>
        <v>ﻮ</v>
      </c>
      <c r="L84" s="105" t="str">
        <f t="shared" si="14"/>
        <v>0648</v>
      </c>
      <c r="M84" s="106" t="str">
        <f t="shared" si="15"/>
        <v>FEED</v>
      </c>
      <c r="N84" s="105" t="str">
        <f t="shared" si="16"/>
        <v/>
      </c>
      <c r="O84" s="106" t="str">
        <f t="shared" si="17"/>
        <v/>
      </c>
      <c r="P84" s="105" t="str">
        <f t="shared" si="18"/>
        <v/>
      </c>
      <c r="Q84" s="106" t="str">
        <f t="shared" si="19"/>
        <v/>
      </c>
      <c r="R84" s="105" t="str">
        <f t="shared" si="20"/>
        <v>0648</v>
      </c>
      <c r="S84" s="106" t="str">
        <f t="shared" si="21"/>
        <v>FEEE</v>
      </c>
    </row>
    <row r="85" spans="1:19" ht="26.25">
      <c r="A85" s="104" t="s">
        <v>568</v>
      </c>
      <c r="B85" s="98" t="s">
        <v>479</v>
      </c>
      <c r="C85" s="98" t="s">
        <v>824</v>
      </c>
      <c r="D85" s="101"/>
      <c r="E85" s="101"/>
      <c r="F85" s="102" t="str">
        <f t="shared" si="11"/>
        <v>FEF0</v>
      </c>
      <c r="G85" s="103" t="str">
        <f>IF(B85&lt;&gt;"",toUTF16(HEX2DEC(B85)),"")</f>
        <v>ى</v>
      </c>
      <c r="H85" s="103" t="str">
        <f>IF(C85&lt;&gt;"",toUTF16(HEX2DEC(C85)),"")</f>
        <v>ﻯ</v>
      </c>
      <c r="I85" s="103" t="str">
        <f>IF(D85&lt;&gt;"",toUTF16(HEX2DEC(D85)),"")</f>
        <v/>
      </c>
      <c r="J85" s="103" t="str">
        <f>IF(E85&lt;&gt;"",toUTF16(HEX2DEC(E85)),"")</f>
        <v/>
      </c>
      <c r="K85" s="108" t="str">
        <f>IF(F85&lt;&gt;"",toUTF16(HEX2DEC(F85)),"")</f>
        <v>ﻰ</v>
      </c>
      <c r="L85" s="105" t="str">
        <f t="shared" si="14"/>
        <v>0649</v>
      </c>
      <c r="M85" s="106" t="str">
        <f t="shared" si="15"/>
        <v>FEEF</v>
      </c>
      <c r="N85" s="105" t="str">
        <f t="shared" si="16"/>
        <v/>
      </c>
      <c r="O85" s="106" t="str">
        <f t="shared" si="17"/>
        <v/>
      </c>
      <c r="P85" s="105" t="str">
        <f t="shared" si="18"/>
        <v/>
      </c>
      <c r="Q85" s="106" t="str">
        <f t="shared" si="19"/>
        <v/>
      </c>
      <c r="R85" s="105" t="str">
        <f t="shared" si="20"/>
        <v>0649</v>
      </c>
      <c r="S85" s="106" t="str">
        <f t="shared" si="21"/>
        <v>FEF0</v>
      </c>
    </row>
    <row r="86" spans="1:19" ht="26.25">
      <c r="A86" s="104" t="s">
        <v>96</v>
      </c>
      <c r="B86" s="98" t="s">
        <v>406</v>
      </c>
      <c r="C86" s="98" t="s">
        <v>217</v>
      </c>
      <c r="D86" s="101" t="str">
        <f t="shared" si="12"/>
        <v>FEF3</v>
      </c>
      <c r="E86" s="101" t="str">
        <f t="shared" si="13"/>
        <v>FEF4</v>
      </c>
      <c r="F86" s="102" t="str">
        <f t="shared" si="11"/>
        <v>FEF2</v>
      </c>
      <c r="G86" s="103" t="str">
        <f>IF(B86&lt;&gt;"",toUTF16(HEX2DEC(B86)),"")</f>
        <v>ي</v>
      </c>
      <c r="H86" s="103" t="str">
        <f>IF(C86&lt;&gt;"",toUTF16(HEX2DEC(C86)),"")</f>
        <v>ﻱ</v>
      </c>
      <c r="I86" s="103" t="str">
        <f>IF(D86&lt;&gt;"",toUTF16(HEX2DEC(D86)),"")</f>
        <v>ﻳ</v>
      </c>
      <c r="J86" s="103" t="str">
        <f>IF(E86&lt;&gt;"",toUTF16(HEX2DEC(E86)),"")</f>
        <v>ﻴ</v>
      </c>
      <c r="K86" s="108" t="str">
        <f>IF(F86&lt;&gt;"",toUTF16(HEX2DEC(F86)),"")</f>
        <v>ﻲ</v>
      </c>
      <c r="L86" s="105" t="str">
        <f t="shared" si="14"/>
        <v>064A</v>
      </c>
      <c r="M86" s="106" t="str">
        <f t="shared" si="15"/>
        <v>FEF1</v>
      </c>
      <c r="N86" s="105" t="str">
        <f t="shared" si="16"/>
        <v>064A</v>
      </c>
      <c r="O86" s="106" t="str">
        <f t="shared" si="17"/>
        <v>FEF3</v>
      </c>
      <c r="P86" s="105" t="str">
        <f t="shared" si="18"/>
        <v>064A</v>
      </c>
      <c r="Q86" s="106" t="str">
        <f t="shared" si="19"/>
        <v>FEF4</v>
      </c>
      <c r="R86" s="105" t="str">
        <f t="shared" si="20"/>
        <v>064A</v>
      </c>
      <c r="S86" s="106" t="str">
        <f t="shared" si="21"/>
        <v>FEF2</v>
      </c>
    </row>
    <row r="87" spans="1:19" ht="26.25">
      <c r="D87" s="101"/>
      <c r="E87" s="101"/>
      <c r="F87" s="102"/>
      <c r="G87" s="103"/>
      <c r="H87" s="103"/>
      <c r="I87" s="103"/>
      <c r="J87" s="103"/>
      <c r="K87" s="108"/>
    </row>
    <row r="88" spans="1:19" ht="26.25">
      <c r="D88" s="101"/>
      <c r="E88" s="101"/>
      <c r="F88" s="102"/>
      <c r="G88" s="103"/>
      <c r="H88" s="103"/>
      <c r="I88" s="103"/>
      <c r="J88" s="103"/>
      <c r="K88" s="108"/>
    </row>
    <row r="89" spans="1:19" ht="26.25">
      <c r="D89" s="101"/>
      <c r="E89" s="101"/>
      <c r="F89" s="102"/>
      <c r="G89" s="103"/>
      <c r="H89" s="103"/>
      <c r="I89" s="103"/>
      <c r="J89" s="103"/>
      <c r="K89" s="108"/>
    </row>
    <row r="90" spans="1:19" ht="26.25">
      <c r="D90" s="101"/>
      <c r="E90" s="101"/>
      <c r="F90" s="102"/>
      <c r="G90" s="103"/>
      <c r="H90" s="103"/>
      <c r="I90" s="103"/>
      <c r="J90" s="103"/>
      <c r="K90" s="108"/>
    </row>
    <row r="91" spans="1:19" ht="26.25">
      <c r="D91" s="101"/>
      <c r="E91" s="101"/>
      <c r="F91" s="102"/>
      <c r="G91" s="103"/>
      <c r="H91" s="103"/>
      <c r="I91" s="103"/>
      <c r="J91" s="103"/>
      <c r="K91" s="108"/>
    </row>
    <row r="92" spans="1:19" ht="26.25">
      <c r="D92" s="101"/>
      <c r="E92" s="101"/>
      <c r="F92" s="102"/>
      <c r="G92" s="103"/>
      <c r="H92" s="103"/>
      <c r="I92" s="103"/>
      <c r="J92" s="103"/>
      <c r="K92" s="108"/>
    </row>
    <row r="93" spans="1:19" ht="26.25">
      <c r="D93" s="101"/>
      <c r="E93" s="101"/>
      <c r="F93" s="102"/>
      <c r="G93" s="103"/>
      <c r="H93" s="103"/>
      <c r="I93" s="103"/>
      <c r="J93" s="103"/>
      <c r="K93" s="108"/>
    </row>
    <row r="94" spans="1:19" ht="26.25">
      <c r="D94" s="101"/>
      <c r="E94" s="101"/>
      <c r="F94" s="102"/>
      <c r="G94" s="103"/>
      <c r="H94" s="103"/>
      <c r="I94" s="103"/>
      <c r="J94" s="103"/>
      <c r="K94" s="108"/>
    </row>
    <row r="95" spans="1:19" ht="26.25">
      <c r="D95" s="101"/>
      <c r="E95" s="101"/>
      <c r="F95" s="102"/>
      <c r="G95" s="103"/>
      <c r="H95" s="103"/>
      <c r="I95" s="103"/>
      <c r="J95" s="103"/>
      <c r="K95" s="108"/>
    </row>
    <row r="96" spans="1:19" ht="26.25">
      <c r="D96" s="101"/>
      <c r="E96" s="101"/>
      <c r="F96" s="102"/>
      <c r="G96" s="103"/>
      <c r="H96" s="103"/>
      <c r="I96" s="103"/>
      <c r="J96" s="103"/>
      <c r="K96" s="108"/>
    </row>
    <row r="97" spans="4:11" ht="26.25">
      <c r="D97" s="101"/>
      <c r="E97" s="101"/>
      <c r="F97" s="102"/>
      <c r="G97" s="103"/>
      <c r="H97" s="103"/>
      <c r="I97" s="103"/>
      <c r="J97" s="103"/>
      <c r="K97" s="108"/>
    </row>
    <row r="98" spans="4:11" ht="26.25">
      <c r="D98" s="101"/>
      <c r="E98" s="101"/>
      <c r="F98" s="102"/>
      <c r="G98" s="103"/>
      <c r="H98" s="103"/>
      <c r="I98" s="103"/>
      <c r="J98" s="103"/>
      <c r="K98" s="108"/>
    </row>
    <row r="99" spans="4:11" ht="26.25">
      <c r="D99" s="101"/>
      <c r="E99" s="101"/>
      <c r="F99" s="102"/>
      <c r="G99" s="103"/>
      <c r="H99" s="103"/>
      <c r="I99" s="103"/>
      <c r="J99" s="103"/>
      <c r="K99" s="108"/>
    </row>
    <row r="100" spans="4:11" ht="26.25">
      <c r="D100" s="101"/>
      <c r="E100" s="101"/>
      <c r="F100" s="102"/>
      <c r="G100" s="103"/>
      <c r="H100" s="103"/>
      <c r="I100" s="103"/>
      <c r="J100" s="103"/>
      <c r="K100" s="108"/>
    </row>
    <row r="101" spans="4:11" ht="26.25">
      <c r="D101" s="101"/>
      <c r="E101" s="101"/>
      <c r="F101" s="102"/>
      <c r="G101" s="103"/>
      <c r="H101" s="103"/>
      <c r="I101" s="103"/>
      <c r="J101" s="103"/>
      <c r="K101" s="108"/>
    </row>
    <row r="102" spans="4:11" ht="26.25">
      <c r="D102" s="101"/>
      <c r="E102" s="101"/>
      <c r="F102" s="102"/>
      <c r="G102" s="103"/>
      <c r="H102" s="103"/>
      <c r="I102" s="103"/>
      <c r="J102" s="103"/>
      <c r="K102" s="108"/>
    </row>
    <row r="103" spans="4:11" ht="26.25">
      <c r="D103" s="101"/>
      <c r="E103" s="101"/>
      <c r="F103" s="102"/>
      <c r="G103" s="103"/>
      <c r="H103" s="103"/>
      <c r="I103" s="103"/>
      <c r="J103" s="103"/>
      <c r="K103" s="108"/>
    </row>
    <row r="104" spans="4:11" ht="26.25">
      <c r="D104" s="101"/>
      <c r="E104" s="101"/>
      <c r="F104" s="102"/>
      <c r="G104" s="103"/>
      <c r="H104" s="103"/>
      <c r="I104" s="103"/>
      <c r="J104" s="103"/>
      <c r="K104" s="108"/>
    </row>
    <row r="105" spans="4:11" ht="26.25">
      <c r="D105" s="101"/>
      <c r="E105" s="101"/>
      <c r="F105" s="102"/>
      <c r="G105" s="103"/>
      <c r="H105" s="103"/>
      <c r="I105" s="103"/>
      <c r="J105" s="103"/>
      <c r="K105" s="108"/>
    </row>
    <row r="106" spans="4:11" ht="26.25">
      <c r="D106" s="101"/>
      <c r="E106" s="101"/>
      <c r="F106" s="102"/>
      <c r="G106" s="103"/>
      <c r="H106" s="103"/>
      <c r="I106" s="103"/>
      <c r="J106" s="103"/>
      <c r="K106" s="108"/>
    </row>
    <row r="107" spans="4:11" ht="26.25">
      <c r="D107" s="101"/>
      <c r="E107" s="101"/>
      <c r="F107" s="102"/>
      <c r="G107" s="103"/>
      <c r="H107" s="103"/>
      <c r="I107" s="103"/>
      <c r="J107" s="103"/>
      <c r="K107" s="108"/>
    </row>
    <row r="108" spans="4:11" ht="26.25">
      <c r="D108" s="101"/>
      <c r="E108" s="101"/>
      <c r="F108" s="102"/>
      <c r="G108" s="103"/>
      <c r="H108" s="103"/>
      <c r="I108" s="103"/>
      <c r="J108" s="103"/>
      <c r="K108" s="108"/>
    </row>
    <row r="109" spans="4:11" ht="26.25">
      <c r="D109" s="101"/>
      <c r="E109" s="101"/>
      <c r="F109" s="102"/>
      <c r="G109" s="103"/>
      <c r="H109" s="103"/>
      <c r="I109" s="103"/>
      <c r="J109" s="103"/>
      <c r="K109" s="108"/>
    </row>
    <row r="110" spans="4:11" ht="26.25">
      <c r="D110" s="101"/>
      <c r="E110" s="101"/>
      <c r="F110" s="102"/>
      <c r="G110" s="103"/>
      <c r="H110" s="103"/>
      <c r="I110" s="103"/>
      <c r="J110" s="103"/>
      <c r="K110" s="108"/>
    </row>
    <row r="111" spans="4:11" ht="26.25">
      <c r="D111" s="101"/>
      <c r="E111" s="101"/>
      <c r="F111" s="102"/>
      <c r="G111" s="103"/>
      <c r="H111" s="103"/>
      <c r="I111" s="103"/>
      <c r="J111" s="103"/>
      <c r="K111" s="108"/>
    </row>
    <row r="112" spans="4:11" ht="26.25">
      <c r="D112" s="101"/>
      <c r="E112" s="101"/>
      <c r="F112" s="102"/>
      <c r="G112" s="103"/>
      <c r="H112" s="103"/>
      <c r="I112" s="103"/>
      <c r="J112" s="103"/>
      <c r="K112" s="108"/>
    </row>
    <row r="113" spans="4:11" ht="26.25">
      <c r="D113" s="101"/>
      <c r="E113" s="101"/>
      <c r="F113" s="102"/>
      <c r="G113" s="103"/>
      <c r="H113" s="103"/>
      <c r="I113" s="103"/>
      <c r="J113" s="103"/>
      <c r="K113" s="108"/>
    </row>
    <row r="114" spans="4:11" ht="26.25">
      <c r="D114" s="101"/>
      <c r="E114" s="101"/>
      <c r="F114" s="102"/>
      <c r="G114" s="103"/>
      <c r="H114" s="103"/>
      <c r="I114" s="103"/>
      <c r="J114" s="103"/>
      <c r="K114" s="108"/>
    </row>
    <row r="115" spans="4:11" ht="26.25">
      <c r="D115" s="101"/>
      <c r="E115" s="101"/>
      <c r="F115" s="102"/>
      <c r="G115" s="103"/>
      <c r="H115" s="103"/>
      <c r="I115" s="103"/>
      <c r="J115" s="103"/>
      <c r="K115" s="108"/>
    </row>
    <row r="116" spans="4:11" ht="26.25">
      <c r="D116" s="101"/>
      <c r="E116" s="101"/>
      <c r="F116" s="102"/>
      <c r="G116" s="103"/>
      <c r="H116" s="103"/>
      <c r="I116" s="103"/>
      <c r="J116" s="103"/>
      <c r="K116" s="108"/>
    </row>
    <row r="117" spans="4:11" ht="26.25">
      <c r="D117" s="101"/>
      <c r="E117" s="101"/>
      <c r="F117" s="102"/>
      <c r="G117" s="103"/>
      <c r="H117" s="103"/>
      <c r="I117" s="103"/>
      <c r="J117" s="103"/>
      <c r="K117" s="108"/>
    </row>
    <row r="118" spans="4:11" ht="26.25">
      <c r="D118" s="101"/>
      <c r="E118" s="101"/>
      <c r="F118" s="102"/>
      <c r="G118" s="103"/>
      <c r="H118" s="103"/>
      <c r="I118" s="103"/>
      <c r="J118" s="103"/>
      <c r="K118" s="108"/>
    </row>
    <row r="119" spans="4:11" ht="26.25">
      <c r="D119" s="101"/>
      <c r="E119" s="101"/>
      <c r="F119" s="102"/>
      <c r="G119" s="103"/>
      <c r="H119" s="103"/>
      <c r="I119" s="103"/>
      <c r="J119" s="103"/>
      <c r="K119" s="108"/>
    </row>
    <row r="120" spans="4:11" ht="26.25">
      <c r="D120" s="101"/>
      <c r="E120" s="101"/>
      <c r="F120" s="102"/>
      <c r="G120" s="103"/>
      <c r="H120" s="103"/>
      <c r="I120" s="103"/>
      <c r="J120" s="103"/>
      <c r="K120" s="108"/>
    </row>
    <row r="121" spans="4:11" ht="26.25">
      <c r="D121" s="101"/>
      <c r="E121" s="101"/>
      <c r="F121" s="102"/>
      <c r="G121" s="103"/>
      <c r="H121" s="103"/>
      <c r="I121" s="103"/>
      <c r="J121" s="103"/>
      <c r="K121" s="108"/>
    </row>
    <row r="122" spans="4:11" ht="26.25">
      <c r="D122" s="101"/>
      <c r="E122" s="101"/>
      <c r="F122" s="102"/>
      <c r="G122" s="103"/>
      <c r="H122" s="103"/>
      <c r="I122" s="103"/>
      <c r="J122" s="103"/>
      <c r="K122" s="108"/>
    </row>
    <row r="123" spans="4:11" ht="26.25">
      <c r="D123" s="101"/>
      <c r="E123" s="101"/>
      <c r="F123" s="102"/>
      <c r="G123" s="103"/>
      <c r="H123" s="103"/>
      <c r="I123" s="103"/>
      <c r="J123" s="103"/>
      <c r="K123" s="108"/>
    </row>
    <row r="124" spans="4:11" ht="26.25">
      <c r="D124" s="101"/>
      <c r="E124" s="101"/>
      <c r="F124" s="102"/>
      <c r="G124" s="103"/>
      <c r="H124" s="103"/>
      <c r="I124" s="103"/>
      <c r="J124" s="103"/>
      <c r="K124" s="108"/>
    </row>
    <row r="125" spans="4:11" ht="26.25">
      <c r="D125" s="101"/>
      <c r="E125" s="101"/>
      <c r="F125" s="102"/>
      <c r="G125" s="103"/>
      <c r="H125" s="103"/>
      <c r="I125" s="103"/>
      <c r="J125" s="103"/>
      <c r="K125" s="108"/>
    </row>
    <row r="126" spans="4:11" ht="26.25">
      <c r="D126" s="101"/>
      <c r="E126" s="101"/>
      <c r="F126" s="102"/>
      <c r="G126" s="103"/>
      <c r="H126" s="103"/>
      <c r="I126" s="103"/>
      <c r="J126" s="103"/>
      <c r="K126" s="108"/>
    </row>
    <row r="127" spans="4:11" ht="26.25">
      <c r="D127" s="101"/>
      <c r="E127" s="101"/>
      <c r="F127" s="102"/>
      <c r="G127" s="103"/>
      <c r="H127" s="103"/>
      <c r="I127" s="103"/>
      <c r="J127" s="103"/>
      <c r="K127" s="108"/>
    </row>
    <row r="128" spans="4:11" ht="26.25">
      <c r="D128" s="101"/>
      <c r="E128" s="101"/>
      <c r="F128" s="102"/>
      <c r="G128" s="103"/>
      <c r="H128" s="103"/>
      <c r="I128" s="103"/>
      <c r="J128" s="103"/>
      <c r="K128" s="108"/>
    </row>
    <row r="129" spans="4:11" ht="26.25">
      <c r="D129" s="101"/>
      <c r="E129" s="101"/>
      <c r="F129" s="102"/>
      <c r="G129" s="103"/>
      <c r="H129" s="103"/>
      <c r="I129" s="103"/>
      <c r="J129" s="103"/>
      <c r="K129" s="108"/>
    </row>
    <row r="130" spans="4:11" ht="26.25">
      <c r="D130" s="101"/>
      <c r="E130" s="101"/>
      <c r="F130" s="102"/>
      <c r="G130" s="103"/>
      <c r="H130" s="103"/>
      <c r="I130" s="103"/>
      <c r="J130" s="103"/>
      <c r="K130" s="108"/>
    </row>
    <row r="131" spans="4:11" ht="26.25">
      <c r="D131" s="101"/>
      <c r="E131" s="101"/>
      <c r="F131" s="102"/>
      <c r="G131" s="103"/>
      <c r="H131" s="103"/>
      <c r="I131" s="103"/>
      <c r="J131" s="103"/>
      <c r="K131" s="108"/>
    </row>
    <row r="132" spans="4:11" ht="26.25">
      <c r="D132" s="101"/>
      <c r="E132" s="101"/>
      <c r="F132" s="102"/>
      <c r="G132" s="103"/>
      <c r="H132" s="103"/>
      <c r="I132" s="103"/>
      <c r="J132" s="103"/>
      <c r="K132" s="108"/>
    </row>
    <row r="133" spans="4:11" ht="26.25">
      <c r="D133" s="101"/>
      <c r="E133" s="101"/>
      <c r="F133" s="102"/>
      <c r="G133" s="103"/>
      <c r="H133" s="103"/>
      <c r="I133" s="103"/>
      <c r="J133" s="103"/>
      <c r="K133" s="108"/>
    </row>
    <row r="134" spans="4:11" ht="26.25">
      <c r="D134" s="101"/>
      <c r="E134" s="101"/>
      <c r="F134" s="102"/>
      <c r="G134" s="103"/>
      <c r="H134" s="103"/>
      <c r="I134" s="103"/>
      <c r="J134" s="103"/>
      <c r="K134" s="108"/>
    </row>
    <row r="135" spans="4:11" ht="26.25">
      <c r="D135" s="101"/>
      <c r="E135" s="101"/>
      <c r="F135" s="102"/>
      <c r="G135" s="103"/>
      <c r="H135" s="103"/>
      <c r="I135" s="103"/>
      <c r="J135" s="103"/>
      <c r="K135" s="108"/>
    </row>
    <row r="136" spans="4:11" ht="26.25">
      <c r="D136" s="101"/>
      <c r="E136" s="101"/>
      <c r="F136" s="102"/>
      <c r="G136" s="103"/>
      <c r="H136" s="103"/>
      <c r="I136" s="103"/>
      <c r="J136" s="103"/>
      <c r="K136" s="108"/>
    </row>
    <row r="137" spans="4:11" ht="26.25">
      <c r="D137" s="101"/>
      <c r="E137" s="101"/>
      <c r="F137" s="102"/>
      <c r="G137" s="103"/>
      <c r="H137" s="103"/>
      <c r="I137" s="103"/>
      <c r="J137" s="103"/>
      <c r="K137" s="108"/>
    </row>
    <row r="138" spans="4:11" ht="26.25">
      <c r="D138" s="101"/>
      <c r="E138" s="101"/>
      <c r="F138" s="102"/>
      <c r="G138" s="103"/>
      <c r="H138" s="103"/>
      <c r="I138" s="103"/>
      <c r="J138" s="103"/>
      <c r="K138" s="108"/>
    </row>
    <row r="139" spans="4:11" ht="26.25">
      <c r="D139" s="101"/>
      <c r="E139" s="101"/>
      <c r="F139" s="102"/>
      <c r="G139" s="103"/>
      <c r="H139" s="103"/>
      <c r="I139" s="103"/>
      <c r="J139" s="103"/>
      <c r="K139" s="108"/>
    </row>
    <row r="140" spans="4:11" ht="26.25">
      <c r="D140" s="101"/>
      <c r="E140" s="101"/>
      <c r="F140" s="102"/>
      <c r="G140" s="103"/>
      <c r="H140" s="103"/>
      <c r="I140" s="103"/>
      <c r="J140" s="103"/>
      <c r="K140" s="108"/>
    </row>
    <row r="141" spans="4:11" ht="26.25">
      <c r="D141" s="101"/>
      <c r="E141" s="101"/>
      <c r="F141" s="102"/>
      <c r="G141" s="103"/>
      <c r="H141" s="103"/>
      <c r="I141" s="103"/>
      <c r="J141" s="103"/>
      <c r="K141" s="108"/>
    </row>
    <row r="142" spans="4:11" ht="26.25">
      <c r="D142" s="101"/>
      <c r="E142" s="101"/>
      <c r="F142" s="102"/>
      <c r="G142" s="103"/>
      <c r="H142" s="103"/>
      <c r="I142" s="103"/>
      <c r="J142" s="103"/>
      <c r="K142" s="108"/>
    </row>
    <row r="143" spans="4:11" ht="26.25">
      <c r="D143" s="101"/>
      <c r="E143" s="101"/>
      <c r="F143" s="102"/>
      <c r="G143" s="103"/>
      <c r="H143" s="103"/>
      <c r="I143" s="103"/>
      <c r="J143" s="103"/>
      <c r="K143" s="108"/>
    </row>
    <row r="144" spans="4:11" ht="26.25">
      <c r="D144" s="101"/>
      <c r="E144" s="101"/>
      <c r="F144" s="102"/>
      <c r="G144" s="103"/>
      <c r="H144" s="103"/>
      <c r="I144" s="103"/>
      <c r="J144" s="103"/>
      <c r="K144" s="108"/>
    </row>
    <row r="145" spans="4:11" ht="26.25">
      <c r="D145" s="101"/>
      <c r="E145" s="101"/>
      <c r="F145" s="102"/>
      <c r="G145" s="103"/>
      <c r="H145" s="103"/>
      <c r="I145" s="103"/>
      <c r="J145" s="103"/>
      <c r="K145" s="108"/>
    </row>
    <row r="146" spans="4:11" ht="26.25">
      <c r="D146" s="101"/>
      <c r="E146" s="101"/>
      <c r="F146" s="102"/>
      <c r="G146" s="103"/>
      <c r="H146" s="103"/>
      <c r="I146" s="103"/>
      <c r="J146" s="103"/>
      <c r="K146" s="108"/>
    </row>
    <row r="147" spans="4:11" ht="26.25">
      <c r="D147" s="101"/>
      <c r="E147" s="101"/>
      <c r="F147" s="102"/>
      <c r="G147" s="103"/>
      <c r="H147" s="103"/>
      <c r="I147" s="103"/>
      <c r="J147" s="103"/>
      <c r="K147" s="108"/>
    </row>
    <row r="148" spans="4:11" ht="26.25">
      <c r="D148" s="101"/>
      <c r="E148" s="101"/>
      <c r="F148" s="102"/>
      <c r="G148" s="103"/>
      <c r="H148" s="103"/>
      <c r="I148" s="103"/>
      <c r="J148" s="103"/>
      <c r="K148" s="108"/>
    </row>
    <row r="149" spans="4:11" ht="26.25">
      <c r="D149" s="101"/>
      <c r="E149" s="101"/>
      <c r="F149" s="102"/>
      <c r="G149" s="103"/>
      <c r="H149" s="103"/>
      <c r="I149" s="103"/>
      <c r="J149" s="103"/>
      <c r="K149" s="108"/>
    </row>
    <row r="150" spans="4:11" ht="26.25">
      <c r="D150" s="101"/>
      <c r="E150" s="101"/>
      <c r="F150" s="102"/>
      <c r="G150" s="103"/>
      <c r="H150" s="103"/>
      <c r="I150" s="103"/>
      <c r="J150" s="103"/>
      <c r="K150" s="108"/>
    </row>
    <row r="151" spans="4:11" ht="26.25">
      <c r="D151" s="101"/>
      <c r="E151" s="101"/>
      <c r="F151" s="102"/>
      <c r="G151" s="103"/>
      <c r="H151" s="103"/>
      <c r="I151" s="103"/>
      <c r="J151" s="103"/>
      <c r="K151" s="108"/>
    </row>
    <row r="152" spans="4:11" ht="26.25">
      <c r="D152" s="101"/>
      <c r="E152" s="101"/>
      <c r="F152" s="102"/>
      <c r="G152" s="103"/>
      <c r="H152" s="103"/>
      <c r="I152" s="103"/>
      <c r="J152" s="103"/>
      <c r="K152" s="108"/>
    </row>
    <row r="153" spans="4:11" ht="26.25">
      <c r="D153" s="101"/>
      <c r="E153" s="101"/>
      <c r="F153" s="102"/>
      <c r="G153" s="103"/>
      <c r="H153" s="103"/>
      <c r="I153" s="103"/>
      <c r="J153" s="103"/>
      <c r="K153" s="108"/>
    </row>
    <row r="154" spans="4:11" ht="26.25">
      <c r="D154" s="101"/>
      <c r="E154" s="101"/>
      <c r="F154" s="102"/>
      <c r="G154" s="103"/>
      <c r="H154" s="103"/>
      <c r="I154" s="103"/>
      <c r="J154" s="103"/>
      <c r="K154" s="108"/>
    </row>
    <row r="155" spans="4:11" ht="26.25">
      <c r="D155" s="101"/>
      <c r="E155" s="101"/>
      <c r="F155" s="102"/>
      <c r="G155" s="103"/>
      <c r="H155" s="103"/>
      <c r="I155" s="103"/>
      <c r="J155" s="103"/>
      <c r="K155" s="108"/>
    </row>
    <row r="156" spans="4:11" ht="26.25">
      <c r="D156" s="101"/>
      <c r="E156" s="101"/>
      <c r="F156" s="102"/>
      <c r="G156" s="103"/>
      <c r="H156" s="103"/>
      <c r="I156" s="103"/>
      <c r="J156" s="103"/>
      <c r="K156" s="108"/>
    </row>
    <row r="157" spans="4:11" ht="26.25">
      <c r="D157" s="101"/>
      <c r="E157" s="101"/>
      <c r="F157" s="102"/>
      <c r="G157" s="103"/>
      <c r="H157" s="103"/>
      <c r="I157" s="103"/>
      <c r="J157" s="103"/>
      <c r="K157" s="108"/>
    </row>
    <row r="158" spans="4:11" ht="26.25">
      <c r="D158" s="101"/>
      <c r="E158" s="101"/>
      <c r="F158" s="102"/>
      <c r="G158" s="103"/>
      <c r="H158" s="103"/>
      <c r="I158" s="103"/>
      <c r="J158" s="103"/>
      <c r="K158" s="108"/>
    </row>
    <row r="159" spans="4:11" ht="26.25">
      <c r="D159" s="101"/>
      <c r="E159" s="101"/>
      <c r="F159" s="102"/>
      <c r="G159" s="103"/>
      <c r="H159" s="103"/>
      <c r="I159" s="103"/>
      <c r="J159" s="103"/>
      <c r="K159" s="108"/>
    </row>
    <row r="160" spans="4:11" ht="26.25">
      <c r="D160" s="101"/>
      <c r="E160" s="101"/>
      <c r="F160" s="102"/>
      <c r="G160" s="103"/>
      <c r="H160" s="103"/>
      <c r="I160" s="103"/>
      <c r="J160" s="103"/>
      <c r="K160" s="108"/>
    </row>
    <row r="161" spans="4:11" ht="26.25">
      <c r="D161" s="101"/>
      <c r="E161" s="101"/>
      <c r="F161" s="102"/>
      <c r="G161" s="103"/>
      <c r="H161" s="103"/>
      <c r="I161" s="103"/>
      <c r="J161" s="103"/>
      <c r="K161" s="108"/>
    </row>
    <row r="162" spans="4:11" ht="26.25">
      <c r="D162" s="101"/>
      <c r="E162" s="101"/>
      <c r="F162" s="102"/>
      <c r="G162" s="103"/>
      <c r="H162" s="103"/>
      <c r="I162" s="103"/>
      <c r="J162" s="103"/>
      <c r="K162" s="108"/>
    </row>
    <row r="163" spans="4:11" ht="26.25">
      <c r="D163" s="101"/>
      <c r="E163" s="101"/>
      <c r="F163" s="102"/>
      <c r="G163" s="103"/>
      <c r="H163" s="103"/>
      <c r="I163" s="103"/>
      <c r="J163" s="103"/>
      <c r="K163" s="108"/>
    </row>
    <row r="164" spans="4:11" ht="26.25">
      <c r="D164" s="101"/>
      <c r="E164" s="101"/>
      <c r="F164" s="102"/>
      <c r="G164" s="103"/>
      <c r="H164" s="103"/>
      <c r="I164" s="103"/>
      <c r="J164" s="103"/>
      <c r="K164" s="108"/>
    </row>
    <row r="165" spans="4:11" ht="26.25">
      <c r="D165" s="101"/>
      <c r="E165" s="101"/>
      <c r="F165" s="102"/>
      <c r="G165" s="103"/>
      <c r="H165" s="103"/>
      <c r="I165" s="103"/>
      <c r="J165" s="103"/>
      <c r="K165" s="108"/>
    </row>
    <row r="166" spans="4:11" ht="26.25">
      <c r="D166" s="101"/>
      <c r="E166" s="101"/>
      <c r="F166" s="102"/>
      <c r="G166" s="103"/>
      <c r="H166" s="103"/>
      <c r="I166" s="103"/>
      <c r="J166" s="103"/>
      <c r="K166" s="108"/>
    </row>
    <row r="167" spans="4:11" ht="26.25">
      <c r="D167" s="101"/>
      <c r="E167" s="101"/>
      <c r="F167" s="102"/>
      <c r="G167" s="103"/>
      <c r="H167" s="103"/>
      <c r="I167" s="103"/>
      <c r="J167" s="103"/>
      <c r="K167" s="108"/>
    </row>
    <row r="168" spans="4:11" ht="26.25">
      <c r="D168" s="101"/>
      <c r="E168" s="101"/>
      <c r="F168" s="102"/>
      <c r="G168" s="103"/>
      <c r="H168" s="103"/>
      <c r="I168" s="103"/>
      <c r="J168" s="103"/>
      <c r="K168" s="108"/>
    </row>
    <row r="169" spans="4:11" ht="26.25">
      <c r="D169" s="101"/>
      <c r="E169" s="101"/>
      <c r="F169" s="102"/>
      <c r="G169" s="103"/>
      <c r="H169" s="103"/>
      <c r="I169" s="103"/>
      <c r="J169" s="103"/>
      <c r="K169" s="108"/>
    </row>
    <row r="170" spans="4:11" ht="26.25">
      <c r="D170" s="101"/>
      <c r="E170" s="101"/>
      <c r="F170" s="102"/>
      <c r="G170" s="103"/>
      <c r="H170" s="103"/>
      <c r="I170" s="103"/>
      <c r="J170" s="103"/>
      <c r="K170" s="108"/>
    </row>
    <row r="171" spans="4:11" ht="26.25">
      <c r="D171" s="101"/>
      <c r="E171" s="101"/>
      <c r="F171" s="102"/>
      <c r="G171" s="103"/>
      <c r="H171" s="103"/>
      <c r="I171" s="103"/>
      <c r="J171" s="103"/>
      <c r="K171" s="108"/>
    </row>
    <row r="172" spans="4:11" ht="26.25">
      <c r="D172" s="101"/>
      <c r="E172" s="101"/>
      <c r="F172" s="102"/>
      <c r="G172" s="103"/>
      <c r="H172" s="103"/>
      <c r="I172" s="103"/>
      <c r="J172" s="103"/>
      <c r="K172" s="108"/>
    </row>
    <row r="173" spans="4:11" ht="26.25">
      <c r="D173" s="101"/>
      <c r="E173" s="101"/>
      <c r="F173" s="102"/>
      <c r="G173" s="103"/>
      <c r="H173" s="103"/>
      <c r="I173" s="103"/>
      <c r="J173" s="103"/>
      <c r="K173" s="108"/>
    </row>
    <row r="174" spans="4:11" ht="26.25">
      <c r="D174" s="101"/>
      <c r="E174" s="101"/>
      <c r="F174" s="102"/>
      <c r="G174" s="103"/>
      <c r="H174" s="103"/>
      <c r="I174" s="103"/>
      <c r="J174" s="103"/>
      <c r="K174" s="108"/>
    </row>
    <row r="175" spans="4:11" ht="26.25">
      <c r="D175" s="101"/>
      <c r="E175" s="101"/>
      <c r="F175" s="102"/>
      <c r="G175" s="103"/>
      <c r="H175" s="103"/>
      <c r="I175" s="103"/>
      <c r="J175" s="103"/>
      <c r="K175" s="108"/>
    </row>
    <row r="176" spans="4:11" ht="26.25">
      <c r="D176" s="101"/>
      <c r="E176" s="101"/>
      <c r="F176" s="102"/>
      <c r="G176" s="103"/>
      <c r="H176" s="103"/>
      <c r="I176" s="103"/>
      <c r="J176" s="103"/>
      <c r="K176" s="108"/>
    </row>
    <row r="177" spans="4:11" ht="26.25">
      <c r="D177" s="101"/>
      <c r="E177" s="101"/>
      <c r="F177" s="102"/>
      <c r="G177" s="103"/>
      <c r="H177" s="103"/>
      <c r="I177" s="103"/>
      <c r="J177" s="103"/>
      <c r="K177" s="108"/>
    </row>
    <row r="178" spans="4:11" ht="26.25">
      <c r="D178" s="101"/>
      <c r="E178" s="101"/>
      <c r="F178" s="102"/>
      <c r="G178" s="103"/>
      <c r="H178" s="103"/>
      <c r="I178" s="103"/>
      <c r="J178" s="103"/>
      <c r="K178" s="108"/>
    </row>
    <row r="179" spans="4:11" ht="26.25">
      <c r="D179" s="101"/>
      <c r="E179" s="101"/>
      <c r="F179" s="102"/>
      <c r="G179" s="103"/>
      <c r="H179" s="103"/>
      <c r="I179" s="103"/>
      <c r="J179" s="103"/>
      <c r="K179" s="108"/>
    </row>
    <row r="180" spans="4:11" ht="26.25">
      <c r="D180" s="101"/>
      <c r="E180" s="101"/>
      <c r="F180" s="102"/>
      <c r="G180" s="103"/>
      <c r="H180" s="103"/>
      <c r="I180" s="103"/>
      <c r="J180" s="103"/>
      <c r="K180" s="108"/>
    </row>
    <row r="181" spans="4:11" ht="26.25">
      <c r="D181" s="101"/>
      <c r="E181" s="101"/>
      <c r="F181" s="102"/>
      <c r="G181" s="103"/>
      <c r="H181" s="103"/>
      <c r="I181" s="103"/>
      <c r="J181" s="103"/>
      <c r="K181" s="108"/>
    </row>
    <row r="182" spans="4:11" ht="26.25">
      <c r="D182" s="101"/>
      <c r="E182" s="101"/>
      <c r="F182" s="102"/>
      <c r="G182" s="103"/>
      <c r="H182" s="103"/>
      <c r="I182" s="103"/>
      <c r="J182" s="103"/>
      <c r="K182" s="108"/>
    </row>
    <row r="183" spans="4:11" ht="26.25">
      <c r="D183" s="101"/>
      <c r="E183" s="101"/>
      <c r="F183" s="102"/>
      <c r="G183" s="103"/>
      <c r="H183" s="103"/>
      <c r="I183" s="103"/>
      <c r="J183" s="103"/>
      <c r="K183" s="108"/>
    </row>
    <row r="184" spans="4:11" ht="26.25">
      <c r="D184" s="101"/>
      <c r="E184" s="101"/>
      <c r="F184" s="102"/>
      <c r="G184" s="103"/>
      <c r="H184" s="103"/>
      <c r="I184" s="103"/>
      <c r="J184" s="103"/>
      <c r="K184" s="108"/>
    </row>
    <row r="185" spans="4:11" ht="26.25">
      <c r="D185" s="101"/>
      <c r="E185" s="101"/>
      <c r="F185" s="102"/>
      <c r="G185" s="103"/>
      <c r="H185" s="103"/>
      <c r="I185" s="103"/>
      <c r="J185" s="103"/>
      <c r="K185" s="108"/>
    </row>
    <row r="186" spans="4:11" ht="26.25">
      <c r="D186" s="101"/>
      <c r="E186" s="101"/>
      <c r="F186" s="102"/>
      <c r="G186" s="103"/>
      <c r="H186" s="103"/>
      <c r="I186" s="103"/>
      <c r="J186" s="103"/>
      <c r="K186" s="108"/>
    </row>
    <row r="187" spans="4:11" ht="26.25">
      <c r="D187" s="101"/>
      <c r="E187" s="101"/>
      <c r="F187" s="102"/>
      <c r="G187" s="103"/>
      <c r="H187" s="103"/>
      <c r="I187" s="103"/>
      <c r="J187" s="103"/>
      <c r="K187" s="108"/>
    </row>
    <row r="188" spans="4:11" ht="26.25">
      <c r="D188" s="101"/>
      <c r="E188" s="101"/>
      <c r="F188" s="102"/>
      <c r="G188" s="103"/>
      <c r="H188" s="103"/>
      <c r="I188" s="103"/>
      <c r="J188" s="103"/>
      <c r="K188" s="108"/>
    </row>
    <row r="189" spans="4:11" ht="26.25">
      <c r="D189" s="101"/>
      <c r="E189" s="101"/>
      <c r="F189" s="102"/>
      <c r="G189" s="103"/>
      <c r="H189" s="103"/>
      <c r="I189" s="103"/>
      <c r="J189" s="103"/>
      <c r="K189" s="108"/>
    </row>
    <row r="190" spans="4:11" ht="26.25">
      <c r="D190" s="101"/>
      <c r="E190" s="101"/>
      <c r="F190" s="102"/>
      <c r="G190" s="103"/>
      <c r="H190" s="103"/>
      <c r="I190" s="103"/>
      <c r="J190" s="103"/>
      <c r="K190" s="108"/>
    </row>
    <row r="191" spans="4:11" ht="26.25">
      <c r="D191" s="101"/>
      <c r="E191" s="101"/>
      <c r="F191" s="102"/>
      <c r="G191" s="103"/>
      <c r="H191" s="103"/>
      <c r="I191" s="103"/>
      <c r="J191" s="103"/>
      <c r="K191" s="108"/>
    </row>
    <row r="192" spans="4:11" ht="26.25">
      <c r="D192" s="101"/>
      <c r="E192" s="101"/>
      <c r="F192" s="102"/>
      <c r="G192" s="103"/>
      <c r="H192" s="103"/>
      <c r="I192" s="103"/>
      <c r="J192" s="103"/>
      <c r="K192" s="108"/>
    </row>
    <row r="193" spans="4:11" ht="26.25">
      <c r="D193" s="101"/>
      <c r="E193" s="101"/>
      <c r="F193" s="102"/>
      <c r="G193" s="103"/>
      <c r="H193" s="103"/>
      <c r="I193" s="103"/>
      <c r="J193" s="103"/>
      <c r="K193" s="108"/>
    </row>
    <row r="194" spans="4:11" ht="26.25">
      <c r="D194" s="101"/>
      <c r="E194" s="101"/>
      <c r="F194" s="102"/>
      <c r="G194" s="103"/>
      <c r="H194" s="103"/>
      <c r="I194" s="103"/>
      <c r="J194" s="103"/>
      <c r="K194" s="108"/>
    </row>
    <row r="195" spans="4:11" ht="26.25">
      <c r="D195" s="101"/>
      <c r="E195" s="101"/>
      <c r="F195" s="102"/>
      <c r="G195" s="103"/>
      <c r="H195" s="103"/>
      <c r="I195" s="103"/>
      <c r="J195" s="103"/>
      <c r="K195" s="108"/>
    </row>
    <row r="196" spans="4:11" ht="26.25">
      <c r="D196" s="101"/>
      <c r="E196" s="101"/>
      <c r="F196" s="102"/>
      <c r="G196" s="103"/>
      <c r="H196" s="103"/>
      <c r="I196" s="103"/>
      <c r="J196" s="103"/>
      <c r="K196" s="108"/>
    </row>
    <row r="197" spans="4:11" ht="26.25">
      <c r="D197" s="101"/>
      <c r="E197" s="101"/>
      <c r="F197" s="102"/>
      <c r="G197" s="103"/>
      <c r="H197" s="103"/>
      <c r="I197" s="103"/>
      <c r="J197" s="103"/>
      <c r="K197" s="108"/>
    </row>
    <row r="198" spans="4:11" ht="26.25">
      <c r="D198" s="101"/>
      <c r="E198" s="101"/>
      <c r="F198" s="102"/>
      <c r="G198" s="103"/>
      <c r="H198" s="103"/>
      <c r="I198" s="103"/>
      <c r="J198" s="103"/>
      <c r="K198" s="108"/>
    </row>
    <row r="199" spans="4:11" ht="26.25">
      <c r="D199" s="101"/>
      <c r="E199" s="101"/>
      <c r="F199" s="102"/>
      <c r="G199" s="103"/>
      <c r="H199" s="103"/>
      <c r="I199" s="103"/>
      <c r="J199" s="103"/>
      <c r="K199" s="108"/>
    </row>
    <row r="200" spans="4:11" ht="26.25">
      <c r="D200" s="101"/>
      <c r="E200" s="101"/>
      <c r="F200" s="102"/>
      <c r="G200" s="103"/>
      <c r="H200" s="103"/>
      <c r="I200" s="103"/>
      <c r="J200" s="103"/>
      <c r="K200" s="108"/>
    </row>
    <row r="201" spans="4:11" ht="26.25">
      <c r="D201" s="101"/>
      <c r="E201" s="101"/>
      <c r="F201" s="102"/>
      <c r="G201" s="103"/>
      <c r="H201" s="103"/>
      <c r="I201" s="103"/>
      <c r="J201" s="103"/>
      <c r="K201" s="108"/>
    </row>
    <row r="202" spans="4:11" ht="26.25">
      <c r="D202" s="101"/>
      <c r="E202" s="101"/>
      <c r="F202" s="102"/>
      <c r="G202" s="103"/>
      <c r="H202" s="103"/>
      <c r="I202" s="103"/>
      <c r="J202" s="103"/>
      <c r="K202" s="108"/>
    </row>
    <row r="203" spans="4:11" ht="26.25">
      <c r="D203" s="101"/>
      <c r="E203" s="101"/>
      <c r="F203" s="102"/>
      <c r="G203" s="103"/>
      <c r="H203" s="103"/>
      <c r="I203" s="103"/>
      <c r="J203" s="103"/>
      <c r="K203" s="108"/>
    </row>
    <row r="204" spans="4:11" ht="26.25">
      <c r="D204" s="101"/>
      <c r="E204" s="101"/>
      <c r="F204" s="102"/>
      <c r="G204" s="103"/>
      <c r="H204" s="103"/>
      <c r="I204" s="103"/>
      <c r="J204" s="103"/>
      <c r="K204" s="108"/>
    </row>
    <row r="205" spans="4:11" ht="26.25">
      <c r="D205" s="101"/>
      <c r="E205" s="101"/>
      <c r="F205" s="102"/>
      <c r="G205" s="103"/>
      <c r="H205" s="103"/>
      <c r="I205" s="103"/>
      <c r="J205" s="103"/>
      <c r="K205" s="108"/>
    </row>
    <row r="206" spans="4:11" ht="26.25">
      <c r="D206" s="101"/>
      <c r="E206" s="101"/>
      <c r="F206" s="102"/>
      <c r="G206" s="103"/>
      <c r="H206" s="103"/>
      <c r="I206" s="103"/>
      <c r="J206" s="103"/>
      <c r="K206" s="108"/>
    </row>
    <row r="207" spans="4:11" ht="26.25">
      <c r="D207" s="101"/>
      <c r="E207" s="101"/>
      <c r="F207" s="102"/>
      <c r="G207" s="103"/>
      <c r="H207" s="103"/>
      <c r="I207" s="103"/>
      <c r="J207" s="103"/>
      <c r="K207" s="108"/>
    </row>
    <row r="208" spans="4:11" ht="26.25">
      <c r="D208" s="101"/>
      <c r="E208" s="101"/>
      <c r="F208" s="102"/>
      <c r="G208" s="103"/>
      <c r="H208" s="103"/>
      <c r="I208" s="103"/>
      <c r="J208" s="103"/>
      <c r="K208" s="108"/>
    </row>
    <row r="209" spans="4:11" ht="26.25">
      <c r="D209" s="101"/>
      <c r="E209" s="101"/>
      <c r="F209" s="102"/>
      <c r="G209" s="103"/>
      <c r="H209" s="103"/>
      <c r="I209" s="103"/>
      <c r="J209" s="103"/>
      <c r="K209" s="108"/>
    </row>
    <row r="210" spans="4:11" ht="26.25">
      <c r="D210" s="101"/>
      <c r="E210" s="101"/>
      <c r="F210" s="102"/>
      <c r="G210" s="103"/>
      <c r="H210" s="103"/>
      <c r="I210" s="103"/>
      <c r="J210" s="103"/>
      <c r="K210" s="108"/>
    </row>
    <row r="211" spans="4:11" ht="26.25">
      <c r="D211" s="101"/>
      <c r="E211" s="101"/>
      <c r="F211" s="102"/>
      <c r="G211" s="103"/>
      <c r="H211" s="103"/>
      <c r="I211" s="103"/>
      <c r="J211" s="103"/>
      <c r="K211" s="108"/>
    </row>
    <row r="212" spans="4:11" ht="26.25">
      <c r="D212" s="101"/>
      <c r="E212" s="101"/>
      <c r="F212" s="102"/>
      <c r="G212" s="103"/>
      <c r="H212" s="103"/>
      <c r="I212" s="103"/>
      <c r="J212" s="103"/>
      <c r="K212" s="108"/>
    </row>
    <row r="213" spans="4:11" ht="26.25">
      <c r="D213" s="101"/>
      <c r="E213" s="101"/>
      <c r="F213" s="102"/>
      <c r="G213" s="103"/>
      <c r="H213" s="103"/>
      <c r="I213" s="103"/>
      <c r="J213" s="103"/>
      <c r="K213" s="108"/>
    </row>
    <row r="214" spans="4:11" ht="26.25">
      <c r="D214" s="101"/>
      <c r="E214" s="101"/>
      <c r="F214" s="102"/>
      <c r="G214" s="103"/>
      <c r="H214" s="103"/>
      <c r="I214" s="103"/>
      <c r="J214" s="103"/>
      <c r="K214" s="108"/>
    </row>
    <row r="215" spans="4:11" ht="26.25">
      <c r="D215" s="101"/>
      <c r="E215" s="101"/>
      <c r="F215" s="102"/>
      <c r="G215" s="103"/>
      <c r="H215" s="103"/>
      <c r="I215" s="103"/>
      <c r="J215" s="103"/>
      <c r="K215" s="108"/>
    </row>
    <row r="216" spans="4:11" ht="26.25">
      <c r="D216" s="101"/>
      <c r="E216" s="101"/>
      <c r="F216" s="102"/>
      <c r="G216" s="103"/>
      <c r="H216" s="103"/>
      <c r="I216" s="103"/>
      <c r="J216" s="103"/>
      <c r="K216" s="108"/>
    </row>
    <row r="217" spans="4:11" ht="26.25">
      <c r="D217" s="101"/>
      <c r="E217" s="101"/>
      <c r="F217" s="102"/>
      <c r="G217" s="103"/>
      <c r="H217" s="103"/>
      <c r="I217" s="103"/>
      <c r="J217" s="103"/>
      <c r="K217" s="108"/>
    </row>
    <row r="218" spans="4:11" ht="26.25">
      <c r="D218" s="101"/>
      <c r="E218" s="101"/>
      <c r="F218" s="102"/>
      <c r="G218" s="103"/>
      <c r="H218" s="103"/>
      <c r="I218" s="103"/>
      <c r="J218" s="103"/>
      <c r="K218" s="108"/>
    </row>
    <row r="219" spans="4:11" ht="26.25">
      <c r="D219" s="101"/>
      <c r="E219" s="101"/>
      <c r="F219" s="102"/>
      <c r="G219" s="103"/>
      <c r="H219" s="103"/>
      <c r="I219" s="103"/>
      <c r="J219" s="103"/>
      <c r="K219" s="108"/>
    </row>
    <row r="220" spans="4:11" ht="26.25">
      <c r="D220" s="101"/>
      <c r="E220" s="101"/>
      <c r="F220" s="102"/>
      <c r="G220" s="103"/>
      <c r="H220" s="103"/>
      <c r="I220" s="103"/>
      <c r="J220" s="103"/>
      <c r="K220" s="108"/>
    </row>
    <row r="221" spans="4:11" ht="26.25">
      <c r="D221" s="101"/>
      <c r="E221" s="101"/>
      <c r="F221" s="102"/>
      <c r="G221" s="103"/>
      <c r="H221" s="103"/>
      <c r="I221" s="103"/>
      <c r="J221" s="103"/>
      <c r="K221" s="108"/>
    </row>
    <row r="222" spans="4:11" ht="26.25">
      <c r="D222" s="101"/>
      <c r="E222" s="101"/>
      <c r="F222" s="102"/>
      <c r="G222" s="103"/>
      <c r="H222" s="103"/>
      <c r="I222" s="103"/>
      <c r="J222" s="103"/>
      <c r="K222" s="108"/>
    </row>
    <row r="223" spans="4:11" ht="26.25">
      <c r="D223" s="101"/>
      <c r="E223" s="101"/>
      <c r="F223" s="102"/>
      <c r="G223" s="103"/>
      <c r="H223" s="103"/>
      <c r="I223" s="103"/>
      <c r="J223" s="103"/>
      <c r="K223" s="108"/>
    </row>
    <row r="224" spans="4:11" ht="26.25">
      <c r="D224" s="101"/>
      <c r="E224" s="101"/>
      <c r="F224" s="102"/>
      <c r="G224" s="103"/>
      <c r="H224" s="103"/>
      <c r="I224" s="103"/>
      <c r="J224" s="103"/>
      <c r="K224" s="108"/>
    </row>
    <row r="225" spans="4:11" ht="26.25">
      <c r="D225" s="101"/>
      <c r="E225" s="101"/>
      <c r="F225" s="102"/>
      <c r="G225" s="103"/>
      <c r="H225" s="103"/>
      <c r="I225" s="103"/>
      <c r="J225" s="103"/>
      <c r="K225" s="108"/>
    </row>
    <row r="226" spans="4:11" ht="26.25">
      <c r="D226" s="101"/>
      <c r="E226" s="101"/>
      <c r="F226" s="102"/>
      <c r="G226" s="103"/>
      <c r="H226" s="103"/>
      <c r="I226" s="103"/>
      <c r="J226" s="103"/>
      <c r="K226" s="108"/>
    </row>
    <row r="227" spans="4:11" ht="26.25">
      <c r="D227" s="101"/>
      <c r="E227" s="101"/>
      <c r="F227" s="102"/>
      <c r="G227" s="103"/>
      <c r="H227" s="103"/>
      <c r="I227" s="103"/>
      <c r="J227" s="103"/>
      <c r="K227" s="108"/>
    </row>
    <row r="228" spans="4:11" ht="26.25">
      <c r="D228" s="101"/>
      <c r="E228" s="101"/>
      <c r="F228" s="102"/>
      <c r="G228" s="103"/>
      <c r="H228" s="103"/>
      <c r="I228" s="103"/>
      <c r="J228" s="103"/>
      <c r="K228" s="108"/>
    </row>
    <row r="229" spans="4:11" ht="26.25">
      <c r="D229" s="101"/>
      <c r="E229" s="101"/>
      <c r="F229" s="102"/>
      <c r="G229" s="103"/>
      <c r="H229" s="103"/>
      <c r="I229" s="103"/>
      <c r="J229" s="103"/>
      <c r="K229" s="108"/>
    </row>
    <row r="230" spans="4:11" ht="26.25">
      <c r="D230" s="101"/>
      <c r="E230" s="101"/>
      <c r="F230" s="102"/>
      <c r="G230" s="103"/>
      <c r="H230" s="103"/>
      <c r="I230" s="103"/>
      <c r="J230" s="103"/>
      <c r="K230" s="108"/>
    </row>
    <row r="231" spans="4:11" ht="26.25">
      <c r="D231" s="101"/>
      <c r="E231" s="101"/>
      <c r="F231" s="102"/>
      <c r="G231" s="103"/>
      <c r="H231" s="103"/>
      <c r="I231" s="103"/>
      <c r="J231" s="103"/>
      <c r="K231" s="108"/>
    </row>
    <row r="232" spans="4:11" ht="26.25">
      <c r="D232" s="101"/>
      <c r="E232" s="101"/>
      <c r="F232" s="102"/>
      <c r="G232" s="103"/>
      <c r="H232" s="103"/>
      <c r="I232" s="103"/>
      <c r="J232" s="103"/>
      <c r="K232" s="108"/>
    </row>
    <row r="233" spans="4:11" ht="26.25">
      <c r="D233" s="101"/>
      <c r="E233" s="101"/>
      <c r="F233" s="102"/>
      <c r="G233" s="103"/>
      <c r="H233" s="103"/>
      <c r="I233" s="103"/>
      <c r="J233" s="103"/>
      <c r="K233" s="108"/>
    </row>
    <row r="234" spans="4:11" ht="26.25">
      <c r="D234" s="101"/>
      <c r="E234" s="101"/>
      <c r="F234" s="102"/>
      <c r="G234" s="103"/>
      <c r="H234" s="103"/>
      <c r="I234" s="103"/>
      <c r="J234" s="103"/>
      <c r="K234" s="108"/>
    </row>
    <row r="235" spans="4:11" ht="26.25">
      <c r="D235" s="101"/>
      <c r="E235" s="101"/>
      <c r="F235" s="102"/>
      <c r="G235" s="103"/>
      <c r="H235" s="103"/>
      <c r="I235" s="103"/>
      <c r="J235" s="103"/>
      <c r="K235" s="108"/>
    </row>
    <row r="236" spans="4:11" ht="26.25">
      <c r="D236" s="101"/>
      <c r="E236" s="101"/>
      <c r="F236" s="102"/>
      <c r="G236" s="103"/>
      <c r="H236" s="103"/>
      <c r="I236" s="103"/>
      <c r="J236" s="103"/>
      <c r="K236" s="108"/>
    </row>
    <row r="237" spans="4:11" ht="26.25">
      <c r="D237" s="101"/>
      <c r="E237" s="101"/>
      <c r="F237" s="102"/>
      <c r="G237" s="103"/>
      <c r="H237" s="103"/>
      <c r="I237" s="103"/>
      <c r="J237" s="103"/>
      <c r="K237" s="108"/>
    </row>
    <row r="238" spans="4:11" ht="26.25">
      <c r="D238" s="101"/>
      <c r="E238" s="101"/>
      <c r="F238" s="102"/>
      <c r="G238" s="103"/>
      <c r="H238" s="103"/>
      <c r="I238" s="103"/>
      <c r="J238" s="103"/>
      <c r="K238" s="108"/>
    </row>
    <row r="239" spans="4:11" ht="26.25">
      <c r="D239" s="101"/>
      <c r="E239" s="101"/>
      <c r="F239" s="102"/>
      <c r="G239" s="103"/>
      <c r="H239" s="103"/>
      <c r="I239" s="103"/>
      <c r="J239" s="103"/>
      <c r="K239" s="108"/>
    </row>
    <row r="240" spans="4:11" ht="26.25">
      <c r="D240" s="101"/>
      <c r="E240" s="101"/>
      <c r="F240" s="102"/>
      <c r="G240" s="103"/>
      <c r="H240" s="103"/>
      <c r="I240" s="103"/>
      <c r="J240" s="103"/>
      <c r="K240" s="108"/>
    </row>
    <row r="241" spans="4:11" ht="26.25">
      <c r="D241" s="101"/>
      <c r="E241" s="101"/>
      <c r="F241" s="102"/>
      <c r="G241" s="103"/>
      <c r="H241" s="103"/>
      <c r="I241" s="103"/>
      <c r="J241" s="103"/>
      <c r="K241" s="108"/>
    </row>
    <row r="242" spans="4:11" ht="26.25">
      <c r="D242" s="101"/>
      <c r="E242" s="101"/>
      <c r="F242" s="102"/>
      <c r="G242" s="103"/>
      <c r="H242" s="103"/>
      <c r="I242" s="103"/>
      <c r="J242" s="103"/>
      <c r="K242" s="108"/>
    </row>
    <row r="243" spans="4:11" ht="26.25">
      <c r="D243" s="101"/>
      <c r="E243" s="101"/>
      <c r="F243" s="102"/>
      <c r="G243" s="103"/>
      <c r="H243" s="103"/>
      <c r="I243" s="103"/>
      <c r="J243" s="103"/>
      <c r="K243" s="108"/>
    </row>
    <row r="244" spans="4:11" ht="26.25">
      <c r="D244" s="101"/>
      <c r="E244" s="101"/>
      <c r="F244" s="102"/>
      <c r="G244" s="103"/>
      <c r="H244" s="103"/>
      <c r="I244" s="103"/>
      <c r="J244" s="103"/>
      <c r="K244" s="108"/>
    </row>
    <row r="245" spans="4:11" ht="26.25">
      <c r="D245" s="101"/>
      <c r="E245" s="101"/>
      <c r="F245" s="102"/>
      <c r="G245" s="103"/>
      <c r="H245" s="103"/>
      <c r="I245" s="103"/>
      <c r="J245" s="103"/>
      <c r="K245" s="108"/>
    </row>
    <row r="246" spans="4:11" ht="26.25">
      <c r="D246" s="101"/>
      <c r="E246" s="101"/>
      <c r="F246" s="102"/>
      <c r="G246" s="103"/>
      <c r="H246" s="103"/>
      <c r="I246" s="103"/>
      <c r="J246" s="103"/>
      <c r="K246" s="108"/>
    </row>
    <row r="247" spans="4:11" ht="26.25">
      <c r="D247" s="101"/>
      <c r="E247" s="101"/>
      <c r="F247" s="102"/>
      <c r="G247" s="103"/>
      <c r="H247" s="103"/>
      <c r="I247" s="103"/>
      <c r="J247" s="103"/>
      <c r="K247" s="108"/>
    </row>
    <row r="248" spans="4:11" ht="26.25">
      <c r="D248" s="101"/>
      <c r="E248" s="101"/>
      <c r="F248" s="102"/>
      <c r="G248" s="103"/>
      <c r="H248" s="103"/>
      <c r="I248" s="103"/>
      <c r="J248" s="103"/>
      <c r="K248" s="108"/>
    </row>
    <row r="249" spans="4:11" ht="26.25">
      <c r="D249" s="101"/>
      <c r="E249" s="101"/>
      <c r="F249" s="102"/>
      <c r="G249" s="103"/>
      <c r="H249" s="103"/>
      <c r="I249" s="103"/>
      <c r="J249" s="103"/>
      <c r="K249" s="108"/>
    </row>
    <row r="250" spans="4:11" ht="26.25">
      <c r="D250" s="101"/>
      <c r="E250" s="101"/>
      <c r="F250" s="102"/>
      <c r="G250" s="103"/>
      <c r="H250" s="103"/>
      <c r="I250" s="103"/>
      <c r="J250" s="103"/>
      <c r="K250" s="108"/>
    </row>
    <row r="251" spans="4:11" ht="26.25">
      <c r="D251" s="101"/>
      <c r="E251" s="101"/>
      <c r="F251" s="102"/>
      <c r="G251" s="103"/>
      <c r="H251" s="103"/>
      <c r="I251" s="103"/>
      <c r="J251" s="103"/>
      <c r="K251" s="108"/>
    </row>
    <row r="252" spans="4:11" ht="26.25">
      <c r="D252" s="101"/>
      <c r="E252" s="101"/>
      <c r="F252" s="102"/>
      <c r="G252" s="103"/>
      <c r="H252" s="103"/>
      <c r="I252" s="103"/>
      <c r="J252" s="103"/>
      <c r="K252" s="108"/>
    </row>
    <row r="253" spans="4:11" ht="26.25">
      <c r="D253" s="101"/>
      <c r="E253" s="101"/>
      <c r="F253" s="102"/>
      <c r="G253" s="103"/>
      <c r="H253" s="103"/>
      <c r="I253" s="103"/>
      <c r="J253" s="103"/>
      <c r="K253" s="108"/>
    </row>
    <row r="254" spans="4:11" ht="26.25">
      <c r="D254" s="101"/>
      <c r="E254" s="101"/>
      <c r="F254" s="102"/>
      <c r="G254" s="103"/>
      <c r="H254" s="103"/>
      <c r="I254" s="103"/>
      <c r="J254" s="103"/>
      <c r="K254" s="108"/>
    </row>
    <row r="255" spans="4:11" ht="26.25">
      <c r="D255" s="101"/>
      <c r="E255" s="101"/>
      <c r="F255" s="102"/>
      <c r="G255" s="103"/>
      <c r="H255" s="103"/>
      <c r="I255" s="103"/>
      <c r="J255" s="103"/>
      <c r="K255" s="108"/>
    </row>
    <row r="256" spans="4:11" ht="26.25">
      <c r="D256" s="101"/>
      <c r="E256" s="101"/>
      <c r="F256" s="102"/>
      <c r="G256" s="103"/>
      <c r="H256" s="103"/>
      <c r="I256" s="103"/>
      <c r="J256" s="103"/>
      <c r="K256" s="108"/>
    </row>
    <row r="257" spans="4:11" ht="26.25">
      <c r="D257" s="101"/>
      <c r="E257" s="101"/>
      <c r="F257" s="102"/>
      <c r="G257" s="103"/>
      <c r="H257" s="103"/>
      <c r="I257" s="103"/>
      <c r="J257" s="103"/>
      <c r="K257" s="108"/>
    </row>
    <row r="258" spans="4:11" ht="26.25">
      <c r="D258" s="101"/>
      <c r="E258" s="101"/>
      <c r="F258" s="102"/>
      <c r="G258" s="103"/>
      <c r="H258" s="103"/>
      <c r="I258" s="103"/>
      <c r="J258" s="103"/>
      <c r="K258" s="108"/>
    </row>
    <row r="259" spans="4:11" ht="26.25">
      <c r="D259" s="101"/>
      <c r="E259" s="101"/>
      <c r="F259" s="102"/>
      <c r="G259" s="103"/>
      <c r="H259" s="103"/>
      <c r="I259" s="103"/>
      <c r="J259" s="103"/>
      <c r="K259" s="108"/>
    </row>
    <row r="260" spans="4:11" ht="26.25">
      <c r="D260" s="101"/>
      <c r="E260" s="101"/>
      <c r="F260" s="102"/>
      <c r="G260" s="103"/>
      <c r="H260" s="103"/>
      <c r="I260" s="103"/>
      <c r="J260" s="103"/>
      <c r="K260" s="108"/>
    </row>
    <row r="261" spans="4:11" ht="26.25">
      <c r="D261" s="101"/>
      <c r="E261" s="101"/>
      <c r="F261" s="102"/>
      <c r="G261" s="103"/>
      <c r="H261" s="103"/>
      <c r="I261" s="103"/>
      <c r="J261" s="103"/>
      <c r="K261" s="108"/>
    </row>
    <row r="262" spans="4:11" ht="26.25">
      <c r="D262" s="101"/>
      <c r="E262" s="101"/>
      <c r="F262" s="102"/>
      <c r="G262" s="103"/>
      <c r="H262" s="103"/>
      <c r="I262" s="103"/>
      <c r="J262" s="103"/>
      <c r="K262" s="108"/>
    </row>
    <row r="263" spans="4:11" ht="26.25">
      <c r="D263" s="101"/>
      <c r="E263" s="101"/>
      <c r="F263" s="102"/>
      <c r="G263" s="103"/>
      <c r="H263" s="103"/>
      <c r="I263" s="103"/>
      <c r="J263" s="103"/>
      <c r="K263" s="108"/>
    </row>
    <row r="264" spans="4:11" ht="26.25">
      <c r="D264" s="101"/>
      <c r="E264" s="101"/>
      <c r="F264" s="102"/>
      <c r="G264" s="103"/>
      <c r="H264" s="103"/>
      <c r="I264" s="103"/>
      <c r="J264" s="103"/>
      <c r="K264" s="108"/>
    </row>
    <row r="265" spans="4:11" ht="26.25">
      <c r="D265" s="101"/>
      <c r="E265" s="101"/>
      <c r="F265" s="102"/>
      <c r="G265" s="103"/>
      <c r="H265" s="103"/>
      <c r="I265" s="103"/>
      <c r="J265" s="103"/>
      <c r="K265" s="108"/>
    </row>
    <row r="266" spans="4:11" ht="26.25">
      <c r="D266" s="101"/>
      <c r="E266" s="101"/>
      <c r="F266" s="102"/>
      <c r="G266" s="103"/>
      <c r="H266" s="103"/>
      <c r="I266" s="103"/>
      <c r="J266" s="103"/>
      <c r="K266" s="108"/>
    </row>
    <row r="267" spans="4:11" ht="26.25">
      <c r="D267" s="101"/>
      <c r="E267" s="101"/>
      <c r="F267" s="102"/>
      <c r="G267" s="103"/>
      <c r="H267" s="103"/>
      <c r="I267" s="103"/>
      <c r="J267" s="103"/>
      <c r="K267" s="108"/>
    </row>
    <row r="268" spans="4:11" ht="26.25">
      <c r="D268" s="101"/>
      <c r="E268" s="101"/>
      <c r="F268" s="102"/>
      <c r="G268" s="103"/>
      <c r="H268" s="103"/>
      <c r="I268" s="103"/>
      <c r="J268" s="103"/>
      <c r="K268" s="108"/>
    </row>
    <row r="269" spans="4:11" ht="26.25">
      <c r="D269" s="101"/>
      <c r="E269" s="101"/>
      <c r="F269" s="102"/>
      <c r="G269" s="103"/>
      <c r="H269" s="103"/>
      <c r="I269" s="103"/>
      <c r="J269" s="103"/>
      <c r="K269" s="108"/>
    </row>
    <row r="270" spans="4:11" ht="26.25">
      <c r="D270" s="101"/>
      <c r="E270" s="101"/>
      <c r="F270" s="102"/>
      <c r="G270" s="103"/>
      <c r="H270" s="103"/>
      <c r="I270" s="103"/>
      <c r="J270" s="103"/>
      <c r="K270" s="108"/>
    </row>
    <row r="271" spans="4:11" ht="26.25">
      <c r="D271" s="101"/>
      <c r="E271" s="101"/>
      <c r="F271" s="102"/>
      <c r="G271" s="103"/>
      <c r="H271" s="103"/>
      <c r="I271" s="103"/>
      <c r="J271" s="103"/>
      <c r="K271" s="108"/>
    </row>
    <row r="272" spans="4:11" ht="26.25">
      <c r="D272" s="101"/>
      <c r="E272" s="101"/>
      <c r="F272" s="102"/>
      <c r="G272" s="103"/>
      <c r="H272" s="103"/>
      <c r="I272" s="103"/>
      <c r="J272" s="103"/>
      <c r="K272" s="108"/>
    </row>
    <row r="273" spans="4:11" ht="26.25">
      <c r="D273" s="101"/>
      <c r="E273" s="101"/>
      <c r="F273" s="102"/>
      <c r="G273" s="103"/>
      <c r="H273" s="103"/>
      <c r="I273" s="103"/>
      <c r="J273" s="103"/>
      <c r="K273" s="108"/>
    </row>
    <row r="274" spans="4:11" ht="26.25">
      <c r="D274" s="101"/>
      <c r="E274" s="101"/>
      <c r="F274" s="102"/>
      <c r="G274" s="103"/>
      <c r="H274" s="103"/>
      <c r="I274" s="103"/>
      <c r="J274" s="103"/>
      <c r="K274" s="108"/>
    </row>
    <row r="275" spans="4:11" ht="26.25">
      <c r="D275" s="101"/>
      <c r="E275" s="101"/>
      <c r="F275" s="102"/>
      <c r="G275" s="103"/>
      <c r="H275" s="103"/>
      <c r="I275" s="103"/>
      <c r="J275" s="103"/>
      <c r="K275" s="108"/>
    </row>
    <row r="276" spans="4:11" ht="26.25">
      <c r="D276" s="101"/>
      <c r="E276" s="101"/>
      <c r="F276" s="102"/>
      <c r="G276" s="103"/>
      <c r="H276" s="103"/>
      <c r="I276" s="103"/>
      <c r="J276" s="103"/>
      <c r="K276" s="108"/>
    </row>
    <row r="277" spans="4:11" ht="26.25">
      <c r="D277" s="101"/>
      <c r="E277" s="101"/>
      <c r="F277" s="102"/>
      <c r="G277" s="103"/>
      <c r="H277" s="103"/>
      <c r="I277" s="103"/>
      <c r="J277" s="103"/>
      <c r="K277" s="108"/>
    </row>
    <row r="278" spans="4:11" ht="26.25">
      <c r="D278" s="101"/>
      <c r="E278" s="101"/>
      <c r="F278" s="102"/>
      <c r="G278" s="103"/>
      <c r="H278" s="103"/>
      <c r="I278" s="103"/>
      <c r="J278" s="103"/>
      <c r="K278" s="108"/>
    </row>
    <row r="279" spans="4:11" ht="26.25">
      <c r="D279" s="101"/>
      <c r="E279" s="101"/>
      <c r="F279" s="102"/>
      <c r="G279" s="103"/>
      <c r="H279" s="103"/>
      <c r="I279" s="103"/>
      <c r="J279" s="103"/>
      <c r="K279" s="108"/>
    </row>
    <row r="280" spans="4:11" ht="26.25">
      <c r="D280" s="101"/>
      <c r="E280" s="101"/>
      <c r="F280" s="102"/>
      <c r="G280" s="103"/>
      <c r="H280" s="103"/>
      <c r="I280" s="103"/>
      <c r="J280" s="103"/>
      <c r="K280" s="108"/>
    </row>
    <row r="281" spans="4:11" ht="26.25">
      <c r="D281" s="101"/>
      <c r="E281" s="101"/>
      <c r="F281" s="102"/>
      <c r="G281" s="103"/>
      <c r="H281" s="103"/>
      <c r="I281" s="103"/>
      <c r="J281" s="103"/>
      <c r="K281" s="108"/>
    </row>
    <row r="282" spans="4:11" ht="26.25">
      <c r="D282" s="101"/>
      <c r="E282" s="101"/>
      <c r="F282" s="102"/>
      <c r="G282" s="103"/>
      <c r="H282" s="103"/>
      <c r="I282" s="103"/>
      <c r="J282" s="103"/>
      <c r="K282" s="108"/>
    </row>
    <row r="283" spans="4:11" ht="26.25">
      <c r="D283" s="101"/>
      <c r="E283" s="101"/>
      <c r="F283" s="102"/>
      <c r="G283" s="103"/>
      <c r="H283" s="103"/>
      <c r="I283" s="103"/>
      <c r="J283" s="103"/>
      <c r="K283" s="108"/>
    </row>
    <row r="284" spans="4:11" ht="26.25">
      <c r="D284" s="101"/>
      <c r="E284" s="101"/>
      <c r="F284" s="102"/>
      <c r="G284" s="103"/>
      <c r="H284" s="103"/>
      <c r="I284" s="103"/>
      <c r="J284" s="103"/>
      <c r="K284" s="108"/>
    </row>
    <row r="285" spans="4:11" ht="26.25">
      <c r="D285" s="101"/>
      <c r="E285" s="101"/>
      <c r="F285" s="102"/>
      <c r="G285" s="103"/>
      <c r="H285" s="103"/>
      <c r="I285" s="103"/>
      <c r="J285" s="103"/>
      <c r="K285" s="108"/>
    </row>
    <row r="286" spans="4:11" ht="26.25">
      <c r="D286" s="101"/>
      <c r="E286" s="101"/>
      <c r="F286" s="102"/>
      <c r="G286" s="103"/>
      <c r="H286" s="103"/>
      <c r="I286" s="103"/>
      <c r="J286" s="103"/>
      <c r="K286" s="108"/>
    </row>
    <row r="287" spans="4:11" ht="26.25">
      <c r="D287" s="101"/>
      <c r="E287" s="101"/>
      <c r="F287" s="102"/>
      <c r="G287" s="103"/>
      <c r="H287" s="103"/>
      <c r="I287" s="103"/>
      <c r="J287" s="103"/>
      <c r="K287" s="108"/>
    </row>
    <row r="288" spans="4:11" ht="26.25">
      <c r="D288" s="101"/>
      <c r="E288" s="101"/>
      <c r="F288" s="102"/>
      <c r="G288" s="103"/>
      <c r="H288" s="103"/>
      <c r="I288" s="103"/>
      <c r="J288" s="103"/>
      <c r="K288" s="108"/>
    </row>
    <row r="289" spans="4:11" ht="26.25">
      <c r="D289" s="101"/>
      <c r="E289" s="101"/>
      <c r="F289" s="102"/>
      <c r="G289" s="103"/>
      <c r="H289" s="103"/>
      <c r="I289" s="103"/>
      <c r="J289" s="103"/>
      <c r="K289" s="108"/>
    </row>
    <row r="290" spans="4:11" ht="26.25">
      <c r="D290" s="101"/>
      <c r="E290" s="101"/>
      <c r="F290" s="102"/>
      <c r="G290" s="103"/>
      <c r="H290" s="103"/>
      <c r="I290" s="103"/>
      <c r="J290" s="103"/>
      <c r="K290" s="108"/>
    </row>
    <row r="291" spans="4:11" ht="26.25">
      <c r="D291" s="101"/>
      <c r="E291" s="101"/>
      <c r="F291" s="102"/>
      <c r="G291" s="103"/>
      <c r="H291" s="103"/>
      <c r="I291" s="103"/>
      <c r="J291" s="103"/>
      <c r="K291" s="108"/>
    </row>
    <row r="292" spans="4:11" ht="26.25">
      <c r="D292" s="101"/>
      <c r="E292" s="101"/>
      <c r="F292" s="102"/>
      <c r="G292" s="103"/>
      <c r="H292" s="103"/>
      <c r="I292" s="103"/>
      <c r="J292" s="103"/>
      <c r="K292" s="108"/>
    </row>
    <row r="293" spans="4:11" ht="26.25">
      <c r="D293" s="101"/>
      <c r="E293" s="101"/>
      <c r="F293" s="102"/>
      <c r="G293" s="103"/>
      <c r="H293" s="103"/>
      <c r="I293" s="103"/>
      <c r="J293" s="103"/>
      <c r="K293" s="108"/>
    </row>
    <row r="294" spans="4:11" ht="26.25">
      <c r="D294" s="101"/>
      <c r="E294" s="101"/>
      <c r="F294" s="102"/>
      <c r="G294" s="103"/>
      <c r="H294" s="103"/>
      <c r="I294" s="103"/>
      <c r="J294" s="103"/>
      <c r="K294" s="108"/>
    </row>
    <row r="295" spans="4:11" ht="26.25">
      <c r="D295" s="101"/>
      <c r="E295" s="101"/>
      <c r="F295" s="102"/>
      <c r="G295" s="103"/>
      <c r="H295" s="103"/>
      <c r="I295" s="103"/>
      <c r="J295" s="103"/>
      <c r="K295" s="108"/>
    </row>
    <row r="296" spans="4:11" ht="26.25">
      <c r="D296" s="101"/>
      <c r="E296" s="101"/>
      <c r="F296" s="102"/>
      <c r="G296" s="103"/>
      <c r="H296" s="103"/>
      <c r="I296" s="103"/>
      <c r="J296" s="103"/>
      <c r="K296" s="108"/>
    </row>
    <row r="297" spans="4:11" ht="26.25">
      <c r="D297" s="101"/>
      <c r="E297" s="101"/>
      <c r="F297" s="102"/>
      <c r="G297" s="103"/>
      <c r="H297" s="103"/>
      <c r="I297" s="103"/>
      <c r="J297" s="103"/>
      <c r="K297" s="108"/>
    </row>
    <row r="298" spans="4:11" ht="26.25">
      <c r="D298" s="101"/>
      <c r="E298" s="101"/>
      <c r="F298" s="102"/>
      <c r="G298" s="103"/>
      <c r="H298" s="103"/>
      <c r="I298" s="103"/>
      <c r="J298" s="103"/>
      <c r="K298" s="108"/>
    </row>
    <row r="299" spans="4:11" ht="26.25">
      <c r="D299" s="101"/>
      <c r="E299" s="101"/>
      <c r="F299" s="102"/>
      <c r="G299" s="103"/>
      <c r="H299" s="103"/>
      <c r="I299" s="103"/>
      <c r="J299" s="103"/>
      <c r="K299" s="108"/>
    </row>
    <row r="300" spans="4:11" ht="26.25">
      <c r="D300" s="101"/>
      <c r="E300" s="101"/>
      <c r="F300" s="102"/>
      <c r="G300" s="103"/>
      <c r="H300" s="103"/>
      <c r="I300" s="103"/>
      <c r="J300" s="103"/>
      <c r="K300" s="108"/>
    </row>
    <row r="301" spans="4:11" ht="26.25">
      <c r="D301" s="101"/>
      <c r="E301" s="101"/>
      <c r="F301" s="102"/>
      <c r="G301" s="103"/>
      <c r="H301" s="103"/>
      <c r="I301" s="103"/>
      <c r="J301" s="103"/>
      <c r="K301" s="108"/>
    </row>
    <row r="302" spans="4:11" ht="26.25">
      <c r="D302" s="101"/>
      <c r="E302" s="101"/>
      <c r="F302" s="102"/>
      <c r="G302" s="103"/>
      <c r="H302" s="103"/>
      <c r="I302" s="103"/>
      <c r="J302" s="103"/>
      <c r="K302" s="108"/>
    </row>
    <row r="303" spans="4:11" ht="26.25">
      <c r="D303" s="101"/>
      <c r="E303" s="101"/>
      <c r="F303" s="102"/>
      <c r="G303" s="103"/>
      <c r="H303" s="103"/>
      <c r="I303" s="103"/>
      <c r="J303" s="103"/>
      <c r="K303" s="108"/>
    </row>
    <row r="304" spans="4:11" ht="26.25">
      <c r="D304" s="101"/>
      <c r="E304" s="101"/>
      <c r="F304" s="102"/>
      <c r="G304" s="103"/>
      <c r="H304" s="103"/>
      <c r="I304" s="103"/>
      <c r="J304" s="103"/>
      <c r="K304" s="108"/>
    </row>
    <row r="305" spans="4:11" ht="26.25">
      <c r="D305" s="101"/>
      <c r="E305" s="101"/>
      <c r="F305" s="102"/>
      <c r="G305" s="103"/>
      <c r="H305" s="103"/>
      <c r="I305" s="103"/>
      <c r="J305" s="103"/>
      <c r="K305" s="108"/>
    </row>
    <row r="306" spans="4:11" ht="26.25">
      <c r="D306" s="101"/>
      <c r="E306" s="101"/>
      <c r="F306" s="102"/>
      <c r="G306" s="103"/>
      <c r="H306" s="103"/>
      <c r="I306" s="103"/>
      <c r="J306" s="103"/>
      <c r="K306" s="108"/>
    </row>
    <row r="307" spans="4:11" ht="26.25">
      <c r="D307" s="101"/>
      <c r="E307" s="101"/>
      <c r="F307" s="102"/>
      <c r="G307" s="103"/>
      <c r="H307" s="103"/>
      <c r="I307" s="103"/>
      <c r="J307" s="103"/>
      <c r="K307" s="108"/>
    </row>
    <row r="308" spans="4:11" ht="26.25">
      <c r="D308" s="101"/>
      <c r="E308" s="101"/>
      <c r="F308" s="102"/>
      <c r="G308" s="103"/>
      <c r="H308" s="103"/>
      <c r="I308" s="103"/>
      <c r="J308" s="103"/>
      <c r="K308" s="108"/>
    </row>
    <row r="309" spans="4:11" ht="26.25">
      <c r="D309" s="101"/>
      <c r="E309" s="101"/>
      <c r="F309" s="102"/>
      <c r="G309" s="103"/>
      <c r="H309" s="103"/>
      <c r="I309" s="103"/>
      <c r="J309" s="103"/>
      <c r="K309" s="108"/>
    </row>
    <row r="310" spans="4:11" ht="26.25">
      <c r="D310" s="101"/>
      <c r="E310" s="101"/>
      <c r="F310" s="102"/>
      <c r="G310" s="103"/>
      <c r="H310" s="103"/>
      <c r="I310" s="103"/>
      <c r="J310" s="103"/>
      <c r="K310" s="108"/>
    </row>
    <row r="311" spans="4:11" ht="26.25">
      <c r="D311" s="101"/>
      <c r="E311" s="101"/>
      <c r="F311" s="102"/>
      <c r="G311" s="103"/>
      <c r="H311" s="103"/>
      <c r="I311" s="103"/>
      <c r="J311" s="103"/>
      <c r="K311" s="108"/>
    </row>
    <row r="312" spans="4:11" ht="26.25">
      <c r="D312" s="101"/>
      <c r="E312" s="101"/>
      <c r="F312" s="102"/>
      <c r="G312" s="103"/>
      <c r="H312" s="103"/>
      <c r="I312" s="103"/>
      <c r="J312" s="103"/>
      <c r="K312" s="108"/>
    </row>
    <row r="313" spans="4:11" ht="26.25">
      <c r="D313" s="101"/>
      <c r="E313" s="101"/>
      <c r="F313" s="102"/>
      <c r="G313" s="103"/>
      <c r="H313" s="103"/>
      <c r="I313" s="103"/>
      <c r="J313" s="103"/>
      <c r="K313" s="108"/>
    </row>
    <row r="314" spans="4:11" ht="26.25">
      <c r="D314" s="101"/>
      <c r="E314" s="101"/>
      <c r="F314" s="102"/>
      <c r="G314" s="103"/>
      <c r="H314" s="103"/>
      <c r="I314" s="103"/>
      <c r="J314" s="103"/>
      <c r="K314" s="108"/>
    </row>
    <row r="315" spans="4:11" ht="26.25">
      <c r="D315" s="101"/>
      <c r="E315" s="101"/>
      <c r="F315" s="102"/>
      <c r="G315" s="103"/>
      <c r="H315" s="103"/>
      <c r="I315" s="103"/>
      <c r="J315" s="103"/>
      <c r="K315" s="108"/>
    </row>
    <row r="316" spans="4:11" ht="26.25">
      <c r="D316" s="101"/>
      <c r="E316" s="101"/>
      <c r="F316" s="102"/>
      <c r="G316" s="103"/>
      <c r="H316" s="103"/>
      <c r="I316" s="103"/>
      <c r="J316" s="103"/>
      <c r="K316" s="108"/>
    </row>
    <row r="317" spans="4:11" ht="26.25">
      <c r="D317" s="101"/>
      <c r="E317" s="101"/>
      <c r="F317" s="102"/>
      <c r="G317" s="103"/>
      <c r="H317" s="103"/>
      <c r="I317" s="103"/>
      <c r="J317" s="103"/>
      <c r="K317" s="108"/>
    </row>
    <row r="318" spans="4:11" ht="26.25">
      <c r="D318" s="101"/>
      <c r="E318" s="101"/>
      <c r="F318" s="102"/>
      <c r="G318" s="103"/>
      <c r="H318" s="103"/>
      <c r="I318" s="103"/>
      <c r="J318" s="103"/>
      <c r="K318" s="108"/>
    </row>
    <row r="319" spans="4:11" ht="26.25">
      <c r="D319" s="101"/>
      <c r="E319" s="101"/>
      <c r="F319" s="102"/>
      <c r="G319" s="103"/>
      <c r="H319" s="103"/>
      <c r="I319" s="103"/>
      <c r="J319" s="103"/>
      <c r="K319" s="108"/>
    </row>
    <row r="320" spans="4:11" ht="26.25">
      <c r="D320" s="101"/>
      <c r="E320" s="101"/>
      <c r="F320" s="102"/>
      <c r="G320" s="103"/>
      <c r="H320" s="103"/>
      <c r="I320" s="103"/>
      <c r="J320" s="103"/>
      <c r="K320" s="108"/>
    </row>
    <row r="321" spans="4:11" ht="26.25">
      <c r="D321" s="101"/>
      <c r="E321" s="101"/>
      <c r="F321" s="102"/>
      <c r="G321" s="103"/>
      <c r="H321" s="103"/>
      <c r="I321" s="103"/>
      <c r="J321" s="103"/>
      <c r="K321" s="108"/>
    </row>
    <row r="322" spans="4:11" ht="26.25">
      <c r="D322" s="101"/>
      <c r="E322" s="101"/>
      <c r="F322" s="102"/>
      <c r="G322" s="103"/>
      <c r="H322" s="103"/>
      <c r="I322" s="103"/>
      <c r="J322" s="103"/>
      <c r="K322" s="108"/>
    </row>
    <row r="323" spans="4:11" ht="26.25">
      <c r="D323" s="101"/>
      <c r="E323" s="101"/>
      <c r="F323" s="102"/>
      <c r="G323" s="103"/>
      <c r="H323" s="103"/>
      <c r="I323" s="103"/>
      <c r="J323" s="103"/>
      <c r="K323" s="108"/>
    </row>
    <row r="324" spans="4:11" ht="26.25">
      <c r="D324" s="101"/>
      <c r="E324" s="101"/>
      <c r="F324" s="102"/>
      <c r="G324" s="103"/>
      <c r="H324" s="103"/>
      <c r="I324" s="103"/>
      <c r="J324" s="103"/>
      <c r="K324" s="108"/>
    </row>
    <row r="325" spans="4:11" ht="26.25">
      <c r="D325" s="101"/>
      <c r="E325" s="101"/>
      <c r="F325" s="102"/>
      <c r="G325" s="103"/>
      <c r="H325" s="103"/>
      <c r="I325" s="103"/>
      <c r="J325" s="103"/>
      <c r="K325" s="108"/>
    </row>
    <row r="326" spans="4:11" ht="26.25">
      <c r="D326" s="101"/>
      <c r="E326" s="101"/>
      <c r="F326" s="102"/>
      <c r="G326" s="103"/>
      <c r="H326" s="103"/>
      <c r="I326" s="103"/>
      <c r="J326" s="103"/>
      <c r="K326" s="108"/>
    </row>
    <row r="327" spans="4:11" ht="26.25">
      <c r="D327" s="101"/>
      <c r="E327" s="101"/>
      <c r="F327" s="102"/>
      <c r="G327" s="103"/>
      <c r="H327" s="103"/>
      <c r="I327" s="103"/>
      <c r="J327" s="103"/>
      <c r="K327" s="108"/>
    </row>
    <row r="328" spans="4:11" ht="26.25">
      <c r="D328" s="101"/>
      <c r="E328" s="101"/>
      <c r="F328" s="102"/>
      <c r="G328" s="103"/>
      <c r="H328" s="103"/>
      <c r="I328" s="103"/>
      <c r="J328" s="103"/>
      <c r="K328" s="108"/>
    </row>
    <row r="329" spans="4:11" ht="26.25">
      <c r="D329" s="101"/>
      <c r="E329" s="101"/>
      <c r="F329" s="102"/>
      <c r="G329" s="103"/>
      <c r="H329" s="103"/>
      <c r="I329" s="103"/>
      <c r="J329" s="103"/>
      <c r="K329" s="108"/>
    </row>
    <row r="330" spans="4:11" ht="26.25">
      <c r="D330" s="101"/>
      <c r="E330" s="101"/>
      <c r="F330" s="102"/>
      <c r="G330" s="103"/>
      <c r="H330" s="103"/>
      <c r="I330" s="103"/>
      <c r="J330" s="103"/>
      <c r="K330" s="108"/>
    </row>
    <row r="331" spans="4:11" ht="26.25">
      <c r="D331" s="101"/>
      <c r="E331" s="101"/>
      <c r="F331" s="102"/>
      <c r="G331" s="103"/>
      <c r="H331" s="103"/>
      <c r="I331" s="103"/>
      <c r="J331" s="103"/>
      <c r="K331" s="108"/>
    </row>
    <row r="332" spans="4:11" ht="26.25">
      <c r="D332" s="101"/>
      <c r="E332" s="101"/>
      <c r="F332" s="102"/>
      <c r="G332" s="103"/>
      <c r="H332" s="103"/>
      <c r="I332" s="103"/>
      <c r="J332" s="103"/>
      <c r="K332" s="108"/>
    </row>
    <row r="333" spans="4:11" ht="26.25">
      <c r="D333" s="101"/>
      <c r="E333" s="101"/>
      <c r="F333" s="102"/>
      <c r="G333" s="103"/>
      <c r="H333" s="103"/>
      <c r="I333" s="103"/>
      <c r="J333" s="103"/>
      <c r="K333" s="108"/>
    </row>
    <row r="334" spans="4:11" ht="26.25">
      <c r="D334" s="101"/>
      <c r="E334" s="101"/>
      <c r="F334" s="102"/>
      <c r="G334" s="103"/>
      <c r="H334" s="103"/>
      <c r="I334" s="103"/>
      <c r="J334" s="103"/>
      <c r="K334" s="108"/>
    </row>
    <row r="335" spans="4:11" ht="26.25">
      <c r="D335" s="101"/>
      <c r="E335" s="101"/>
      <c r="F335" s="102"/>
      <c r="G335" s="103"/>
      <c r="H335" s="103"/>
      <c r="I335" s="103"/>
      <c r="J335" s="103"/>
      <c r="K335" s="108"/>
    </row>
    <row r="336" spans="4:11" ht="26.25">
      <c r="D336" s="101"/>
      <c r="E336" s="101"/>
      <c r="F336" s="102"/>
      <c r="G336" s="103"/>
      <c r="H336" s="103"/>
      <c r="I336" s="103"/>
      <c r="J336" s="103"/>
      <c r="K336" s="108"/>
    </row>
    <row r="337" spans="4:11" ht="26.25">
      <c r="D337" s="101"/>
      <c r="E337" s="101"/>
      <c r="F337" s="102"/>
      <c r="G337" s="103"/>
      <c r="H337" s="103"/>
      <c r="I337" s="103"/>
      <c r="J337" s="103"/>
      <c r="K337" s="108"/>
    </row>
    <row r="338" spans="4:11" ht="26.25">
      <c r="D338" s="101"/>
      <c r="E338" s="101"/>
      <c r="F338" s="102"/>
      <c r="G338" s="103"/>
      <c r="H338" s="103"/>
      <c r="I338" s="103"/>
      <c r="J338" s="103"/>
      <c r="K338" s="108"/>
    </row>
    <row r="339" spans="4:11" ht="26.25">
      <c r="D339" s="101"/>
      <c r="E339" s="101"/>
      <c r="F339" s="102"/>
      <c r="G339" s="103"/>
      <c r="H339" s="103"/>
      <c r="I339" s="103"/>
      <c r="J339" s="103"/>
      <c r="K339" s="108"/>
    </row>
    <row r="340" spans="4:11" ht="26.25">
      <c r="D340" s="101"/>
      <c r="E340" s="101"/>
      <c r="F340" s="102"/>
      <c r="G340" s="103"/>
      <c r="H340" s="103"/>
      <c r="I340" s="103"/>
      <c r="J340" s="103"/>
      <c r="K340" s="108"/>
    </row>
    <row r="341" spans="4:11" ht="26.25">
      <c r="D341" s="101"/>
      <c r="E341" s="101"/>
      <c r="F341" s="102"/>
      <c r="G341" s="103"/>
      <c r="H341" s="103"/>
      <c r="I341" s="103"/>
      <c r="J341" s="103"/>
      <c r="K341" s="108"/>
    </row>
    <row r="342" spans="4:11" ht="26.25">
      <c r="D342" s="101"/>
      <c r="E342" s="101"/>
      <c r="F342" s="102"/>
      <c r="G342" s="103"/>
      <c r="H342" s="103"/>
      <c r="I342" s="103"/>
      <c r="J342" s="103"/>
      <c r="K342" s="108"/>
    </row>
    <row r="343" spans="4:11" ht="26.25">
      <c r="D343" s="101"/>
      <c r="E343" s="101"/>
      <c r="F343" s="102"/>
      <c r="G343" s="103"/>
      <c r="H343" s="103"/>
      <c r="I343" s="103"/>
      <c r="J343" s="103"/>
      <c r="K343" s="108"/>
    </row>
    <row r="344" spans="4:11" ht="26.25">
      <c r="D344" s="101"/>
      <c r="E344" s="101"/>
      <c r="F344" s="102"/>
      <c r="G344" s="103"/>
      <c r="H344" s="103"/>
      <c r="I344" s="103"/>
      <c r="J344" s="103"/>
      <c r="K344" s="108"/>
    </row>
    <row r="345" spans="4:11" ht="26.25">
      <c r="D345" s="101"/>
      <c r="E345" s="101"/>
      <c r="F345" s="102"/>
      <c r="G345" s="103"/>
      <c r="H345" s="103"/>
      <c r="I345" s="103"/>
      <c r="J345" s="103"/>
      <c r="K345" s="108"/>
    </row>
    <row r="346" spans="4:11" ht="26.25">
      <c r="D346" s="101"/>
      <c r="E346" s="101"/>
      <c r="F346" s="102"/>
      <c r="G346" s="103"/>
      <c r="H346" s="103"/>
      <c r="I346" s="103"/>
      <c r="J346" s="103"/>
      <c r="K346" s="108"/>
    </row>
    <row r="347" spans="4:11" ht="26.25">
      <c r="D347" s="101"/>
      <c r="E347" s="101"/>
      <c r="F347" s="102"/>
      <c r="G347" s="103"/>
      <c r="H347" s="103"/>
      <c r="I347" s="103"/>
      <c r="J347" s="103"/>
      <c r="K347" s="108"/>
    </row>
    <row r="348" spans="4:11" ht="26.25">
      <c r="D348" s="101"/>
      <c r="E348" s="101"/>
      <c r="F348" s="102"/>
      <c r="G348" s="103"/>
      <c r="H348" s="103"/>
      <c r="I348" s="103"/>
      <c r="J348" s="103"/>
      <c r="K348" s="108"/>
    </row>
    <row r="349" spans="4:11" ht="26.25">
      <c r="D349" s="101"/>
      <c r="E349" s="101"/>
      <c r="F349" s="102"/>
      <c r="G349" s="103"/>
      <c r="H349" s="103"/>
      <c r="I349" s="103"/>
      <c r="J349" s="103"/>
      <c r="K349" s="108"/>
    </row>
    <row r="350" spans="4:11" ht="26.25">
      <c r="D350" s="101"/>
      <c r="E350" s="101"/>
      <c r="F350" s="102"/>
      <c r="G350" s="103"/>
      <c r="H350" s="103"/>
      <c r="I350" s="103"/>
      <c r="J350" s="103"/>
      <c r="K350" s="108"/>
    </row>
    <row r="351" spans="4:11" ht="26.25">
      <c r="D351" s="101"/>
      <c r="E351" s="101"/>
      <c r="F351" s="102"/>
      <c r="G351" s="103"/>
      <c r="H351" s="103"/>
      <c r="I351" s="103"/>
      <c r="J351" s="103"/>
      <c r="K351" s="108"/>
    </row>
    <row r="352" spans="4:11" ht="26.25">
      <c r="D352" s="101"/>
      <c r="E352" s="101"/>
      <c r="F352" s="102"/>
      <c r="G352" s="103"/>
      <c r="H352" s="103"/>
      <c r="I352" s="103"/>
      <c r="J352" s="103"/>
      <c r="K352" s="108"/>
    </row>
    <row r="353" spans="4:11" ht="26.25">
      <c r="D353" s="101"/>
      <c r="E353" s="101"/>
      <c r="F353" s="102"/>
      <c r="G353" s="103"/>
      <c r="H353" s="103"/>
      <c r="I353" s="103"/>
      <c r="J353" s="103"/>
      <c r="K353" s="108"/>
    </row>
    <row r="354" spans="4:11" ht="26.25">
      <c r="D354" s="101"/>
      <c r="E354" s="101"/>
      <c r="F354" s="102"/>
      <c r="G354" s="103"/>
      <c r="H354" s="103"/>
      <c r="I354" s="103"/>
      <c r="J354" s="103"/>
      <c r="K354" s="108"/>
    </row>
    <row r="355" spans="4:11" ht="26.25">
      <c r="D355" s="101"/>
      <c r="E355" s="101"/>
      <c r="F355" s="102"/>
      <c r="G355" s="103"/>
      <c r="H355" s="103"/>
      <c r="I355" s="103"/>
      <c r="J355" s="103"/>
      <c r="K355" s="108"/>
    </row>
    <row r="356" spans="4:11" ht="26.25">
      <c r="D356" s="101"/>
      <c r="E356" s="101"/>
      <c r="F356" s="102"/>
      <c r="G356" s="103"/>
      <c r="H356" s="103"/>
      <c r="I356" s="103"/>
      <c r="J356" s="103"/>
      <c r="K356" s="108"/>
    </row>
    <row r="357" spans="4:11" ht="26.25">
      <c r="D357" s="101"/>
      <c r="E357" s="101"/>
      <c r="F357" s="102"/>
      <c r="G357" s="103"/>
      <c r="H357" s="103"/>
      <c r="I357" s="103"/>
      <c r="J357" s="103"/>
      <c r="K357" s="108"/>
    </row>
    <row r="358" spans="4:11" ht="26.25">
      <c r="D358" s="101"/>
      <c r="E358" s="101"/>
      <c r="F358" s="102"/>
      <c r="G358" s="103"/>
      <c r="H358" s="103"/>
      <c r="I358" s="103"/>
      <c r="J358" s="103"/>
      <c r="K358" s="108"/>
    </row>
    <row r="359" spans="4:11" ht="26.25">
      <c r="D359" s="101"/>
      <c r="E359" s="101"/>
      <c r="F359" s="102"/>
      <c r="G359" s="103"/>
      <c r="H359" s="103"/>
      <c r="I359" s="103"/>
      <c r="J359" s="103"/>
      <c r="K359" s="108"/>
    </row>
    <row r="360" spans="4:11" ht="26.25">
      <c r="D360" s="101"/>
      <c r="E360" s="101"/>
      <c r="F360" s="102"/>
      <c r="G360" s="103"/>
      <c r="H360" s="103"/>
      <c r="I360" s="103"/>
      <c r="J360" s="103"/>
      <c r="K360" s="108"/>
    </row>
    <row r="361" spans="4:11" ht="26.25">
      <c r="D361" s="101"/>
      <c r="E361" s="101"/>
      <c r="F361" s="102"/>
      <c r="G361" s="103"/>
      <c r="H361" s="103"/>
      <c r="I361" s="103"/>
      <c r="J361" s="103"/>
      <c r="K361" s="108"/>
    </row>
    <row r="362" spans="4:11" ht="26.25">
      <c r="D362" s="101"/>
      <c r="E362" s="101"/>
      <c r="F362" s="102"/>
      <c r="G362" s="103"/>
      <c r="H362" s="103"/>
      <c r="I362" s="103"/>
      <c r="J362" s="103"/>
      <c r="K362" s="108"/>
    </row>
    <row r="363" spans="4:11" ht="26.25">
      <c r="D363" s="101"/>
      <c r="E363" s="101"/>
      <c r="F363" s="102"/>
      <c r="G363" s="103"/>
      <c r="H363" s="103"/>
      <c r="I363" s="103"/>
      <c r="J363" s="103"/>
      <c r="K363" s="108"/>
    </row>
    <row r="364" spans="4:11" ht="26.25">
      <c r="D364" s="101"/>
      <c r="E364" s="101"/>
      <c r="F364" s="102"/>
      <c r="G364" s="103"/>
      <c r="H364" s="103"/>
      <c r="I364" s="103"/>
      <c r="J364" s="103"/>
      <c r="K364" s="108"/>
    </row>
    <row r="365" spans="4:11" ht="26.25">
      <c r="D365" s="101"/>
      <c r="E365" s="101"/>
      <c r="F365" s="102"/>
      <c r="G365" s="103"/>
      <c r="H365" s="103"/>
      <c r="I365" s="103"/>
      <c r="J365" s="103"/>
      <c r="K365" s="108"/>
    </row>
    <row r="366" spans="4:11" ht="26.25">
      <c r="D366" s="101"/>
      <c r="E366" s="101"/>
      <c r="F366" s="102"/>
      <c r="G366" s="103"/>
      <c r="H366" s="103"/>
      <c r="I366" s="103"/>
      <c r="J366" s="103"/>
      <c r="K366" s="108"/>
    </row>
    <row r="367" spans="4:11" ht="26.25">
      <c r="D367" s="101"/>
      <c r="E367" s="101"/>
      <c r="F367" s="102"/>
      <c r="G367" s="103"/>
      <c r="H367" s="103"/>
      <c r="I367" s="103"/>
      <c r="J367" s="103"/>
      <c r="K367" s="108"/>
    </row>
    <row r="368" spans="4:11" ht="26.25">
      <c r="D368" s="101"/>
      <c r="E368" s="101"/>
      <c r="F368" s="102"/>
      <c r="G368" s="103"/>
      <c r="H368" s="103"/>
      <c r="I368" s="103"/>
      <c r="J368" s="103"/>
      <c r="K368" s="108"/>
    </row>
    <row r="369" spans="4:11" ht="26.25">
      <c r="D369" s="101"/>
      <c r="E369" s="101"/>
      <c r="F369" s="102"/>
      <c r="G369" s="103"/>
      <c r="H369" s="103"/>
      <c r="I369" s="103"/>
      <c r="J369" s="103"/>
      <c r="K369" s="108"/>
    </row>
    <row r="370" spans="4:11" ht="26.25">
      <c r="D370" s="101"/>
      <c r="E370" s="101"/>
      <c r="F370" s="102"/>
      <c r="G370" s="103"/>
      <c r="H370" s="103"/>
      <c r="I370" s="103"/>
      <c r="J370" s="103"/>
      <c r="K370" s="108"/>
    </row>
    <row r="371" spans="4:11" ht="26.25">
      <c r="D371" s="101"/>
      <c r="E371" s="101"/>
      <c r="F371" s="102"/>
      <c r="G371" s="103"/>
      <c r="H371" s="103"/>
      <c r="I371" s="103"/>
      <c r="J371" s="103"/>
      <c r="K371" s="108"/>
    </row>
    <row r="372" spans="4:11" ht="26.25">
      <c r="D372" s="101"/>
      <c r="E372" s="101"/>
      <c r="F372" s="102"/>
      <c r="G372" s="103"/>
      <c r="H372" s="103"/>
      <c r="I372" s="103"/>
      <c r="J372" s="103"/>
      <c r="K372" s="108"/>
    </row>
    <row r="373" spans="4:11" ht="26.25">
      <c r="D373" s="101"/>
      <c r="E373" s="101"/>
      <c r="F373" s="102"/>
      <c r="G373" s="103"/>
      <c r="H373" s="103"/>
      <c r="I373" s="103"/>
      <c r="J373" s="103"/>
      <c r="K373" s="108"/>
    </row>
    <row r="374" spans="4:11" ht="26.25">
      <c r="D374" s="101"/>
      <c r="E374" s="101"/>
      <c r="F374" s="102"/>
      <c r="G374" s="103"/>
      <c r="H374" s="103"/>
      <c r="I374" s="103"/>
      <c r="J374" s="103"/>
      <c r="K374" s="108"/>
    </row>
    <row r="375" spans="4:11" ht="26.25">
      <c r="D375" s="101"/>
      <c r="E375" s="101"/>
      <c r="F375" s="102"/>
      <c r="G375" s="103"/>
      <c r="H375" s="103"/>
      <c r="I375" s="103"/>
      <c r="J375" s="103"/>
      <c r="K375" s="108"/>
    </row>
    <row r="376" spans="4:11" ht="26.25">
      <c r="D376" s="101"/>
      <c r="E376" s="101"/>
      <c r="F376" s="102"/>
      <c r="G376" s="103"/>
      <c r="H376" s="103"/>
      <c r="I376" s="103"/>
      <c r="J376" s="103"/>
      <c r="K376" s="108"/>
    </row>
    <row r="377" spans="4:11" ht="26.25">
      <c r="D377" s="101"/>
      <c r="E377" s="101"/>
      <c r="F377" s="102"/>
      <c r="G377" s="103"/>
      <c r="H377" s="103"/>
      <c r="I377" s="103"/>
      <c r="J377" s="103"/>
      <c r="K377" s="108"/>
    </row>
    <row r="378" spans="4:11" ht="26.25">
      <c r="D378" s="101"/>
      <c r="E378" s="101"/>
      <c r="F378" s="102"/>
      <c r="G378" s="103"/>
      <c r="H378" s="103"/>
      <c r="I378" s="103"/>
      <c r="J378" s="103"/>
      <c r="K378" s="108"/>
    </row>
    <row r="379" spans="4:11" ht="26.25">
      <c r="D379" s="101"/>
      <c r="E379" s="101"/>
      <c r="F379" s="102"/>
      <c r="G379" s="103"/>
      <c r="H379" s="103"/>
      <c r="I379" s="103"/>
      <c r="J379" s="103"/>
      <c r="K379" s="108"/>
    </row>
    <row r="380" spans="4:11" ht="26.25">
      <c r="D380" s="101"/>
      <c r="E380" s="101"/>
      <c r="F380" s="102"/>
      <c r="G380" s="103"/>
      <c r="H380" s="103"/>
      <c r="I380" s="103"/>
      <c r="J380" s="103"/>
      <c r="K380" s="108"/>
    </row>
    <row r="381" spans="4:11" ht="26.25">
      <c r="D381" s="101"/>
      <c r="E381" s="101"/>
      <c r="F381" s="102"/>
      <c r="G381" s="103"/>
      <c r="H381" s="103"/>
      <c r="I381" s="103"/>
      <c r="J381" s="103"/>
      <c r="K381" s="108"/>
    </row>
    <row r="382" spans="4:11" ht="26.25">
      <c r="D382" s="101"/>
      <c r="E382" s="101"/>
      <c r="F382" s="102"/>
      <c r="G382" s="103"/>
      <c r="H382" s="103"/>
      <c r="I382" s="103"/>
      <c r="J382" s="103"/>
      <c r="K382" s="108"/>
    </row>
    <row r="383" spans="4:11" ht="26.25">
      <c r="D383" s="101"/>
      <c r="E383" s="101"/>
      <c r="F383" s="102"/>
      <c r="G383" s="103"/>
      <c r="H383" s="103"/>
      <c r="I383" s="103"/>
      <c r="J383" s="103"/>
      <c r="K383" s="108"/>
    </row>
    <row r="384" spans="4:11" ht="26.25">
      <c r="D384" s="101"/>
      <c r="E384" s="101"/>
      <c r="F384" s="102"/>
      <c r="G384" s="103"/>
      <c r="H384" s="103"/>
      <c r="I384" s="103"/>
      <c r="J384" s="103"/>
      <c r="K384" s="108"/>
    </row>
    <row r="385" spans="4:11" ht="26.25">
      <c r="D385" s="101"/>
      <c r="E385" s="101"/>
      <c r="F385" s="102"/>
      <c r="G385" s="103"/>
      <c r="H385" s="103"/>
      <c r="I385" s="103"/>
      <c r="J385" s="103"/>
      <c r="K385" s="108"/>
    </row>
    <row r="386" spans="4:11" ht="26.25">
      <c r="D386" s="101"/>
      <c r="E386" s="101"/>
      <c r="F386" s="102"/>
      <c r="G386" s="103"/>
      <c r="H386" s="103"/>
      <c r="I386" s="103"/>
      <c r="J386" s="103"/>
      <c r="K386" s="108"/>
    </row>
    <row r="387" spans="4:11" ht="26.25">
      <c r="D387" s="101"/>
      <c r="E387" s="101"/>
      <c r="F387" s="102"/>
      <c r="G387" s="103"/>
      <c r="H387" s="103"/>
      <c r="I387" s="103"/>
      <c r="J387" s="103"/>
      <c r="K387" s="108"/>
    </row>
    <row r="388" spans="4:11" ht="26.25">
      <c r="D388" s="101"/>
      <c r="E388" s="101"/>
      <c r="F388" s="102"/>
      <c r="G388" s="103"/>
      <c r="H388" s="103"/>
      <c r="I388" s="103"/>
      <c r="J388" s="103"/>
      <c r="K388" s="108"/>
    </row>
    <row r="389" spans="4:11" ht="26.25">
      <c r="D389" s="101"/>
      <c r="E389" s="101"/>
      <c r="F389" s="102"/>
      <c r="G389" s="103"/>
      <c r="H389" s="103"/>
      <c r="I389" s="103"/>
      <c r="J389" s="103"/>
      <c r="K389" s="108"/>
    </row>
    <row r="390" spans="4:11" ht="26.25">
      <c r="D390" s="101"/>
      <c r="E390" s="101"/>
      <c r="F390" s="102"/>
      <c r="G390" s="103"/>
      <c r="H390" s="103"/>
      <c r="I390" s="103"/>
      <c r="J390" s="103"/>
      <c r="K390" s="108"/>
    </row>
    <row r="391" spans="4:11" ht="26.25">
      <c r="D391" s="101"/>
      <c r="E391" s="101"/>
      <c r="F391" s="102"/>
      <c r="G391" s="103"/>
      <c r="H391" s="103"/>
      <c r="I391" s="103"/>
      <c r="J391" s="103"/>
      <c r="K391" s="108"/>
    </row>
    <row r="392" spans="4:11" ht="26.25">
      <c r="D392" s="101"/>
      <c r="E392" s="101"/>
      <c r="F392" s="102"/>
      <c r="G392" s="103"/>
      <c r="H392" s="103"/>
      <c r="I392" s="103"/>
      <c r="J392" s="103"/>
      <c r="K392" s="108"/>
    </row>
    <row r="393" spans="4:11" ht="26.25">
      <c r="D393" s="101"/>
      <c r="E393" s="101"/>
      <c r="F393" s="102"/>
      <c r="G393" s="103"/>
      <c r="H393" s="103"/>
      <c r="I393" s="103"/>
      <c r="J393" s="103"/>
      <c r="K393" s="108"/>
    </row>
    <row r="394" spans="4:11" ht="26.25">
      <c r="D394" s="101"/>
      <c r="E394" s="101"/>
      <c r="F394" s="102"/>
      <c r="G394" s="103"/>
      <c r="H394" s="103"/>
      <c r="I394" s="103"/>
      <c r="J394" s="103"/>
      <c r="K394" s="108"/>
    </row>
    <row r="395" spans="4:11" ht="26.25">
      <c r="D395" s="101"/>
      <c r="E395" s="101"/>
      <c r="F395" s="102"/>
      <c r="G395" s="103"/>
      <c r="H395" s="103"/>
      <c r="I395" s="103"/>
      <c r="J395" s="103"/>
      <c r="K395" s="108"/>
    </row>
    <row r="396" spans="4:11" ht="26.25">
      <c r="D396" s="101"/>
      <c r="E396" s="101"/>
      <c r="F396" s="102"/>
      <c r="G396" s="103"/>
      <c r="H396" s="103"/>
      <c r="I396" s="103"/>
      <c r="J396" s="103"/>
      <c r="K396" s="108"/>
    </row>
    <row r="397" spans="4:11" ht="26.25">
      <c r="D397" s="101"/>
      <c r="E397" s="101"/>
      <c r="F397" s="102"/>
      <c r="G397" s="103"/>
      <c r="H397" s="103"/>
      <c r="I397" s="103"/>
      <c r="J397" s="103"/>
      <c r="K397" s="108"/>
    </row>
    <row r="398" spans="4:11" ht="26.25">
      <c r="D398" s="101"/>
      <c r="E398" s="101"/>
      <c r="F398" s="102"/>
      <c r="G398" s="103"/>
      <c r="H398" s="103"/>
      <c r="I398" s="103"/>
      <c r="J398" s="103"/>
      <c r="K398" s="108"/>
    </row>
    <row r="399" spans="4:11" ht="26.25">
      <c r="D399" s="101"/>
      <c r="E399" s="101"/>
      <c r="F399" s="102"/>
      <c r="G399" s="103"/>
      <c r="H399" s="103"/>
      <c r="I399" s="103"/>
      <c r="J399" s="103"/>
      <c r="K399" s="108"/>
    </row>
    <row r="400" spans="4:11" ht="26.25">
      <c r="D400" s="101"/>
      <c r="E400" s="101"/>
      <c r="F400" s="102"/>
      <c r="G400" s="103"/>
      <c r="H400" s="103"/>
      <c r="I400" s="103"/>
      <c r="J400" s="103"/>
      <c r="K400" s="108"/>
    </row>
    <row r="401" spans="4:11" ht="26.25">
      <c r="D401" s="101"/>
      <c r="E401" s="101"/>
      <c r="F401" s="102"/>
      <c r="G401" s="103"/>
      <c r="H401" s="103"/>
      <c r="I401" s="103"/>
      <c r="J401" s="103"/>
      <c r="K401" s="108"/>
    </row>
    <row r="402" spans="4:11" ht="26.25">
      <c r="D402" s="101"/>
      <c r="E402" s="101"/>
      <c r="F402" s="102"/>
      <c r="G402" s="103"/>
      <c r="H402" s="103"/>
      <c r="I402" s="103"/>
      <c r="J402" s="103"/>
      <c r="K402" s="108"/>
    </row>
    <row r="403" spans="4:11" ht="26.25">
      <c r="D403" s="101"/>
      <c r="E403" s="101"/>
      <c r="F403" s="102"/>
      <c r="G403" s="103"/>
      <c r="H403" s="103"/>
      <c r="I403" s="103"/>
      <c r="J403" s="103"/>
      <c r="K403" s="108"/>
    </row>
    <row r="404" spans="4:11" ht="26.25">
      <c r="D404" s="101"/>
      <c r="E404" s="101"/>
      <c r="F404" s="102"/>
      <c r="G404" s="103"/>
      <c r="H404" s="103"/>
      <c r="I404" s="103"/>
      <c r="J404" s="103"/>
      <c r="K404" s="108"/>
    </row>
    <row r="405" spans="4:11" ht="26.25">
      <c r="D405" s="101"/>
      <c r="E405" s="101"/>
      <c r="F405" s="102"/>
      <c r="G405" s="103"/>
      <c r="H405" s="103"/>
      <c r="I405" s="103"/>
      <c r="J405" s="103"/>
      <c r="K405" s="108"/>
    </row>
    <row r="406" spans="4:11" ht="26.25">
      <c r="D406" s="101"/>
      <c r="E406" s="101"/>
      <c r="F406" s="102"/>
      <c r="G406" s="103"/>
      <c r="H406" s="103"/>
      <c r="I406" s="103"/>
      <c r="J406" s="103"/>
      <c r="K406" s="108"/>
    </row>
    <row r="407" spans="4:11" ht="26.25">
      <c r="D407" s="101"/>
      <c r="E407" s="101"/>
      <c r="F407" s="102"/>
      <c r="G407" s="103"/>
      <c r="H407" s="103"/>
      <c r="I407" s="103"/>
      <c r="J407" s="103"/>
      <c r="K407" s="108"/>
    </row>
    <row r="408" spans="4:11" ht="26.25">
      <c r="D408" s="101"/>
      <c r="E408" s="101"/>
      <c r="F408" s="102"/>
      <c r="G408" s="103"/>
      <c r="H408" s="103"/>
      <c r="I408" s="103"/>
      <c r="J408" s="103"/>
      <c r="K408" s="108"/>
    </row>
    <row r="409" spans="4:11" ht="26.25">
      <c r="D409" s="101"/>
      <c r="E409" s="101"/>
      <c r="F409" s="102"/>
      <c r="G409" s="103"/>
      <c r="H409" s="103"/>
      <c r="I409" s="103"/>
      <c r="J409" s="103"/>
      <c r="K409" s="108"/>
    </row>
    <row r="410" spans="4:11" ht="26.25">
      <c r="D410" s="101"/>
      <c r="E410" s="101"/>
      <c r="F410" s="102"/>
      <c r="G410" s="103"/>
      <c r="H410" s="103"/>
      <c r="I410" s="103"/>
      <c r="J410" s="103"/>
      <c r="K410" s="108"/>
    </row>
    <row r="411" spans="4:11" ht="26.25">
      <c r="D411" s="101"/>
      <c r="E411" s="101"/>
      <c r="F411" s="102"/>
      <c r="G411" s="103"/>
      <c r="H411" s="103"/>
      <c r="I411" s="103"/>
      <c r="J411" s="103"/>
      <c r="K411" s="108"/>
    </row>
    <row r="412" spans="4:11" ht="26.25">
      <c r="D412" s="101"/>
      <c r="E412" s="101"/>
      <c r="F412" s="102"/>
      <c r="G412" s="103"/>
      <c r="H412" s="103"/>
      <c r="I412" s="103"/>
      <c r="J412" s="103"/>
      <c r="K412" s="108"/>
    </row>
    <row r="413" spans="4:11" ht="26.25">
      <c r="D413" s="101"/>
      <c r="E413" s="101"/>
      <c r="F413" s="102"/>
      <c r="G413" s="103"/>
      <c r="H413" s="103"/>
      <c r="I413" s="103"/>
      <c r="J413" s="103"/>
      <c r="K413" s="108"/>
    </row>
    <row r="414" spans="4:11" ht="26.25">
      <c r="D414" s="101"/>
      <c r="E414" s="101"/>
      <c r="F414" s="102"/>
      <c r="G414" s="103"/>
      <c r="H414" s="103"/>
      <c r="I414" s="103"/>
      <c r="J414" s="103"/>
      <c r="K414" s="108"/>
    </row>
    <row r="415" spans="4:11" ht="26.25">
      <c r="D415" s="101"/>
      <c r="E415" s="101"/>
      <c r="F415" s="102"/>
      <c r="G415" s="103"/>
      <c r="H415" s="103"/>
      <c r="I415" s="103"/>
      <c r="J415" s="103"/>
      <c r="K415" s="108"/>
    </row>
    <row r="416" spans="4:11" ht="26.25">
      <c r="D416" s="101"/>
      <c r="E416" s="101"/>
      <c r="F416" s="102"/>
      <c r="G416" s="103"/>
      <c r="H416" s="103"/>
      <c r="I416" s="103"/>
      <c r="J416" s="103"/>
      <c r="K416" s="108"/>
    </row>
    <row r="417" spans="4:11" ht="26.25">
      <c r="D417" s="101"/>
      <c r="E417" s="101"/>
      <c r="F417" s="102"/>
      <c r="G417" s="103"/>
      <c r="H417" s="103"/>
      <c r="I417" s="103"/>
      <c r="J417" s="103"/>
      <c r="K417" s="108"/>
    </row>
    <row r="418" spans="4:11" ht="26.25">
      <c r="D418" s="101"/>
      <c r="E418" s="101"/>
      <c r="F418" s="102"/>
      <c r="G418" s="103"/>
      <c r="H418" s="103"/>
      <c r="I418" s="103"/>
      <c r="J418" s="103"/>
      <c r="K418" s="108"/>
    </row>
    <row r="419" spans="4:11" ht="26.25">
      <c r="D419" s="101"/>
      <c r="E419" s="101"/>
      <c r="F419" s="102"/>
      <c r="G419" s="103"/>
      <c r="H419" s="103"/>
      <c r="I419" s="103"/>
      <c r="J419" s="103"/>
      <c r="K419" s="108"/>
    </row>
    <row r="420" spans="4:11" ht="26.25">
      <c r="D420" s="101"/>
      <c r="E420" s="101"/>
      <c r="F420" s="102"/>
      <c r="G420" s="103"/>
      <c r="H420" s="103"/>
      <c r="I420" s="103"/>
      <c r="J420" s="103"/>
      <c r="K420" s="108"/>
    </row>
    <row r="421" spans="4:11" ht="26.25">
      <c r="D421" s="101"/>
      <c r="E421" s="101"/>
      <c r="F421" s="102"/>
      <c r="G421" s="103"/>
      <c r="H421" s="103"/>
      <c r="I421" s="103"/>
      <c r="J421" s="103"/>
      <c r="K421" s="108"/>
    </row>
    <row r="422" spans="4:11" ht="26.25">
      <c r="D422" s="101"/>
      <c r="E422" s="101"/>
      <c r="F422" s="102"/>
      <c r="G422" s="103"/>
      <c r="H422" s="103"/>
      <c r="I422" s="103"/>
      <c r="J422" s="103"/>
      <c r="K422" s="108"/>
    </row>
    <row r="423" spans="4:11" ht="26.25">
      <c r="D423" s="101"/>
      <c r="E423" s="101"/>
      <c r="F423" s="102"/>
      <c r="G423" s="103"/>
      <c r="H423" s="103"/>
      <c r="I423" s="103"/>
      <c r="J423" s="103"/>
      <c r="K423" s="108"/>
    </row>
    <row r="424" spans="4:11" ht="26.25">
      <c r="D424" s="101"/>
      <c r="E424" s="101"/>
      <c r="F424" s="102"/>
      <c r="G424" s="103"/>
      <c r="H424" s="103"/>
      <c r="I424" s="103"/>
      <c r="J424" s="103"/>
      <c r="K424" s="108"/>
    </row>
    <row r="425" spans="4:11" ht="26.25">
      <c r="D425" s="101"/>
      <c r="E425" s="101"/>
      <c r="F425" s="102"/>
      <c r="G425" s="103"/>
      <c r="H425" s="103"/>
      <c r="I425" s="103"/>
      <c r="J425" s="103"/>
      <c r="K425" s="108"/>
    </row>
    <row r="426" spans="4:11" ht="26.25">
      <c r="D426" s="101"/>
      <c r="E426" s="101"/>
      <c r="F426" s="102"/>
      <c r="G426" s="103"/>
      <c r="H426" s="103"/>
      <c r="I426" s="103"/>
      <c r="J426" s="103"/>
      <c r="K426" s="108"/>
    </row>
    <row r="427" spans="4:11" ht="26.25">
      <c r="D427" s="101"/>
      <c r="E427" s="101"/>
      <c r="F427" s="102"/>
      <c r="G427" s="103"/>
      <c r="H427" s="103"/>
      <c r="I427" s="103"/>
      <c r="J427" s="103"/>
      <c r="K427" s="108"/>
    </row>
    <row r="428" spans="4:11" ht="26.25">
      <c r="D428" s="101"/>
      <c r="E428" s="101"/>
      <c r="F428" s="102"/>
      <c r="G428" s="103"/>
      <c r="H428" s="103"/>
      <c r="I428" s="103"/>
      <c r="J428" s="103"/>
      <c r="K428" s="108"/>
    </row>
    <row r="429" spans="4:11" ht="26.25">
      <c r="D429" s="101"/>
      <c r="E429" s="101"/>
      <c r="F429" s="102"/>
      <c r="G429" s="103"/>
      <c r="H429" s="103"/>
      <c r="I429" s="103"/>
      <c r="J429" s="103"/>
      <c r="K429" s="108"/>
    </row>
    <row r="430" spans="4:11" ht="26.25">
      <c r="D430" s="101"/>
      <c r="E430" s="101"/>
      <c r="F430" s="102"/>
      <c r="G430" s="103"/>
      <c r="H430" s="103"/>
      <c r="I430" s="103"/>
      <c r="J430" s="103"/>
      <c r="K430" s="108"/>
    </row>
    <row r="431" spans="4:11" ht="26.25">
      <c r="D431" s="101"/>
      <c r="E431" s="101"/>
      <c r="F431" s="102"/>
      <c r="G431" s="103"/>
      <c r="H431" s="103"/>
      <c r="I431" s="103"/>
      <c r="J431" s="103"/>
      <c r="K431" s="108"/>
    </row>
    <row r="432" spans="4:11" ht="26.25">
      <c r="D432" s="101"/>
      <c r="E432" s="101"/>
      <c r="F432" s="102"/>
      <c r="G432" s="103"/>
      <c r="H432" s="103"/>
      <c r="I432" s="103"/>
      <c r="J432" s="103"/>
      <c r="K432" s="108"/>
    </row>
    <row r="433" spans="4:11" ht="26.25">
      <c r="D433" s="101"/>
      <c r="E433" s="101"/>
      <c r="F433" s="102"/>
      <c r="G433" s="103"/>
      <c r="H433" s="103"/>
      <c r="I433" s="103"/>
      <c r="J433" s="103"/>
      <c r="K433" s="108"/>
    </row>
    <row r="434" spans="4:11" ht="26.25">
      <c r="D434" s="101"/>
      <c r="E434" s="101"/>
      <c r="F434" s="102"/>
      <c r="G434" s="103"/>
      <c r="H434" s="103"/>
      <c r="I434" s="103"/>
      <c r="J434" s="103"/>
      <c r="K434" s="108"/>
    </row>
    <row r="435" spans="4:11" ht="26.25">
      <c r="D435" s="101"/>
      <c r="E435" s="101"/>
      <c r="F435" s="102"/>
      <c r="G435" s="103"/>
      <c r="H435" s="103"/>
      <c r="I435" s="103"/>
      <c r="J435" s="103"/>
      <c r="K435" s="108"/>
    </row>
    <row r="436" spans="4:11" ht="26.25">
      <c r="D436" s="101"/>
      <c r="E436" s="101"/>
      <c r="F436" s="102"/>
      <c r="G436" s="103"/>
      <c r="H436" s="103"/>
      <c r="I436" s="103"/>
      <c r="J436" s="103"/>
      <c r="K436" s="108"/>
    </row>
    <row r="437" spans="4:11" ht="26.25">
      <c r="D437" s="101"/>
      <c r="E437" s="101"/>
      <c r="F437" s="102"/>
      <c r="G437" s="103"/>
      <c r="H437" s="103"/>
      <c r="I437" s="103"/>
      <c r="J437" s="103"/>
      <c r="K437" s="108"/>
    </row>
    <row r="438" spans="4:11" ht="26.25">
      <c r="D438" s="101"/>
      <c r="E438" s="101"/>
      <c r="F438" s="102"/>
      <c r="G438" s="103"/>
      <c r="H438" s="103"/>
      <c r="I438" s="103"/>
      <c r="J438" s="103"/>
      <c r="K438" s="108"/>
    </row>
    <row r="439" spans="4:11" ht="26.25">
      <c r="D439" s="101"/>
      <c r="E439" s="101"/>
      <c r="F439" s="102"/>
      <c r="G439" s="103"/>
      <c r="H439" s="103"/>
      <c r="I439" s="103"/>
      <c r="J439" s="103"/>
      <c r="K439" s="108"/>
    </row>
    <row r="440" spans="4:11" ht="26.25">
      <c r="D440" s="101"/>
      <c r="E440" s="101"/>
      <c r="F440" s="102"/>
      <c r="G440" s="103"/>
      <c r="H440" s="103"/>
      <c r="I440" s="103"/>
      <c r="J440" s="103"/>
      <c r="K440" s="108"/>
    </row>
    <row r="441" spans="4:11" ht="26.25">
      <c r="D441" s="101"/>
      <c r="E441" s="101"/>
      <c r="F441" s="102"/>
      <c r="G441" s="103"/>
      <c r="H441" s="103"/>
      <c r="I441" s="103"/>
      <c r="J441" s="103"/>
      <c r="K441" s="108"/>
    </row>
    <row r="442" spans="4:11" ht="26.25">
      <c r="D442" s="101"/>
      <c r="E442" s="101"/>
      <c r="F442" s="102"/>
      <c r="G442" s="103"/>
      <c r="H442" s="103"/>
      <c r="I442" s="103"/>
      <c r="J442" s="103"/>
      <c r="K442" s="108"/>
    </row>
    <row r="443" spans="4:11" ht="26.25">
      <c r="D443" s="101"/>
      <c r="E443" s="101"/>
      <c r="F443" s="102"/>
      <c r="G443" s="103"/>
      <c r="H443" s="103"/>
      <c r="I443" s="103"/>
      <c r="J443" s="103"/>
      <c r="K443" s="108"/>
    </row>
    <row r="444" spans="4:11" ht="26.25">
      <c r="D444" s="101"/>
      <c r="E444" s="101"/>
      <c r="F444" s="102"/>
      <c r="G444" s="103"/>
      <c r="H444" s="103"/>
      <c r="I444" s="103"/>
      <c r="J444" s="103"/>
      <c r="K444" s="108"/>
    </row>
    <row r="445" spans="4:11" ht="26.25">
      <c r="D445" s="101"/>
      <c r="E445" s="101"/>
      <c r="F445" s="102"/>
      <c r="G445" s="103"/>
      <c r="H445" s="103"/>
      <c r="I445" s="103"/>
      <c r="J445" s="103"/>
      <c r="K445" s="108"/>
    </row>
    <row r="446" spans="4:11" ht="26.25">
      <c r="D446" s="101"/>
      <c r="E446" s="101"/>
      <c r="F446" s="102"/>
      <c r="G446" s="103"/>
      <c r="H446" s="103"/>
      <c r="I446" s="103"/>
      <c r="J446" s="103"/>
      <c r="K446" s="108"/>
    </row>
    <row r="447" spans="4:11" ht="26.25">
      <c r="D447" s="101"/>
      <c r="E447" s="101"/>
      <c r="F447" s="102"/>
      <c r="G447" s="103"/>
      <c r="H447" s="103"/>
      <c r="I447" s="103"/>
      <c r="J447" s="103"/>
      <c r="K447" s="108"/>
    </row>
    <row r="448" spans="4:11" ht="26.25">
      <c r="D448" s="101"/>
      <c r="E448" s="101"/>
      <c r="F448" s="102"/>
      <c r="G448" s="103"/>
      <c r="H448" s="103"/>
      <c r="I448" s="103"/>
      <c r="J448" s="103"/>
      <c r="K448" s="108"/>
    </row>
    <row r="449" spans="4:11" ht="26.25">
      <c r="D449" s="101"/>
      <c r="E449" s="101"/>
      <c r="F449" s="102"/>
      <c r="G449" s="103"/>
      <c r="H449" s="103"/>
      <c r="I449" s="103"/>
      <c r="J449" s="103"/>
      <c r="K449" s="108"/>
    </row>
    <row r="450" spans="4:11" ht="26.25">
      <c r="D450" s="101"/>
      <c r="E450" s="101"/>
      <c r="F450" s="102"/>
      <c r="G450" s="103"/>
      <c r="H450" s="103"/>
      <c r="I450" s="103"/>
      <c r="J450" s="103"/>
      <c r="K450" s="108"/>
    </row>
    <row r="451" spans="4:11" ht="26.25">
      <c r="D451" s="101"/>
      <c r="E451" s="101"/>
      <c r="F451" s="102"/>
      <c r="G451" s="103"/>
      <c r="H451" s="103"/>
      <c r="I451" s="103"/>
      <c r="J451" s="103"/>
      <c r="K451" s="108"/>
    </row>
    <row r="452" spans="4:11" ht="26.25">
      <c r="D452" s="101"/>
      <c r="E452" s="101"/>
      <c r="F452" s="102"/>
      <c r="G452" s="103"/>
      <c r="H452" s="103"/>
      <c r="I452" s="103"/>
      <c r="J452" s="103"/>
      <c r="K452" s="108"/>
    </row>
    <row r="453" spans="4:11" ht="26.25">
      <c r="D453" s="101"/>
      <c r="E453" s="101"/>
      <c r="F453" s="102"/>
      <c r="G453" s="103"/>
      <c r="H453" s="103"/>
      <c r="I453" s="103"/>
      <c r="J453" s="103"/>
      <c r="K453" s="108"/>
    </row>
    <row r="454" spans="4:11" ht="26.25">
      <c r="D454" s="101"/>
      <c r="E454" s="101"/>
      <c r="F454" s="102"/>
      <c r="G454" s="103"/>
      <c r="H454" s="103"/>
      <c r="I454" s="103"/>
      <c r="J454" s="103"/>
      <c r="K454" s="108"/>
    </row>
    <row r="455" spans="4:11" ht="26.25">
      <c r="D455" s="101"/>
      <c r="E455" s="101"/>
      <c r="F455" s="102"/>
      <c r="G455" s="103"/>
      <c r="H455" s="103"/>
      <c r="I455" s="103"/>
      <c r="J455" s="103"/>
      <c r="K455" s="108"/>
    </row>
    <row r="456" spans="4:11" ht="26.25">
      <c r="D456" s="101"/>
      <c r="E456" s="101"/>
      <c r="F456" s="102"/>
      <c r="G456" s="103"/>
      <c r="H456" s="103"/>
      <c r="I456" s="103"/>
      <c r="J456" s="103"/>
      <c r="K456" s="108"/>
    </row>
    <row r="457" spans="4:11" ht="26.25">
      <c r="D457" s="101"/>
      <c r="E457" s="101"/>
      <c r="F457" s="102"/>
      <c r="G457" s="103"/>
      <c r="H457" s="103"/>
      <c r="I457" s="103"/>
      <c r="J457" s="103"/>
      <c r="K457" s="108"/>
    </row>
    <row r="458" spans="4:11" ht="26.25">
      <c r="D458" s="101"/>
      <c r="E458" s="101"/>
      <c r="F458" s="102"/>
      <c r="G458" s="103"/>
      <c r="H458" s="103"/>
      <c r="I458" s="103"/>
      <c r="J458" s="103"/>
      <c r="K458" s="108"/>
    </row>
    <row r="459" spans="4:11" ht="26.25">
      <c r="D459" s="101"/>
      <c r="E459" s="101"/>
      <c r="F459" s="102"/>
      <c r="G459" s="103"/>
      <c r="H459" s="103"/>
      <c r="I459" s="103"/>
      <c r="J459" s="103"/>
      <c r="K459" s="108"/>
    </row>
    <row r="460" spans="4:11" ht="26.25">
      <c r="D460" s="101"/>
      <c r="E460" s="101"/>
      <c r="F460" s="102"/>
      <c r="G460" s="103"/>
      <c r="H460" s="103"/>
      <c r="I460" s="103"/>
      <c r="J460" s="103"/>
      <c r="K460" s="108"/>
    </row>
    <row r="461" spans="4:11" ht="26.25">
      <c r="D461" s="101"/>
      <c r="E461" s="101"/>
      <c r="F461" s="102"/>
      <c r="G461" s="103"/>
      <c r="H461" s="103"/>
      <c r="I461" s="103"/>
      <c r="J461" s="103"/>
      <c r="K461" s="108"/>
    </row>
    <row r="462" spans="4:11" ht="26.25">
      <c r="D462" s="101"/>
      <c r="E462" s="101"/>
      <c r="F462" s="102"/>
      <c r="G462" s="103"/>
      <c r="H462" s="103"/>
      <c r="I462" s="103"/>
      <c r="J462" s="103"/>
      <c r="K462" s="108"/>
    </row>
    <row r="463" spans="4:11" ht="26.25">
      <c r="D463" s="101"/>
      <c r="E463" s="101"/>
      <c r="F463" s="102"/>
      <c r="G463" s="103"/>
      <c r="H463" s="103"/>
      <c r="I463" s="103"/>
      <c r="J463" s="103"/>
      <c r="K463" s="108"/>
    </row>
    <row r="464" spans="4:11" ht="26.25">
      <c r="D464" s="101"/>
      <c r="E464" s="101"/>
      <c r="F464" s="102"/>
      <c r="G464" s="103"/>
      <c r="H464" s="103"/>
      <c r="I464" s="103"/>
      <c r="J464" s="103"/>
      <c r="K464" s="108"/>
    </row>
    <row r="465" spans="4:11" ht="26.25">
      <c r="D465" s="101"/>
      <c r="E465" s="101"/>
      <c r="F465" s="102"/>
      <c r="G465" s="103"/>
      <c r="H465" s="103"/>
      <c r="I465" s="103"/>
      <c r="J465" s="103"/>
      <c r="K465" s="108"/>
    </row>
    <row r="466" spans="4:11" ht="26.25">
      <c r="D466" s="101"/>
      <c r="E466" s="101"/>
      <c r="F466" s="102"/>
      <c r="G466" s="103"/>
      <c r="H466" s="103"/>
      <c r="I466" s="103"/>
      <c r="J466" s="103"/>
      <c r="K466" s="108"/>
    </row>
    <row r="467" spans="4:11" ht="26.25">
      <c r="D467" s="101"/>
      <c r="E467" s="101"/>
      <c r="F467" s="102"/>
      <c r="G467" s="103"/>
      <c r="H467" s="103"/>
      <c r="I467" s="103"/>
      <c r="J467" s="103"/>
      <c r="K467" s="108"/>
    </row>
    <row r="468" spans="4:11" ht="26.25">
      <c r="D468" s="101"/>
      <c r="E468" s="101"/>
      <c r="F468" s="102"/>
      <c r="G468" s="103"/>
      <c r="H468" s="103"/>
      <c r="I468" s="103"/>
      <c r="J468" s="103"/>
      <c r="K468" s="108"/>
    </row>
    <row r="469" spans="4:11" ht="26.25">
      <c r="D469" s="101"/>
      <c r="E469" s="101"/>
      <c r="F469" s="102"/>
      <c r="G469" s="103"/>
      <c r="H469" s="103"/>
      <c r="I469" s="103"/>
      <c r="J469" s="103"/>
      <c r="K469" s="108"/>
    </row>
    <row r="470" spans="4:11" ht="26.25">
      <c r="D470" s="101"/>
      <c r="E470" s="101"/>
      <c r="F470" s="102"/>
      <c r="G470" s="103"/>
      <c r="H470" s="103"/>
      <c r="I470" s="103"/>
      <c r="J470" s="103"/>
      <c r="K470" s="108"/>
    </row>
    <row r="471" spans="4:11" ht="26.25">
      <c r="D471" s="101"/>
      <c r="E471" s="101"/>
      <c r="F471" s="102"/>
      <c r="G471" s="103"/>
      <c r="H471" s="103"/>
      <c r="I471" s="103"/>
      <c r="J471" s="103"/>
      <c r="K471" s="108"/>
    </row>
    <row r="472" spans="4:11" ht="26.25">
      <c r="D472" s="101"/>
      <c r="E472" s="101"/>
      <c r="F472" s="102"/>
      <c r="G472" s="103"/>
      <c r="H472" s="103"/>
      <c r="I472" s="103"/>
      <c r="J472" s="103"/>
      <c r="K472" s="108"/>
    </row>
    <row r="473" spans="4:11" ht="26.25">
      <c r="D473" s="101"/>
      <c r="E473" s="101"/>
      <c r="F473" s="102"/>
      <c r="G473" s="103"/>
      <c r="H473" s="103"/>
      <c r="I473" s="103"/>
      <c r="J473" s="103"/>
      <c r="K473" s="108"/>
    </row>
    <row r="474" spans="4:11" ht="26.25">
      <c r="D474" s="101"/>
      <c r="E474" s="101"/>
      <c r="F474" s="102"/>
      <c r="G474" s="103"/>
      <c r="H474" s="103"/>
      <c r="I474" s="103"/>
      <c r="J474" s="103"/>
      <c r="K474" s="108"/>
    </row>
    <row r="475" spans="4:11" ht="26.25">
      <c r="D475" s="101"/>
      <c r="E475" s="101"/>
      <c r="F475" s="102"/>
      <c r="G475" s="103"/>
      <c r="H475" s="103"/>
      <c r="I475" s="103"/>
      <c r="J475" s="103"/>
      <c r="K475" s="108"/>
    </row>
    <row r="476" spans="4:11" ht="26.25">
      <c r="D476" s="101"/>
      <c r="E476" s="101"/>
      <c r="F476" s="102"/>
      <c r="G476" s="103"/>
      <c r="H476" s="103"/>
      <c r="I476" s="103"/>
      <c r="J476" s="103"/>
      <c r="K476" s="108"/>
    </row>
    <row r="477" spans="4:11" ht="26.25">
      <c r="D477" s="101"/>
      <c r="E477" s="101"/>
      <c r="F477" s="102"/>
      <c r="G477" s="103"/>
      <c r="H477" s="103"/>
      <c r="I477" s="103"/>
      <c r="J477" s="103"/>
      <c r="K477" s="108"/>
    </row>
    <row r="478" spans="4:11" ht="26.25">
      <c r="D478" s="101"/>
      <c r="E478" s="101"/>
      <c r="F478" s="102"/>
      <c r="G478" s="103"/>
      <c r="H478" s="103"/>
      <c r="I478" s="103"/>
      <c r="J478" s="103"/>
      <c r="K478" s="108"/>
    </row>
    <row r="479" spans="4:11" ht="26.25">
      <c r="D479" s="101"/>
      <c r="E479" s="101"/>
      <c r="F479" s="102"/>
      <c r="G479" s="103"/>
      <c r="H479" s="103"/>
      <c r="I479" s="103"/>
      <c r="J479" s="103"/>
      <c r="K479" s="108"/>
    </row>
    <row r="480" spans="4:11" ht="26.25">
      <c r="D480" s="101"/>
      <c r="E480" s="101"/>
      <c r="F480" s="102"/>
      <c r="G480" s="103"/>
      <c r="H480" s="103"/>
      <c r="I480" s="103"/>
      <c r="J480" s="103"/>
      <c r="K480" s="108"/>
    </row>
    <row r="481" spans="4:11" ht="26.25">
      <c r="D481" s="101"/>
      <c r="E481" s="101"/>
      <c r="F481" s="102"/>
      <c r="G481" s="103"/>
      <c r="H481" s="103"/>
      <c r="I481" s="103"/>
      <c r="J481" s="103"/>
      <c r="K481" s="108"/>
    </row>
    <row r="482" spans="4:11" ht="26.25">
      <c r="D482" s="101"/>
      <c r="E482" s="101"/>
      <c r="F482" s="102"/>
      <c r="G482" s="103"/>
      <c r="H482" s="103"/>
      <c r="I482" s="103"/>
      <c r="J482" s="103"/>
      <c r="K482" s="108"/>
    </row>
    <row r="483" spans="4:11" ht="26.25">
      <c r="D483" s="101"/>
      <c r="E483" s="101"/>
      <c r="F483" s="102"/>
      <c r="G483" s="103"/>
      <c r="H483" s="103"/>
      <c r="I483" s="103"/>
      <c r="J483" s="103"/>
      <c r="K483" s="108"/>
    </row>
    <row r="484" spans="4:11" ht="26.25">
      <c r="D484" s="101"/>
      <c r="E484" s="101"/>
      <c r="F484" s="102"/>
      <c r="G484" s="103"/>
      <c r="H484" s="103"/>
      <c r="I484" s="103"/>
      <c r="J484" s="103"/>
      <c r="K484" s="108"/>
    </row>
    <row r="485" spans="4:11" ht="26.25">
      <c r="D485" s="101"/>
      <c r="E485" s="101"/>
      <c r="F485" s="102"/>
      <c r="G485" s="103"/>
      <c r="H485" s="103"/>
      <c r="I485" s="103"/>
      <c r="J485" s="103"/>
      <c r="K485" s="108"/>
    </row>
    <row r="486" spans="4:11" ht="26.25">
      <c r="D486" s="101"/>
      <c r="E486" s="101"/>
      <c r="F486" s="102"/>
      <c r="G486" s="103"/>
      <c r="H486" s="103"/>
      <c r="I486" s="103"/>
      <c r="J486" s="103"/>
      <c r="K486" s="108"/>
    </row>
    <row r="487" spans="4:11" ht="26.25">
      <c r="D487" s="101"/>
      <c r="E487" s="101"/>
      <c r="F487" s="102"/>
      <c r="G487" s="103"/>
      <c r="H487" s="103"/>
      <c r="I487" s="103"/>
      <c r="J487" s="103"/>
      <c r="K487" s="108"/>
    </row>
    <row r="488" spans="4:11" ht="26.25">
      <c r="D488" s="101"/>
      <c r="E488" s="101"/>
      <c r="F488" s="102"/>
      <c r="G488" s="103"/>
      <c r="H488" s="103"/>
      <c r="I488" s="103"/>
      <c r="J488" s="103"/>
      <c r="K488" s="108"/>
    </row>
    <row r="489" spans="4:11" ht="26.25">
      <c r="D489" s="101"/>
      <c r="E489" s="101"/>
      <c r="F489" s="102"/>
      <c r="G489" s="103"/>
      <c r="H489" s="103"/>
      <c r="I489" s="103"/>
      <c r="J489" s="103"/>
      <c r="K489" s="108"/>
    </row>
    <row r="490" spans="4:11" ht="26.25">
      <c r="D490" s="101"/>
      <c r="E490" s="101"/>
      <c r="F490" s="102"/>
      <c r="G490" s="103"/>
      <c r="H490" s="103"/>
      <c r="I490" s="103"/>
      <c r="J490" s="103"/>
      <c r="K490" s="108"/>
    </row>
    <row r="491" spans="4:11" ht="26.25">
      <c r="D491" s="101"/>
      <c r="E491" s="101"/>
      <c r="F491" s="102"/>
      <c r="G491" s="103"/>
      <c r="H491" s="103"/>
      <c r="I491" s="103"/>
      <c r="J491" s="103"/>
      <c r="K491" s="108"/>
    </row>
    <row r="492" spans="4:11" ht="26.25">
      <c r="D492" s="101"/>
      <c r="E492" s="101"/>
      <c r="F492" s="102"/>
      <c r="G492" s="103"/>
      <c r="H492" s="103"/>
      <c r="I492" s="103"/>
      <c r="J492" s="103"/>
      <c r="K492" s="108"/>
    </row>
    <row r="493" spans="4:11" ht="26.25">
      <c r="D493" s="101"/>
      <c r="E493" s="101"/>
      <c r="F493" s="102"/>
      <c r="G493" s="103"/>
      <c r="H493" s="103"/>
      <c r="I493" s="103"/>
      <c r="J493" s="103"/>
      <c r="K493" s="108"/>
    </row>
    <row r="494" spans="4:11" ht="26.25">
      <c r="D494" s="101"/>
      <c r="E494" s="101"/>
      <c r="F494" s="102"/>
      <c r="G494" s="103"/>
      <c r="H494" s="103"/>
      <c r="I494" s="103"/>
      <c r="J494" s="103"/>
      <c r="K494" s="108"/>
    </row>
    <row r="495" spans="4:11" ht="26.25">
      <c r="D495" s="101"/>
      <c r="E495" s="101"/>
      <c r="F495" s="102"/>
      <c r="G495" s="103"/>
      <c r="H495" s="103"/>
      <c r="I495" s="103"/>
      <c r="J495" s="103"/>
      <c r="K495" s="108"/>
    </row>
    <row r="496" spans="4:11" ht="26.25">
      <c r="D496" s="101"/>
      <c r="E496" s="101"/>
      <c r="F496" s="102"/>
      <c r="G496" s="103"/>
      <c r="H496" s="103"/>
      <c r="I496" s="103"/>
      <c r="J496" s="103"/>
      <c r="K496" s="108"/>
    </row>
    <row r="497" spans="4:11" ht="26.25">
      <c r="D497" s="101"/>
      <c r="E497" s="101"/>
      <c r="F497" s="102"/>
      <c r="G497" s="103"/>
      <c r="H497" s="103"/>
      <c r="I497" s="103"/>
      <c r="J497" s="103"/>
      <c r="K497" s="108"/>
    </row>
    <row r="498" spans="4:11" ht="26.25">
      <c r="D498" s="101"/>
      <c r="E498" s="101"/>
      <c r="F498" s="102"/>
      <c r="G498" s="103"/>
      <c r="H498" s="103"/>
      <c r="I498" s="103"/>
      <c r="J498" s="103"/>
      <c r="K498" s="108"/>
    </row>
    <row r="499" spans="4:11" ht="26.25">
      <c r="D499" s="101"/>
      <c r="E499" s="101"/>
      <c r="F499" s="102"/>
      <c r="G499" s="103"/>
      <c r="H499" s="103"/>
      <c r="I499" s="103"/>
      <c r="J499" s="103"/>
      <c r="K499" s="108"/>
    </row>
    <row r="500" spans="4:11" ht="26.25">
      <c r="D500" s="101"/>
      <c r="E500" s="101"/>
      <c r="F500" s="102"/>
      <c r="G500" s="103"/>
      <c r="H500" s="103"/>
      <c r="I500" s="103"/>
      <c r="J500" s="103"/>
      <c r="K500" s="108"/>
    </row>
    <row r="501" spans="4:11" ht="26.25">
      <c r="D501" s="101"/>
      <c r="E501" s="101"/>
      <c r="F501" s="102"/>
      <c r="G501" s="103"/>
      <c r="H501" s="103"/>
      <c r="I501" s="103"/>
      <c r="J501" s="103"/>
      <c r="K501" s="108"/>
    </row>
    <row r="502" spans="4:11" ht="26.25">
      <c r="D502" s="101"/>
      <c r="E502" s="101"/>
      <c r="F502" s="102"/>
      <c r="G502" s="103"/>
      <c r="H502" s="103"/>
      <c r="I502" s="103"/>
      <c r="J502" s="103"/>
      <c r="K502" s="108"/>
    </row>
    <row r="503" spans="4:11" ht="26.25">
      <c r="D503" s="101"/>
      <c r="E503" s="101"/>
      <c r="F503" s="102"/>
      <c r="G503" s="103"/>
      <c r="H503" s="103"/>
      <c r="I503" s="103"/>
      <c r="J503" s="103"/>
      <c r="K503" s="108"/>
    </row>
    <row r="504" spans="4:11" ht="26.25">
      <c r="D504" s="101"/>
      <c r="E504" s="101"/>
      <c r="F504" s="102"/>
      <c r="G504" s="103"/>
      <c r="H504" s="103"/>
      <c r="I504" s="103"/>
      <c r="J504" s="103"/>
      <c r="K504" s="108"/>
    </row>
    <row r="505" spans="4:11" ht="26.25">
      <c r="D505" s="101"/>
      <c r="E505" s="101"/>
      <c r="F505" s="102"/>
      <c r="G505" s="103"/>
      <c r="H505" s="103"/>
      <c r="I505" s="103"/>
      <c r="J505" s="103"/>
      <c r="K505" s="108"/>
    </row>
    <row r="506" spans="4:11" ht="26.25">
      <c r="D506" s="101"/>
      <c r="E506" s="101"/>
      <c r="F506" s="102"/>
      <c r="G506" s="103"/>
      <c r="H506" s="103"/>
      <c r="I506" s="103"/>
      <c r="J506" s="103"/>
      <c r="K506" s="108"/>
    </row>
    <row r="507" spans="4:11" ht="26.25">
      <c r="D507" s="101"/>
      <c r="E507" s="101"/>
      <c r="F507" s="102"/>
      <c r="G507" s="103"/>
      <c r="H507" s="103"/>
      <c r="I507" s="103"/>
      <c r="J507" s="103"/>
      <c r="K507" s="108"/>
    </row>
    <row r="508" spans="4:11" ht="26.25">
      <c r="D508" s="101"/>
      <c r="E508" s="101"/>
      <c r="F508" s="102"/>
      <c r="G508" s="103"/>
      <c r="H508" s="103"/>
      <c r="I508" s="103"/>
      <c r="J508" s="103"/>
      <c r="K508" s="108"/>
    </row>
    <row r="509" spans="4:11" ht="26.25">
      <c r="D509" s="101"/>
      <c r="E509" s="101"/>
      <c r="F509" s="102"/>
      <c r="G509" s="103"/>
      <c r="H509" s="103"/>
      <c r="I509" s="103"/>
      <c r="J509" s="103"/>
      <c r="K509" s="108"/>
    </row>
    <row r="510" spans="4:11" ht="26.25">
      <c r="D510" s="101"/>
      <c r="E510" s="101"/>
      <c r="F510" s="102"/>
      <c r="G510" s="103"/>
      <c r="H510" s="103"/>
      <c r="I510" s="103"/>
      <c r="J510" s="103"/>
      <c r="K510" s="108"/>
    </row>
    <row r="511" spans="4:11" ht="26.25">
      <c r="D511" s="101"/>
      <c r="E511" s="101"/>
      <c r="F511" s="102"/>
      <c r="G511" s="103"/>
      <c r="H511" s="103"/>
      <c r="I511" s="103"/>
      <c r="J511" s="103"/>
      <c r="K511" s="108"/>
    </row>
    <row r="512" spans="4:11" ht="26.25">
      <c r="D512" s="101"/>
      <c r="E512" s="101"/>
      <c r="F512" s="102"/>
      <c r="G512" s="103"/>
      <c r="H512" s="103"/>
      <c r="I512" s="103"/>
      <c r="J512" s="103"/>
      <c r="K512" s="108"/>
    </row>
    <row r="513" spans="4:11" ht="26.25">
      <c r="D513" s="101"/>
      <c r="E513" s="101"/>
      <c r="F513" s="102"/>
      <c r="G513" s="103"/>
      <c r="H513" s="103"/>
      <c r="I513" s="103"/>
      <c r="J513" s="103"/>
      <c r="K513" s="108"/>
    </row>
    <row r="514" spans="4:11" ht="26.25">
      <c r="D514" s="101"/>
      <c r="E514" s="101"/>
      <c r="F514" s="102"/>
      <c r="G514" s="103"/>
      <c r="H514" s="103"/>
      <c r="I514" s="103"/>
      <c r="J514" s="103"/>
      <c r="K514" s="108"/>
    </row>
    <row r="515" spans="4:11" ht="26.25">
      <c r="D515" s="101"/>
      <c r="E515" s="101"/>
      <c r="F515" s="102"/>
      <c r="G515" s="103"/>
      <c r="H515" s="103"/>
      <c r="I515" s="103"/>
      <c r="J515" s="103"/>
      <c r="K515" s="108"/>
    </row>
    <row r="516" spans="4:11" ht="26.25">
      <c r="D516" s="101"/>
      <c r="E516" s="101"/>
      <c r="F516" s="102"/>
      <c r="G516" s="103"/>
      <c r="H516" s="103"/>
      <c r="I516" s="103"/>
      <c r="J516" s="103"/>
      <c r="K516" s="108"/>
    </row>
    <row r="517" spans="4:11" ht="26.25">
      <c r="D517" s="101"/>
      <c r="E517" s="101"/>
      <c r="F517" s="102"/>
      <c r="G517" s="103"/>
      <c r="H517" s="103"/>
      <c r="I517" s="103"/>
      <c r="J517" s="103"/>
      <c r="K517" s="108"/>
    </row>
    <row r="518" spans="4:11" ht="26.25">
      <c r="D518" s="101"/>
      <c r="E518" s="101"/>
      <c r="F518" s="102"/>
      <c r="G518" s="103"/>
      <c r="H518" s="103"/>
      <c r="I518" s="103"/>
      <c r="J518" s="103"/>
      <c r="K518" s="108"/>
    </row>
    <row r="519" spans="4:11" ht="26.25">
      <c r="D519" s="101"/>
      <c r="E519" s="101"/>
      <c r="F519" s="102"/>
      <c r="G519" s="103"/>
      <c r="H519" s="103"/>
      <c r="I519" s="103"/>
      <c r="J519" s="103"/>
      <c r="K519" s="108"/>
    </row>
    <row r="520" spans="4:11" ht="26.25">
      <c r="D520" s="101"/>
      <c r="E520" s="101"/>
      <c r="F520" s="102"/>
      <c r="G520" s="103"/>
      <c r="H520" s="103"/>
      <c r="I520" s="103"/>
      <c r="J520" s="103"/>
      <c r="K520" s="108"/>
    </row>
    <row r="521" spans="4:11" ht="26.25">
      <c r="D521" s="101"/>
      <c r="E521" s="101"/>
      <c r="F521" s="102"/>
      <c r="G521" s="103"/>
      <c r="H521" s="103"/>
      <c r="I521" s="103"/>
      <c r="J521" s="103"/>
      <c r="K521" s="108"/>
    </row>
    <row r="522" spans="4:11" ht="26.25">
      <c r="D522" s="101"/>
      <c r="E522" s="101"/>
      <c r="F522" s="102"/>
      <c r="G522" s="103"/>
      <c r="H522" s="103"/>
      <c r="I522" s="103"/>
      <c r="J522" s="103"/>
      <c r="K522" s="108"/>
    </row>
    <row r="523" spans="4:11" ht="26.25">
      <c r="D523" s="101"/>
      <c r="E523" s="101"/>
      <c r="F523" s="102"/>
      <c r="G523" s="103"/>
      <c r="H523" s="103"/>
      <c r="I523" s="103"/>
      <c r="J523" s="103"/>
      <c r="K523" s="108"/>
    </row>
    <row r="524" spans="4:11" ht="26.25">
      <c r="D524" s="101"/>
      <c r="E524" s="101"/>
      <c r="F524" s="102"/>
      <c r="G524" s="103"/>
      <c r="H524" s="103"/>
      <c r="I524" s="103"/>
      <c r="J524" s="103"/>
      <c r="K524" s="108"/>
    </row>
    <row r="525" spans="4:11" ht="26.25">
      <c r="D525" s="101"/>
      <c r="E525" s="101"/>
      <c r="F525" s="102"/>
      <c r="G525" s="103"/>
      <c r="H525" s="103"/>
      <c r="I525" s="103"/>
      <c r="J525" s="103"/>
      <c r="K525" s="108"/>
    </row>
    <row r="526" spans="4:11" ht="26.25">
      <c r="D526" s="101"/>
      <c r="E526" s="101"/>
      <c r="F526" s="102"/>
      <c r="G526" s="103"/>
      <c r="H526" s="103"/>
      <c r="I526" s="103"/>
      <c r="J526" s="103"/>
      <c r="K526" s="108"/>
    </row>
    <row r="527" spans="4:11" ht="26.25">
      <c r="D527" s="101"/>
      <c r="E527" s="101"/>
      <c r="F527" s="102"/>
      <c r="G527" s="103"/>
      <c r="H527" s="103"/>
      <c r="I527" s="103"/>
      <c r="J527" s="103"/>
      <c r="K527" s="108"/>
    </row>
    <row r="528" spans="4:11" ht="26.25">
      <c r="D528" s="101"/>
      <c r="E528" s="101"/>
      <c r="F528" s="102"/>
      <c r="G528" s="103"/>
      <c r="H528" s="103"/>
      <c r="I528" s="103"/>
      <c r="J528" s="103"/>
      <c r="K528" s="108"/>
    </row>
    <row r="529" spans="4:11" ht="26.25">
      <c r="D529" s="101"/>
      <c r="E529" s="101"/>
      <c r="F529" s="102"/>
      <c r="G529" s="103"/>
      <c r="H529" s="103"/>
      <c r="I529" s="103"/>
      <c r="J529" s="103"/>
      <c r="K529" s="108"/>
    </row>
    <row r="530" spans="4:11" ht="26.25">
      <c r="D530" s="101"/>
      <c r="E530" s="101"/>
      <c r="F530" s="102"/>
      <c r="G530" s="103"/>
      <c r="H530" s="103"/>
      <c r="I530" s="103"/>
      <c r="J530" s="103"/>
      <c r="K530" s="108"/>
    </row>
    <row r="531" spans="4:11" ht="26.25">
      <c r="D531" s="101"/>
      <c r="E531" s="101"/>
      <c r="F531" s="102"/>
      <c r="G531" s="103"/>
      <c r="H531" s="103"/>
      <c r="I531" s="103"/>
      <c r="J531" s="103"/>
      <c r="K531" s="108"/>
    </row>
    <row r="532" spans="4:11" ht="26.25">
      <c r="D532" s="101"/>
      <c r="E532" s="101"/>
      <c r="F532" s="102"/>
      <c r="G532" s="103"/>
      <c r="H532" s="103"/>
      <c r="I532" s="103"/>
      <c r="J532" s="103"/>
      <c r="K532" s="108"/>
    </row>
    <row r="533" spans="4:11" ht="26.25">
      <c r="D533" s="101"/>
      <c r="E533" s="101"/>
      <c r="F533" s="102"/>
      <c r="G533" s="103"/>
      <c r="H533" s="103"/>
      <c r="I533" s="103"/>
      <c r="J533" s="103"/>
      <c r="K533" s="108"/>
    </row>
    <row r="534" spans="4:11" ht="26.25">
      <c r="D534" s="101"/>
      <c r="E534" s="101"/>
      <c r="F534" s="102"/>
      <c r="G534" s="103"/>
      <c r="H534" s="103"/>
      <c r="I534" s="103"/>
      <c r="J534" s="103"/>
      <c r="K534" s="108"/>
    </row>
    <row r="535" spans="4:11" ht="26.25">
      <c r="D535" s="101"/>
      <c r="E535" s="101"/>
      <c r="F535" s="102"/>
      <c r="G535" s="103"/>
      <c r="H535" s="103"/>
      <c r="I535" s="103"/>
      <c r="J535" s="103"/>
      <c r="K535" s="108"/>
    </row>
    <row r="536" spans="4:11" ht="26.25">
      <c r="D536" s="101"/>
      <c r="E536" s="101"/>
      <c r="F536" s="102"/>
      <c r="G536" s="103"/>
      <c r="H536" s="103"/>
      <c r="I536" s="103"/>
      <c r="J536" s="103"/>
      <c r="K536" s="108"/>
    </row>
    <row r="537" spans="4:11" ht="26.25">
      <c r="D537" s="101"/>
      <c r="E537" s="101"/>
      <c r="F537" s="102"/>
      <c r="G537" s="103"/>
      <c r="H537" s="103"/>
      <c r="I537" s="103"/>
      <c r="J537" s="103"/>
      <c r="K537" s="108"/>
    </row>
    <row r="538" spans="4:11" ht="26.25">
      <c r="D538" s="101"/>
      <c r="E538" s="101"/>
      <c r="F538" s="102"/>
      <c r="G538" s="103"/>
      <c r="H538" s="103"/>
      <c r="I538" s="103"/>
      <c r="J538" s="103"/>
      <c r="K538" s="108"/>
    </row>
    <row r="539" spans="4:11" ht="26.25">
      <c r="D539" s="101"/>
      <c r="E539" s="101"/>
      <c r="F539" s="102"/>
      <c r="G539" s="103"/>
      <c r="H539" s="103"/>
      <c r="I539" s="103"/>
      <c r="J539" s="103"/>
      <c r="K539" s="108"/>
    </row>
    <row r="540" spans="4:11" ht="26.25">
      <c r="D540" s="101"/>
      <c r="E540" s="101"/>
      <c r="F540" s="102"/>
      <c r="G540" s="103"/>
      <c r="H540" s="103"/>
      <c r="I540" s="103"/>
      <c r="J540" s="103"/>
      <c r="K540" s="108"/>
    </row>
    <row r="541" spans="4:11" ht="26.25">
      <c r="D541" s="101"/>
      <c r="E541" s="101"/>
      <c r="F541" s="102"/>
      <c r="G541" s="103"/>
      <c r="H541" s="103"/>
      <c r="I541" s="103"/>
      <c r="J541" s="103"/>
      <c r="K541" s="108"/>
    </row>
    <row r="542" spans="4:11" ht="26.25">
      <c r="D542" s="101"/>
      <c r="E542" s="101"/>
      <c r="F542" s="102"/>
      <c r="G542" s="103"/>
      <c r="H542" s="103"/>
      <c r="I542" s="103"/>
      <c r="J542" s="103"/>
      <c r="K542" s="108"/>
    </row>
    <row r="543" spans="4:11" ht="26.25">
      <c r="D543" s="101"/>
      <c r="E543" s="101"/>
      <c r="F543" s="102"/>
      <c r="G543" s="103"/>
      <c r="H543" s="103"/>
      <c r="I543" s="103"/>
      <c r="J543" s="103"/>
      <c r="K543" s="108"/>
    </row>
    <row r="544" spans="4:11" ht="26.25">
      <c r="D544" s="101"/>
      <c r="E544" s="101"/>
      <c r="F544" s="102"/>
      <c r="G544" s="103"/>
      <c r="H544" s="103"/>
      <c r="I544" s="103"/>
      <c r="J544" s="103"/>
      <c r="K544" s="108"/>
    </row>
    <row r="545" spans="4:11" ht="26.25">
      <c r="D545" s="101"/>
      <c r="E545" s="101"/>
      <c r="F545" s="102"/>
      <c r="G545" s="103"/>
      <c r="H545" s="103"/>
      <c r="I545" s="103"/>
      <c r="J545" s="103"/>
      <c r="K545" s="108"/>
    </row>
    <row r="546" spans="4:11" ht="26.25">
      <c r="D546" s="101"/>
      <c r="E546" s="101"/>
      <c r="F546" s="102"/>
      <c r="G546" s="103"/>
      <c r="H546" s="103"/>
      <c r="I546" s="103"/>
      <c r="J546" s="103"/>
      <c r="K546" s="108"/>
    </row>
    <row r="547" spans="4:11" ht="26.25">
      <c r="D547" s="101"/>
      <c r="E547" s="101"/>
      <c r="F547" s="102"/>
      <c r="G547" s="103"/>
      <c r="H547" s="103"/>
      <c r="I547" s="103"/>
      <c r="J547" s="103"/>
      <c r="K547" s="108"/>
    </row>
    <row r="548" spans="4:11" ht="26.25">
      <c r="D548" s="101"/>
      <c r="E548" s="101"/>
      <c r="F548" s="102"/>
      <c r="G548" s="103"/>
      <c r="H548" s="103"/>
      <c r="I548" s="103"/>
      <c r="J548" s="103"/>
      <c r="K548" s="108"/>
    </row>
    <row r="549" spans="4:11" ht="26.25">
      <c r="D549" s="101"/>
      <c r="E549" s="101"/>
      <c r="F549" s="102"/>
      <c r="G549" s="103"/>
      <c r="H549" s="103"/>
      <c r="I549" s="103"/>
      <c r="J549" s="103"/>
      <c r="K549" s="108"/>
    </row>
    <row r="550" spans="4:11" ht="26.25">
      <c r="D550" s="101"/>
      <c r="E550" s="101"/>
      <c r="F550" s="102"/>
      <c r="G550" s="103"/>
      <c r="H550" s="103"/>
      <c r="I550" s="103"/>
      <c r="J550" s="103"/>
      <c r="K550" s="108"/>
    </row>
    <row r="551" spans="4:11" ht="26.25">
      <c r="D551" s="101"/>
      <c r="E551" s="101"/>
      <c r="F551" s="102"/>
      <c r="G551" s="103"/>
      <c r="H551" s="103"/>
      <c r="I551" s="103"/>
      <c r="J551" s="103"/>
      <c r="K551" s="108"/>
    </row>
    <row r="552" spans="4:11" ht="26.25">
      <c r="D552" s="101"/>
      <c r="E552" s="101"/>
      <c r="F552" s="102"/>
      <c r="G552" s="103"/>
      <c r="H552" s="103"/>
      <c r="I552" s="103"/>
      <c r="J552" s="103"/>
      <c r="K552" s="108"/>
    </row>
    <row r="553" spans="4:11" ht="26.25">
      <c r="D553" s="101"/>
      <c r="E553" s="101"/>
      <c r="F553" s="102"/>
      <c r="G553" s="103"/>
      <c r="H553" s="103"/>
      <c r="I553" s="103"/>
      <c r="J553" s="103"/>
      <c r="K553" s="108"/>
    </row>
    <row r="554" spans="4:11" ht="26.25">
      <c r="D554" s="101"/>
      <c r="E554" s="101"/>
      <c r="F554" s="102"/>
      <c r="G554" s="103"/>
      <c r="H554" s="103"/>
      <c r="I554" s="103"/>
      <c r="J554" s="103"/>
      <c r="K554" s="108"/>
    </row>
    <row r="555" spans="4:11" ht="26.25">
      <c r="D555" s="101"/>
      <c r="E555" s="101"/>
      <c r="F555" s="102"/>
      <c r="G555" s="103"/>
      <c r="H555" s="103"/>
      <c r="I555" s="103"/>
      <c r="J555" s="103"/>
      <c r="K555" s="108"/>
    </row>
    <row r="556" spans="4:11" ht="26.25">
      <c r="D556" s="101"/>
      <c r="E556" s="101"/>
      <c r="F556" s="102"/>
      <c r="G556" s="103"/>
      <c r="H556" s="103"/>
      <c r="I556" s="103"/>
      <c r="J556" s="103"/>
      <c r="K556" s="108"/>
    </row>
    <row r="557" spans="4:11" ht="26.25">
      <c r="D557" s="101"/>
      <c r="E557" s="101"/>
      <c r="F557" s="102"/>
      <c r="G557" s="103"/>
      <c r="H557" s="103"/>
      <c r="I557" s="103"/>
      <c r="J557" s="103"/>
      <c r="K557" s="108"/>
    </row>
    <row r="558" spans="4:11" ht="26.25">
      <c r="D558" s="101"/>
      <c r="E558" s="101"/>
      <c r="F558" s="102"/>
      <c r="G558" s="103"/>
      <c r="H558" s="103"/>
      <c r="I558" s="103"/>
      <c r="J558" s="103"/>
      <c r="K558" s="108"/>
    </row>
    <row r="559" spans="4:11" ht="26.25">
      <c r="D559" s="101"/>
      <c r="E559" s="101"/>
      <c r="F559" s="102"/>
      <c r="G559" s="103"/>
      <c r="H559" s="103"/>
      <c r="I559" s="103"/>
      <c r="J559" s="103"/>
      <c r="K559" s="108"/>
    </row>
    <row r="560" spans="4:11" ht="26.25">
      <c r="D560" s="101"/>
      <c r="E560" s="101"/>
      <c r="F560" s="102"/>
      <c r="G560" s="103"/>
      <c r="H560" s="103"/>
      <c r="I560" s="103"/>
      <c r="J560" s="103"/>
      <c r="K560" s="108"/>
    </row>
    <row r="561" spans="4:11" ht="26.25">
      <c r="D561" s="101"/>
      <c r="E561" s="101"/>
      <c r="F561" s="102"/>
      <c r="G561" s="103"/>
      <c r="H561" s="103"/>
      <c r="I561" s="103"/>
      <c r="J561" s="103"/>
      <c r="K561" s="108"/>
    </row>
    <row r="562" spans="4:11" ht="26.25">
      <c r="D562" s="101"/>
      <c r="E562" s="101"/>
      <c r="F562" s="102"/>
      <c r="G562" s="103"/>
      <c r="H562" s="103"/>
      <c r="I562" s="103"/>
      <c r="J562" s="103"/>
      <c r="K562" s="108"/>
    </row>
    <row r="563" spans="4:11" ht="26.25">
      <c r="D563" s="101"/>
      <c r="E563" s="101"/>
      <c r="F563" s="102"/>
      <c r="G563" s="103"/>
      <c r="H563" s="103"/>
      <c r="I563" s="103"/>
      <c r="J563" s="103"/>
      <c r="K563" s="108"/>
    </row>
    <row r="564" spans="4:11" ht="26.25">
      <c r="D564" s="101"/>
      <c r="E564" s="101"/>
      <c r="F564" s="102"/>
      <c r="G564" s="103"/>
      <c r="H564" s="103"/>
      <c r="I564" s="103"/>
      <c r="J564" s="103"/>
      <c r="K564" s="108"/>
    </row>
    <row r="565" spans="4:11" ht="26.25">
      <c r="D565" s="101"/>
      <c r="E565" s="101"/>
      <c r="F565" s="102"/>
      <c r="G565" s="103"/>
      <c r="H565" s="103"/>
      <c r="I565" s="103"/>
      <c r="J565" s="103"/>
      <c r="K565" s="108"/>
    </row>
    <row r="566" spans="4:11" ht="26.25">
      <c r="D566" s="101"/>
      <c r="E566" s="101"/>
      <c r="F566" s="102"/>
      <c r="G566" s="103"/>
      <c r="H566" s="103"/>
      <c r="I566" s="103"/>
      <c r="J566" s="103"/>
      <c r="K566" s="108"/>
    </row>
    <row r="567" spans="4:11" ht="26.25">
      <c r="D567" s="101"/>
      <c r="E567" s="101"/>
      <c r="F567" s="102"/>
      <c r="G567" s="103"/>
      <c r="H567" s="103"/>
      <c r="I567" s="103"/>
      <c r="J567" s="103"/>
      <c r="K567" s="108"/>
    </row>
    <row r="568" spans="4:11" ht="26.25">
      <c r="D568" s="101"/>
      <c r="E568" s="101"/>
      <c r="F568" s="102"/>
      <c r="G568" s="103"/>
      <c r="H568" s="103"/>
      <c r="I568" s="103"/>
      <c r="J568" s="103"/>
      <c r="K568" s="108"/>
    </row>
    <row r="569" spans="4:11" ht="26.25">
      <c r="D569" s="101"/>
      <c r="E569" s="101"/>
      <c r="F569" s="102"/>
      <c r="G569" s="103"/>
      <c r="H569" s="103"/>
      <c r="I569" s="103"/>
      <c r="J569" s="103"/>
      <c r="K569" s="108"/>
    </row>
    <row r="570" spans="4:11" ht="26.25">
      <c r="D570" s="101"/>
      <c r="E570" s="101"/>
      <c r="F570" s="102"/>
      <c r="G570" s="103"/>
      <c r="H570" s="103"/>
      <c r="I570" s="103"/>
      <c r="J570" s="103"/>
      <c r="K570" s="108"/>
    </row>
    <row r="571" spans="4:11" ht="26.25">
      <c r="D571" s="101"/>
      <c r="E571" s="101"/>
      <c r="F571" s="102"/>
      <c r="G571" s="103"/>
      <c r="H571" s="103"/>
      <c r="I571" s="103"/>
      <c r="J571" s="103"/>
      <c r="K571" s="108"/>
    </row>
    <row r="572" spans="4:11" ht="26.25">
      <c r="D572" s="101"/>
      <c r="E572" s="101"/>
      <c r="F572" s="102"/>
      <c r="G572" s="103"/>
      <c r="H572" s="103"/>
      <c r="I572" s="103"/>
      <c r="J572" s="103"/>
      <c r="K572" s="108"/>
    </row>
    <row r="573" spans="4:11" ht="26.25">
      <c r="D573" s="101"/>
      <c r="E573" s="101"/>
      <c r="F573" s="102"/>
      <c r="G573" s="103"/>
      <c r="H573" s="103"/>
      <c r="I573" s="103"/>
      <c r="J573" s="103"/>
      <c r="K573" s="108"/>
    </row>
    <row r="574" spans="4:11" ht="26.25">
      <c r="D574" s="101"/>
      <c r="E574" s="101"/>
      <c r="F574" s="102"/>
      <c r="G574" s="103"/>
      <c r="H574" s="103"/>
      <c r="I574" s="103"/>
      <c r="J574" s="103"/>
      <c r="K574" s="108"/>
    </row>
    <row r="575" spans="4:11" ht="26.25">
      <c r="D575" s="101"/>
      <c r="E575" s="101"/>
      <c r="F575" s="102"/>
      <c r="G575" s="103"/>
      <c r="H575" s="103"/>
      <c r="I575" s="103"/>
      <c r="J575" s="103"/>
      <c r="K575" s="108"/>
    </row>
    <row r="576" spans="4:11" ht="26.25">
      <c r="D576" s="101"/>
      <c r="E576" s="101"/>
      <c r="F576" s="102"/>
      <c r="G576" s="103"/>
      <c r="H576" s="103"/>
      <c r="I576" s="103"/>
      <c r="J576" s="103"/>
      <c r="K576" s="108"/>
    </row>
    <row r="577" spans="4:11" ht="26.25">
      <c r="D577" s="101"/>
      <c r="E577" s="101"/>
      <c r="F577" s="102"/>
      <c r="G577" s="103"/>
      <c r="H577" s="103"/>
      <c r="I577" s="103"/>
      <c r="J577" s="103"/>
      <c r="K577" s="108"/>
    </row>
    <row r="578" spans="4:11" ht="26.25">
      <c r="D578" s="101"/>
      <c r="E578" s="101"/>
      <c r="F578" s="102"/>
      <c r="G578" s="103"/>
      <c r="H578" s="103"/>
      <c r="I578" s="103"/>
      <c r="J578" s="103"/>
      <c r="K578" s="108"/>
    </row>
    <row r="579" spans="4:11" ht="26.25">
      <c r="D579" s="101"/>
      <c r="E579" s="101"/>
      <c r="F579" s="102"/>
      <c r="G579" s="103"/>
      <c r="H579" s="103"/>
      <c r="I579" s="103"/>
      <c r="J579" s="103"/>
      <c r="K579" s="108"/>
    </row>
    <row r="580" spans="4:11" ht="26.25">
      <c r="D580" s="101"/>
      <c r="E580" s="101"/>
      <c r="F580" s="102"/>
      <c r="G580" s="103"/>
      <c r="H580" s="103"/>
      <c r="I580" s="103"/>
      <c r="J580" s="103"/>
      <c r="K580" s="108"/>
    </row>
    <row r="581" spans="4:11" ht="26.25">
      <c r="D581" s="101"/>
      <c r="E581" s="101"/>
      <c r="F581" s="102"/>
      <c r="G581" s="103"/>
      <c r="H581" s="103"/>
      <c r="I581" s="103"/>
      <c r="J581" s="103"/>
      <c r="K581" s="108"/>
    </row>
    <row r="582" spans="4:11" ht="26.25">
      <c r="D582" s="101"/>
      <c r="E582" s="101"/>
      <c r="F582" s="102"/>
      <c r="G582" s="103"/>
      <c r="H582" s="103"/>
      <c r="I582" s="103"/>
      <c r="J582" s="103"/>
      <c r="K582" s="108"/>
    </row>
    <row r="583" spans="4:11" ht="26.25">
      <c r="D583" s="101"/>
      <c r="E583" s="101"/>
      <c r="F583" s="102"/>
      <c r="G583" s="103"/>
      <c r="H583" s="103"/>
      <c r="I583" s="103"/>
      <c r="J583" s="103"/>
      <c r="K583" s="108"/>
    </row>
    <row r="584" spans="4:11" ht="26.25">
      <c r="D584" s="101"/>
      <c r="E584" s="101"/>
      <c r="F584" s="102"/>
      <c r="G584" s="103"/>
      <c r="H584" s="103"/>
      <c r="I584" s="103"/>
      <c r="J584" s="103"/>
      <c r="K584" s="108"/>
    </row>
    <row r="585" spans="4:11" ht="26.25">
      <c r="D585" s="101"/>
      <c r="E585" s="101"/>
      <c r="F585" s="102"/>
      <c r="G585" s="103"/>
      <c r="H585" s="103"/>
      <c r="I585" s="103"/>
      <c r="J585" s="103"/>
      <c r="K585" s="108"/>
    </row>
    <row r="586" spans="4:11" ht="26.25">
      <c r="D586" s="101"/>
      <c r="E586" s="101"/>
      <c r="F586" s="102"/>
      <c r="G586" s="103"/>
      <c r="H586" s="103"/>
      <c r="I586" s="103"/>
      <c r="J586" s="103"/>
      <c r="K586" s="108"/>
    </row>
    <row r="587" spans="4:11" ht="26.25">
      <c r="D587" s="101"/>
      <c r="E587" s="101"/>
      <c r="F587" s="102"/>
      <c r="G587" s="103"/>
      <c r="H587" s="103"/>
      <c r="I587" s="103"/>
      <c r="J587" s="103"/>
      <c r="K587" s="108"/>
    </row>
    <row r="588" spans="4:11" ht="26.25">
      <c r="D588" s="101"/>
      <c r="E588" s="101"/>
      <c r="F588" s="102"/>
      <c r="G588" s="103"/>
      <c r="H588" s="103"/>
      <c r="I588" s="103"/>
      <c r="J588" s="103"/>
      <c r="K588" s="108"/>
    </row>
    <row r="589" spans="4:11" ht="26.25">
      <c r="D589" s="101"/>
      <c r="E589" s="101"/>
      <c r="F589" s="102"/>
      <c r="G589" s="103"/>
      <c r="H589" s="103"/>
      <c r="I589" s="103"/>
      <c r="J589" s="103"/>
      <c r="K589" s="108"/>
    </row>
    <row r="590" spans="4:11" ht="26.25">
      <c r="D590" s="101"/>
      <c r="E590" s="101"/>
      <c r="F590" s="102"/>
      <c r="G590" s="103"/>
      <c r="H590" s="103"/>
      <c r="I590" s="103"/>
      <c r="J590" s="103"/>
      <c r="K590" s="108"/>
    </row>
    <row r="591" spans="4:11" ht="26.25">
      <c r="D591" s="101"/>
      <c r="E591" s="101"/>
      <c r="F591" s="102"/>
      <c r="G591" s="103"/>
      <c r="H591" s="103"/>
      <c r="I591" s="103"/>
      <c r="J591" s="103"/>
      <c r="K591" s="108"/>
    </row>
    <row r="592" spans="4:11" ht="26.25">
      <c r="D592" s="101"/>
      <c r="E592" s="101"/>
      <c r="F592" s="102"/>
      <c r="G592" s="103"/>
      <c r="H592" s="103"/>
      <c r="I592" s="103"/>
      <c r="J592" s="103"/>
      <c r="K592" s="108"/>
    </row>
    <row r="593" spans="4:11" ht="26.25">
      <c r="D593" s="101"/>
      <c r="E593" s="101"/>
      <c r="F593" s="102"/>
      <c r="G593" s="103"/>
      <c r="H593" s="103"/>
      <c r="I593" s="103"/>
      <c r="J593" s="103"/>
      <c r="K593" s="108"/>
    </row>
    <row r="594" spans="4:11" ht="26.25">
      <c r="D594" s="101"/>
      <c r="E594" s="101"/>
      <c r="F594" s="102"/>
      <c r="G594" s="103"/>
      <c r="H594" s="103"/>
      <c r="I594" s="103"/>
      <c r="J594" s="103"/>
      <c r="K594" s="108"/>
    </row>
    <row r="595" spans="4:11" ht="26.25">
      <c r="D595" s="101"/>
      <c r="E595" s="101"/>
      <c r="F595" s="102"/>
      <c r="G595" s="103"/>
      <c r="H595" s="103"/>
      <c r="I595" s="103"/>
      <c r="J595" s="103"/>
      <c r="K595" s="108"/>
    </row>
    <row r="596" spans="4:11" ht="26.25">
      <c r="D596" s="101"/>
      <c r="E596" s="101"/>
      <c r="F596" s="102"/>
      <c r="G596" s="103"/>
      <c r="H596" s="103"/>
      <c r="I596" s="103"/>
      <c r="J596" s="103"/>
      <c r="K596" s="108"/>
    </row>
    <row r="597" spans="4:11" ht="26.25">
      <c r="D597" s="101"/>
      <c r="E597" s="101"/>
      <c r="F597" s="102"/>
      <c r="G597" s="103"/>
      <c r="H597" s="103"/>
      <c r="I597" s="103"/>
      <c r="J597" s="103"/>
      <c r="K597" s="108"/>
    </row>
    <row r="598" spans="4:11" ht="26.25">
      <c r="D598" s="101"/>
      <c r="E598" s="101"/>
      <c r="F598" s="102"/>
      <c r="G598" s="103"/>
      <c r="H598" s="103"/>
      <c r="I598" s="103"/>
      <c r="J598" s="103"/>
      <c r="K598" s="108"/>
    </row>
    <row r="599" spans="4:11" ht="26.25">
      <c r="D599" s="101"/>
      <c r="E599" s="101"/>
      <c r="F599" s="102"/>
      <c r="G599" s="103"/>
      <c r="H599" s="103"/>
      <c r="I599" s="103"/>
      <c r="J599" s="103"/>
      <c r="K599" s="108"/>
    </row>
    <row r="600" spans="4:11" ht="26.25">
      <c r="D600" s="101"/>
      <c r="E600" s="101"/>
      <c r="F600" s="102"/>
      <c r="G600" s="103"/>
      <c r="H600" s="103"/>
      <c r="I600" s="103"/>
      <c r="J600" s="103"/>
      <c r="K600" s="108"/>
    </row>
    <row r="601" spans="4:11" ht="26.25">
      <c r="D601" s="101"/>
      <c r="E601" s="101"/>
      <c r="F601" s="102"/>
      <c r="G601" s="103"/>
      <c r="H601" s="103"/>
      <c r="I601" s="103"/>
      <c r="J601" s="103"/>
      <c r="K601" s="108"/>
    </row>
    <row r="602" spans="4:11" ht="26.25">
      <c r="D602" s="101"/>
      <c r="E602" s="101"/>
      <c r="F602" s="102"/>
      <c r="G602" s="103"/>
      <c r="H602" s="103"/>
      <c r="I602" s="103"/>
      <c r="J602" s="103"/>
      <c r="K602" s="108"/>
    </row>
    <row r="603" spans="4:11" ht="26.25">
      <c r="D603" s="101"/>
      <c r="E603" s="101"/>
      <c r="F603" s="102"/>
      <c r="G603" s="103"/>
      <c r="H603" s="103"/>
      <c r="I603" s="103"/>
      <c r="J603" s="103"/>
      <c r="K603" s="108"/>
    </row>
    <row r="604" spans="4:11" ht="26.25">
      <c r="D604" s="101"/>
      <c r="E604" s="101"/>
      <c r="F604" s="102"/>
      <c r="G604" s="103"/>
      <c r="H604" s="103"/>
      <c r="I604" s="103"/>
      <c r="J604" s="103"/>
      <c r="K604" s="108"/>
    </row>
    <row r="605" spans="4:11" ht="26.25">
      <c r="D605" s="101"/>
      <c r="E605" s="101"/>
      <c r="F605" s="102"/>
      <c r="G605" s="103"/>
      <c r="H605" s="103"/>
      <c r="I605" s="103"/>
      <c r="J605" s="103"/>
      <c r="K605" s="108"/>
    </row>
    <row r="606" spans="4:11" ht="26.25">
      <c r="D606" s="101"/>
      <c r="E606" s="101"/>
      <c r="F606" s="102"/>
      <c r="G606" s="103"/>
      <c r="H606" s="103"/>
      <c r="I606" s="103"/>
      <c r="J606" s="103"/>
      <c r="K606" s="108"/>
    </row>
    <row r="607" spans="4:11" ht="26.25">
      <c r="D607" s="101"/>
      <c r="E607" s="101"/>
      <c r="F607" s="102"/>
      <c r="G607" s="103"/>
      <c r="H607" s="103"/>
      <c r="I607" s="103"/>
      <c r="J607" s="103"/>
      <c r="K607" s="108"/>
    </row>
    <row r="608" spans="4:11" ht="26.25">
      <c r="D608" s="101"/>
      <c r="E608" s="101"/>
      <c r="F608" s="102"/>
      <c r="G608" s="103"/>
      <c r="H608" s="103"/>
      <c r="I608" s="103"/>
      <c r="J608" s="103"/>
      <c r="K608" s="108"/>
    </row>
    <row r="609" spans="4:11" ht="26.25">
      <c r="D609" s="101"/>
      <c r="E609" s="101"/>
      <c r="F609" s="102"/>
      <c r="G609" s="103"/>
      <c r="H609" s="103"/>
      <c r="I609" s="103"/>
      <c r="J609" s="103"/>
      <c r="K609" s="108"/>
    </row>
    <row r="610" spans="4:11" ht="26.25">
      <c r="D610" s="101"/>
      <c r="E610" s="101"/>
      <c r="F610" s="102"/>
      <c r="G610" s="103"/>
      <c r="H610" s="103"/>
      <c r="I610" s="103"/>
      <c r="J610" s="103"/>
      <c r="K610" s="108"/>
    </row>
    <row r="611" spans="4:11" ht="26.25">
      <c r="D611" s="101"/>
      <c r="E611" s="101"/>
      <c r="F611" s="102"/>
      <c r="G611" s="103"/>
      <c r="H611" s="103"/>
      <c r="I611" s="103"/>
      <c r="J611" s="103"/>
      <c r="K611" s="108"/>
    </row>
    <row r="612" spans="4:11" ht="26.25">
      <c r="D612" s="101"/>
      <c r="E612" s="101"/>
      <c r="F612" s="102"/>
      <c r="G612" s="103"/>
      <c r="H612" s="103"/>
      <c r="I612" s="103"/>
      <c r="J612" s="103"/>
      <c r="K612" s="108"/>
    </row>
    <row r="613" spans="4:11" ht="26.25">
      <c r="D613" s="101"/>
      <c r="E613" s="101"/>
      <c r="F613" s="102"/>
      <c r="G613" s="103"/>
      <c r="H613" s="103"/>
      <c r="I613" s="103"/>
      <c r="J613" s="103"/>
      <c r="K613" s="108"/>
    </row>
    <row r="614" spans="4:11" ht="26.25">
      <c r="D614" s="101"/>
      <c r="E614" s="101"/>
      <c r="F614" s="102"/>
      <c r="G614" s="103"/>
      <c r="H614" s="103"/>
      <c r="I614" s="103"/>
      <c r="J614" s="103"/>
      <c r="K614" s="108"/>
    </row>
    <row r="615" spans="4:11" ht="26.25">
      <c r="D615" s="101"/>
      <c r="E615" s="101"/>
      <c r="F615" s="102"/>
      <c r="G615" s="103"/>
      <c r="H615" s="103"/>
      <c r="I615" s="103"/>
      <c r="J615" s="103"/>
      <c r="K615" s="108"/>
    </row>
    <row r="616" spans="4:11" ht="26.25">
      <c r="D616" s="101"/>
      <c r="E616" s="101"/>
      <c r="F616" s="102"/>
      <c r="G616" s="103"/>
      <c r="H616" s="103"/>
      <c r="I616" s="103"/>
      <c r="J616" s="103"/>
      <c r="K616" s="108"/>
    </row>
    <row r="617" spans="4:11" ht="26.25">
      <c r="D617" s="101"/>
      <c r="E617" s="101"/>
      <c r="F617" s="102"/>
      <c r="G617" s="103"/>
      <c r="H617" s="103"/>
      <c r="I617" s="103"/>
      <c r="J617" s="103"/>
      <c r="K617" s="108"/>
    </row>
    <row r="618" spans="4:11" ht="26.25">
      <c r="D618" s="101"/>
      <c r="E618" s="101"/>
      <c r="F618" s="102"/>
      <c r="G618" s="103"/>
      <c r="H618" s="103"/>
      <c r="I618" s="103"/>
      <c r="J618" s="103"/>
      <c r="K618" s="108"/>
    </row>
    <row r="619" spans="4:11" ht="26.25">
      <c r="D619" s="101"/>
      <c r="E619" s="101"/>
      <c r="F619" s="102"/>
      <c r="G619" s="103"/>
      <c r="H619" s="103"/>
      <c r="I619" s="103"/>
      <c r="J619" s="103"/>
      <c r="K619" s="108"/>
    </row>
    <row r="620" spans="4:11" ht="26.25">
      <c r="D620" s="101"/>
      <c r="E620" s="101"/>
      <c r="F620" s="102"/>
      <c r="G620" s="103"/>
      <c r="H620" s="103"/>
      <c r="I620" s="103"/>
      <c r="J620" s="103"/>
      <c r="K620" s="108"/>
    </row>
    <row r="621" spans="4:11" ht="26.25">
      <c r="D621" s="101"/>
      <c r="E621" s="101"/>
      <c r="F621" s="102"/>
      <c r="G621" s="103"/>
      <c r="H621" s="103"/>
      <c r="I621" s="103"/>
      <c r="J621" s="103"/>
      <c r="K621" s="108"/>
    </row>
    <row r="622" spans="4:11" ht="26.25">
      <c r="D622" s="101"/>
      <c r="E622" s="101"/>
      <c r="F622" s="102"/>
      <c r="G622" s="103"/>
      <c r="H622" s="103"/>
      <c r="I622" s="103"/>
      <c r="J622" s="103"/>
      <c r="K622" s="108"/>
    </row>
    <row r="623" spans="4:11" ht="26.25">
      <c r="D623" s="101"/>
      <c r="E623" s="101"/>
      <c r="F623" s="102"/>
      <c r="G623" s="103"/>
      <c r="H623" s="103"/>
      <c r="I623" s="103"/>
      <c r="J623" s="103"/>
      <c r="K623" s="108"/>
    </row>
    <row r="624" spans="4:11" ht="26.25">
      <c r="D624" s="101"/>
      <c r="E624" s="101"/>
      <c r="F624" s="102"/>
      <c r="G624" s="103"/>
      <c r="H624" s="103"/>
      <c r="I624" s="103"/>
      <c r="J624" s="103"/>
      <c r="K624" s="108"/>
    </row>
    <row r="625" spans="4:11" ht="26.25">
      <c r="D625" s="101"/>
      <c r="E625" s="101"/>
      <c r="F625" s="102"/>
      <c r="G625" s="103"/>
      <c r="H625" s="103"/>
      <c r="I625" s="103"/>
      <c r="J625" s="103"/>
      <c r="K625" s="108"/>
    </row>
    <row r="626" spans="4:11" ht="26.25">
      <c r="D626" s="101"/>
      <c r="E626" s="101"/>
      <c r="F626" s="102"/>
      <c r="G626" s="103"/>
      <c r="H626" s="103"/>
      <c r="I626" s="103"/>
      <c r="J626" s="103"/>
      <c r="K626" s="108"/>
    </row>
    <row r="627" spans="4:11" ht="26.25">
      <c r="D627" s="101"/>
      <c r="E627" s="101"/>
      <c r="F627" s="102"/>
      <c r="G627" s="103"/>
      <c r="H627" s="103"/>
      <c r="I627" s="103"/>
      <c r="J627" s="103"/>
      <c r="K627" s="108"/>
    </row>
    <row r="628" spans="4:11" ht="26.25">
      <c r="D628" s="101"/>
      <c r="E628" s="101"/>
      <c r="F628" s="102"/>
      <c r="G628" s="103"/>
      <c r="H628" s="103"/>
      <c r="I628" s="103"/>
      <c r="J628" s="103"/>
      <c r="K628" s="108"/>
    </row>
    <row r="629" spans="4:11" ht="26.25">
      <c r="D629" s="101"/>
      <c r="E629" s="101"/>
      <c r="F629" s="102"/>
      <c r="G629" s="103"/>
      <c r="H629" s="103"/>
      <c r="I629" s="103"/>
      <c r="J629" s="103"/>
      <c r="K629" s="108"/>
    </row>
    <row r="630" spans="4:11" ht="26.25">
      <c r="D630" s="101"/>
      <c r="E630" s="101"/>
      <c r="F630" s="102"/>
      <c r="G630" s="103"/>
      <c r="H630" s="103"/>
      <c r="I630" s="103"/>
      <c r="J630" s="103"/>
      <c r="K630" s="108"/>
    </row>
    <row r="631" spans="4:11" ht="26.25">
      <c r="D631" s="101"/>
      <c r="E631" s="101"/>
      <c r="F631" s="102"/>
      <c r="G631" s="103"/>
      <c r="H631" s="103"/>
      <c r="I631" s="103"/>
      <c r="J631" s="103"/>
      <c r="K631" s="108"/>
    </row>
    <row r="632" spans="4:11" ht="26.25">
      <c r="D632" s="101"/>
      <c r="E632" s="101"/>
      <c r="F632" s="102"/>
      <c r="G632" s="103"/>
      <c r="H632" s="103"/>
      <c r="I632" s="103"/>
      <c r="J632" s="103"/>
      <c r="K632" s="108"/>
    </row>
    <row r="633" spans="4:11" ht="26.25">
      <c r="D633" s="101"/>
      <c r="E633" s="101"/>
      <c r="F633" s="102"/>
      <c r="G633" s="103"/>
      <c r="H633" s="103"/>
      <c r="I633" s="103"/>
      <c r="J633" s="103"/>
      <c r="K633" s="108"/>
    </row>
    <row r="634" spans="4:11" ht="26.25">
      <c r="D634" s="101"/>
      <c r="E634" s="101"/>
      <c r="F634" s="102"/>
      <c r="G634" s="103"/>
      <c r="H634" s="103"/>
      <c r="I634" s="103"/>
      <c r="J634" s="103"/>
      <c r="K634" s="108"/>
    </row>
    <row r="635" spans="4:11" ht="26.25">
      <c r="D635" s="101"/>
      <c r="E635" s="101"/>
      <c r="F635" s="102"/>
      <c r="G635" s="103"/>
      <c r="H635" s="103"/>
      <c r="I635" s="103"/>
      <c r="J635" s="103"/>
      <c r="K635" s="108"/>
    </row>
    <row r="636" spans="4:11" ht="26.25">
      <c r="D636" s="101"/>
      <c r="E636" s="101"/>
      <c r="F636" s="102"/>
      <c r="G636" s="103"/>
      <c r="H636" s="103"/>
      <c r="I636" s="103"/>
      <c r="J636" s="103"/>
      <c r="K636" s="108"/>
    </row>
    <row r="637" spans="4:11" ht="26.25">
      <c r="D637" s="101"/>
      <c r="E637" s="101"/>
      <c r="F637" s="102"/>
      <c r="G637" s="103"/>
      <c r="H637" s="103"/>
      <c r="I637" s="103"/>
      <c r="J637" s="103"/>
      <c r="K637" s="108"/>
    </row>
    <row r="638" spans="4:11" ht="26.25">
      <c r="D638" s="101"/>
      <c r="E638" s="101"/>
      <c r="F638" s="102"/>
      <c r="G638" s="103"/>
      <c r="H638" s="103"/>
      <c r="I638" s="103"/>
      <c r="J638" s="103"/>
      <c r="K638" s="108"/>
    </row>
    <row r="639" spans="4:11" ht="26.25">
      <c r="D639" s="101"/>
      <c r="E639" s="101"/>
      <c r="F639" s="102"/>
      <c r="G639" s="103"/>
      <c r="H639" s="103"/>
      <c r="I639" s="103"/>
      <c r="J639" s="103"/>
      <c r="K639" s="108"/>
    </row>
    <row r="640" spans="4:11" ht="26.25">
      <c r="D640" s="101"/>
      <c r="E640" s="101"/>
      <c r="F640" s="102"/>
      <c r="G640" s="103"/>
      <c r="H640" s="103"/>
      <c r="I640" s="103"/>
      <c r="J640" s="103"/>
      <c r="K640" s="108"/>
    </row>
    <row r="641" spans="4:11" ht="26.25">
      <c r="D641" s="101"/>
      <c r="E641" s="101"/>
      <c r="F641" s="102"/>
      <c r="G641" s="103"/>
      <c r="H641" s="103"/>
      <c r="I641" s="103"/>
      <c r="J641" s="103"/>
      <c r="K641" s="108"/>
    </row>
    <row r="642" spans="4:11" ht="26.25">
      <c r="D642" s="101"/>
      <c r="E642" s="101"/>
      <c r="F642" s="102"/>
      <c r="G642" s="103"/>
      <c r="H642" s="103"/>
      <c r="I642" s="103"/>
      <c r="J642" s="103"/>
      <c r="K642" s="108"/>
    </row>
    <row r="643" spans="4:11" ht="26.25">
      <c r="D643" s="101"/>
      <c r="E643" s="101"/>
      <c r="F643" s="102"/>
      <c r="G643" s="103"/>
      <c r="H643" s="103"/>
      <c r="I643" s="103"/>
      <c r="J643" s="103"/>
      <c r="K643" s="108"/>
    </row>
    <row r="644" spans="4:11" ht="26.25">
      <c r="D644" s="101"/>
      <c r="E644" s="101"/>
      <c r="F644" s="102"/>
      <c r="G644" s="103"/>
      <c r="H644" s="103"/>
      <c r="I644" s="103"/>
      <c r="J644" s="103"/>
      <c r="K644" s="108"/>
    </row>
    <row r="645" spans="4:11" ht="26.25">
      <c r="D645" s="101"/>
      <c r="E645" s="101"/>
      <c r="F645" s="102"/>
      <c r="G645" s="103"/>
      <c r="H645" s="103"/>
      <c r="I645" s="103"/>
      <c r="J645" s="103"/>
      <c r="K645" s="108"/>
    </row>
    <row r="646" spans="4:11" ht="26.25">
      <c r="D646" s="101"/>
      <c r="E646" s="101"/>
      <c r="F646" s="102"/>
      <c r="G646" s="103"/>
      <c r="H646" s="103"/>
      <c r="I646" s="103"/>
      <c r="J646" s="103"/>
      <c r="K646" s="108"/>
    </row>
    <row r="647" spans="4:11" ht="26.25">
      <c r="D647" s="101"/>
      <c r="E647" s="101"/>
      <c r="F647" s="102"/>
      <c r="G647" s="103"/>
      <c r="H647" s="103"/>
      <c r="I647" s="103"/>
      <c r="J647" s="103"/>
      <c r="K647" s="108"/>
    </row>
    <row r="648" spans="4:11" ht="26.25">
      <c r="D648" s="101"/>
      <c r="E648" s="101"/>
      <c r="F648" s="102"/>
      <c r="G648" s="103"/>
      <c r="H648" s="103"/>
      <c r="I648" s="103"/>
      <c r="J648" s="103"/>
      <c r="K648" s="108"/>
    </row>
    <row r="649" spans="4:11" ht="26.25">
      <c r="D649" s="101"/>
      <c r="E649" s="101"/>
      <c r="F649" s="102"/>
      <c r="G649" s="103"/>
      <c r="H649" s="103"/>
      <c r="I649" s="103"/>
      <c r="J649" s="103"/>
      <c r="K649" s="108"/>
    </row>
    <row r="650" spans="4:11" ht="26.25">
      <c r="D650" s="101"/>
      <c r="E650" s="101"/>
      <c r="F650" s="102"/>
      <c r="G650" s="103"/>
      <c r="H650" s="103"/>
      <c r="I650" s="103"/>
      <c r="J650" s="103"/>
      <c r="K650" s="108"/>
    </row>
    <row r="651" spans="4:11" ht="26.25">
      <c r="D651" s="101"/>
      <c r="E651" s="101"/>
      <c r="F651" s="102"/>
      <c r="G651" s="103"/>
      <c r="H651" s="103"/>
      <c r="I651" s="103"/>
      <c r="J651" s="103"/>
      <c r="K651" s="108"/>
    </row>
    <row r="652" spans="4:11" ht="26.25">
      <c r="D652" s="101"/>
      <c r="E652" s="101"/>
      <c r="F652" s="102"/>
      <c r="G652" s="103"/>
      <c r="H652" s="103"/>
      <c r="I652" s="103"/>
      <c r="J652" s="103"/>
      <c r="K652" s="108"/>
    </row>
    <row r="653" spans="4:11" ht="26.25">
      <c r="D653" s="101"/>
      <c r="E653" s="101"/>
      <c r="F653" s="102"/>
      <c r="G653" s="103"/>
      <c r="H653" s="103"/>
      <c r="I653" s="103"/>
      <c r="J653" s="103"/>
      <c r="K653" s="108"/>
    </row>
    <row r="654" spans="4:11" ht="26.25">
      <c r="D654" s="101"/>
      <c r="E654" s="101"/>
      <c r="F654" s="102"/>
      <c r="G654" s="103"/>
      <c r="H654" s="103"/>
      <c r="I654" s="103"/>
      <c r="J654" s="103"/>
      <c r="K654" s="108"/>
    </row>
  </sheetData>
  <mergeCells count="7">
    <mergeCell ref="B1:F1"/>
    <mergeCell ref="G1:K1"/>
    <mergeCell ref="A1:A2"/>
    <mergeCell ref="R1:S2"/>
    <mergeCell ref="P1:Q2"/>
    <mergeCell ref="N1:O2"/>
    <mergeCell ref="L1:M2"/>
  </mergeCells>
  <pageMargins left="0.7" right="0.7" top="0.78740157499999996" bottom="0.78740157499999996" header="0.3" footer="0.3"/>
  <pageSetup paperSize="9" orientation="portrait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5</vt:i4>
      </vt:variant>
      <vt:variant>
        <vt:lpstr>Pojmenované oblasti</vt:lpstr>
      </vt:variant>
      <vt:variant>
        <vt:i4>1</vt:i4>
      </vt:variant>
    </vt:vector>
  </HeadingPairs>
  <TitlesOfParts>
    <vt:vector size="6" baseType="lpstr">
      <vt:lpstr>AR</vt:lpstr>
      <vt:lpstr>1.návrh</vt:lpstr>
      <vt:lpstr>Arabic Win</vt:lpstr>
      <vt:lpstr>CzAr</vt:lpstr>
      <vt:lpstr>Forms</vt:lpstr>
      <vt:lpstr>CzAr!Oblast_tisku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 Záruba</dc:creator>
  <cp:lastModifiedBy>Jan Záruba</cp:lastModifiedBy>
  <cp:lastPrinted>2011-07-02T18:50:44Z</cp:lastPrinted>
  <dcterms:created xsi:type="dcterms:W3CDTF">2010-07-18T14:51:41Z</dcterms:created>
  <dcterms:modified xsi:type="dcterms:W3CDTF">2011-07-02T19:20:43Z</dcterms:modified>
</cp:coreProperties>
</file>